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0C3735ED-CFED-4F3B-896A-64563C0D8597}" xr6:coauthVersionLast="47" xr6:coauthVersionMax="47" xr10:uidLastSave="{00000000-0000-0000-0000-000000000000}"/>
  <bookViews>
    <workbookView xWindow="-108" yWindow="-108" windowWidth="23256" windowHeight="12456" firstSheet="11" activeTab="15" xr2:uid="{00000000-000D-0000-FFFF-FFFF00000000}"/>
  </bookViews>
  <sheets>
    <sheet name="CohotAnalysis" sheetId="3" r:id="rId1"/>
    <sheet name="SKUAnalysis" sheetId="4" r:id="rId2"/>
    <sheet name="Cannibalization" sheetId="5" r:id="rId3"/>
    <sheet name="Top3RevperOrder" sheetId="6" r:id="rId4"/>
    <sheet name="Bottom3RevperOrder" sheetId="7" r:id="rId5"/>
    <sheet name="RevenueByMonth" sheetId="10" r:id="rId6"/>
    <sheet name="ProfitByReg&amp;Chanel" sheetId="11" r:id="rId7"/>
    <sheet name="Top10SKUbyRev" sheetId="12" r:id="rId8"/>
    <sheet name="LeadTimeDays" sheetId="15" r:id="rId9"/>
    <sheet name="OutliersbySalespersonandRegion" sheetId="16" r:id="rId10"/>
    <sheet name="Revenue by productcategory" sheetId="19" r:id="rId11"/>
    <sheet name="Data" sheetId="1" r:id="rId12"/>
    <sheet name="What-If Analysis" sheetId="17" r:id="rId13"/>
    <sheet name="Brief" sheetId="2" r:id="rId14"/>
    <sheet name="Dashboard" sheetId="14" r:id="rId15"/>
    <sheet name="Dashboard Report" sheetId="18" r:id="rId16"/>
  </sheets>
  <definedNames>
    <definedName name="_xlnm._FilterDatabase" localSheetId="11" hidden="1">Data!$A$1:$AO$633</definedName>
    <definedName name="Slicer_Country">#N/A</definedName>
    <definedName name="Slicer_Month">#N/A</definedName>
    <definedName name="Slicer_NewChannel">#N/A</definedName>
    <definedName name="Slicer_NewSalesperson">#N/A</definedName>
    <definedName name="Slicer_ProductCategory">#N/A</definedName>
    <definedName name="Slicer_Region">#N/A</definedName>
  </definedNames>
  <calcPr calcId="191029"/>
  <pivotCaches>
    <pivotCache cacheId="0" r:id="rId17"/>
    <pivotCache cacheId="1" r:id="rId18"/>
    <pivotCache cacheId="2" r:id="rId19"/>
    <pivotCache cacheId="6"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15" i="1" l="1"/>
  <c r="AN6" i="1"/>
  <c r="AN8" i="1"/>
  <c r="AN4" i="1"/>
  <c r="AN7" i="1"/>
  <c r="AN10" i="1"/>
  <c r="AN20" i="1"/>
  <c r="AN29" i="1"/>
  <c r="AN9" i="1"/>
  <c r="AN16" i="1"/>
  <c r="AN5" i="1"/>
  <c r="AN30" i="1"/>
  <c r="AN45" i="1"/>
  <c r="AN22" i="1"/>
  <c r="AN38" i="1"/>
  <c r="AN18" i="1"/>
  <c r="AN43" i="1"/>
  <c r="AN17" i="1"/>
  <c r="AN21" i="1"/>
  <c r="AN11" i="1"/>
  <c r="AN26" i="1"/>
  <c r="AN67" i="1"/>
  <c r="AN50" i="1"/>
  <c r="AN34" i="1"/>
  <c r="AN13" i="1"/>
  <c r="AN93" i="1"/>
  <c r="AN19" i="1"/>
  <c r="AN61" i="1"/>
  <c r="AN54" i="1"/>
  <c r="AN72" i="1"/>
  <c r="AN14" i="1"/>
  <c r="AN59" i="1"/>
  <c r="AN40" i="1"/>
  <c r="AN23" i="1"/>
  <c r="AN12" i="1"/>
  <c r="AN64" i="1"/>
  <c r="AN52" i="1"/>
  <c r="AN57" i="1"/>
  <c r="AN90" i="1"/>
  <c r="AN55" i="1"/>
  <c r="AN109" i="1"/>
  <c r="AN28" i="1"/>
  <c r="AN76" i="1"/>
  <c r="AN80" i="1"/>
  <c r="AN89" i="1"/>
  <c r="AN27" i="1"/>
  <c r="AN85" i="1"/>
  <c r="AN86" i="1"/>
  <c r="AN53" i="1"/>
  <c r="AN46" i="1"/>
  <c r="AN110" i="1"/>
  <c r="AN113" i="1"/>
  <c r="AN84" i="1"/>
  <c r="AN33" i="1"/>
  <c r="AN111" i="1"/>
  <c r="AN51" i="1"/>
  <c r="AN130" i="1"/>
  <c r="AN128" i="1"/>
  <c r="AN114" i="1"/>
  <c r="AN94" i="1"/>
  <c r="AN79" i="1"/>
  <c r="AN31" i="1"/>
  <c r="AN116" i="1"/>
  <c r="AN39" i="1"/>
  <c r="AN37" i="1"/>
  <c r="AN136" i="1"/>
  <c r="AN112" i="1"/>
  <c r="AN97" i="1"/>
  <c r="AN60" i="1"/>
  <c r="AN135" i="1"/>
  <c r="AN107" i="1"/>
  <c r="AN82" i="1"/>
  <c r="AN103" i="1"/>
  <c r="AN69" i="1"/>
  <c r="AN63" i="1"/>
  <c r="AN48" i="1"/>
  <c r="AN49" i="1"/>
  <c r="AN153" i="1"/>
  <c r="AN87" i="1"/>
  <c r="AN56" i="1"/>
  <c r="AN124" i="1"/>
  <c r="AN73" i="1"/>
  <c r="AN177" i="1"/>
  <c r="AN202" i="1"/>
  <c r="AN173" i="1"/>
  <c r="AN185" i="1"/>
  <c r="AN83" i="1"/>
  <c r="AN121" i="1"/>
  <c r="AN126" i="1"/>
  <c r="AN122" i="1"/>
  <c r="AN78" i="1"/>
  <c r="AN187" i="1"/>
  <c r="AN156" i="1"/>
  <c r="AN44" i="1"/>
  <c r="AN66" i="1"/>
  <c r="AN35" i="1"/>
  <c r="AN119" i="1"/>
  <c r="AN207" i="1"/>
  <c r="AN190" i="1"/>
  <c r="AN108" i="1"/>
  <c r="AN62" i="1"/>
  <c r="AN138" i="1"/>
  <c r="AN154" i="1"/>
  <c r="AN176" i="1"/>
  <c r="AN88" i="1"/>
  <c r="AN140" i="1"/>
  <c r="AN58" i="1"/>
  <c r="AN36" i="1"/>
  <c r="AN101" i="1"/>
  <c r="AN175" i="1"/>
  <c r="AN234" i="1"/>
  <c r="AN194" i="1"/>
  <c r="AN25" i="1"/>
  <c r="AN91" i="1"/>
  <c r="AN148" i="1"/>
  <c r="AN221" i="1"/>
  <c r="AN182" i="1"/>
  <c r="AN215" i="1"/>
  <c r="AN199" i="1"/>
  <c r="AN172" i="1"/>
  <c r="AN125" i="1"/>
  <c r="AN184" i="1"/>
  <c r="AN139" i="1"/>
  <c r="AN195" i="1"/>
  <c r="AN171" i="1"/>
  <c r="AN201" i="1"/>
  <c r="AN230" i="1"/>
  <c r="AN77" i="1"/>
  <c r="AN180" i="1"/>
  <c r="AN192" i="1"/>
  <c r="AN198" i="1"/>
  <c r="AN41" i="1"/>
  <c r="AN133" i="1"/>
  <c r="AN74" i="1"/>
  <c r="AN104" i="1"/>
  <c r="AN105" i="1"/>
  <c r="AN227" i="1"/>
  <c r="AN144" i="1"/>
  <c r="AN258" i="1"/>
  <c r="AN68" i="1"/>
  <c r="AN165" i="1"/>
  <c r="AN159" i="1"/>
  <c r="AN242" i="1"/>
  <c r="AN92" i="1"/>
  <c r="AN233" i="1"/>
  <c r="AN178" i="1"/>
  <c r="AN141" i="1"/>
  <c r="AN42" i="1"/>
  <c r="AN70" i="1"/>
  <c r="AN106" i="1"/>
  <c r="AN235" i="1"/>
  <c r="AN254" i="1"/>
  <c r="AN246" i="1"/>
  <c r="AN47" i="1"/>
  <c r="AN158" i="1"/>
  <c r="AN96" i="1"/>
  <c r="AN226" i="1"/>
  <c r="AN281" i="1"/>
  <c r="AN212" i="1"/>
  <c r="AN270" i="1"/>
  <c r="AN263" i="1"/>
  <c r="AN209" i="1"/>
  <c r="AN150" i="1"/>
  <c r="AN170" i="1"/>
  <c r="AN206" i="1"/>
  <c r="AN241" i="1"/>
  <c r="AN248" i="1"/>
  <c r="AN213" i="1"/>
  <c r="AN183" i="1"/>
  <c r="AN129" i="1"/>
  <c r="AN147" i="1"/>
  <c r="AN117" i="1"/>
  <c r="AN287" i="1"/>
  <c r="AN143" i="1"/>
  <c r="AN24" i="1"/>
  <c r="AN189" i="1"/>
  <c r="AN149" i="1"/>
  <c r="AN71" i="1"/>
  <c r="AN247" i="1"/>
  <c r="AN293" i="1"/>
  <c r="AN118" i="1"/>
  <c r="AN264" i="1"/>
  <c r="AN137" i="1"/>
  <c r="AN65" i="1"/>
  <c r="AN127" i="1"/>
  <c r="AN229" i="1"/>
  <c r="AN265" i="1"/>
  <c r="AN296" i="1"/>
  <c r="AN304" i="1"/>
  <c r="AN271" i="1"/>
  <c r="AN279" i="1"/>
  <c r="AN75" i="1"/>
  <c r="AN168" i="1"/>
  <c r="AN268" i="1"/>
  <c r="AN297" i="1"/>
  <c r="AN313" i="1"/>
  <c r="AN95" i="1"/>
  <c r="AN294" i="1"/>
  <c r="AN266" i="1"/>
  <c r="AN274" i="1"/>
  <c r="AN163" i="1"/>
  <c r="AN320" i="1"/>
  <c r="AN316" i="1"/>
  <c r="AN275" i="1"/>
  <c r="AN123" i="1"/>
  <c r="AN222" i="1"/>
  <c r="AN262" i="1"/>
  <c r="AN200" i="1"/>
  <c r="AN220" i="1"/>
  <c r="AN300" i="1"/>
  <c r="AN115" i="1"/>
  <c r="AN231" i="1"/>
  <c r="AN99" i="1"/>
  <c r="AN336" i="1"/>
  <c r="AN255" i="1"/>
  <c r="AN307" i="1"/>
  <c r="AN120" i="1"/>
  <c r="AN288" i="1"/>
  <c r="AN282" i="1"/>
  <c r="AN276" i="1"/>
  <c r="AN32" i="1"/>
  <c r="AN193" i="1"/>
  <c r="AN244" i="1"/>
  <c r="AN174" i="1"/>
  <c r="AN134" i="1"/>
  <c r="AN280" i="1"/>
  <c r="AN169" i="1"/>
  <c r="AN251" i="1"/>
  <c r="AN286" i="1"/>
  <c r="AN166" i="1"/>
  <c r="AN167" i="1"/>
  <c r="AN162" i="1"/>
  <c r="AN216" i="1"/>
  <c r="AN243" i="1"/>
  <c r="AN327" i="1"/>
  <c r="AN191" i="1"/>
  <c r="AN179" i="1"/>
  <c r="AN256" i="1"/>
  <c r="AN306" i="1"/>
  <c r="AN160" i="1"/>
  <c r="AN337" i="1"/>
  <c r="AN352" i="1"/>
  <c r="AN361" i="1"/>
  <c r="AN155" i="1"/>
  <c r="AN146" i="1"/>
  <c r="AN196" i="1"/>
  <c r="AN203" i="1"/>
  <c r="AN208" i="1"/>
  <c r="AN329" i="1"/>
  <c r="AN273" i="1"/>
  <c r="AN239" i="1"/>
  <c r="AN161" i="1"/>
  <c r="AN349" i="1"/>
  <c r="AN339" i="1"/>
  <c r="AN238" i="1"/>
  <c r="AN344" i="1"/>
  <c r="AN151" i="1"/>
  <c r="AN205" i="1"/>
  <c r="AN322" i="1"/>
  <c r="AN257" i="1"/>
  <c r="AN188" i="1"/>
  <c r="AN386" i="1"/>
  <c r="AN250" i="1"/>
  <c r="AN299" i="1"/>
  <c r="AN326" i="1"/>
  <c r="AN305" i="1"/>
  <c r="AN348" i="1"/>
  <c r="AN232" i="1"/>
  <c r="AN259" i="1"/>
  <c r="AN197" i="1"/>
  <c r="AN181" i="1"/>
  <c r="AN236" i="1"/>
  <c r="AN319" i="1"/>
  <c r="AN223" i="1"/>
  <c r="AN289" i="1"/>
  <c r="AN210" i="1"/>
  <c r="AN403" i="1"/>
  <c r="AN145" i="1"/>
  <c r="AN81" i="1"/>
  <c r="AN357" i="1"/>
  <c r="AN219" i="1"/>
  <c r="AN407" i="1"/>
  <c r="AN417" i="1"/>
  <c r="AN360" i="1"/>
  <c r="AN400" i="1"/>
  <c r="AN260" i="1"/>
  <c r="AN346" i="1"/>
  <c r="AN350" i="1"/>
  <c r="AN295" i="1"/>
  <c r="AN102" i="1"/>
  <c r="AN402" i="1"/>
  <c r="AN397" i="1"/>
  <c r="AN224" i="1"/>
  <c r="AN351" i="1"/>
  <c r="AN267" i="1"/>
  <c r="AN383" i="1"/>
  <c r="AN395" i="1"/>
  <c r="AN410" i="1"/>
  <c r="AN249" i="1"/>
  <c r="AN401" i="1"/>
  <c r="AN252" i="1"/>
  <c r="AN225" i="1"/>
  <c r="AN285" i="1"/>
  <c r="AN98" i="1"/>
  <c r="AN391" i="1"/>
  <c r="AN217" i="1"/>
  <c r="AN378" i="1"/>
  <c r="AN214" i="1"/>
  <c r="AN164" i="1"/>
  <c r="AN422" i="1"/>
  <c r="AN409" i="1"/>
  <c r="AN399" i="1"/>
  <c r="AN152" i="1"/>
  <c r="AN269" i="1"/>
  <c r="AN204" i="1"/>
  <c r="AN412" i="1"/>
  <c r="AN131" i="1"/>
  <c r="AN414" i="1"/>
  <c r="AN354" i="1"/>
  <c r="AN387" i="1"/>
  <c r="AN314" i="1"/>
  <c r="AN365" i="1"/>
  <c r="AN430" i="1"/>
  <c r="AN292" i="1"/>
  <c r="AN283" i="1"/>
  <c r="AN359" i="1"/>
  <c r="AN416" i="1"/>
  <c r="AN325" i="1"/>
  <c r="AN298" i="1"/>
  <c r="AN370" i="1"/>
  <c r="AN278" i="1"/>
  <c r="AN377" i="1"/>
  <c r="AN323" i="1"/>
  <c r="AN284" i="1"/>
  <c r="AN390" i="1"/>
  <c r="AN333" i="1"/>
  <c r="AN367" i="1"/>
  <c r="AN211" i="1"/>
  <c r="AN439" i="1"/>
  <c r="AN379" i="1"/>
  <c r="AN261" i="1"/>
  <c r="AN272" i="1"/>
  <c r="AN461" i="1"/>
  <c r="AN324" i="1"/>
  <c r="AN441" i="1"/>
  <c r="AN340" i="1"/>
  <c r="AN369" i="1"/>
  <c r="AN406" i="1"/>
  <c r="AN345" i="1"/>
  <c r="AN157" i="1"/>
  <c r="AN374" i="1"/>
  <c r="AN446" i="1"/>
  <c r="AN315" i="1"/>
  <c r="AN457" i="1"/>
  <c r="AN132" i="1"/>
  <c r="AN317" i="1"/>
  <c r="AN308" i="1"/>
  <c r="AN318" i="1"/>
  <c r="AN404" i="1"/>
  <c r="AN371" i="1"/>
  <c r="AN364" i="1"/>
  <c r="AN425" i="1"/>
  <c r="AN435" i="1"/>
  <c r="AN347" i="1"/>
  <c r="AN398" i="1"/>
  <c r="AN335" i="1"/>
  <c r="AN341" i="1"/>
  <c r="AN451" i="1"/>
  <c r="AN331" i="1"/>
  <c r="AN366" i="1"/>
  <c r="AN424" i="1"/>
  <c r="AN423" i="1"/>
  <c r="AN429" i="1"/>
  <c r="AN356" i="1"/>
  <c r="AN228" i="1"/>
  <c r="AN334" i="1"/>
  <c r="AN330" i="1"/>
  <c r="AN321" i="1"/>
  <c r="AN405" i="1"/>
  <c r="AN245" i="1"/>
  <c r="AN362" i="1"/>
  <c r="AN470" i="1"/>
  <c r="AN476" i="1"/>
  <c r="AN218" i="1"/>
  <c r="AN338" i="1"/>
  <c r="AN460" i="1"/>
  <c r="AN376" i="1"/>
  <c r="AN454" i="1"/>
  <c r="AN437" i="1"/>
  <c r="AN469" i="1"/>
  <c r="AN436" i="1"/>
  <c r="AN312" i="1"/>
  <c r="AN481" i="1"/>
  <c r="AN434" i="1"/>
  <c r="AN418" i="1"/>
  <c r="AN358" i="1"/>
  <c r="AN332" i="1"/>
  <c r="AN483" i="1"/>
  <c r="AN478" i="1"/>
  <c r="AN342" i="1"/>
  <c r="AN186" i="1"/>
  <c r="AN450" i="1"/>
  <c r="AN444" i="1"/>
  <c r="AN459" i="1"/>
  <c r="AN467" i="1"/>
  <c r="AN468" i="1"/>
  <c r="AN426" i="1"/>
  <c r="AN373" i="1"/>
  <c r="AN433" i="1"/>
  <c r="AN310" i="1"/>
  <c r="AN385" i="1"/>
  <c r="AN240" i="1"/>
  <c r="AN328" i="1"/>
  <c r="AN462" i="1"/>
  <c r="AN291" i="1"/>
  <c r="AN388" i="1"/>
  <c r="AN355" i="1"/>
  <c r="AN500" i="1"/>
  <c r="AN490" i="1"/>
  <c r="AN372" i="1"/>
  <c r="AN493" i="1"/>
  <c r="AN301" i="1"/>
  <c r="AN253" i="1"/>
  <c r="AN290" i="1"/>
  <c r="AN311" i="1"/>
  <c r="AN302" i="1"/>
  <c r="AN277" i="1"/>
  <c r="AN237" i="1"/>
  <c r="AN408" i="1"/>
  <c r="AN509" i="1"/>
  <c r="AN473" i="1"/>
  <c r="AN303" i="1"/>
  <c r="AN427" i="1"/>
  <c r="AN502" i="1"/>
  <c r="AN392" i="1"/>
  <c r="AN471" i="1"/>
  <c r="AN445" i="1"/>
  <c r="AN472" i="1"/>
  <c r="AN506" i="1"/>
  <c r="AN384" i="1"/>
  <c r="AN309" i="1"/>
  <c r="AN380" i="1"/>
  <c r="AN363" i="1"/>
  <c r="AN368" i="1"/>
  <c r="AN428" i="1"/>
  <c r="AN438" i="1"/>
  <c r="AN389" i="1"/>
  <c r="AN442" i="1"/>
  <c r="AN449" i="1"/>
  <c r="AN381" i="1"/>
  <c r="AN489" i="1"/>
  <c r="AN517" i="1"/>
  <c r="AN394" i="1"/>
  <c r="AN515" i="1"/>
  <c r="AN448" i="1"/>
  <c r="AN520" i="1"/>
  <c r="AN474" i="1"/>
  <c r="AN507" i="1"/>
  <c r="AN382" i="1"/>
  <c r="AN533" i="1"/>
  <c r="AN513" i="1"/>
  <c r="AN420" i="1"/>
  <c r="AN479" i="1"/>
  <c r="AN505" i="1"/>
  <c r="AN519" i="1"/>
  <c r="AN523" i="1"/>
  <c r="AN526" i="1"/>
  <c r="AN343" i="1"/>
  <c r="AN496" i="1"/>
  <c r="AN411" i="1"/>
  <c r="AN482" i="1"/>
  <c r="AN419" i="1"/>
  <c r="AN458" i="1"/>
  <c r="AN524" i="1"/>
  <c r="AN452" i="1"/>
  <c r="AN415" i="1"/>
  <c r="AN521" i="1"/>
  <c r="AN495" i="1"/>
  <c r="AN535" i="1"/>
  <c r="AN353" i="1"/>
  <c r="AN491" i="1"/>
  <c r="AN511" i="1"/>
  <c r="AN538" i="1"/>
  <c r="AN431" i="1"/>
  <c r="AN484" i="1"/>
  <c r="AN508" i="1"/>
  <c r="AN486" i="1"/>
  <c r="AN539" i="1"/>
  <c r="AN477" i="1"/>
  <c r="AN501" i="1"/>
  <c r="AN498" i="1"/>
  <c r="AN537" i="1"/>
  <c r="AN543" i="1"/>
  <c r="AN494" i="1"/>
  <c r="AN532" i="1"/>
  <c r="AN375" i="1"/>
  <c r="AN525" i="1"/>
  <c r="AN544" i="1"/>
  <c r="AN432" i="1"/>
  <c r="AN463" i="1"/>
  <c r="AN540" i="1"/>
  <c r="AN443" i="1"/>
  <c r="AN453" i="1"/>
  <c r="AN499" i="1"/>
  <c r="AN475" i="1"/>
  <c r="AN480" i="1"/>
  <c r="AN542" i="1"/>
  <c r="AN512" i="1"/>
  <c r="AN464" i="1"/>
  <c r="AN413" i="1"/>
  <c r="AN510" i="1"/>
  <c r="AN421" i="1"/>
  <c r="AN536" i="1"/>
  <c r="AN465" i="1"/>
  <c r="AN548" i="1"/>
  <c r="AN528" i="1"/>
  <c r="AN553" i="1"/>
  <c r="AN393" i="1"/>
  <c r="AN550" i="1"/>
  <c r="AN396" i="1"/>
  <c r="AN518" i="1"/>
  <c r="AN497" i="1"/>
  <c r="AN455" i="1"/>
  <c r="AN487" i="1"/>
  <c r="AN492" i="1"/>
  <c r="AN503" i="1"/>
  <c r="AN447" i="1"/>
  <c r="AN485" i="1"/>
  <c r="AN516" i="1"/>
  <c r="AN549" i="1"/>
  <c r="AN560" i="1"/>
  <c r="AN534" i="1"/>
  <c r="AN527" i="1"/>
  <c r="AN530" i="1"/>
  <c r="AN514" i="1"/>
  <c r="AN504" i="1"/>
  <c r="AN440" i="1"/>
  <c r="AN522" i="1"/>
  <c r="AN529" i="1"/>
  <c r="AN541" i="1"/>
  <c r="AN563" i="1"/>
  <c r="AN456" i="1"/>
  <c r="AN546" i="1"/>
  <c r="AN569" i="1"/>
  <c r="AN567" i="1"/>
  <c r="AN466" i="1"/>
  <c r="AN556" i="1"/>
  <c r="AN566" i="1"/>
  <c r="AN547" i="1"/>
  <c r="AN558" i="1"/>
  <c r="AN552" i="1"/>
  <c r="AN557" i="1"/>
  <c r="AN570" i="1"/>
  <c r="AN573" i="1"/>
  <c r="AN488" i="1"/>
  <c r="AN579" i="1"/>
  <c r="AN584" i="1"/>
  <c r="AN531" i="1"/>
  <c r="AN555" i="1"/>
  <c r="AN578" i="1"/>
  <c r="AN581" i="1"/>
  <c r="AN562" i="1"/>
  <c r="AN580" i="1"/>
  <c r="AN583" i="1"/>
  <c r="AN559" i="1"/>
  <c r="AN564" i="1"/>
  <c r="AN554" i="1"/>
  <c r="AN572" i="1"/>
  <c r="AN574" i="1"/>
  <c r="AN571" i="1"/>
  <c r="AN545" i="1"/>
  <c r="AN589" i="1"/>
  <c r="AN568" i="1"/>
  <c r="AN592" i="1"/>
  <c r="AN586" i="1"/>
  <c r="AN585" i="1"/>
  <c r="AN575" i="1"/>
  <c r="AN582" i="1"/>
  <c r="AN577" i="1"/>
  <c r="AN596" i="1"/>
  <c r="AN561" i="1"/>
  <c r="AN603" i="1"/>
  <c r="AN593" i="1"/>
  <c r="AN551" i="1"/>
  <c r="AN565" i="1"/>
  <c r="AN609" i="1"/>
  <c r="AN601" i="1"/>
  <c r="AN598" i="1"/>
  <c r="AN595" i="1"/>
  <c r="AN599" i="1"/>
  <c r="AN612" i="1"/>
  <c r="AN587" i="1"/>
  <c r="AN602" i="1"/>
  <c r="AN600" i="1"/>
  <c r="AN597" i="1"/>
  <c r="AN590" i="1"/>
  <c r="AN591" i="1"/>
  <c r="AN100" i="1"/>
  <c r="AN617" i="1"/>
  <c r="AN576" i="1"/>
  <c r="AN607" i="1"/>
  <c r="AN616" i="1"/>
  <c r="AN588" i="1"/>
  <c r="AN613" i="1"/>
  <c r="AN610" i="1"/>
  <c r="AN594" i="1"/>
  <c r="AN618" i="1"/>
  <c r="AN605" i="1"/>
  <c r="AN622" i="1"/>
  <c r="AN606" i="1"/>
  <c r="AN620" i="1"/>
  <c r="AN608" i="1"/>
  <c r="AN604" i="1"/>
  <c r="AN611" i="1"/>
  <c r="AN623" i="1"/>
  <c r="AN615" i="1"/>
  <c r="AN619" i="1"/>
  <c r="AN625" i="1"/>
  <c r="AN626" i="1"/>
  <c r="AN614" i="1"/>
  <c r="AN142" i="1"/>
  <c r="AN3" i="1"/>
  <c r="AN621" i="1"/>
  <c r="AN624" i="1"/>
  <c r="AN627" i="1"/>
  <c r="AN631" i="1"/>
  <c r="AN630" i="1"/>
  <c r="AN629" i="1"/>
  <c r="AN628" i="1"/>
  <c r="AN632" i="1"/>
  <c r="AN633" i="1"/>
  <c r="AN2" i="1"/>
  <c r="AM15" i="1"/>
  <c r="AM6" i="1"/>
  <c r="AM8" i="1"/>
  <c r="AM4" i="1"/>
  <c r="AM7" i="1"/>
  <c r="AM10" i="1"/>
  <c r="AM20" i="1"/>
  <c r="AM29" i="1"/>
  <c r="AM9" i="1"/>
  <c r="AM16" i="1"/>
  <c r="AM5" i="1"/>
  <c r="AM30" i="1"/>
  <c r="AM45" i="1"/>
  <c r="AM22" i="1"/>
  <c r="AM38" i="1"/>
  <c r="AM18" i="1"/>
  <c r="AM43" i="1"/>
  <c r="AM17" i="1"/>
  <c r="AM21" i="1"/>
  <c r="AM11" i="1"/>
  <c r="AM26" i="1"/>
  <c r="AM67" i="1"/>
  <c r="AM50" i="1"/>
  <c r="AM34" i="1"/>
  <c r="AM13" i="1"/>
  <c r="AM93" i="1"/>
  <c r="AM19" i="1"/>
  <c r="AM61" i="1"/>
  <c r="AM54" i="1"/>
  <c r="AM72" i="1"/>
  <c r="AM14" i="1"/>
  <c r="AM59" i="1"/>
  <c r="AM40" i="1"/>
  <c r="AM23" i="1"/>
  <c r="AM12" i="1"/>
  <c r="AM64" i="1"/>
  <c r="AM52" i="1"/>
  <c r="AM57" i="1"/>
  <c r="AM90" i="1"/>
  <c r="AM55" i="1"/>
  <c r="AM109" i="1"/>
  <c r="AM28" i="1"/>
  <c r="AM76" i="1"/>
  <c r="AM80" i="1"/>
  <c r="AM89" i="1"/>
  <c r="AM27" i="1"/>
  <c r="AM85" i="1"/>
  <c r="AM86" i="1"/>
  <c r="AM53" i="1"/>
  <c r="AM46" i="1"/>
  <c r="AM110" i="1"/>
  <c r="AM113" i="1"/>
  <c r="AM84" i="1"/>
  <c r="AM33" i="1"/>
  <c r="AM111" i="1"/>
  <c r="AM51" i="1"/>
  <c r="AM130" i="1"/>
  <c r="AM128" i="1"/>
  <c r="AM114" i="1"/>
  <c r="AM94" i="1"/>
  <c r="AM79" i="1"/>
  <c r="AM31" i="1"/>
  <c r="AM116" i="1"/>
  <c r="AM39" i="1"/>
  <c r="AM37" i="1"/>
  <c r="AM136" i="1"/>
  <c r="AM112" i="1"/>
  <c r="AM97" i="1"/>
  <c r="AM60" i="1"/>
  <c r="AM135" i="1"/>
  <c r="AM107" i="1"/>
  <c r="AM82" i="1"/>
  <c r="AM103" i="1"/>
  <c r="AM69" i="1"/>
  <c r="AM63" i="1"/>
  <c r="AM48" i="1"/>
  <c r="AM49" i="1"/>
  <c r="AM153" i="1"/>
  <c r="AM87" i="1"/>
  <c r="AM56" i="1"/>
  <c r="AM124" i="1"/>
  <c r="AM73" i="1"/>
  <c r="AM177" i="1"/>
  <c r="AM202" i="1"/>
  <c r="AM173" i="1"/>
  <c r="AM185" i="1"/>
  <c r="AM83" i="1"/>
  <c r="AM121" i="1"/>
  <c r="AM126" i="1"/>
  <c r="AM122" i="1"/>
  <c r="AM78" i="1"/>
  <c r="AM187" i="1"/>
  <c r="AM156" i="1"/>
  <c r="AM44" i="1"/>
  <c r="AM66" i="1"/>
  <c r="AM35" i="1"/>
  <c r="AM119" i="1"/>
  <c r="AM207" i="1"/>
  <c r="AM190" i="1"/>
  <c r="AM108" i="1"/>
  <c r="AM62" i="1"/>
  <c r="AM138" i="1"/>
  <c r="AM154" i="1"/>
  <c r="AM176" i="1"/>
  <c r="AM88" i="1"/>
  <c r="AM140" i="1"/>
  <c r="AM58" i="1"/>
  <c r="AM36" i="1"/>
  <c r="AM101" i="1"/>
  <c r="AM175" i="1"/>
  <c r="AM234" i="1"/>
  <c r="AM194" i="1"/>
  <c r="AM25" i="1"/>
  <c r="AM91" i="1"/>
  <c r="AM148" i="1"/>
  <c r="AM221" i="1"/>
  <c r="AM182" i="1"/>
  <c r="AM215" i="1"/>
  <c r="AM199" i="1"/>
  <c r="AM172" i="1"/>
  <c r="AM125" i="1"/>
  <c r="AM184" i="1"/>
  <c r="AM139" i="1"/>
  <c r="AM195" i="1"/>
  <c r="AM171" i="1"/>
  <c r="AM201" i="1"/>
  <c r="AM230" i="1"/>
  <c r="AM77" i="1"/>
  <c r="AM180" i="1"/>
  <c r="AM192" i="1"/>
  <c r="AM198" i="1"/>
  <c r="AM41" i="1"/>
  <c r="AM133" i="1"/>
  <c r="AM74" i="1"/>
  <c r="AM104" i="1"/>
  <c r="AM105" i="1"/>
  <c r="AM227" i="1"/>
  <c r="AM144" i="1"/>
  <c r="AM258" i="1"/>
  <c r="AM68" i="1"/>
  <c r="AM165" i="1"/>
  <c r="AM159" i="1"/>
  <c r="AM242" i="1"/>
  <c r="AM92" i="1"/>
  <c r="AM233" i="1"/>
  <c r="AM178" i="1"/>
  <c r="AM141" i="1"/>
  <c r="AM42" i="1"/>
  <c r="AM70" i="1"/>
  <c r="AM106" i="1"/>
  <c r="AM235" i="1"/>
  <c r="AM254" i="1"/>
  <c r="AM246" i="1"/>
  <c r="AM47" i="1"/>
  <c r="AM158" i="1"/>
  <c r="AM96" i="1"/>
  <c r="AM226" i="1"/>
  <c r="AM281" i="1"/>
  <c r="AM212" i="1"/>
  <c r="AM270" i="1"/>
  <c r="AM263" i="1"/>
  <c r="AM209" i="1"/>
  <c r="AM150" i="1"/>
  <c r="AM170" i="1"/>
  <c r="AM206" i="1"/>
  <c r="AM241" i="1"/>
  <c r="AM248" i="1"/>
  <c r="AM213" i="1"/>
  <c r="AM183" i="1"/>
  <c r="AM129" i="1"/>
  <c r="AM147" i="1"/>
  <c r="AM117" i="1"/>
  <c r="AM287" i="1"/>
  <c r="AM143" i="1"/>
  <c r="AM24" i="1"/>
  <c r="AM189" i="1"/>
  <c r="AM149" i="1"/>
  <c r="AM71" i="1"/>
  <c r="AM247" i="1"/>
  <c r="AM293" i="1"/>
  <c r="AM118" i="1"/>
  <c r="AM264" i="1"/>
  <c r="AM137" i="1"/>
  <c r="AM65" i="1"/>
  <c r="AM127" i="1"/>
  <c r="AM229" i="1"/>
  <c r="AM265" i="1"/>
  <c r="AM296" i="1"/>
  <c r="AM304" i="1"/>
  <c r="AM271" i="1"/>
  <c r="AM279" i="1"/>
  <c r="AM75" i="1"/>
  <c r="AM168" i="1"/>
  <c r="AM268" i="1"/>
  <c r="AM297" i="1"/>
  <c r="AM313" i="1"/>
  <c r="AM95" i="1"/>
  <c r="AM294" i="1"/>
  <c r="AM266" i="1"/>
  <c r="AM274" i="1"/>
  <c r="AM163" i="1"/>
  <c r="AM320" i="1"/>
  <c r="AM316" i="1"/>
  <c r="AM275" i="1"/>
  <c r="AM123" i="1"/>
  <c r="AM222" i="1"/>
  <c r="AM262" i="1"/>
  <c r="AM200" i="1"/>
  <c r="AM220" i="1"/>
  <c r="AM300" i="1"/>
  <c r="AM115" i="1"/>
  <c r="AM231" i="1"/>
  <c r="AM99" i="1"/>
  <c r="AM336" i="1"/>
  <c r="AM255" i="1"/>
  <c r="AM307" i="1"/>
  <c r="AM120" i="1"/>
  <c r="AM288" i="1"/>
  <c r="AM282" i="1"/>
  <c r="AM276" i="1"/>
  <c r="AM32" i="1"/>
  <c r="AM193" i="1"/>
  <c r="AM244" i="1"/>
  <c r="AM174" i="1"/>
  <c r="AM134" i="1"/>
  <c r="AM280" i="1"/>
  <c r="AM169" i="1"/>
  <c r="AM251" i="1"/>
  <c r="AM286" i="1"/>
  <c r="AM166" i="1"/>
  <c r="AM167" i="1"/>
  <c r="AM162" i="1"/>
  <c r="AM216" i="1"/>
  <c r="AM243" i="1"/>
  <c r="AM327" i="1"/>
  <c r="AM191" i="1"/>
  <c r="AM179" i="1"/>
  <c r="AM256" i="1"/>
  <c r="AM306" i="1"/>
  <c r="AM160" i="1"/>
  <c r="AM337" i="1"/>
  <c r="AM352" i="1"/>
  <c r="AM361" i="1"/>
  <c r="AM155" i="1"/>
  <c r="AM146" i="1"/>
  <c r="AM196" i="1"/>
  <c r="AM203" i="1"/>
  <c r="AM208" i="1"/>
  <c r="AM329" i="1"/>
  <c r="AM273" i="1"/>
  <c r="AM239" i="1"/>
  <c r="AM161" i="1"/>
  <c r="AM349" i="1"/>
  <c r="AM339" i="1"/>
  <c r="AM238" i="1"/>
  <c r="AM344" i="1"/>
  <c r="AM151" i="1"/>
  <c r="AM205" i="1"/>
  <c r="AM322" i="1"/>
  <c r="AM257" i="1"/>
  <c r="AM188" i="1"/>
  <c r="AM386" i="1"/>
  <c r="AM250" i="1"/>
  <c r="AM299" i="1"/>
  <c r="AM326" i="1"/>
  <c r="AM305" i="1"/>
  <c r="AM348" i="1"/>
  <c r="AM232" i="1"/>
  <c r="AM259" i="1"/>
  <c r="AM197" i="1"/>
  <c r="AM181" i="1"/>
  <c r="AM236" i="1"/>
  <c r="AM319" i="1"/>
  <c r="AM223" i="1"/>
  <c r="AM289" i="1"/>
  <c r="AM210" i="1"/>
  <c r="AM403" i="1"/>
  <c r="AM145" i="1"/>
  <c r="AM81" i="1"/>
  <c r="AM357" i="1"/>
  <c r="AM219" i="1"/>
  <c r="AM407" i="1"/>
  <c r="AM417" i="1"/>
  <c r="AM360" i="1"/>
  <c r="AM400" i="1"/>
  <c r="AM260" i="1"/>
  <c r="AM346" i="1"/>
  <c r="AM350" i="1"/>
  <c r="AM295" i="1"/>
  <c r="AM102" i="1"/>
  <c r="AM402" i="1"/>
  <c r="AM397" i="1"/>
  <c r="AM224" i="1"/>
  <c r="AM351" i="1"/>
  <c r="AM267" i="1"/>
  <c r="AM383" i="1"/>
  <c r="AM395" i="1"/>
  <c r="AM410" i="1"/>
  <c r="AM249" i="1"/>
  <c r="AM401" i="1"/>
  <c r="AM252" i="1"/>
  <c r="AM225" i="1"/>
  <c r="AM285" i="1"/>
  <c r="AM98" i="1"/>
  <c r="AM391" i="1"/>
  <c r="AM217" i="1"/>
  <c r="AM378" i="1"/>
  <c r="AM214" i="1"/>
  <c r="AM164" i="1"/>
  <c r="AM422" i="1"/>
  <c r="AM409" i="1"/>
  <c r="AM399" i="1"/>
  <c r="AM152" i="1"/>
  <c r="AM269" i="1"/>
  <c r="AM204" i="1"/>
  <c r="AM412" i="1"/>
  <c r="AM131" i="1"/>
  <c r="AM414" i="1"/>
  <c r="AM354" i="1"/>
  <c r="AM387" i="1"/>
  <c r="AM314" i="1"/>
  <c r="AM365" i="1"/>
  <c r="AM430" i="1"/>
  <c r="AM292" i="1"/>
  <c r="AM283" i="1"/>
  <c r="AM359" i="1"/>
  <c r="AM416" i="1"/>
  <c r="AM325" i="1"/>
  <c r="AM298" i="1"/>
  <c r="AM370" i="1"/>
  <c r="AM278" i="1"/>
  <c r="AM377" i="1"/>
  <c r="AM323" i="1"/>
  <c r="AM284" i="1"/>
  <c r="AM390" i="1"/>
  <c r="AM333" i="1"/>
  <c r="AM367" i="1"/>
  <c r="AM211" i="1"/>
  <c r="AM439" i="1"/>
  <c r="AM379" i="1"/>
  <c r="AM261" i="1"/>
  <c r="AM272" i="1"/>
  <c r="AM461" i="1"/>
  <c r="AM324" i="1"/>
  <c r="AM441" i="1"/>
  <c r="AM340" i="1"/>
  <c r="AM369" i="1"/>
  <c r="AM406" i="1"/>
  <c r="AM345" i="1"/>
  <c r="AM157" i="1"/>
  <c r="AM374" i="1"/>
  <c r="AM446" i="1"/>
  <c r="AM315" i="1"/>
  <c r="AM457" i="1"/>
  <c r="AM132" i="1"/>
  <c r="AM317" i="1"/>
  <c r="AM308" i="1"/>
  <c r="AM318" i="1"/>
  <c r="AM404" i="1"/>
  <c r="AM371" i="1"/>
  <c r="AM364" i="1"/>
  <c r="AM425" i="1"/>
  <c r="AM435" i="1"/>
  <c r="AM347" i="1"/>
  <c r="AM398" i="1"/>
  <c r="AM335" i="1"/>
  <c r="AM341" i="1"/>
  <c r="AM451" i="1"/>
  <c r="AM331" i="1"/>
  <c r="AM366" i="1"/>
  <c r="AM424" i="1"/>
  <c r="AM423" i="1"/>
  <c r="AM429" i="1"/>
  <c r="AM356" i="1"/>
  <c r="AM228" i="1"/>
  <c r="AM334" i="1"/>
  <c r="AM330" i="1"/>
  <c r="AM321" i="1"/>
  <c r="AM405" i="1"/>
  <c r="AM245" i="1"/>
  <c r="AM362" i="1"/>
  <c r="AM470" i="1"/>
  <c r="AM476" i="1"/>
  <c r="AM218" i="1"/>
  <c r="AM338" i="1"/>
  <c r="AM460" i="1"/>
  <c r="AM376" i="1"/>
  <c r="AM454" i="1"/>
  <c r="AM437" i="1"/>
  <c r="AM469" i="1"/>
  <c r="AM436" i="1"/>
  <c r="AM312" i="1"/>
  <c r="AM481" i="1"/>
  <c r="AM434" i="1"/>
  <c r="AM418" i="1"/>
  <c r="AM358" i="1"/>
  <c r="AM332" i="1"/>
  <c r="AM483" i="1"/>
  <c r="AM478" i="1"/>
  <c r="AM342" i="1"/>
  <c r="AM186" i="1"/>
  <c r="AM450" i="1"/>
  <c r="AM444" i="1"/>
  <c r="AM459" i="1"/>
  <c r="AM467" i="1"/>
  <c r="AM468" i="1"/>
  <c r="AM426" i="1"/>
  <c r="AM373" i="1"/>
  <c r="AM433" i="1"/>
  <c r="AM310" i="1"/>
  <c r="AM385" i="1"/>
  <c r="AM240" i="1"/>
  <c r="AM328" i="1"/>
  <c r="AM462" i="1"/>
  <c r="AM291" i="1"/>
  <c r="AM388" i="1"/>
  <c r="AM355" i="1"/>
  <c r="AM500" i="1"/>
  <c r="AM490" i="1"/>
  <c r="AM372" i="1"/>
  <c r="AM493" i="1"/>
  <c r="AM301" i="1"/>
  <c r="AM253" i="1"/>
  <c r="AM290" i="1"/>
  <c r="AM311" i="1"/>
  <c r="AM302" i="1"/>
  <c r="AM277" i="1"/>
  <c r="AM237" i="1"/>
  <c r="AM408" i="1"/>
  <c r="AM509" i="1"/>
  <c r="AM473" i="1"/>
  <c r="AM303" i="1"/>
  <c r="AM427" i="1"/>
  <c r="AM502" i="1"/>
  <c r="AM392" i="1"/>
  <c r="AM471" i="1"/>
  <c r="AM445" i="1"/>
  <c r="AM472" i="1"/>
  <c r="AM506" i="1"/>
  <c r="AM384" i="1"/>
  <c r="AM309" i="1"/>
  <c r="AM380" i="1"/>
  <c r="AM363" i="1"/>
  <c r="AM368" i="1"/>
  <c r="AM428" i="1"/>
  <c r="AM438" i="1"/>
  <c r="AM389" i="1"/>
  <c r="AM442" i="1"/>
  <c r="AM449" i="1"/>
  <c r="AM381" i="1"/>
  <c r="AM489" i="1"/>
  <c r="AM517" i="1"/>
  <c r="AM394" i="1"/>
  <c r="AM515" i="1"/>
  <c r="AM448" i="1"/>
  <c r="AM520" i="1"/>
  <c r="AM474" i="1"/>
  <c r="AM507" i="1"/>
  <c r="AM382" i="1"/>
  <c r="AM533" i="1"/>
  <c r="AM513" i="1"/>
  <c r="AM420" i="1"/>
  <c r="AM479" i="1"/>
  <c r="AM505" i="1"/>
  <c r="AM519" i="1"/>
  <c r="AM523" i="1"/>
  <c r="AM526" i="1"/>
  <c r="AM343" i="1"/>
  <c r="AM496" i="1"/>
  <c r="AM411" i="1"/>
  <c r="AM482" i="1"/>
  <c r="AM419" i="1"/>
  <c r="AM458" i="1"/>
  <c r="AM524" i="1"/>
  <c r="AM452" i="1"/>
  <c r="AM415" i="1"/>
  <c r="AM521" i="1"/>
  <c r="AM495" i="1"/>
  <c r="AM535" i="1"/>
  <c r="AM353" i="1"/>
  <c r="AM491" i="1"/>
  <c r="AM511" i="1"/>
  <c r="AM538" i="1"/>
  <c r="AM431" i="1"/>
  <c r="AM484" i="1"/>
  <c r="AM508" i="1"/>
  <c r="AM486" i="1"/>
  <c r="AM539" i="1"/>
  <c r="AM477" i="1"/>
  <c r="AM501" i="1"/>
  <c r="AM498" i="1"/>
  <c r="AM537" i="1"/>
  <c r="AM543" i="1"/>
  <c r="AM494" i="1"/>
  <c r="AM532" i="1"/>
  <c r="AM375" i="1"/>
  <c r="AM525" i="1"/>
  <c r="AM544" i="1"/>
  <c r="AM432" i="1"/>
  <c r="AM463" i="1"/>
  <c r="AM540" i="1"/>
  <c r="AM443" i="1"/>
  <c r="AM453" i="1"/>
  <c r="AM499" i="1"/>
  <c r="AM475" i="1"/>
  <c r="AM480" i="1"/>
  <c r="AM542" i="1"/>
  <c r="AM512" i="1"/>
  <c r="AM464" i="1"/>
  <c r="AM413" i="1"/>
  <c r="AM510" i="1"/>
  <c r="AM421" i="1"/>
  <c r="AM536" i="1"/>
  <c r="AM465" i="1"/>
  <c r="AM548" i="1"/>
  <c r="AM528" i="1"/>
  <c r="AM553" i="1"/>
  <c r="AM393" i="1"/>
  <c r="AM550" i="1"/>
  <c r="AM396" i="1"/>
  <c r="AM518" i="1"/>
  <c r="AM497" i="1"/>
  <c r="AM455" i="1"/>
  <c r="AM487" i="1"/>
  <c r="AM492" i="1"/>
  <c r="AM503" i="1"/>
  <c r="AM447" i="1"/>
  <c r="AM485" i="1"/>
  <c r="AM516" i="1"/>
  <c r="AM549" i="1"/>
  <c r="AM560" i="1"/>
  <c r="AM534" i="1"/>
  <c r="AM527" i="1"/>
  <c r="AM530" i="1"/>
  <c r="AM514" i="1"/>
  <c r="AM504" i="1"/>
  <c r="AM440" i="1"/>
  <c r="AM522" i="1"/>
  <c r="AM529" i="1"/>
  <c r="AM541" i="1"/>
  <c r="AM563" i="1"/>
  <c r="AM456" i="1"/>
  <c r="AM546" i="1"/>
  <c r="AM569" i="1"/>
  <c r="AM567" i="1"/>
  <c r="AM466" i="1"/>
  <c r="AM556" i="1"/>
  <c r="AM566" i="1"/>
  <c r="AM547" i="1"/>
  <c r="AM558" i="1"/>
  <c r="AM552" i="1"/>
  <c r="AM557" i="1"/>
  <c r="AM570" i="1"/>
  <c r="AM573" i="1"/>
  <c r="AM488" i="1"/>
  <c r="AM579" i="1"/>
  <c r="AM584" i="1"/>
  <c r="AM531" i="1"/>
  <c r="AM555" i="1"/>
  <c r="AM578" i="1"/>
  <c r="AM581" i="1"/>
  <c r="AM562" i="1"/>
  <c r="AM580" i="1"/>
  <c r="AM583" i="1"/>
  <c r="AM559" i="1"/>
  <c r="AM564" i="1"/>
  <c r="AM554" i="1"/>
  <c r="AM572" i="1"/>
  <c r="AM574" i="1"/>
  <c r="AM571" i="1"/>
  <c r="AM545" i="1"/>
  <c r="AM589" i="1"/>
  <c r="AM568" i="1"/>
  <c r="AM592" i="1"/>
  <c r="AM586" i="1"/>
  <c r="AM585" i="1"/>
  <c r="AM575" i="1"/>
  <c r="AM582" i="1"/>
  <c r="AM577" i="1"/>
  <c r="AM596" i="1"/>
  <c r="AM561" i="1"/>
  <c r="AM603" i="1"/>
  <c r="AM593" i="1"/>
  <c r="AM551" i="1"/>
  <c r="AM565" i="1"/>
  <c r="AM609" i="1"/>
  <c r="AM601" i="1"/>
  <c r="AM598" i="1"/>
  <c r="AM595" i="1"/>
  <c r="AM599" i="1"/>
  <c r="AM612" i="1"/>
  <c r="AM587" i="1"/>
  <c r="AM602" i="1"/>
  <c r="AM600" i="1"/>
  <c r="AM597" i="1"/>
  <c r="AM590" i="1"/>
  <c r="AM591" i="1"/>
  <c r="AM100" i="1"/>
  <c r="AM617" i="1"/>
  <c r="AM576" i="1"/>
  <c r="AM607" i="1"/>
  <c r="AM616" i="1"/>
  <c r="AM588" i="1"/>
  <c r="AM613" i="1"/>
  <c r="AM610" i="1"/>
  <c r="AM594" i="1"/>
  <c r="AM618" i="1"/>
  <c r="AM605" i="1"/>
  <c r="AM622" i="1"/>
  <c r="AM606" i="1"/>
  <c r="AM620" i="1"/>
  <c r="AM608" i="1"/>
  <c r="AM604" i="1"/>
  <c r="AM611" i="1"/>
  <c r="AM623" i="1"/>
  <c r="AM615" i="1"/>
  <c r="AM619" i="1"/>
  <c r="AM625" i="1"/>
  <c r="AM626" i="1"/>
  <c r="AM614" i="1"/>
  <c r="AM142" i="1"/>
  <c r="AM3" i="1"/>
  <c r="AM621" i="1"/>
  <c r="AM624" i="1"/>
  <c r="AM627" i="1"/>
  <c r="AM631" i="1"/>
  <c r="AM630" i="1"/>
  <c r="AM629" i="1"/>
  <c r="AM628" i="1"/>
  <c r="AM632" i="1"/>
  <c r="AM633" i="1"/>
  <c r="AM2" i="1"/>
  <c r="AG32" i="1" l="1"/>
  <c r="AG142" i="1"/>
  <c r="AG431" i="1"/>
  <c r="AG284" i="1"/>
  <c r="AG550" i="1"/>
  <c r="AG547" i="1"/>
  <c r="AG613" i="1"/>
  <c r="AG348" i="1"/>
  <c r="AG17" i="1"/>
  <c r="AG196" i="1"/>
  <c r="AG132" i="1"/>
  <c r="AG501" i="1"/>
  <c r="AG293" i="1"/>
  <c r="AG301" i="1"/>
  <c r="AG384" i="1"/>
  <c r="AG68" i="1"/>
  <c r="AG107" i="1"/>
  <c r="AG116" i="1"/>
  <c r="AG114" i="1"/>
  <c r="AG270" i="1"/>
  <c r="AG266" i="1"/>
  <c r="AG367" i="1"/>
  <c r="AG279" i="1"/>
  <c r="AG254" i="1"/>
  <c r="AG418" i="1"/>
  <c r="AG582" i="1"/>
  <c r="AG447" i="1"/>
  <c r="AG560" i="1"/>
  <c r="AG268" i="1"/>
  <c r="AG335" i="1"/>
  <c r="AG105" i="1"/>
  <c r="AG424" i="1"/>
  <c r="AG402" i="1"/>
  <c r="AG230" i="1"/>
  <c r="AG394" i="1"/>
  <c r="AG115" i="1"/>
  <c r="AG414" i="1"/>
  <c r="AG257" i="1"/>
  <c r="AG522" i="1"/>
  <c r="AG53" i="1"/>
  <c r="AG369" i="1"/>
  <c r="AG108" i="1"/>
  <c r="AG441" i="1"/>
  <c r="AG193" i="1"/>
  <c r="AG78" i="1"/>
  <c r="AG471" i="1"/>
  <c r="AG15" i="1"/>
  <c r="AG97" i="1"/>
  <c r="AG49" i="1"/>
  <c r="AG250" i="1"/>
  <c r="AG606" i="1"/>
  <c r="AG343" i="1"/>
  <c r="AG531" i="1"/>
  <c r="AG624" i="1"/>
  <c r="AG35" i="1"/>
  <c r="AG234" i="1"/>
  <c r="AG525" i="1"/>
  <c r="AG3" i="1"/>
  <c r="AG475" i="1"/>
  <c r="AG73" i="1"/>
  <c r="AG139" i="1"/>
  <c r="AG390" i="1"/>
  <c r="AG5" i="1"/>
  <c r="AG104" i="1"/>
  <c r="AG152" i="1"/>
  <c r="AG146" i="1"/>
  <c r="AG319" i="1"/>
  <c r="AG312" i="1"/>
  <c r="AG470" i="1"/>
  <c r="AG340" i="1"/>
  <c r="AG507" i="1"/>
  <c r="AG75" i="1"/>
  <c r="AG228" i="1"/>
  <c r="AG463" i="1"/>
  <c r="AG428" i="1"/>
  <c r="AG135" i="1"/>
  <c r="AG121" i="1"/>
  <c r="AG374" i="1"/>
  <c r="AG498" i="1"/>
  <c r="AG21" i="1"/>
  <c r="AG120" i="1"/>
  <c r="AG535" i="1"/>
  <c r="AG623" i="1"/>
  <c r="AG127" i="1"/>
  <c r="AG224" i="1"/>
  <c r="AG210" i="1"/>
  <c r="AG561" i="1"/>
  <c r="AG430" i="1"/>
  <c r="AG618" i="1"/>
  <c r="AG459" i="1"/>
  <c r="AG222" i="1"/>
  <c r="AG404" i="1"/>
  <c r="AG297" i="1"/>
  <c r="AG415" i="1"/>
  <c r="AG109" i="1"/>
  <c r="AG627" i="1"/>
  <c r="AG87" i="1"/>
  <c r="AG353" i="1"/>
  <c r="AG92" i="1"/>
  <c r="AG93" i="1"/>
  <c r="AG382" i="1"/>
  <c r="AG417" i="1"/>
  <c r="AG505" i="1"/>
  <c r="AG378" i="1"/>
  <c r="AG204" i="1"/>
  <c r="AG615" i="1"/>
  <c r="AG209" i="1"/>
  <c r="AG596" i="1"/>
  <c r="AG604" i="1"/>
  <c r="AG195" i="1"/>
  <c r="AG101" i="1"/>
  <c r="AG632" i="1"/>
  <c r="AG564" i="1"/>
  <c r="AG551" i="1"/>
  <c r="AG246" i="1"/>
  <c r="AG576" i="1"/>
  <c r="AG38" i="1"/>
  <c r="AG496" i="1"/>
  <c r="AG620" i="1"/>
  <c r="AG128" i="1"/>
  <c r="AG248" i="1"/>
  <c r="AG155" i="1"/>
  <c r="AG261" i="1"/>
  <c r="AG572" i="1"/>
  <c r="AG218" i="1"/>
  <c r="AG18" i="1"/>
  <c r="AG591" i="1"/>
  <c r="AG573" i="1"/>
  <c r="AG361" i="1"/>
  <c r="AG500" i="1"/>
  <c r="AG413" i="1"/>
  <c r="AG186" i="1"/>
  <c r="AG541" i="1"/>
  <c r="AG131" i="1"/>
  <c r="AG201" i="1"/>
  <c r="AG331" i="1"/>
  <c r="AG465" i="1"/>
  <c r="AG60" i="1"/>
  <c r="AG565" i="1"/>
  <c r="AG4" i="1"/>
  <c r="AG468" i="1"/>
  <c r="AG44" i="1"/>
  <c r="AG364" i="1"/>
  <c r="AG165" i="1"/>
  <c r="AG410" i="1"/>
  <c r="AG440" i="1"/>
  <c r="AG295" i="1"/>
  <c r="AG299" i="1"/>
  <c r="AG76" i="1"/>
  <c r="AG240" i="1"/>
  <c r="AG137" i="1"/>
  <c r="AG396" i="1"/>
  <c r="AG194" i="1"/>
  <c r="AG323" i="1"/>
  <c r="AG338" i="1"/>
  <c r="AG502" i="1"/>
  <c r="AG212" i="1"/>
  <c r="AG457" i="1"/>
  <c r="AG148" i="1"/>
  <c r="AG189" i="1"/>
  <c r="AG482" i="1"/>
  <c r="AG373" i="1"/>
  <c r="AG409" i="1"/>
  <c r="AG365" i="1"/>
  <c r="AG7" i="1"/>
  <c r="AG181" i="1"/>
  <c r="AG217" i="1"/>
  <c r="AG438" i="1"/>
  <c r="AG562" i="1"/>
  <c r="AG232" i="1"/>
  <c r="AG476" i="1"/>
  <c r="AG630" i="1"/>
  <c r="AG119" i="1"/>
  <c r="AG571" i="1"/>
  <c r="AG8" i="1"/>
  <c r="AG329" i="1"/>
  <c r="AG614" i="1"/>
  <c r="AG506" i="1"/>
  <c r="AG464" i="1"/>
  <c r="AG633" i="1"/>
  <c r="AG85" i="1"/>
  <c r="AG490" i="1"/>
  <c r="AG436" i="1"/>
  <c r="AG74" i="1"/>
  <c r="AG315" i="1"/>
  <c r="AG494" i="1"/>
  <c r="AG41" i="1"/>
  <c r="AG125" i="1"/>
  <c r="AG358" i="1"/>
  <c r="AG123" i="1"/>
  <c r="AG469" i="1"/>
  <c r="AG47" i="1"/>
  <c r="AG421" i="1"/>
  <c r="AG516" i="1"/>
  <c r="AG62" i="1"/>
  <c r="AG71" i="1"/>
  <c r="AG370" i="1"/>
  <c r="AG342" i="1"/>
  <c r="AG34" i="1"/>
  <c r="AG188" i="1"/>
  <c r="AG453" i="1"/>
  <c r="AG178" i="1"/>
  <c r="AG23" i="1"/>
  <c r="AG242" i="1"/>
  <c r="AG227" i="1"/>
  <c r="AG449" i="1"/>
  <c r="AG215" i="1"/>
  <c r="AG208" i="1"/>
  <c r="AG244" i="1"/>
  <c r="AG288" i="1"/>
  <c r="AG575" i="1"/>
  <c r="AG380" i="1"/>
  <c r="AG226" i="1"/>
  <c r="AG462" i="1"/>
  <c r="AG205" i="1"/>
  <c r="AG355" i="1"/>
  <c r="AG580" i="1"/>
  <c r="AG448" i="1"/>
  <c r="AG172" i="1"/>
  <c r="AG400" i="1"/>
  <c r="AG600" i="1"/>
  <c r="AG542" i="1"/>
  <c r="AG45" i="1"/>
  <c r="AG161" i="1"/>
  <c r="AG264" i="1"/>
  <c r="AG140" i="1"/>
  <c r="AG452" i="1"/>
  <c r="AG243" i="1"/>
  <c r="AG277" i="1"/>
  <c r="AG594" i="1"/>
  <c r="AG526" i="1"/>
  <c r="AG558" i="1"/>
  <c r="AG511" i="1"/>
  <c r="AG223" i="1"/>
  <c r="AG167" i="1"/>
  <c r="AG37" i="1"/>
  <c r="AG2" i="1"/>
  <c r="AG381" i="1"/>
  <c r="AG527" i="1"/>
  <c r="AG512" i="1"/>
  <c r="AG366" i="1"/>
  <c r="AG56" i="1"/>
  <c r="AG607" i="1"/>
  <c r="AG164" i="1"/>
  <c r="AG566" i="1"/>
  <c r="AG341" i="1"/>
  <c r="AG622" i="1"/>
  <c r="AG504" i="1"/>
  <c r="AG292" i="1"/>
  <c r="AG399" i="1"/>
  <c r="AG251" i="1"/>
  <c r="AG134" i="1"/>
  <c r="AG233" i="1"/>
  <c r="AG520" i="1"/>
  <c r="AG281" i="1"/>
  <c r="AG220" i="1"/>
  <c r="AG555" i="1"/>
  <c r="AG536" i="1"/>
  <c r="AG253" i="1"/>
  <c r="AG213" i="1"/>
  <c r="AG276" i="1"/>
  <c r="AG426" i="1"/>
  <c r="AG608" i="1"/>
  <c r="AG33" i="1"/>
  <c r="AG98" i="1"/>
  <c r="AG94" i="1"/>
  <c r="AG280" i="1"/>
  <c r="AG363" i="1"/>
  <c r="AG372" i="1"/>
  <c r="AG427" i="1"/>
  <c r="AG445" i="1"/>
  <c r="AG48" i="1"/>
  <c r="AG91" i="1"/>
  <c r="AG416" i="1"/>
  <c r="AG332" i="1"/>
  <c r="AG9" i="1"/>
  <c r="AG513" i="1"/>
  <c r="AG103" i="1"/>
  <c r="AG460" i="1"/>
  <c r="AG286" i="1"/>
  <c r="AG350" i="1"/>
  <c r="AG610" i="1"/>
  <c r="AG359" i="1"/>
  <c r="AG239" i="1"/>
  <c r="AG485" i="1"/>
  <c r="AG629" i="1"/>
  <c r="AG294" i="1"/>
  <c r="AG198" i="1"/>
  <c r="AG157" i="1"/>
  <c r="AG300" i="1"/>
  <c r="AG598" i="1"/>
  <c r="AG170" i="1"/>
  <c r="AG509" i="1"/>
  <c r="AG376" i="1"/>
  <c r="AG296" i="1"/>
  <c r="AG528" i="1"/>
  <c r="AG546" i="1"/>
  <c r="AG628" i="1"/>
  <c r="AG225" i="1"/>
  <c r="AG159" i="1"/>
  <c r="AG425" i="1"/>
  <c r="AG51" i="1"/>
  <c r="AG310" i="1"/>
  <c r="AG523" i="1"/>
  <c r="AG603" i="1"/>
  <c r="AG28" i="1"/>
  <c r="AG514" i="1"/>
  <c r="AG495" i="1"/>
  <c r="AG435" i="1"/>
  <c r="AG154" i="1"/>
  <c r="AG597" i="1"/>
  <c r="AG377" i="1"/>
  <c r="AG84" i="1"/>
  <c r="AG477" i="1"/>
  <c r="AG454" i="1"/>
  <c r="AG405" i="1"/>
  <c r="AG179" i="1"/>
  <c r="AG556" i="1"/>
  <c r="AG13" i="1"/>
  <c r="AG287" i="1"/>
  <c r="AG311" i="1"/>
  <c r="AG130" i="1"/>
  <c r="AG588" i="1"/>
  <c r="AG258" i="1"/>
  <c r="AG347" i="1"/>
  <c r="AG578" i="1"/>
  <c r="AG530" i="1"/>
  <c r="AG489" i="1"/>
  <c r="AG184" i="1"/>
  <c r="AG579" i="1"/>
  <c r="AG437" i="1"/>
  <c r="AG472" i="1"/>
  <c r="AG419" i="1"/>
  <c r="AG543" i="1"/>
  <c r="AG306" i="1"/>
  <c r="AG199" i="1"/>
  <c r="AG79" i="1"/>
  <c r="AG466" i="1"/>
  <c r="AG144" i="1"/>
  <c r="AG171" i="1"/>
  <c r="AG601" i="1"/>
  <c r="AG313" i="1"/>
  <c r="AG362" i="1"/>
  <c r="AG569" i="1"/>
  <c r="AG360" i="1"/>
  <c r="AG16" i="1"/>
  <c r="AG583" i="1"/>
  <c r="AG192" i="1"/>
  <c r="AG422" i="1"/>
  <c r="AG497" i="1"/>
  <c r="AG191" i="1"/>
  <c r="AG133" i="1"/>
  <c r="AG69" i="1"/>
  <c r="AG609" i="1"/>
  <c r="AG206" i="1"/>
  <c r="AG90" i="1"/>
  <c r="AG40" i="1"/>
  <c r="AG487" i="1"/>
  <c r="AG326" i="1"/>
  <c r="AG82" i="1"/>
  <c r="AG375" i="1"/>
  <c r="AG20" i="1"/>
  <c r="AG303" i="1"/>
  <c r="AG252" i="1"/>
  <c r="AG118" i="1"/>
  <c r="AG275" i="1"/>
  <c r="AG336" i="1"/>
  <c r="AG407" i="1"/>
  <c r="AG480" i="1"/>
  <c r="AG518" i="1"/>
  <c r="AG216" i="1"/>
  <c r="AG156" i="1"/>
  <c r="AG455" i="1"/>
  <c r="AG138" i="1"/>
  <c r="AG31" i="1"/>
  <c r="AG55" i="1"/>
  <c r="AG238" i="1"/>
  <c r="AG515" i="1"/>
  <c r="AG185" i="1"/>
  <c r="AG298" i="1"/>
  <c r="AG249" i="1"/>
  <c r="AG39" i="1"/>
  <c r="AG12" i="1"/>
  <c r="AG151" i="1"/>
  <c r="AG24" i="1"/>
  <c r="AG429" i="1"/>
  <c r="AG163" i="1"/>
  <c r="AG145" i="1"/>
  <c r="AG625" i="1"/>
  <c r="AG160" i="1"/>
  <c r="AG584" i="1"/>
  <c r="AG19" i="1"/>
  <c r="AG278" i="1"/>
  <c r="AG274" i="1"/>
  <c r="AG236" i="1"/>
  <c r="AG50" i="1"/>
  <c r="AG99" i="1"/>
  <c r="AG397" i="1"/>
  <c r="AG267" i="1"/>
  <c r="AG174" i="1"/>
  <c r="AG166" i="1"/>
  <c r="AG162" i="1"/>
  <c r="AG538" i="1"/>
  <c r="AG291" i="1"/>
  <c r="AG346" i="1"/>
  <c r="AG117" i="1"/>
  <c r="AG65" i="1"/>
  <c r="AG443" i="1"/>
  <c r="AG150" i="1"/>
  <c r="AG491" i="1"/>
  <c r="AG368" i="1"/>
  <c r="AG574" i="1"/>
  <c r="AG337" i="1"/>
  <c r="AG207" i="1"/>
  <c r="AG307" i="1"/>
  <c r="AG211" i="1"/>
  <c r="AG385" i="1"/>
  <c r="AG616" i="1"/>
  <c r="AG356" i="1"/>
  <c r="AG259" i="1"/>
  <c r="AG371" i="1"/>
  <c r="AG6" i="1"/>
  <c r="AG25" i="1"/>
  <c r="AG26" i="1"/>
  <c r="AG339" i="1"/>
  <c r="AG58" i="1"/>
  <c r="AG95" i="1"/>
  <c r="AG260" i="1"/>
  <c r="AG86" i="1"/>
  <c r="AG395" i="1"/>
  <c r="AG67" i="1"/>
  <c r="AG488" i="1"/>
  <c r="AG383" i="1"/>
  <c r="AG545" i="1"/>
  <c r="AG77" i="1"/>
  <c r="AG524" i="1"/>
  <c r="AG473" i="1"/>
  <c r="AG96" i="1"/>
  <c r="AG552" i="1"/>
  <c r="AG265" i="1"/>
  <c r="AG285" i="1"/>
  <c r="AG190" i="1"/>
  <c r="AG519" i="1"/>
  <c r="AG247" i="1"/>
  <c r="AG589" i="1"/>
  <c r="AG451" i="1"/>
  <c r="AG458" i="1"/>
  <c r="AG52" i="1"/>
  <c r="AG214" i="1"/>
  <c r="AG391" i="1"/>
  <c r="AG320" i="1"/>
  <c r="AG263" i="1"/>
  <c r="AG354" i="1"/>
  <c r="AG241" i="1"/>
  <c r="AG305" i="1"/>
  <c r="AG229" i="1"/>
  <c r="AG328" i="1"/>
  <c r="AG493" i="1"/>
  <c r="AG158" i="1"/>
  <c r="AG577" i="1"/>
  <c r="AG602" i="1"/>
  <c r="AG492" i="1"/>
  <c r="AG568" i="1"/>
  <c r="AG586" i="1"/>
  <c r="AG10" i="1"/>
  <c r="AG570" i="1"/>
  <c r="AG289" i="1"/>
  <c r="AG141" i="1"/>
  <c r="AG256" i="1"/>
  <c r="AG446" i="1"/>
  <c r="AG136" i="1"/>
  <c r="AG349" i="1"/>
  <c r="AG450" i="1"/>
  <c r="AG262" i="1"/>
  <c r="AG180" i="1"/>
  <c r="AG587" i="1"/>
  <c r="AG393" i="1"/>
  <c r="AG89" i="1"/>
  <c r="AG129" i="1"/>
  <c r="AG110" i="1"/>
  <c r="AG544" i="1"/>
  <c r="AG112" i="1"/>
  <c r="AG486" i="1"/>
  <c r="AG149" i="1"/>
  <c r="AG420" i="1"/>
  <c r="AG508" i="1"/>
  <c r="AG182" i="1"/>
  <c r="AG503" i="1"/>
  <c r="AG423" i="1"/>
  <c r="AG593" i="1"/>
  <c r="AG517" i="1"/>
  <c r="AG290" i="1"/>
  <c r="AG631" i="1"/>
  <c r="AG314" i="1"/>
  <c r="AG540" i="1"/>
  <c r="AG176" i="1"/>
  <c r="AG42" i="1"/>
  <c r="AG481" i="1"/>
  <c r="AG327" i="1"/>
  <c r="AG271" i="1"/>
  <c r="AG237" i="1"/>
  <c r="AG439" i="1"/>
  <c r="AG434" i="1"/>
  <c r="AG308" i="1"/>
  <c r="AG187" i="1"/>
  <c r="AG63" i="1"/>
  <c r="AG344" i="1"/>
  <c r="AG549" i="1"/>
  <c r="AG467" i="1"/>
  <c r="AG321" i="1"/>
  <c r="AG529" i="1"/>
  <c r="AG14" i="1"/>
  <c r="AG484" i="1"/>
  <c r="AG173" i="1"/>
  <c r="AG379" i="1"/>
  <c r="AG143" i="1"/>
  <c r="AG612" i="1"/>
  <c r="AG398" i="1"/>
  <c r="AG590" i="1"/>
  <c r="AG408" i="1"/>
  <c r="AG43" i="1"/>
  <c r="AG147" i="1"/>
  <c r="AG352" i="1"/>
  <c r="AG474" i="1"/>
  <c r="AG444" i="1"/>
  <c r="AG559" i="1"/>
  <c r="AG325" i="1"/>
  <c r="AG11" i="1"/>
  <c r="AG202" i="1"/>
  <c r="AG334" i="1"/>
  <c r="AG605" i="1"/>
  <c r="AG611" i="1"/>
  <c r="AG387" i="1"/>
  <c r="AG80" i="1"/>
  <c r="AG322" i="1"/>
  <c r="AG388" i="1"/>
  <c r="AG54" i="1"/>
  <c r="AG304" i="1"/>
  <c r="AG22" i="1"/>
  <c r="AG456" i="1"/>
  <c r="AG316" i="1"/>
  <c r="AG88" i="1"/>
  <c r="AG432" i="1"/>
  <c r="AG403" i="1"/>
  <c r="AG272" i="1"/>
  <c r="AG532" i="1"/>
  <c r="AG273" i="1"/>
  <c r="AG66" i="1"/>
  <c r="AG333" i="1"/>
  <c r="AG175" i="1"/>
  <c r="AG592" i="1"/>
  <c r="AG231" i="1"/>
  <c r="AG168" i="1"/>
  <c r="AG203" i="1"/>
  <c r="AG177" i="1"/>
  <c r="AG64" i="1"/>
  <c r="AG72" i="1"/>
  <c r="AG406" i="1"/>
  <c r="AG351" i="1"/>
  <c r="AG102" i="1"/>
  <c r="AG389" i="1"/>
  <c r="AG83" i="1"/>
  <c r="AG483" i="1"/>
  <c r="AG318" i="1"/>
  <c r="AG553" i="1"/>
  <c r="AG169" i="1"/>
  <c r="AG57" i="1"/>
  <c r="AG235" i="1"/>
  <c r="AG153" i="1"/>
  <c r="AG563" i="1"/>
  <c r="AG499" i="1"/>
  <c r="AG617" i="1"/>
  <c r="AG200" i="1"/>
  <c r="AG197" i="1"/>
  <c r="AG619" i="1"/>
  <c r="AG269" i="1"/>
  <c r="AG357" i="1"/>
  <c r="AG442" i="1"/>
  <c r="AG548" i="1"/>
  <c r="AG392" i="1"/>
  <c r="AG533" i="1"/>
  <c r="AG585" i="1"/>
  <c r="AG46" i="1"/>
  <c r="AG534" i="1"/>
  <c r="AG183" i="1"/>
  <c r="AG626" i="1"/>
  <c r="AG106" i="1"/>
  <c r="AG30" i="1"/>
  <c r="AG412" i="1"/>
  <c r="AG245" i="1"/>
  <c r="AG283" i="1"/>
  <c r="AG61" i="1"/>
  <c r="AG411" i="1"/>
  <c r="AG478" i="1"/>
  <c r="AG386" i="1"/>
  <c r="AG433" i="1"/>
  <c r="AG567" i="1"/>
  <c r="AG510" i="1"/>
  <c r="AG479" i="1"/>
  <c r="AG124" i="1"/>
  <c r="AG302" i="1"/>
  <c r="AG595" i="1"/>
  <c r="AG111" i="1"/>
  <c r="AG521" i="1"/>
  <c r="AG309" i="1"/>
  <c r="AG219" i="1"/>
  <c r="AG221" i="1"/>
  <c r="AG557" i="1"/>
  <c r="AG554" i="1"/>
  <c r="AG317" i="1"/>
  <c r="AG282" i="1"/>
  <c r="AG330" i="1"/>
  <c r="AG29" i="1"/>
  <c r="AG255" i="1"/>
  <c r="AG345" i="1"/>
  <c r="AG461" i="1"/>
  <c r="AG100" i="1"/>
  <c r="AG70" i="1"/>
  <c r="AG27" i="1"/>
  <c r="AG599" i="1"/>
  <c r="AG581" i="1"/>
  <c r="AG36" i="1"/>
  <c r="AG324" i="1"/>
  <c r="AG59" i="1"/>
  <c r="AG122" i="1"/>
  <c r="AG81" i="1"/>
  <c r="AG539" i="1"/>
  <c r="AG126" i="1"/>
  <c r="AG113" i="1"/>
  <c r="AG401" i="1"/>
  <c r="AG621" i="1"/>
  <c r="AG537" i="1"/>
  <c r="E32" i="1"/>
  <c r="E142" i="1"/>
  <c r="E431" i="1"/>
  <c r="E284" i="1"/>
  <c r="E550" i="1"/>
  <c r="E547" i="1"/>
  <c r="E613" i="1"/>
  <c r="E348" i="1"/>
  <c r="E17" i="1"/>
  <c r="E196" i="1"/>
  <c r="E132" i="1"/>
  <c r="E501" i="1"/>
  <c r="E293" i="1"/>
  <c r="E301" i="1"/>
  <c r="E384" i="1"/>
  <c r="E68" i="1"/>
  <c r="E107" i="1"/>
  <c r="E116" i="1"/>
  <c r="E114" i="1"/>
  <c r="E270" i="1"/>
  <c r="E266" i="1"/>
  <c r="E367" i="1"/>
  <c r="E279" i="1"/>
  <c r="E254" i="1"/>
  <c r="E418" i="1"/>
  <c r="E582" i="1"/>
  <c r="E447" i="1"/>
  <c r="E560" i="1"/>
  <c r="E268" i="1"/>
  <c r="E335" i="1"/>
  <c r="E105" i="1"/>
  <c r="E424" i="1"/>
  <c r="E402" i="1"/>
  <c r="E230" i="1"/>
  <c r="E394" i="1"/>
  <c r="E115" i="1"/>
  <c r="E414" i="1"/>
  <c r="E257" i="1"/>
  <c r="E522" i="1"/>
  <c r="E53" i="1"/>
  <c r="E369" i="1"/>
  <c r="E108" i="1"/>
  <c r="E441" i="1"/>
  <c r="E193" i="1"/>
  <c r="E78" i="1"/>
  <c r="E471" i="1"/>
  <c r="E15" i="1"/>
  <c r="E97" i="1"/>
  <c r="E49" i="1"/>
  <c r="E250" i="1"/>
  <c r="E606" i="1"/>
  <c r="E343" i="1"/>
  <c r="E531" i="1"/>
  <c r="E624" i="1"/>
  <c r="E35" i="1"/>
  <c r="E234" i="1"/>
  <c r="E525" i="1"/>
  <c r="E3" i="1"/>
  <c r="E475" i="1"/>
  <c r="E73" i="1"/>
  <c r="E139" i="1"/>
  <c r="E390" i="1"/>
  <c r="E5" i="1"/>
  <c r="E104" i="1"/>
  <c r="E152" i="1"/>
  <c r="E146" i="1"/>
  <c r="E319" i="1"/>
  <c r="E312" i="1"/>
  <c r="E470" i="1"/>
  <c r="E340" i="1"/>
  <c r="E507" i="1"/>
  <c r="E75" i="1"/>
  <c r="E228" i="1"/>
  <c r="E463" i="1"/>
  <c r="E428" i="1"/>
  <c r="E135" i="1"/>
  <c r="E121" i="1"/>
  <c r="E374" i="1"/>
  <c r="E498" i="1"/>
  <c r="E21" i="1"/>
  <c r="E120" i="1"/>
  <c r="E535" i="1"/>
  <c r="E623" i="1"/>
  <c r="E127" i="1"/>
  <c r="E224" i="1"/>
  <c r="E210" i="1"/>
  <c r="E561" i="1"/>
  <c r="E430" i="1"/>
  <c r="E618" i="1"/>
  <c r="E459" i="1"/>
  <c r="E222" i="1"/>
  <c r="E404" i="1"/>
  <c r="E297" i="1"/>
  <c r="E415" i="1"/>
  <c r="E109" i="1"/>
  <c r="E627" i="1"/>
  <c r="E87" i="1"/>
  <c r="E353" i="1"/>
  <c r="E92" i="1"/>
  <c r="E93" i="1"/>
  <c r="E382" i="1"/>
  <c r="E417" i="1"/>
  <c r="E505" i="1"/>
  <c r="E378" i="1"/>
  <c r="E204" i="1"/>
  <c r="E615" i="1"/>
  <c r="E209" i="1"/>
  <c r="E596" i="1"/>
  <c r="E604" i="1"/>
  <c r="E195" i="1"/>
  <c r="E101" i="1"/>
  <c r="E632" i="1"/>
  <c r="E564" i="1"/>
  <c r="E551" i="1"/>
  <c r="E246" i="1"/>
  <c r="E576" i="1"/>
  <c r="E38" i="1"/>
  <c r="E496" i="1"/>
  <c r="E620" i="1"/>
  <c r="E128" i="1"/>
  <c r="E248" i="1"/>
  <c r="E155" i="1"/>
  <c r="E261" i="1"/>
  <c r="E572" i="1"/>
  <c r="E218" i="1"/>
  <c r="E18" i="1"/>
  <c r="E591" i="1"/>
  <c r="E573" i="1"/>
  <c r="E361" i="1"/>
  <c r="E500" i="1"/>
  <c r="E413" i="1"/>
  <c r="E186" i="1"/>
  <c r="E541" i="1"/>
  <c r="E131" i="1"/>
  <c r="E201" i="1"/>
  <c r="E331" i="1"/>
  <c r="E465" i="1"/>
  <c r="E60" i="1"/>
  <c r="E565" i="1"/>
  <c r="E4" i="1"/>
  <c r="E468" i="1"/>
  <c r="E44" i="1"/>
  <c r="E364" i="1"/>
  <c r="E165" i="1"/>
  <c r="E410" i="1"/>
  <c r="E440" i="1"/>
  <c r="E295" i="1"/>
  <c r="E299" i="1"/>
  <c r="E76" i="1"/>
  <c r="E240" i="1"/>
  <c r="E137" i="1"/>
  <c r="E396" i="1"/>
  <c r="E194" i="1"/>
  <c r="E323" i="1"/>
  <c r="E338" i="1"/>
  <c r="E502" i="1"/>
  <c r="E212" i="1"/>
  <c r="E457" i="1"/>
  <c r="E148" i="1"/>
  <c r="E189" i="1"/>
  <c r="E482" i="1"/>
  <c r="E373" i="1"/>
  <c r="E409" i="1"/>
  <c r="E365" i="1"/>
  <c r="E7" i="1"/>
  <c r="E181" i="1"/>
  <c r="E217" i="1"/>
  <c r="E438" i="1"/>
  <c r="E562" i="1"/>
  <c r="E232" i="1"/>
  <c r="E476" i="1"/>
  <c r="E630" i="1"/>
  <c r="E119" i="1"/>
  <c r="E571" i="1"/>
  <c r="E8" i="1"/>
  <c r="E329" i="1"/>
  <c r="E614" i="1"/>
  <c r="E506" i="1"/>
  <c r="E464" i="1"/>
  <c r="E633" i="1"/>
  <c r="E85" i="1"/>
  <c r="E490" i="1"/>
  <c r="E436" i="1"/>
  <c r="E74" i="1"/>
  <c r="E315" i="1"/>
  <c r="E494" i="1"/>
  <c r="E41" i="1"/>
  <c r="E125" i="1"/>
  <c r="E358" i="1"/>
  <c r="E123" i="1"/>
  <c r="E469" i="1"/>
  <c r="E47" i="1"/>
  <c r="E421" i="1"/>
  <c r="E516" i="1"/>
  <c r="E62" i="1"/>
  <c r="E71" i="1"/>
  <c r="E370" i="1"/>
  <c r="E342" i="1"/>
  <c r="E34" i="1"/>
  <c r="E188" i="1"/>
  <c r="E453" i="1"/>
  <c r="E178" i="1"/>
  <c r="E23" i="1"/>
  <c r="E242" i="1"/>
  <c r="E227" i="1"/>
  <c r="E449" i="1"/>
  <c r="E215" i="1"/>
  <c r="E208" i="1"/>
  <c r="E244" i="1"/>
  <c r="E288" i="1"/>
  <c r="E575" i="1"/>
  <c r="E380" i="1"/>
  <c r="E226" i="1"/>
  <c r="E462" i="1"/>
  <c r="E205" i="1"/>
  <c r="E355" i="1"/>
  <c r="E580" i="1"/>
  <c r="E448" i="1"/>
  <c r="E172" i="1"/>
  <c r="E400" i="1"/>
  <c r="E600" i="1"/>
  <c r="E542" i="1"/>
  <c r="E45" i="1"/>
  <c r="E161" i="1"/>
  <c r="E264" i="1"/>
  <c r="E140" i="1"/>
  <c r="E452" i="1"/>
  <c r="E243" i="1"/>
  <c r="E277" i="1"/>
  <c r="E594" i="1"/>
  <c r="E526" i="1"/>
  <c r="E558" i="1"/>
  <c r="E511" i="1"/>
  <c r="E223" i="1"/>
  <c r="E167" i="1"/>
  <c r="E37" i="1"/>
  <c r="E2" i="1"/>
  <c r="E381" i="1"/>
  <c r="E527" i="1"/>
  <c r="E512" i="1"/>
  <c r="E366" i="1"/>
  <c r="E56" i="1"/>
  <c r="E607" i="1"/>
  <c r="E164" i="1"/>
  <c r="E566" i="1"/>
  <c r="E341" i="1"/>
  <c r="E622" i="1"/>
  <c r="E504" i="1"/>
  <c r="E292" i="1"/>
  <c r="E399" i="1"/>
  <c r="E251" i="1"/>
  <c r="E134" i="1"/>
  <c r="E233" i="1"/>
  <c r="E520" i="1"/>
  <c r="E281" i="1"/>
  <c r="E220" i="1"/>
  <c r="E555" i="1"/>
  <c r="E536" i="1"/>
  <c r="E253" i="1"/>
  <c r="E213" i="1"/>
  <c r="E276" i="1"/>
  <c r="E426" i="1"/>
  <c r="E608" i="1"/>
  <c r="E33" i="1"/>
  <c r="E98" i="1"/>
  <c r="E94" i="1"/>
  <c r="E280" i="1"/>
  <c r="E363" i="1"/>
  <c r="E372" i="1"/>
  <c r="E427" i="1"/>
  <c r="E445" i="1"/>
  <c r="E48" i="1"/>
  <c r="E91" i="1"/>
  <c r="E416" i="1"/>
  <c r="E332" i="1"/>
  <c r="E9" i="1"/>
  <c r="E513" i="1"/>
  <c r="E103" i="1"/>
  <c r="E460" i="1"/>
  <c r="E286" i="1"/>
  <c r="E350" i="1"/>
  <c r="E610" i="1"/>
  <c r="E359" i="1"/>
  <c r="E239" i="1"/>
  <c r="E485" i="1"/>
  <c r="E629" i="1"/>
  <c r="E294" i="1"/>
  <c r="E198" i="1"/>
  <c r="E157" i="1"/>
  <c r="E300" i="1"/>
  <c r="E598" i="1"/>
  <c r="E170" i="1"/>
  <c r="E509" i="1"/>
  <c r="E376" i="1"/>
  <c r="E296" i="1"/>
  <c r="E528" i="1"/>
  <c r="E546" i="1"/>
  <c r="E628" i="1"/>
  <c r="E225" i="1"/>
  <c r="E159" i="1"/>
  <c r="E425" i="1"/>
  <c r="E51" i="1"/>
  <c r="E310" i="1"/>
  <c r="E523" i="1"/>
  <c r="E603" i="1"/>
  <c r="E28" i="1"/>
  <c r="E514" i="1"/>
  <c r="E495" i="1"/>
  <c r="E435" i="1"/>
  <c r="E154" i="1"/>
  <c r="E597" i="1"/>
  <c r="E377" i="1"/>
  <c r="E84" i="1"/>
  <c r="E477" i="1"/>
  <c r="E454" i="1"/>
  <c r="E405" i="1"/>
  <c r="E179" i="1"/>
  <c r="E556" i="1"/>
  <c r="E13" i="1"/>
  <c r="E287" i="1"/>
  <c r="E311" i="1"/>
  <c r="E130" i="1"/>
  <c r="E588" i="1"/>
  <c r="E258" i="1"/>
  <c r="E347" i="1"/>
  <c r="E578" i="1"/>
  <c r="E530" i="1"/>
  <c r="E489" i="1"/>
  <c r="E184" i="1"/>
  <c r="E579" i="1"/>
  <c r="E437" i="1"/>
  <c r="E472" i="1"/>
  <c r="E419" i="1"/>
  <c r="E543" i="1"/>
  <c r="E306" i="1"/>
  <c r="E199" i="1"/>
  <c r="E79" i="1"/>
  <c r="E466" i="1"/>
  <c r="E144" i="1"/>
  <c r="E171" i="1"/>
  <c r="E601" i="1"/>
  <c r="E313" i="1"/>
  <c r="E362" i="1"/>
  <c r="E569" i="1"/>
  <c r="E360" i="1"/>
  <c r="E16" i="1"/>
  <c r="E583" i="1"/>
  <c r="E192" i="1"/>
  <c r="E422" i="1"/>
  <c r="E497" i="1"/>
  <c r="E191" i="1"/>
  <c r="E133" i="1"/>
  <c r="E69" i="1"/>
  <c r="E609" i="1"/>
  <c r="E206" i="1"/>
  <c r="E90" i="1"/>
  <c r="E40" i="1"/>
  <c r="E487" i="1"/>
  <c r="E326" i="1"/>
  <c r="E82" i="1"/>
  <c r="E375" i="1"/>
  <c r="E20" i="1"/>
  <c r="E303" i="1"/>
  <c r="E252" i="1"/>
  <c r="E118" i="1"/>
  <c r="E275" i="1"/>
  <c r="E336" i="1"/>
  <c r="E407" i="1"/>
  <c r="E480" i="1"/>
  <c r="E518" i="1"/>
  <c r="E216" i="1"/>
  <c r="E156" i="1"/>
  <c r="E455" i="1"/>
  <c r="E138" i="1"/>
  <c r="E31" i="1"/>
  <c r="E55" i="1"/>
  <c r="E238" i="1"/>
  <c r="E515" i="1"/>
  <c r="E185" i="1"/>
  <c r="E298" i="1"/>
  <c r="E249" i="1"/>
  <c r="E39" i="1"/>
  <c r="E12" i="1"/>
  <c r="E151" i="1"/>
  <c r="E24" i="1"/>
  <c r="E429" i="1"/>
  <c r="E163" i="1"/>
  <c r="E145" i="1"/>
  <c r="E625" i="1"/>
  <c r="E160" i="1"/>
  <c r="E584" i="1"/>
  <c r="E19" i="1"/>
  <c r="E278" i="1"/>
  <c r="E274" i="1"/>
  <c r="E236" i="1"/>
  <c r="E50" i="1"/>
  <c r="E99" i="1"/>
  <c r="E397" i="1"/>
  <c r="E267" i="1"/>
  <c r="E174" i="1"/>
  <c r="E166" i="1"/>
  <c r="E162" i="1"/>
  <c r="E538" i="1"/>
  <c r="E291" i="1"/>
  <c r="E346" i="1"/>
  <c r="E117" i="1"/>
  <c r="E65" i="1"/>
  <c r="E443" i="1"/>
  <c r="E150" i="1"/>
  <c r="E491" i="1"/>
  <c r="E368" i="1"/>
  <c r="E574" i="1"/>
  <c r="E337" i="1"/>
  <c r="E207" i="1"/>
  <c r="E307" i="1"/>
  <c r="E211" i="1"/>
  <c r="E385" i="1"/>
  <c r="E616" i="1"/>
  <c r="E356" i="1"/>
  <c r="E259" i="1"/>
  <c r="E371" i="1"/>
  <c r="E6" i="1"/>
  <c r="E25" i="1"/>
  <c r="E26" i="1"/>
  <c r="E339" i="1"/>
  <c r="E58" i="1"/>
  <c r="E95" i="1"/>
  <c r="E260" i="1"/>
  <c r="E86" i="1"/>
  <c r="E395" i="1"/>
  <c r="E67" i="1"/>
  <c r="E488" i="1"/>
  <c r="E383" i="1"/>
  <c r="E545" i="1"/>
  <c r="E77" i="1"/>
  <c r="E524" i="1"/>
  <c r="E473" i="1"/>
  <c r="E96" i="1"/>
  <c r="E552" i="1"/>
  <c r="E265" i="1"/>
  <c r="E285" i="1"/>
  <c r="E190" i="1"/>
  <c r="E519" i="1"/>
  <c r="E247" i="1"/>
  <c r="E589" i="1"/>
  <c r="E451" i="1"/>
  <c r="E458" i="1"/>
  <c r="E52" i="1"/>
  <c r="E214" i="1"/>
  <c r="E391" i="1"/>
  <c r="E320" i="1"/>
  <c r="E263" i="1"/>
  <c r="E354" i="1"/>
  <c r="E241" i="1"/>
  <c r="E305" i="1"/>
  <c r="E229" i="1"/>
  <c r="E328" i="1"/>
  <c r="E493" i="1"/>
  <c r="E158" i="1"/>
  <c r="E577" i="1"/>
  <c r="E602" i="1"/>
  <c r="E492" i="1"/>
  <c r="E568" i="1"/>
  <c r="E586" i="1"/>
  <c r="E10" i="1"/>
  <c r="E570" i="1"/>
  <c r="E289" i="1"/>
  <c r="E141" i="1"/>
  <c r="E256" i="1"/>
  <c r="E446" i="1"/>
  <c r="E136" i="1"/>
  <c r="E349" i="1"/>
  <c r="E450" i="1"/>
  <c r="E262" i="1"/>
  <c r="E180" i="1"/>
  <c r="E587" i="1"/>
  <c r="E393" i="1"/>
  <c r="E89" i="1"/>
  <c r="E129" i="1"/>
  <c r="E110" i="1"/>
  <c r="E544" i="1"/>
  <c r="E112" i="1"/>
  <c r="E486" i="1"/>
  <c r="E149" i="1"/>
  <c r="E420" i="1"/>
  <c r="E508" i="1"/>
  <c r="E182" i="1"/>
  <c r="E503" i="1"/>
  <c r="E423" i="1"/>
  <c r="E593" i="1"/>
  <c r="E517" i="1"/>
  <c r="E290" i="1"/>
  <c r="E631" i="1"/>
  <c r="E314" i="1"/>
  <c r="E540" i="1"/>
  <c r="E176" i="1"/>
  <c r="E42" i="1"/>
  <c r="E481" i="1"/>
  <c r="E327" i="1"/>
  <c r="E271" i="1"/>
  <c r="E237" i="1"/>
  <c r="E439" i="1"/>
  <c r="E434" i="1"/>
  <c r="E308" i="1"/>
  <c r="E187" i="1"/>
  <c r="E63" i="1"/>
  <c r="E344" i="1"/>
  <c r="E549" i="1"/>
  <c r="E467" i="1"/>
  <c r="E321" i="1"/>
  <c r="E529" i="1"/>
  <c r="E14" i="1"/>
  <c r="E484" i="1"/>
  <c r="E173" i="1"/>
  <c r="E379" i="1"/>
  <c r="E143" i="1"/>
  <c r="E612" i="1"/>
  <c r="E398" i="1"/>
  <c r="E590" i="1"/>
  <c r="E408" i="1"/>
  <c r="E43" i="1"/>
  <c r="E147" i="1"/>
  <c r="E352" i="1"/>
  <c r="E474" i="1"/>
  <c r="E444" i="1"/>
  <c r="E559" i="1"/>
  <c r="E325" i="1"/>
  <c r="E11" i="1"/>
  <c r="E202" i="1"/>
  <c r="E334" i="1"/>
  <c r="E605" i="1"/>
  <c r="E611" i="1"/>
  <c r="E387" i="1"/>
  <c r="E80" i="1"/>
  <c r="E322" i="1"/>
  <c r="E388" i="1"/>
  <c r="E54" i="1"/>
  <c r="E304" i="1"/>
  <c r="E22" i="1"/>
  <c r="E456" i="1"/>
  <c r="E316" i="1"/>
  <c r="E88" i="1"/>
  <c r="E432" i="1"/>
  <c r="E403" i="1"/>
  <c r="E272" i="1"/>
  <c r="E532" i="1"/>
  <c r="E273" i="1"/>
  <c r="E66" i="1"/>
  <c r="E333" i="1"/>
  <c r="E175" i="1"/>
  <c r="E592" i="1"/>
  <c r="E231" i="1"/>
  <c r="E168" i="1"/>
  <c r="E203" i="1"/>
  <c r="E177" i="1"/>
  <c r="E64" i="1"/>
  <c r="E72" i="1"/>
  <c r="E406" i="1"/>
  <c r="E351" i="1"/>
  <c r="E102" i="1"/>
  <c r="E389" i="1"/>
  <c r="E83" i="1"/>
  <c r="E483" i="1"/>
  <c r="E318" i="1"/>
  <c r="E553" i="1"/>
  <c r="E169" i="1"/>
  <c r="E57" i="1"/>
  <c r="E235" i="1"/>
  <c r="E153" i="1"/>
  <c r="E563" i="1"/>
  <c r="E499" i="1"/>
  <c r="E617" i="1"/>
  <c r="E200" i="1"/>
  <c r="E197" i="1"/>
  <c r="E619" i="1"/>
  <c r="E269" i="1"/>
  <c r="E357" i="1"/>
  <c r="E442" i="1"/>
  <c r="E548" i="1"/>
  <c r="E392" i="1"/>
  <c r="E533" i="1"/>
  <c r="E585" i="1"/>
  <c r="E46" i="1"/>
  <c r="E534" i="1"/>
  <c r="E183" i="1"/>
  <c r="E626" i="1"/>
  <c r="E106" i="1"/>
  <c r="E30" i="1"/>
  <c r="E412" i="1"/>
  <c r="E245" i="1"/>
  <c r="E283" i="1"/>
  <c r="E61" i="1"/>
  <c r="E411" i="1"/>
  <c r="E478" i="1"/>
  <c r="E386" i="1"/>
  <c r="E433" i="1"/>
  <c r="E567" i="1"/>
  <c r="E510" i="1"/>
  <c r="E479" i="1"/>
  <c r="E124" i="1"/>
  <c r="E302" i="1"/>
  <c r="E595" i="1"/>
  <c r="E111" i="1"/>
  <c r="E521" i="1"/>
  <c r="E309" i="1"/>
  <c r="E219" i="1"/>
  <c r="E221" i="1"/>
  <c r="E557" i="1"/>
  <c r="E554" i="1"/>
  <c r="E317" i="1"/>
  <c r="E282" i="1"/>
  <c r="E330" i="1"/>
  <c r="E29" i="1"/>
  <c r="E255" i="1"/>
  <c r="E345" i="1"/>
  <c r="E461" i="1"/>
  <c r="E100" i="1"/>
  <c r="E70" i="1"/>
  <c r="E27" i="1"/>
  <c r="E599" i="1"/>
  <c r="E581" i="1"/>
  <c r="E36" i="1"/>
  <c r="E324" i="1"/>
  <c r="E59" i="1"/>
  <c r="E122" i="1"/>
  <c r="E81" i="1"/>
  <c r="E539" i="1"/>
  <c r="E126" i="1"/>
  <c r="E113" i="1"/>
  <c r="E401" i="1"/>
  <c r="E621" i="1"/>
  <c r="E537" i="1"/>
  <c r="C32" i="1"/>
  <c r="H32" i="1" s="1"/>
  <c r="C142" i="1"/>
  <c r="H142" i="1" s="1"/>
  <c r="C431" i="1"/>
  <c r="H431" i="1" s="1"/>
  <c r="C284" i="1"/>
  <c r="H284" i="1" s="1"/>
  <c r="C550" i="1"/>
  <c r="H550" i="1" s="1"/>
  <c r="C547" i="1"/>
  <c r="H547" i="1" s="1"/>
  <c r="C613" i="1"/>
  <c r="H613" i="1" s="1"/>
  <c r="C348" i="1"/>
  <c r="H348" i="1" s="1"/>
  <c r="C17" i="1"/>
  <c r="H17" i="1" s="1"/>
  <c r="C196" i="1"/>
  <c r="H196" i="1" s="1"/>
  <c r="C132" i="1"/>
  <c r="H132" i="1" s="1"/>
  <c r="C501" i="1"/>
  <c r="H501" i="1" s="1"/>
  <c r="C293" i="1"/>
  <c r="H293" i="1" s="1"/>
  <c r="C301" i="1"/>
  <c r="H301" i="1" s="1"/>
  <c r="C384" i="1"/>
  <c r="H384" i="1" s="1"/>
  <c r="C68" i="1"/>
  <c r="H68" i="1" s="1"/>
  <c r="C107" i="1"/>
  <c r="H107" i="1" s="1"/>
  <c r="C116" i="1"/>
  <c r="H116" i="1" s="1"/>
  <c r="C114" i="1"/>
  <c r="H114" i="1" s="1"/>
  <c r="C270" i="1"/>
  <c r="H270" i="1" s="1"/>
  <c r="C266" i="1"/>
  <c r="H266" i="1" s="1"/>
  <c r="C367" i="1"/>
  <c r="H367" i="1" s="1"/>
  <c r="C279" i="1"/>
  <c r="H279" i="1" s="1"/>
  <c r="C254" i="1"/>
  <c r="H254" i="1" s="1"/>
  <c r="C418" i="1"/>
  <c r="H418" i="1" s="1"/>
  <c r="C582" i="1"/>
  <c r="H582" i="1" s="1"/>
  <c r="C447" i="1"/>
  <c r="H447" i="1" s="1"/>
  <c r="C560" i="1"/>
  <c r="H560" i="1" s="1"/>
  <c r="C268" i="1"/>
  <c r="H268" i="1" s="1"/>
  <c r="C335" i="1"/>
  <c r="H335" i="1" s="1"/>
  <c r="C105" i="1"/>
  <c r="H105" i="1" s="1"/>
  <c r="C424" i="1"/>
  <c r="H424" i="1" s="1"/>
  <c r="C402" i="1"/>
  <c r="H402" i="1" s="1"/>
  <c r="C230" i="1"/>
  <c r="H230" i="1" s="1"/>
  <c r="C394" i="1"/>
  <c r="H394" i="1" s="1"/>
  <c r="C115" i="1"/>
  <c r="H115" i="1" s="1"/>
  <c r="C414" i="1"/>
  <c r="H414" i="1" s="1"/>
  <c r="C257" i="1"/>
  <c r="H257" i="1" s="1"/>
  <c r="C522" i="1"/>
  <c r="H522" i="1" s="1"/>
  <c r="C53" i="1"/>
  <c r="H53" i="1" s="1"/>
  <c r="C369" i="1"/>
  <c r="H369" i="1" s="1"/>
  <c r="C108" i="1"/>
  <c r="H108" i="1" s="1"/>
  <c r="C441" i="1"/>
  <c r="H441" i="1" s="1"/>
  <c r="C193" i="1"/>
  <c r="H193" i="1" s="1"/>
  <c r="C78" i="1"/>
  <c r="H78" i="1" s="1"/>
  <c r="C471" i="1"/>
  <c r="H471" i="1" s="1"/>
  <c r="C15" i="1"/>
  <c r="H15" i="1" s="1"/>
  <c r="C97" i="1"/>
  <c r="H97" i="1" s="1"/>
  <c r="C49" i="1"/>
  <c r="H49" i="1" s="1"/>
  <c r="C250" i="1"/>
  <c r="H250" i="1" s="1"/>
  <c r="C606" i="1"/>
  <c r="H606" i="1" s="1"/>
  <c r="C343" i="1"/>
  <c r="H343" i="1" s="1"/>
  <c r="C531" i="1"/>
  <c r="H531" i="1" s="1"/>
  <c r="C624" i="1"/>
  <c r="H624" i="1" s="1"/>
  <c r="C35" i="1"/>
  <c r="H35" i="1" s="1"/>
  <c r="C234" i="1"/>
  <c r="H234" i="1" s="1"/>
  <c r="C525" i="1"/>
  <c r="H525" i="1" s="1"/>
  <c r="C3" i="1"/>
  <c r="H3" i="1" s="1"/>
  <c r="C475" i="1"/>
  <c r="H475" i="1" s="1"/>
  <c r="C73" i="1"/>
  <c r="H73" i="1" s="1"/>
  <c r="C139" i="1"/>
  <c r="H139" i="1" s="1"/>
  <c r="C390" i="1"/>
  <c r="H390" i="1" s="1"/>
  <c r="C5" i="1"/>
  <c r="H5" i="1" s="1"/>
  <c r="C104" i="1"/>
  <c r="H104" i="1" s="1"/>
  <c r="C152" i="1"/>
  <c r="H152" i="1" s="1"/>
  <c r="C146" i="1"/>
  <c r="H146" i="1" s="1"/>
  <c r="C319" i="1"/>
  <c r="H319" i="1" s="1"/>
  <c r="C312" i="1"/>
  <c r="H312" i="1" s="1"/>
  <c r="C470" i="1"/>
  <c r="H470" i="1" s="1"/>
  <c r="C340" i="1"/>
  <c r="H340" i="1" s="1"/>
  <c r="C507" i="1"/>
  <c r="H507" i="1" s="1"/>
  <c r="C75" i="1"/>
  <c r="H75" i="1" s="1"/>
  <c r="C228" i="1"/>
  <c r="H228" i="1" s="1"/>
  <c r="C463" i="1"/>
  <c r="H463" i="1" s="1"/>
  <c r="C428" i="1"/>
  <c r="H428" i="1" s="1"/>
  <c r="C135" i="1"/>
  <c r="H135" i="1" s="1"/>
  <c r="C121" i="1"/>
  <c r="H121" i="1" s="1"/>
  <c r="C374" i="1"/>
  <c r="H374" i="1" s="1"/>
  <c r="C498" i="1"/>
  <c r="H498" i="1" s="1"/>
  <c r="C21" i="1"/>
  <c r="H21" i="1" s="1"/>
  <c r="C120" i="1"/>
  <c r="H120" i="1" s="1"/>
  <c r="C535" i="1"/>
  <c r="H535" i="1" s="1"/>
  <c r="C623" i="1"/>
  <c r="H623" i="1" s="1"/>
  <c r="C127" i="1"/>
  <c r="H127" i="1" s="1"/>
  <c r="C224" i="1"/>
  <c r="H224" i="1" s="1"/>
  <c r="C210" i="1"/>
  <c r="H210" i="1" s="1"/>
  <c r="C561" i="1"/>
  <c r="H561" i="1" s="1"/>
  <c r="C430" i="1"/>
  <c r="H430" i="1" s="1"/>
  <c r="C618" i="1"/>
  <c r="H618" i="1" s="1"/>
  <c r="C459" i="1"/>
  <c r="H459" i="1" s="1"/>
  <c r="C222" i="1"/>
  <c r="H222" i="1" s="1"/>
  <c r="C404" i="1"/>
  <c r="H404" i="1" s="1"/>
  <c r="C297" i="1"/>
  <c r="H297" i="1" s="1"/>
  <c r="C415" i="1"/>
  <c r="H415" i="1" s="1"/>
  <c r="C109" i="1"/>
  <c r="H109" i="1" s="1"/>
  <c r="C627" i="1"/>
  <c r="H627" i="1" s="1"/>
  <c r="C87" i="1"/>
  <c r="H87" i="1" s="1"/>
  <c r="C353" i="1"/>
  <c r="H353" i="1" s="1"/>
  <c r="C92" i="1"/>
  <c r="H92" i="1" s="1"/>
  <c r="C93" i="1"/>
  <c r="H93" i="1" s="1"/>
  <c r="C382" i="1"/>
  <c r="H382" i="1" s="1"/>
  <c r="C417" i="1"/>
  <c r="H417" i="1" s="1"/>
  <c r="C505" i="1"/>
  <c r="H505" i="1" s="1"/>
  <c r="C378" i="1"/>
  <c r="H378" i="1" s="1"/>
  <c r="C204" i="1"/>
  <c r="H204" i="1" s="1"/>
  <c r="C615" i="1"/>
  <c r="H615" i="1" s="1"/>
  <c r="C209" i="1"/>
  <c r="H209" i="1" s="1"/>
  <c r="C596" i="1"/>
  <c r="H596" i="1" s="1"/>
  <c r="C604" i="1"/>
  <c r="H604" i="1" s="1"/>
  <c r="C195" i="1"/>
  <c r="H195" i="1" s="1"/>
  <c r="C101" i="1"/>
  <c r="H101" i="1" s="1"/>
  <c r="C632" i="1"/>
  <c r="H632" i="1" s="1"/>
  <c r="C564" i="1"/>
  <c r="H564" i="1" s="1"/>
  <c r="C551" i="1"/>
  <c r="H551" i="1" s="1"/>
  <c r="C246" i="1"/>
  <c r="H246" i="1" s="1"/>
  <c r="C576" i="1"/>
  <c r="H576" i="1" s="1"/>
  <c r="C38" i="1"/>
  <c r="H38" i="1" s="1"/>
  <c r="C496" i="1"/>
  <c r="H496" i="1" s="1"/>
  <c r="C620" i="1"/>
  <c r="H620" i="1" s="1"/>
  <c r="C128" i="1"/>
  <c r="H128" i="1" s="1"/>
  <c r="C248" i="1"/>
  <c r="H248" i="1" s="1"/>
  <c r="C155" i="1"/>
  <c r="H155" i="1" s="1"/>
  <c r="C261" i="1"/>
  <c r="H261" i="1" s="1"/>
  <c r="C572" i="1"/>
  <c r="H572" i="1" s="1"/>
  <c r="C218" i="1"/>
  <c r="H218" i="1" s="1"/>
  <c r="C18" i="1"/>
  <c r="H18" i="1" s="1"/>
  <c r="C591" i="1"/>
  <c r="H591" i="1" s="1"/>
  <c r="C573" i="1"/>
  <c r="H573" i="1" s="1"/>
  <c r="C361" i="1"/>
  <c r="H361" i="1" s="1"/>
  <c r="C500" i="1"/>
  <c r="H500" i="1" s="1"/>
  <c r="C413" i="1"/>
  <c r="H413" i="1" s="1"/>
  <c r="C186" i="1"/>
  <c r="H186" i="1" s="1"/>
  <c r="C541" i="1"/>
  <c r="H541" i="1" s="1"/>
  <c r="C131" i="1"/>
  <c r="H131" i="1" s="1"/>
  <c r="C201" i="1"/>
  <c r="H201" i="1" s="1"/>
  <c r="C331" i="1"/>
  <c r="H331" i="1" s="1"/>
  <c r="C465" i="1"/>
  <c r="H465" i="1" s="1"/>
  <c r="C60" i="1"/>
  <c r="H60" i="1" s="1"/>
  <c r="C565" i="1"/>
  <c r="H565" i="1" s="1"/>
  <c r="C4" i="1"/>
  <c r="H4" i="1" s="1"/>
  <c r="C468" i="1"/>
  <c r="H468" i="1" s="1"/>
  <c r="C44" i="1"/>
  <c r="H44" i="1" s="1"/>
  <c r="C364" i="1"/>
  <c r="H364" i="1" s="1"/>
  <c r="C165" i="1"/>
  <c r="H165" i="1" s="1"/>
  <c r="C410" i="1"/>
  <c r="H410" i="1" s="1"/>
  <c r="C440" i="1"/>
  <c r="H440" i="1" s="1"/>
  <c r="C295" i="1"/>
  <c r="H295" i="1" s="1"/>
  <c r="C299" i="1"/>
  <c r="H299" i="1" s="1"/>
  <c r="C76" i="1"/>
  <c r="H76" i="1" s="1"/>
  <c r="C240" i="1"/>
  <c r="H240" i="1" s="1"/>
  <c r="C137" i="1"/>
  <c r="H137" i="1" s="1"/>
  <c r="C396" i="1"/>
  <c r="H396" i="1" s="1"/>
  <c r="C194" i="1"/>
  <c r="H194" i="1" s="1"/>
  <c r="C323" i="1"/>
  <c r="H323" i="1" s="1"/>
  <c r="C338" i="1"/>
  <c r="H338" i="1" s="1"/>
  <c r="C502" i="1"/>
  <c r="H502" i="1" s="1"/>
  <c r="C212" i="1"/>
  <c r="H212" i="1" s="1"/>
  <c r="C457" i="1"/>
  <c r="H457" i="1" s="1"/>
  <c r="C148" i="1"/>
  <c r="H148" i="1" s="1"/>
  <c r="C189" i="1"/>
  <c r="H189" i="1" s="1"/>
  <c r="C482" i="1"/>
  <c r="H482" i="1" s="1"/>
  <c r="C373" i="1"/>
  <c r="H373" i="1" s="1"/>
  <c r="C409" i="1"/>
  <c r="H409" i="1" s="1"/>
  <c r="C365" i="1"/>
  <c r="H365" i="1" s="1"/>
  <c r="C7" i="1"/>
  <c r="H7" i="1" s="1"/>
  <c r="C181" i="1"/>
  <c r="H181" i="1" s="1"/>
  <c r="C217" i="1"/>
  <c r="H217" i="1" s="1"/>
  <c r="C438" i="1"/>
  <c r="H438" i="1" s="1"/>
  <c r="C562" i="1"/>
  <c r="H562" i="1" s="1"/>
  <c r="C232" i="1"/>
  <c r="H232" i="1" s="1"/>
  <c r="C476" i="1"/>
  <c r="H476" i="1" s="1"/>
  <c r="C630" i="1"/>
  <c r="H630" i="1" s="1"/>
  <c r="C119" i="1"/>
  <c r="H119" i="1" s="1"/>
  <c r="C571" i="1"/>
  <c r="H571" i="1" s="1"/>
  <c r="C8" i="1"/>
  <c r="H8" i="1" s="1"/>
  <c r="C329" i="1"/>
  <c r="H329" i="1" s="1"/>
  <c r="C614" i="1"/>
  <c r="H614" i="1" s="1"/>
  <c r="C506" i="1"/>
  <c r="H506" i="1" s="1"/>
  <c r="C464" i="1"/>
  <c r="H464" i="1" s="1"/>
  <c r="C633" i="1"/>
  <c r="H633" i="1" s="1"/>
  <c r="C85" i="1"/>
  <c r="H85" i="1" s="1"/>
  <c r="C490" i="1"/>
  <c r="H490" i="1" s="1"/>
  <c r="C436" i="1"/>
  <c r="H436" i="1" s="1"/>
  <c r="C74" i="1"/>
  <c r="H74" i="1" s="1"/>
  <c r="C315" i="1"/>
  <c r="H315" i="1" s="1"/>
  <c r="C494" i="1"/>
  <c r="H494" i="1" s="1"/>
  <c r="C41" i="1"/>
  <c r="H41" i="1" s="1"/>
  <c r="C125" i="1"/>
  <c r="H125" i="1" s="1"/>
  <c r="C358" i="1"/>
  <c r="H358" i="1" s="1"/>
  <c r="C123" i="1"/>
  <c r="H123" i="1" s="1"/>
  <c r="C469" i="1"/>
  <c r="H469" i="1" s="1"/>
  <c r="C47" i="1"/>
  <c r="H47" i="1" s="1"/>
  <c r="C421" i="1"/>
  <c r="H421" i="1" s="1"/>
  <c r="C516" i="1"/>
  <c r="H516" i="1" s="1"/>
  <c r="C62" i="1"/>
  <c r="H62" i="1" s="1"/>
  <c r="C71" i="1"/>
  <c r="H71" i="1" s="1"/>
  <c r="C370" i="1"/>
  <c r="H370" i="1" s="1"/>
  <c r="C342" i="1"/>
  <c r="H342" i="1" s="1"/>
  <c r="C34" i="1"/>
  <c r="H34" i="1" s="1"/>
  <c r="C188" i="1"/>
  <c r="H188" i="1" s="1"/>
  <c r="C453" i="1"/>
  <c r="H453" i="1" s="1"/>
  <c r="C178" i="1"/>
  <c r="H178" i="1" s="1"/>
  <c r="C23" i="1"/>
  <c r="H23" i="1" s="1"/>
  <c r="C242" i="1"/>
  <c r="H242" i="1" s="1"/>
  <c r="C227" i="1"/>
  <c r="H227" i="1" s="1"/>
  <c r="C449" i="1"/>
  <c r="H449" i="1" s="1"/>
  <c r="C215" i="1"/>
  <c r="H215" i="1" s="1"/>
  <c r="C208" i="1"/>
  <c r="H208" i="1" s="1"/>
  <c r="C244" i="1"/>
  <c r="H244" i="1" s="1"/>
  <c r="C288" i="1"/>
  <c r="H288" i="1" s="1"/>
  <c r="C575" i="1"/>
  <c r="H575" i="1" s="1"/>
  <c r="C380" i="1"/>
  <c r="H380" i="1" s="1"/>
  <c r="C226" i="1"/>
  <c r="H226" i="1" s="1"/>
  <c r="C462" i="1"/>
  <c r="H462" i="1" s="1"/>
  <c r="C205" i="1"/>
  <c r="H205" i="1" s="1"/>
  <c r="C355" i="1"/>
  <c r="H355" i="1" s="1"/>
  <c r="C580" i="1"/>
  <c r="H580" i="1" s="1"/>
  <c r="C448" i="1"/>
  <c r="H448" i="1" s="1"/>
  <c r="C172" i="1"/>
  <c r="H172" i="1" s="1"/>
  <c r="C400" i="1"/>
  <c r="H400" i="1" s="1"/>
  <c r="C600" i="1"/>
  <c r="H600" i="1" s="1"/>
  <c r="C542" i="1"/>
  <c r="H542" i="1" s="1"/>
  <c r="C45" i="1"/>
  <c r="H45" i="1" s="1"/>
  <c r="C161" i="1"/>
  <c r="H161" i="1" s="1"/>
  <c r="C264" i="1"/>
  <c r="H264" i="1" s="1"/>
  <c r="C140" i="1"/>
  <c r="H140" i="1" s="1"/>
  <c r="C452" i="1"/>
  <c r="H452" i="1" s="1"/>
  <c r="C243" i="1"/>
  <c r="H243" i="1" s="1"/>
  <c r="C277" i="1"/>
  <c r="H277" i="1" s="1"/>
  <c r="C594" i="1"/>
  <c r="H594" i="1" s="1"/>
  <c r="C526" i="1"/>
  <c r="H526" i="1" s="1"/>
  <c r="C558" i="1"/>
  <c r="H558" i="1" s="1"/>
  <c r="C511" i="1"/>
  <c r="H511" i="1" s="1"/>
  <c r="C223" i="1"/>
  <c r="H223" i="1" s="1"/>
  <c r="C167" i="1"/>
  <c r="H167" i="1" s="1"/>
  <c r="C37" i="1"/>
  <c r="H37" i="1" s="1"/>
  <c r="C2" i="1"/>
  <c r="H2" i="1" s="1"/>
  <c r="C381" i="1"/>
  <c r="H381" i="1" s="1"/>
  <c r="C527" i="1"/>
  <c r="H527" i="1" s="1"/>
  <c r="C512" i="1"/>
  <c r="H512" i="1" s="1"/>
  <c r="C366" i="1"/>
  <c r="H366" i="1" s="1"/>
  <c r="C56" i="1"/>
  <c r="H56" i="1" s="1"/>
  <c r="C607" i="1"/>
  <c r="H607" i="1" s="1"/>
  <c r="C164" i="1"/>
  <c r="H164" i="1" s="1"/>
  <c r="C566" i="1"/>
  <c r="H566" i="1" s="1"/>
  <c r="C341" i="1"/>
  <c r="H341" i="1" s="1"/>
  <c r="C622" i="1"/>
  <c r="H622" i="1" s="1"/>
  <c r="C504" i="1"/>
  <c r="H504" i="1" s="1"/>
  <c r="C292" i="1"/>
  <c r="H292" i="1" s="1"/>
  <c r="C399" i="1"/>
  <c r="H399" i="1" s="1"/>
  <c r="C251" i="1"/>
  <c r="H251" i="1" s="1"/>
  <c r="C134" i="1"/>
  <c r="H134" i="1" s="1"/>
  <c r="C233" i="1"/>
  <c r="H233" i="1" s="1"/>
  <c r="C520" i="1"/>
  <c r="H520" i="1" s="1"/>
  <c r="C281" i="1"/>
  <c r="H281" i="1" s="1"/>
  <c r="C220" i="1"/>
  <c r="H220" i="1" s="1"/>
  <c r="C555" i="1"/>
  <c r="H555" i="1" s="1"/>
  <c r="C536" i="1"/>
  <c r="H536" i="1" s="1"/>
  <c r="C253" i="1"/>
  <c r="H253" i="1" s="1"/>
  <c r="C213" i="1"/>
  <c r="H213" i="1" s="1"/>
  <c r="C276" i="1"/>
  <c r="H276" i="1" s="1"/>
  <c r="C426" i="1"/>
  <c r="H426" i="1" s="1"/>
  <c r="C608" i="1"/>
  <c r="H608" i="1" s="1"/>
  <c r="C33" i="1"/>
  <c r="H33" i="1" s="1"/>
  <c r="C98" i="1"/>
  <c r="H98" i="1" s="1"/>
  <c r="C94" i="1"/>
  <c r="H94" i="1" s="1"/>
  <c r="C280" i="1"/>
  <c r="H280" i="1" s="1"/>
  <c r="C363" i="1"/>
  <c r="H363" i="1" s="1"/>
  <c r="C372" i="1"/>
  <c r="H372" i="1" s="1"/>
  <c r="C427" i="1"/>
  <c r="H427" i="1" s="1"/>
  <c r="C445" i="1"/>
  <c r="H445" i="1" s="1"/>
  <c r="C48" i="1"/>
  <c r="H48" i="1" s="1"/>
  <c r="C91" i="1"/>
  <c r="H91" i="1" s="1"/>
  <c r="C416" i="1"/>
  <c r="H416" i="1" s="1"/>
  <c r="C332" i="1"/>
  <c r="H332" i="1" s="1"/>
  <c r="C9" i="1"/>
  <c r="H9" i="1" s="1"/>
  <c r="C513" i="1"/>
  <c r="H513" i="1" s="1"/>
  <c r="C103" i="1"/>
  <c r="H103" i="1" s="1"/>
  <c r="C460" i="1"/>
  <c r="H460" i="1" s="1"/>
  <c r="C286" i="1"/>
  <c r="H286" i="1" s="1"/>
  <c r="C350" i="1"/>
  <c r="H350" i="1" s="1"/>
  <c r="C610" i="1"/>
  <c r="H610" i="1" s="1"/>
  <c r="C359" i="1"/>
  <c r="H359" i="1" s="1"/>
  <c r="C239" i="1"/>
  <c r="H239" i="1" s="1"/>
  <c r="C485" i="1"/>
  <c r="H485" i="1" s="1"/>
  <c r="C629" i="1"/>
  <c r="H629" i="1" s="1"/>
  <c r="C294" i="1"/>
  <c r="H294" i="1" s="1"/>
  <c r="C198" i="1"/>
  <c r="H198" i="1" s="1"/>
  <c r="C157" i="1"/>
  <c r="H157" i="1" s="1"/>
  <c r="C300" i="1"/>
  <c r="H300" i="1" s="1"/>
  <c r="C598" i="1"/>
  <c r="H598" i="1" s="1"/>
  <c r="C170" i="1"/>
  <c r="H170" i="1" s="1"/>
  <c r="C509" i="1"/>
  <c r="H509" i="1" s="1"/>
  <c r="C376" i="1"/>
  <c r="H376" i="1" s="1"/>
  <c r="C296" i="1"/>
  <c r="H296" i="1" s="1"/>
  <c r="C528" i="1"/>
  <c r="H528" i="1" s="1"/>
  <c r="C546" i="1"/>
  <c r="H546" i="1" s="1"/>
  <c r="C628" i="1"/>
  <c r="H628" i="1" s="1"/>
  <c r="C225" i="1"/>
  <c r="H225" i="1" s="1"/>
  <c r="C159" i="1"/>
  <c r="H159" i="1" s="1"/>
  <c r="C425" i="1"/>
  <c r="H425" i="1" s="1"/>
  <c r="C51" i="1"/>
  <c r="H51" i="1" s="1"/>
  <c r="C310" i="1"/>
  <c r="H310" i="1" s="1"/>
  <c r="C523" i="1"/>
  <c r="H523" i="1" s="1"/>
  <c r="C603" i="1"/>
  <c r="H603" i="1" s="1"/>
  <c r="C28" i="1"/>
  <c r="H28" i="1" s="1"/>
  <c r="C514" i="1"/>
  <c r="H514" i="1" s="1"/>
  <c r="C495" i="1"/>
  <c r="H495" i="1" s="1"/>
  <c r="C435" i="1"/>
  <c r="H435" i="1" s="1"/>
  <c r="C154" i="1"/>
  <c r="H154" i="1" s="1"/>
  <c r="C597" i="1"/>
  <c r="H597" i="1" s="1"/>
  <c r="C377" i="1"/>
  <c r="H377" i="1" s="1"/>
  <c r="C84" i="1"/>
  <c r="H84" i="1" s="1"/>
  <c r="C477" i="1"/>
  <c r="H477" i="1" s="1"/>
  <c r="C454" i="1"/>
  <c r="H454" i="1" s="1"/>
  <c r="C405" i="1"/>
  <c r="H405" i="1" s="1"/>
  <c r="C179" i="1"/>
  <c r="H179" i="1" s="1"/>
  <c r="C556" i="1"/>
  <c r="F556" i="1" s="1"/>
  <c r="C13" i="1"/>
  <c r="H13" i="1" s="1"/>
  <c r="C287" i="1"/>
  <c r="H287" i="1" s="1"/>
  <c r="C311" i="1"/>
  <c r="H311" i="1" s="1"/>
  <c r="C130" i="1"/>
  <c r="H130" i="1" s="1"/>
  <c r="C588" i="1"/>
  <c r="H588" i="1" s="1"/>
  <c r="C258" i="1"/>
  <c r="H258" i="1" s="1"/>
  <c r="C347" i="1"/>
  <c r="H347" i="1" s="1"/>
  <c r="C578" i="1"/>
  <c r="H578" i="1" s="1"/>
  <c r="C530" i="1"/>
  <c r="H530" i="1" s="1"/>
  <c r="C489" i="1"/>
  <c r="H489" i="1" s="1"/>
  <c r="C184" i="1"/>
  <c r="H184" i="1" s="1"/>
  <c r="C579" i="1"/>
  <c r="H579" i="1" s="1"/>
  <c r="C437" i="1"/>
  <c r="H437" i="1" s="1"/>
  <c r="C472" i="1"/>
  <c r="H472" i="1" s="1"/>
  <c r="C419" i="1"/>
  <c r="H419" i="1" s="1"/>
  <c r="C543" i="1"/>
  <c r="H543" i="1" s="1"/>
  <c r="C306" i="1"/>
  <c r="H306" i="1" s="1"/>
  <c r="C199" i="1"/>
  <c r="H199" i="1" s="1"/>
  <c r="C79" i="1"/>
  <c r="H79" i="1" s="1"/>
  <c r="C466" i="1"/>
  <c r="H466" i="1" s="1"/>
  <c r="C144" i="1"/>
  <c r="H144" i="1" s="1"/>
  <c r="C171" i="1"/>
  <c r="H171" i="1" s="1"/>
  <c r="C601" i="1"/>
  <c r="H601" i="1" s="1"/>
  <c r="C313" i="1"/>
  <c r="H313" i="1" s="1"/>
  <c r="C362" i="1"/>
  <c r="H362" i="1" s="1"/>
  <c r="C569" i="1"/>
  <c r="H569" i="1" s="1"/>
  <c r="C360" i="1"/>
  <c r="H360" i="1" s="1"/>
  <c r="C16" i="1"/>
  <c r="H16" i="1" s="1"/>
  <c r="C583" i="1"/>
  <c r="H583" i="1" s="1"/>
  <c r="C192" i="1"/>
  <c r="H192" i="1" s="1"/>
  <c r="C422" i="1"/>
  <c r="H422" i="1" s="1"/>
  <c r="C497" i="1"/>
  <c r="H497" i="1" s="1"/>
  <c r="C191" i="1"/>
  <c r="H191" i="1" s="1"/>
  <c r="C133" i="1"/>
  <c r="H133" i="1" s="1"/>
  <c r="C69" i="1"/>
  <c r="H69" i="1" s="1"/>
  <c r="C609" i="1"/>
  <c r="H609" i="1" s="1"/>
  <c r="C206" i="1"/>
  <c r="H206" i="1" s="1"/>
  <c r="C90" i="1"/>
  <c r="H90" i="1" s="1"/>
  <c r="C40" i="1"/>
  <c r="H40" i="1" s="1"/>
  <c r="C487" i="1"/>
  <c r="H487" i="1" s="1"/>
  <c r="C326" i="1"/>
  <c r="H326" i="1" s="1"/>
  <c r="C82" i="1"/>
  <c r="H82" i="1" s="1"/>
  <c r="C375" i="1"/>
  <c r="H375" i="1" s="1"/>
  <c r="C20" i="1"/>
  <c r="H20" i="1" s="1"/>
  <c r="C303" i="1"/>
  <c r="H303" i="1" s="1"/>
  <c r="C252" i="1"/>
  <c r="H252" i="1" s="1"/>
  <c r="C118" i="1"/>
  <c r="H118" i="1" s="1"/>
  <c r="C275" i="1"/>
  <c r="H275" i="1" s="1"/>
  <c r="C336" i="1"/>
  <c r="H336" i="1" s="1"/>
  <c r="C407" i="1"/>
  <c r="H407" i="1" s="1"/>
  <c r="C480" i="1"/>
  <c r="H480" i="1" s="1"/>
  <c r="C518" i="1"/>
  <c r="H518" i="1" s="1"/>
  <c r="C216" i="1"/>
  <c r="H216" i="1" s="1"/>
  <c r="C156" i="1"/>
  <c r="H156" i="1" s="1"/>
  <c r="C455" i="1"/>
  <c r="H455" i="1" s="1"/>
  <c r="C138" i="1"/>
  <c r="H138" i="1" s="1"/>
  <c r="C31" i="1"/>
  <c r="H31" i="1" s="1"/>
  <c r="C55" i="1"/>
  <c r="H55" i="1" s="1"/>
  <c r="C238" i="1"/>
  <c r="H238" i="1" s="1"/>
  <c r="C515" i="1"/>
  <c r="H515" i="1" s="1"/>
  <c r="C185" i="1"/>
  <c r="H185" i="1" s="1"/>
  <c r="C298" i="1"/>
  <c r="H298" i="1" s="1"/>
  <c r="C249" i="1"/>
  <c r="H249" i="1" s="1"/>
  <c r="C39" i="1"/>
  <c r="H39" i="1" s="1"/>
  <c r="C12" i="1"/>
  <c r="H12" i="1" s="1"/>
  <c r="C151" i="1"/>
  <c r="H151" i="1" s="1"/>
  <c r="C24" i="1"/>
  <c r="H24" i="1" s="1"/>
  <c r="C429" i="1"/>
  <c r="H429" i="1" s="1"/>
  <c r="C163" i="1"/>
  <c r="H163" i="1" s="1"/>
  <c r="C145" i="1"/>
  <c r="H145" i="1" s="1"/>
  <c r="C625" i="1"/>
  <c r="H625" i="1" s="1"/>
  <c r="C160" i="1"/>
  <c r="H160" i="1" s="1"/>
  <c r="C584" i="1"/>
  <c r="H584" i="1" s="1"/>
  <c r="C19" i="1"/>
  <c r="H19" i="1" s="1"/>
  <c r="C278" i="1"/>
  <c r="H278" i="1" s="1"/>
  <c r="C274" i="1"/>
  <c r="H274" i="1" s="1"/>
  <c r="C236" i="1"/>
  <c r="H236" i="1" s="1"/>
  <c r="C50" i="1"/>
  <c r="H50" i="1" s="1"/>
  <c r="C99" i="1"/>
  <c r="H99" i="1" s="1"/>
  <c r="C397" i="1"/>
  <c r="H397" i="1" s="1"/>
  <c r="C267" i="1"/>
  <c r="H267" i="1" s="1"/>
  <c r="C174" i="1"/>
  <c r="H174" i="1" s="1"/>
  <c r="C166" i="1"/>
  <c r="H166" i="1" s="1"/>
  <c r="C162" i="1"/>
  <c r="H162" i="1" s="1"/>
  <c r="C538" i="1"/>
  <c r="H538" i="1" s="1"/>
  <c r="C291" i="1"/>
  <c r="H291" i="1" s="1"/>
  <c r="C346" i="1"/>
  <c r="H346" i="1" s="1"/>
  <c r="C117" i="1"/>
  <c r="H117" i="1" s="1"/>
  <c r="C65" i="1"/>
  <c r="H65" i="1" s="1"/>
  <c r="C443" i="1"/>
  <c r="H443" i="1" s="1"/>
  <c r="C150" i="1"/>
  <c r="H150" i="1" s="1"/>
  <c r="C491" i="1"/>
  <c r="H491" i="1" s="1"/>
  <c r="C368" i="1"/>
  <c r="H368" i="1" s="1"/>
  <c r="C574" i="1"/>
  <c r="H574" i="1" s="1"/>
  <c r="C337" i="1"/>
  <c r="H337" i="1" s="1"/>
  <c r="C207" i="1"/>
  <c r="H207" i="1" s="1"/>
  <c r="C307" i="1"/>
  <c r="H307" i="1" s="1"/>
  <c r="C211" i="1"/>
  <c r="H211" i="1" s="1"/>
  <c r="C385" i="1"/>
  <c r="H385" i="1" s="1"/>
  <c r="C616" i="1"/>
  <c r="H616" i="1" s="1"/>
  <c r="C356" i="1"/>
  <c r="H356" i="1" s="1"/>
  <c r="C259" i="1"/>
  <c r="H259" i="1" s="1"/>
  <c r="C371" i="1"/>
  <c r="H371" i="1" s="1"/>
  <c r="C6" i="1"/>
  <c r="H6" i="1" s="1"/>
  <c r="C25" i="1"/>
  <c r="H25" i="1" s="1"/>
  <c r="C26" i="1"/>
  <c r="H26" i="1" s="1"/>
  <c r="C339" i="1"/>
  <c r="H339" i="1" s="1"/>
  <c r="C58" i="1"/>
  <c r="H58" i="1" s="1"/>
  <c r="C95" i="1"/>
  <c r="H95" i="1" s="1"/>
  <c r="C260" i="1"/>
  <c r="H260" i="1" s="1"/>
  <c r="C86" i="1"/>
  <c r="H86" i="1" s="1"/>
  <c r="C395" i="1"/>
  <c r="H395" i="1" s="1"/>
  <c r="C67" i="1"/>
  <c r="H67" i="1" s="1"/>
  <c r="C488" i="1"/>
  <c r="H488" i="1" s="1"/>
  <c r="C383" i="1"/>
  <c r="H383" i="1" s="1"/>
  <c r="C545" i="1"/>
  <c r="C77" i="1"/>
  <c r="H77" i="1" s="1"/>
  <c r="C524" i="1"/>
  <c r="H524" i="1" s="1"/>
  <c r="C473" i="1"/>
  <c r="H473" i="1" s="1"/>
  <c r="C96" i="1"/>
  <c r="H96" i="1" s="1"/>
  <c r="C552" i="1"/>
  <c r="H552" i="1" s="1"/>
  <c r="C265" i="1"/>
  <c r="H265" i="1" s="1"/>
  <c r="C285" i="1"/>
  <c r="H285" i="1" s="1"/>
  <c r="C190" i="1"/>
  <c r="H190" i="1" s="1"/>
  <c r="C519" i="1"/>
  <c r="H519" i="1" s="1"/>
  <c r="C247" i="1"/>
  <c r="H247" i="1" s="1"/>
  <c r="C589" i="1"/>
  <c r="H589" i="1" s="1"/>
  <c r="C451" i="1"/>
  <c r="H451" i="1" s="1"/>
  <c r="C458" i="1"/>
  <c r="H458" i="1" s="1"/>
  <c r="C52" i="1"/>
  <c r="H52" i="1" s="1"/>
  <c r="C214" i="1"/>
  <c r="H214" i="1" s="1"/>
  <c r="C391" i="1"/>
  <c r="H391" i="1" s="1"/>
  <c r="C320" i="1"/>
  <c r="H320" i="1" s="1"/>
  <c r="C263" i="1"/>
  <c r="H263" i="1" s="1"/>
  <c r="C354" i="1"/>
  <c r="H354" i="1" s="1"/>
  <c r="C241" i="1"/>
  <c r="H241" i="1" s="1"/>
  <c r="C305" i="1"/>
  <c r="H305" i="1" s="1"/>
  <c r="C229" i="1"/>
  <c r="H229" i="1" s="1"/>
  <c r="C328" i="1"/>
  <c r="H328" i="1" s="1"/>
  <c r="C493" i="1"/>
  <c r="H493" i="1" s="1"/>
  <c r="C158" i="1"/>
  <c r="H158" i="1" s="1"/>
  <c r="C577" i="1"/>
  <c r="H577" i="1" s="1"/>
  <c r="C602" i="1"/>
  <c r="H602" i="1" s="1"/>
  <c r="C492" i="1"/>
  <c r="H492" i="1" s="1"/>
  <c r="C568" i="1"/>
  <c r="H568" i="1" s="1"/>
  <c r="C586" i="1"/>
  <c r="H586" i="1" s="1"/>
  <c r="C10" i="1"/>
  <c r="H10" i="1" s="1"/>
  <c r="C570" i="1"/>
  <c r="H570" i="1" s="1"/>
  <c r="C289" i="1"/>
  <c r="H289" i="1" s="1"/>
  <c r="C141" i="1"/>
  <c r="H141" i="1" s="1"/>
  <c r="C256" i="1"/>
  <c r="H256" i="1" s="1"/>
  <c r="C446" i="1"/>
  <c r="H446" i="1" s="1"/>
  <c r="C136" i="1"/>
  <c r="H136" i="1" s="1"/>
  <c r="C349" i="1"/>
  <c r="H349" i="1" s="1"/>
  <c r="C450" i="1"/>
  <c r="H450" i="1" s="1"/>
  <c r="C262" i="1"/>
  <c r="H262" i="1" s="1"/>
  <c r="C180" i="1"/>
  <c r="H180" i="1" s="1"/>
  <c r="C587" i="1"/>
  <c r="H587" i="1" s="1"/>
  <c r="C393" i="1"/>
  <c r="H393" i="1" s="1"/>
  <c r="C89" i="1"/>
  <c r="H89" i="1" s="1"/>
  <c r="C129" i="1"/>
  <c r="H129" i="1" s="1"/>
  <c r="C110" i="1"/>
  <c r="H110" i="1" s="1"/>
  <c r="C544" i="1"/>
  <c r="H544" i="1" s="1"/>
  <c r="C112" i="1"/>
  <c r="C486" i="1"/>
  <c r="H486" i="1" s="1"/>
  <c r="C149" i="1"/>
  <c r="H149" i="1" s="1"/>
  <c r="C420" i="1"/>
  <c r="H420" i="1" s="1"/>
  <c r="C508" i="1"/>
  <c r="H508" i="1" s="1"/>
  <c r="C182" i="1"/>
  <c r="H182" i="1" s="1"/>
  <c r="C503" i="1"/>
  <c r="H503" i="1" s="1"/>
  <c r="C423" i="1"/>
  <c r="H423" i="1" s="1"/>
  <c r="C593" i="1"/>
  <c r="C517" i="1"/>
  <c r="H517" i="1" s="1"/>
  <c r="C290" i="1"/>
  <c r="H290" i="1" s="1"/>
  <c r="C631" i="1"/>
  <c r="H631" i="1" s="1"/>
  <c r="C314" i="1"/>
  <c r="H314" i="1" s="1"/>
  <c r="C540" i="1"/>
  <c r="H540" i="1" s="1"/>
  <c r="C176" i="1"/>
  <c r="H176" i="1" s="1"/>
  <c r="C42" i="1"/>
  <c r="H42" i="1" s="1"/>
  <c r="C481" i="1"/>
  <c r="H481" i="1" s="1"/>
  <c r="C327" i="1"/>
  <c r="H327" i="1" s="1"/>
  <c r="C271" i="1"/>
  <c r="H271" i="1" s="1"/>
  <c r="C237" i="1"/>
  <c r="H237" i="1" s="1"/>
  <c r="C439" i="1"/>
  <c r="H439" i="1" s="1"/>
  <c r="C434" i="1"/>
  <c r="H434" i="1" s="1"/>
  <c r="C308" i="1"/>
  <c r="H308" i="1" s="1"/>
  <c r="C187" i="1"/>
  <c r="H187" i="1" s="1"/>
  <c r="C63" i="1"/>
  <c r="H63" i="1" s="1"/>
  <c r="C344" i="1"/>
  <c r="H344" i="1" s="1"/>
  <c r="C549" i="1"/>
  <c r="H549" i="1" s="1"/>
  <c r="C467" i="1"/>
  <c r="H467" i="1" s="1"/>
  <c r="C321" i="1"/>
  <c r="H321" i="1" s="1"/>
  <c r="C529" i="1"/>
  <c r="H529" i="1" s="1"/>
  <c r="C14" i="1"/>
  <c r="H14" i="1" s="1"/>
  <c r="C484" i="1"/>
  <c r="H484" i="1" s="1"/>
  <c r="C173" i="1"/>
  <c r="C379" i="1"/>
  <c r="H379" i="1" s="1"/>
  <c r="C143" i="1"/>
  <c r="H143" i="1" s="1"/>
  <c r="C612" i="1"/>
  <c r="H612" i="1" s="1"/>
  <c r="C398" i="1"/>
  <c r="H398" i="1" s="1"/>
  <c r="C590" i="1"/>
  <c r="H590" i="1" s="1"/>
  <c r="C408" i="1"/>
  <c r="H408" i="1" s="1"/>
  <c r="C43" i="1"/>
  <c r="H43" i="1" s="1"/>
  <c r="C147" i="1"/>
  <c r="H147" i="1" s="1"/>
  <c r="C352" i="1"/>
  <c r="H352" i="1" s="1"/>
  <c r="C474" i="1"/>
  <c r="H474" i="1" s="1"/>
  <c r="C444" i="1"/>
  <c r="H444" i="1" s="1"/>
  <c r="C559" i="1"/>
  <c r="C325" i="1"/>
  <c r="H325" i="1" s="1"/>
  <c r="C11" i="1"/>
  <c r="H11" i="1" s="1"/>
  <c r="C202" i="1"/>
  <c r="H202" i="1" s="1"/>
  <c r="C334" i="1"/>
  <c r="H334" i="1" s="1"/>
  <c r="C605" i="1"/>
  <c r="H605" i="1" s="1"/>
  <c r="C611" i="1"/>
  <c r="H611" i="1" s="1"/>
  <c r="C387" i="1"/>
  <c r="H387" i="1" s="1"/>
  <c r="C80" i="1"/>
  <c r="H80" i="1" s="1"/>
  <c r="C322" i="1"/>
  <c r="C388" i="1"/>
  <c r="H388" i="1" s="1"/>
  <c r="C54" i="1"/>
  <c r="H54" i="1" s="1"/>
  <c r="C304" i="1"/>
  <c r="H304" i="1" s="1"/>
  <c r="C22" i="1"/>
  <c r="H22" i="1" s="1"/>
  <c r="C456" i="1"/>
  <c r="H456" i="1" s="1"/>
  <c r="C316" i="1"/>
  <c r="H316" i="1" s="1"/>
  <c r="C88" i="1"/>
  <c r="H88" i="1" s="1"/>
  <c r="C432" i="1"/>
  <c r="H432" i="1" s="1"/>
  <c r="C403" i="1"/>
  <c r="H403" i="1" s="1"/>
  <c r="C272" i="1"/>
  <c r="H272" i="1" s="1"/>
  <c r="C532" i="1"/>
  <c r="H532" i="1" s="1"/>
  <c r="C273" i="1"/>
  <c r="H273" i="1" s="1"/>
  <c r="C66" i="1"/>
  <c r="H66" i="1" s="1"/>
  <c r="C333" i="1"/>
  <c r="H333" i="1" s="1"/>
  <c r="C175" i="1"/>
  <c r="C592" i="1"/>
  <c r="H592" i="1" s="1"/>
  <c r="C231" i="1"/>
  <c r="H231" i="1" s="1"/>
  <c r="C168" i="1"/>
  <c r="H168" i="1" s="1"/>
  <c r="C203" i="1"/>
  <c r="C177" i="1"/>
  <c r="H177" i="1" s="1"/>
  <c r="C64" i="1"/>
  <c r="H64" i="1" s="1"/>
  <c r="C72" i="1"/>
  <c r="H72" i="1" s="1"/>
  <c r="C406" i="1"/>
  <c r="H406" i="1" s="1"/>
  <c r="C351" i="1"/>
  <c r="H351" i="1" s="1"/>
  <c r="C102" i="1"/>
  <c r="H102" i="1" s="1"/>
  <c r="C389" i="1"/>
  <c r="H389" i="1" s="1"/>
  <c r="C83" i="1"/>
  <c r="H83" i="1" s="1"/>
  <c r="C483" i="1"/>
  <c r="H483" i="1" s="1"/>
  <c r="C318" i="1"/>
  <c r="H318" i="1" s="1"/>
  <c r="C553" i="1"/>
  <c r="H553" i="1" s="1"/>
  <c r="C169" i="1"/>
  <c r="C57" i="1"/>
  <c r="H57" i="1" s="1"/>
  <c r="C235" i="1"/>
  <c r="H235" i="1" s="1"/>
  <c r="C153" i="1"/>
  <c r="H153" i="1" s="1"/>
  <c r="C563" i="1"/>
  <c r="H563" i="1" s="1"/>
  <c r="C499" i="1"/>
  <c r="H499" i="1" s="1"/>
  <c r="C617" i="1"/>
  <c r="H617" i="1" s="1"/>
  <c r="C200" i="1"/>
  <c r="H200" i="1" s="1"/>
  <c r="C197" i="1"/>
  <c r="H197" i="1" s="1"/>
  <c r="C619" i="1"/>
  <c r="C269" i="1"/>
  <c r="H269" i="1" s="1"/>
  <c r="C357" i="1"/>
  <c r="H357" i="1" s="1"/>
  <c r="C442" i="1"/>
  <c r="H442" i="1" s="1"/>
  <c r="C548" i="1"/>
  <c r="H548" i="1" s="1"/>
  <c r="C392" i="1"/>
  <c r="H392" i="1" s="1"/>
  <c r="C533" i="1"/>
  <c r="H533" i="1" s="1"/>
  <c r="C585" i="1"/>
  <c r="H585" i="1" s="1"/>
  <c r="C46" i="1"/>
  <c r="H46" i="1" s="1"/>
  <c r="C534" i="1"/>
  <c r="H534" i="1" s="1"/>
  <c r="C183" i="1"/>
  <c r="H183" i="1" s="1"/>
  <c r="C626" i="1"/>
  <c r="H626" i="1" s="1"/>
  <c r="C106" i="1"/>
  <c r="H106" i="1" s="1"/>
  <c r="C30" i="1"/>
  <c r="H30" i="1" s="1"/>
  <c r="C412" i="1"/>
  <c r="H412" i="1" s="1"/>
  <c r="C245" i="1"/>
  <c r="H245" i="1" s="1"/>
  <c r="C283" i="1"/>
  <c r="H283" i="1" s="1"/>
  <c r="C61" i="1"/>
  <c r="H61" i="1" s="1"/>
  <c r="C411" i="1"/>
  <c r="H411" i="1" s="1"/>
  <c r="C478" i="1"/>
  <c r="H478" i="1" s="1"/>
  <c r="C386" i="1"/>
  <c r="H386" i="1" s="1"/>
  <c r="C433" i="1"/>
  <c r="H433" i="1" s="1"/>
  <c r="C567" i="1"/>
  <c r="H567" i="1" s="1"/>
  <c r="C510" i="1"/>
  <c r="H510" i="1" s="1"/>
  <c r="C479" i="1"/>
  <c r="H479" i="1" s="1"/>
  <c r="C124" i="1"/>
  <c r="H124" i="1" s="1"/>
  <c r="C302" i="1"/>
  <c r="H302" i="1" s="1"/>
  <c r="C595" i="1"/>
  <c r="H595" i="1" s="1"/>
  <c r="C111" i="1"/>
  <c r="H111" i="1" s="1"/>
  <c r="C521" i="1"/>
  <c r="H521" i="1" s="1"/>
  <c r="C309" i="1"/>
  <c r="H309" i="1" s="1"/>
  <c r="C219" i="1"/>
  <c r="C221" i="1"/>
  <c r="H221" i="1" s="1"/>
  <c r="C557" i="1"/>
  <c r="H557" i="1" s="1"/>
  <c r="C554" i="1"/>
  <c r="H554" i="1" s="1"/>
  <c r="C317" i="1"/>
  <c r="H317" i="1" s="1"/>
  <c r="C282" i="1"/>
  <c r="C330" i="1"/>
  <c r="H330" i="1" s="1"/>
  <c r="C29" i="1"/>
  <c r="H29" i="1" s="1"/>
  <c r="C255" i="1"/>
  <c r="H255" i="1" s="1"/>
  <c r="C345" i="1"/>
  <c r="H345" i="1" s="1"/>
  <c r="C461" i="1"/>
  <c r="H461" i="1" s="1"/>
  <c r="C100" i="1"/>
  <c r="H100" i="1" s="1"/>
  <c r="C70" i="1"/>
  <c r="H70" i="1" s="1"/>
  <c r="C27" i="1"/>
  <c r="H27" i="1" s="1"/>
  <c r="C599" i="1"/>
  <c r="H599" i="1" s="1"/>
  <c r="C581" i="1"/>
  <c r="H581" i="1" s="1"/>
  <c r="C36" i="1"/>
  <c r="H36" i="1" s="1"/>
  <c r="C324" i="1"/>
  <c r="H324" i="1" s="1"/>
  <c r="C59" i="1"/>
  <c r="H59" i="1" s="1"/>
  <c r="C122" i="1"/>
  <c r="H122" i="1" s="1"/>
  <c r="C81" i="1"/>
  <c r="H81" i="1" s="1"/>
  <c r="C539" i="1"/>
  <c r="H539" i="1" s="1"/>
  <c r="C126" i="1"/>
  <c r="H126" i="1" s="1"/>
  <c r="C113" i="1"/>
  <c r="H113" i="1" s="1"/>
  <c r="C401" i="1"/>
  <c r="H401" i="1" s="1"/>
  <c r="C621" i="1"/>
  <c r="H621" i="1" s="1"/>
  <c r="C537" i="1"/>
  <c r="H537" i="1" s="1"/>
  <c r="AC32" i="1"/>
  <c r="AL32" i="1" s="1"/>
  <c r="AC142" i="1"/>
  <c r="AL142" i="1" s="1"/>
  <c r="AC431" i="1"/>
  <c r="AL431" i="1" s="1"/>
  <c r="AC284" i="1"/>
  <c r="AL284" i="1" s="1"/>
  <c r="AC550" i="1"/>
  <c r="AL550" i="1" s="1"/>
  <c r="AC547" i="1"/>
  <c r="AL547" i="1" s="1"/>
  <c r="AC613" i="1"/>
  <c r="AL613" i="1" s="1"/>
  <c r="AC348" i="1"/>
  <c r="AL348" i="1" s="1"/>
  <c r="AC17" i="1"/>
  <c r="AL17" i="1" s="1"/>
  <c r="AC196" i="1"/>
  <c r="AL196" i="1" s="1"/>
  <c r="AC132" i="1"/>
  <c r="AL132" i="1" s="1"/>
  <c r="AC501" i="1"/>
  <c r="AL501" i="1" s="1"/>
  <c r="AC293" i="1"/>
  <c r="AL293" i="1" s="1"/>
  <c r="AC301" i="1"/>
  <c r="AL301" i="1" s="1"/>
  <c r="AC384" i="1"/>
  <c r="AL384" i="1" s="1"/>
  <c r="AC68" i="1"/>
  <c r="AL68" i="1" s="1"/>
  <c r="AC107" i="1"/>
  <c r="AL107" i="1" s="1"/>
  <c r="AC116" i="1"/>
  <c r="AL116" i="1" s="1"/>
  <c r="AC114" i="1"/>
  <c r="AL114" i="1" s="1"/>
  <c r="AC270" i="1"/>
  <c r="AL270" i="1" s="1"/>
  <c r="AC266" i="1"/>
  <c r="AL266" i="1" s="1"/>
  <c r="AC367" i="1"/>
  <c r="AL367" i="1" s="1"/>
  <c r="AC279" i="1"/>
  <c r="AL279" i="1" s="1"/>
  <c r="AC254" i="1"/>
  <c r="AL254" i="1" s="1"/>
  <c r="AC418" i="1"/>
  <c r="AL418" i="1" s="1"/>
  <c r="AC582" i="1"/>
  <c r="AL582" i="1" s="1"/>
  <c r="AC447" i="1"/>
  <c r="AL447" i="1" s="1"/>
  <c r="AC560" i="1"/>
  <c r="AL560" i="1" s="1"/>
  <c r="AC268" i="1"/>
  <c r="AL268" i="1" s="1"/>
  <c r="AC335" i="1"/>
  <c r="AL335" i="1" s="1"/>
  <c r="AC105" i="1"/>
  <c r="AL105" i="1" s="1"/>
  <c r="AC424" i="1"/>
  <c r="AL424" i="1" s="1"/>
  <c r="AC402" i="1"/>
  <c r="AL402" i="1" s="1"/>
  <c r="AC230" i="1"/>
  <c r="AL230" i="1" s="1"/>
  <c r="AC394" i="1"/>
  <c r="AL394" i="1" s="1"/>
  <c r="AC115" i="1"/>
  <c r="AL115" i="1" s="1"/>
  <c r="AC414" i="1"/>
  <c r="AL414" i="1" s="1"/>
  <c r="AC257" i="1"/>
  <c r="AL257" i="1" s="1"/>
  <c r="AC522" i="1"/>
  <c r="AL522" i="1" s="1"/>
  <c r="AC53" i="1"/>
  <c r="AL53" i="1" s="1"/>
  <c r="AC369" i="1"/>
  <c r="AL369" i="1" s="1"/>
  <c r="AC108" i="1"/>
  <c r="AL108" i="1" s="1"/>
  <c r="AC441" i="1"/>
  <c r="AL441" i="1" s="1"/>
  <c r="AC193" i="1"/>
  <c r="AL193" i="1" s="1"/>
  <c r="AC78" i="1"/>
  <c r="AL78" i="1" s="1"/>
  <c r="AC471" i="1"/>
  <c r="AL471" i="1" s="1"/>
  <c r="AC15" i="1"/>
  <c r="AL15" i="1" s="1"/>
  <c r="AC97" i="1"/>
  <c r="AL97" i="1" s="1"/>
  <c r="AC49" i="1"/>
  <c r="AL49" i="1" s="1"/>
  <c r="AC250" i="1"/>
  <c r="AL250" i="1" s="1"/>
  <c r="AC606" i="1"/>
  <c r="AL606" i="1" s="1"/>
  <c r="AC343" i="1"/>
  <c r="AL343" i="1" s="1"/>
  <c r="AC531" i="1"/>
  <c r="AL531" i="1" s="1"/>
  <c r="AC624" i="1"/>
  <c r="AL624" i="1" s="1"/>
  <c r="AC35" i="1"/>
  <c r="AL35" i="1" s="1"/>
  <c r="AC234" i="1"/>
  <c r="AL234" i="1" s="1"/>
  <c r="AC525" i="1"/>
  <c r="AL525" i="1" s="1"/>
  <c r="AC3" i="1"/>
  <c r="AL3" i="1" s="1"/>
  <c r="AC475" i="1"/>
  <c r="AL475" i="1" s="1"/>
  <c r="AC73" i="1"/>
  <c r="AL73" i="1" s="1"/>
  <c r="AC139" i="1"/>
  <c r="AL139" i="1" s="1"/>
  <c r="AC390" i="1"/>
  <c r="AL390" i="1" s="1"/>
  <c r="AC5" i="1"/>
  <c r="AL5" i="1" s="1"/>
  <c r="AC104" i="1"/>
  <c r="AL104" i="1" s="1"/>
  <c r="AC152" i="1"/>
  <c r="AL152" i="1" s="1"/>
  <c r="AC146" i="1"/>
  <c r="AL146" i="1" s="1"/>
  <c r="AC319" i="1"/>
  <c r="AL319" i="1" s="1"/>
  <c r="AC312" i="1"/>
  <c r="AL312" i="1" s="1"/>
  <c r="AC470" i="1"/>
  <c r="AL470" i="1" s="1"/>
  <c r="AC340" i="1"/>
  <c r="AL340" i="1" s="1"/>
  <c r="AC507" i="1"/>
  <c r="AL507" i="1" s="1"/>
  <c r="AC75" i="1"/>
  <c r="AL75" i="1" s="1"/>
  <c r="AC228" i="1"/>
  <c r="AL228" i="1" s="1"/>
  <c r="AC463" i="1"/>
  <c r="AL463" i="1" s="1"/>
  <c r="AC428" i="1"/>
  <c r="AL428" i="1" s="1"/>
  <c r="AC135" i="1"/>
  <c r="AL135" i="1" s="1"/>
  <c r="AC121" i="1"/>
  <c r="AL121" i="1" s="1"/>
  <c r="AC374" i="1"/>
  <c r="AL374" i="1" s="1"/>
  <c r="AC498" i="1"/>
  <c r="AL498" i="1" s="1"/>
  <c r="AC21" i="1"/>
  <c r="AL21" i="1" s="1"/>
  <c r="AC120" i="1"/>
  <c r="AL120" i="1" s="1"/>
  <c r="AC535" i="1"/>
  <c r="AL535" i="1" s="1"/>
  <c r="AC623" i="1"/>
  <c r="AL623" i="1" s="1"/>
  <c r="AC127" i="1"/>
  <c r="AL127" i="1" s="1"/>
  <c r="AC224" i="1"/>
  <c r="AL224" i="1" s="1"/>
  <c r="AC210" i="1"/>
  <c r="AL210" i="1" s="1"/>
  <c r="AC561" i="1"/>
  <c r="AL561" i="1" s="1"/>
  <c r="AC430" i="1"/>
  <c r="AL430" i="1" s="1"/>
  <c r="AC618" i="1"/>
  <c r="AL618" i="1" s="1"/>
  <c r="AC459" i="1"/>
  <c r="AL459" i="1" s="1"/>
  <c r="AC222" i="1"/>
  <c r="AL222" i="1" s="1"/>
  <c r="AC404" i="1"/>
  <c r="AL404" i="1" s="1"/>
  <c r="AC297" i="1"/>
  <c r="AL297" i="1" s="1"/>
  <c r="AC415" i="1"/>
  <c r="AL415" i="1" s="1"/>
  <c r="AC109" i="1"/>
  <c r="AL109" i="1" s="1"/>
  <c r="AC627" i="1"/>
  <c r="AL627" i="1" s="1"/>
  <c r="AC87" i="1"/>
  <c r="AL87" i="1" s="1"/>
  <c r="AC353" i="1"/>
  <c r="AL353" i="1" s="1"/>
  <c r="AC92" i="1"/>
  <c r="AL92" i="1" s="1"/>
  <c r="AC93" i="1"/>
  <c r="AL93" i="1" s="1"/>
  <c r="AC382" i="1"/>
  <c r="AL382" i="1" s="1"/>
  <c r="AC417" i="1"/>
  <c r="AL417" i="1" s="1"/>
  <c r="AC505" i="1"/>
  <c r="AL505" i="1" s="1"/>
  <c r="AC378" i="1"/>
  <c r="AL378" i="1" s="1"/>
  <c r="AC204" i="1"/>
  <c r="AL204" i="1" s="1"/>
  <c r="AC615" i="1"/>
  <c r="AL615" i="1" s="1"/>
  <c r="AC209" i="1"/>
  <c r="AL209" i="1" s="1"/>
  <c r="AC596" i="1"/>
  <c r="AL596" i="1" s="1"/>
  <c r="AC604" i="1"/>
  <c r="AL604" i="1" s="1"/>
  <c r="AC195" i="1"/>
  <c r="AL195" i="1" s="1"/>
  <c r="AC101" i="1"/>
  <c r="AL101" i="1" s="1"/>
  <c r="AC632" i="1"/>
  <c r="AL632" i="1" s="1"/>
  <c r="AC564" i="1"/>
  <c r="AL564" i="1" s="1"/>
  <c r="AC551" i="1"/>
  <c r="AL551" i="1" s="1"/>
  <c r="AC246" i="1"/>
  <c r="AL246" i="1" s="1"/>
  <c r="AC576" i="1"/>
  <c r="AL576" i="1" s="1"/>
  <c r="AC38" i="1"/>
  <c r="AL38" i="1" s="1"/>
  <c r="AC496" i="1"/>
  <c r="AL496" i="1" s="1"/>
  <c r="AC620" i="1"/>
  <c r="AL620" i="1" s="1"/>
  <c r="AC128" i="1"/>
  <c r="AL128" i="1" s="1"/>
  <c r="AC248" i="1"/>
  <c r="AL248" i="1" s="1"/>
  <c r="AC155" i="1"/>
  <c r="AL155" i="1" s="1"/>
  <c r="AC261" i="1"/>
  <c r="AL261" i="1" s="1"/>
  <c r="AC572" i="1"/>
  <c r="AL572" i="1" s="1"/>
  <c r="AC218" i="1"/>
  <c r="AL218" i="1" s="1"/>
  <c r="AC18" i="1"/>
  <c r="AL18" i="1" s="1"/>
  <c r="AC591" i="1"/>
  <c r="AL591" i="1" s="1"/>
  <c r="AC573" i="1"/>
  <c r="AL573" i="1" s="1"/>
  <c r="AC361" i="1"/>
  <c r="AL361" i="1" s="1"/>
  <c r="AC500" i="1"/>
  <c r="AL500" i="1" s="1"/>
  <c r="AC413" i="1"/>
  <c r="AL413" i="1" s="1"/>
  <c r="AC186" i="1"/>
  <c r="AL186" i="1" s="1"/>
  <c r="AC541" i="1"/>
  <c r="AL541" i="1" s="1"/>
  <c r="AC131" i="1"/>
  <c r="AL131" i="1" s="1"/>
  <c r="AC201" i="1"/>
  <c r="AL201" i="1" s="1"/>
  <c r="AC331" i="1"/>
  <c r="AL331" i="1" s="1"/>
  <c r="AC465" i="1"/>
  <c r="AL465" i="1" s="1"/>
  <c r="AC60" i="1"/>
  <c r="AL60" i="1" s="1"/>
  <c r="AC565" i="1"/>
  <c r="AL565" i="1" s="1"/>
  <c r="AC4" i="1"/>
  <c r="AL4" i="1" s="1"/>
  <c r="AC468" i="1"/>
  <c r="AL468" i="1" s="1"/>
  <c r="AC44" i="1"/>
  <c r="AL44" i="1" s="1"/>
  <c r="AC364" i="1"/>
  <c r="AL364" i="1" s="1"/>
  <c r="AC165" i="1"/>
  <c r="AL165" i="1" s="1"/>
  <c r="AC410" i="1"/>
  <c r="AL410" i="1" s="1"/>
  <c r="AC440" i="1"/>
  <c r="AL440" i="1" s="1"/>
  <c r="AC295" i="1"/>
  <c r="AL295" i="1" s="1"/>
  <c r="AC299" i="1"/>
  <c r="AL299" i="1" s="1"/>
  <c r="AC76" i="1"/>
  <c r="AL76" i="1" s="1"/>
  <c r="AC240" i="1"/>
  <c r="AL240" i="1" s="1"/>
  <c r="AC137" i="1"/>
  <c r="AL137" i="1" s="1"/>
  <c r="AC396" i="1"/>
  <c r="AL396" i="1" s="1"/>
  <c r="AC194" i="1"/>
  <c r="AL194" i="1" s="1"/>
  <c r="AC323" i="1"/>
  <c r="AL323" i="1" s="1"/>
  <c r="AC338" i="1"/>
  <c r="AL338" i="1" s="1"/>
  <c r="AC502" i="1"/>
  <c r="AL502" i="1" s="1"/>
  <c r="AC212" i="1"/>
  <c r="AL212" i="1" s="1"/>
  <c r="AC457" i="1"/>
  <c r="AL457" i="1" s="1"/>
  <c r="AC148" i="1"/>
  <c r="AL148" i="1" s="1"/>
  <c r="AC189" i="1"/>
  <c r="AL189" i="1" s="1"/>
  <c r="AC482" i="1"/>
  <c r="AL482" i="1" s="1"/>
  <c r="AC373" i="1"/>
  <c r="AL373" i="1" s="1"/>
  <c r="AC409" i="1"/>
  <c r="AL409" i="1" s="1"/>
  <c r="AC365" i="1"/>
  <c r="AL365" i="1" s="1"/>
  <c r="AC7" i="1"/>
  <c r="AL7" i="1" s="1"/>
  <c r="AC181" i="1"/>
  <c r="AL181" i="1" s="1"/>
  <c r="AC217" i="1"/>
  <c r="AL217" i="1" s="1"/>
  <c r="AC438" i="1"/>
  <c r="AL438" i="1" s="1"/>
  <c r="AC562" i="1"/>
  <c r="AL562" i="1" s="1"/>
  <c r="AC232" i="1"/>
  <c r="AL232" i="1" s="1"/>
  <c r="AC476" i="1"/>
  <c r="AL476" i="1" s="1"/>
  <c r="AC630" i="1"/>
  <c r="AL630" i="1" s="1"/>
  <c r="AC119" i="1"/>
  <c r="AL119" i="1" s="1"/>
  <c r="AC571" i="1"/>
  <c r="AL571" i="1" s="1"/>
  <c r="AC8" i="1"/>
  <c r="AL8" i="1" s="1"/>
  <c r="AC329" i="1"/>
  <c r="AL329" i="1" s="1"/>
  <c r="AC614" i="1"/>
  <c r="AL614" i="1" s="1"/>
  <c r="AC506" i="1"/>
  <c r="AL506" i="1" s="1"/>
  <c r="AC464" i="1"/>
  <c r="AL464" i="1" s="1"/>
  <c r="AC633" i="1"/>
  <c r="AL633" i="1" s="1"/>
  <c r="AC85" i="1"/>
  <c r="AL85" i="1" s="1"/>
  <c r="AC490" i="1"/>
  <c r="AL490" i="1" s="1"/>
  <c r="AC436" i="1"/>
  <c r="AL436" i="1" s="1"/>
  <c r="AC74" i="1"/>
  <c r="AL74" i="1" s="1"/>
  <c r="AC315" i="1"/>
  <c r="AL315" i="1" s="1"/>
  <c r="AC494" i="1"/>
  <c r="AL494" i="1" s="1"/>
  <c r="AC41" i="1"/>
  <c r="AL41" i="1" s="1"/>
  <c r="AC125" i="1"/>
  <c r="AL125" i="1" s="1"/>
  <c r="AC358" i="1"/>
  <c r="AL358" i="1" s="1"/>
  <c r="AC123" i="1"/>
  <c r="AL123" i="1" s="1"/>
  <c r="AC469" i="1"/>
  <c r="AL469" i="1" s="1"/>
  <c r="AC47" i="1"/>
  <c r="AL47" i="1" s="1"/>
  <c r="AC421" i="1"/>
  <c r="AL421" i="1" s="1"/>
  <c r="AC516" i="1"/>
  <c r="AL516" i="1" s="1"/>
  <c r="AC62" i="1"/>
  <c r="AL62" i="1" s="1"/>
  <c r="AC71" i="1"/>
  <c r="AL71" i="1" s="1"/>
  <c r="AC370" i="1"/>
  <c r="AL370" i="1" s="1"/>
  <c r="AC342" i="1"/>
  <c r="AL342" i="1" s="1"/>
  <c r="AC34" i="1"/>
  <c r="AL34" i="1" s="1"/>
  <c r="AC188" i="1"/>
  <c r="AL188" i="1" s="1"/>
  <c r="AC453" i="1"/>
  <c r="AL453" i="1" s="1"/>
  <c r="AC178" i="1"/>
  <c r="AL178" i="1" s="1"/>
  <c r="AC23" i="1"/>
  <c r="AL23" i="1" s="1"/>
  <c r="AC242" i="1"/>
  <c r="AL242" i="1" s="1"/>
  <c r="AC227" i="1"/>
  <c r="AL227" i="1" s="1"/>
  <c r="AC449" i="1"/>
  <c r="AL449" i="1" s="1"/>
  <c r="AC215" i="1"/>
  <c r="AL215" i="1" s="1"/>
  <c r="AC208" i="1"/>
  <c r="AL208" i="1" s="1"/>
  <c r="AC244" i="1"/>
  <c r="AL244" i="1" s="1"/>
  <c r="AC288" i="1"/>
  <c r="AL288" i="1" s="1"/>
  <c r="AC575" i="1"/>
  <c r="AL575" i="1" s="1"/>
  <c r="AC380" i="1"/>
  <c r="AL380" i="1" s="1"/>
  <c r="AC226" i="1"/>
  <c r="AL226" i="1" s="1"/>
  <c r="AC462" i="1"/>
  <c r="AL462" i="1" s="1"/>
  <c r="AC205" i="1"/>
  <c r="AL205" i="1" s="1"/>
  <c r="AC355" i="1"/>
  <c r="AL355" i="1" s="1"/>
  <c r="AC580" i="1"/>
  <c r="AL580" i="1" s="1"/>
  <c r="AC448" i="1"/>
  <c r="AL448" i="1" s="1"/>
  <c r="AC172" i="1"/>
  <c r="AL172" i="1" s="1"/>
  <c r="AC400" i="1"/>
  <c r="AL400" i="1" s="1"/>
  <c r="AC600" i="1"/>
  <c r="AL600" i="1" s="1"/>
  <c r="AC542" i="1"/>
  <c r="AL542" i="1" s="1"/>
  <c r="AC45" i="1"/>
  <c r="AL45" i="1" s="1"/>
  <c r="AC161" i="1"/>
  <c r="AL161" i="1" s="1"/>
  <c r="AC264" i="1"/>
  <c r="AL264" i="1" s="1"/>
  <c r="AC140" i="1"/>
  <c r="AL140" i="1" s="1"/>
  <c r="AC452" i="1"/>
  <c r="AL452" i="1" s="1"/>
  <c r="AC243" i="1"/>
  <c r="AL243" i="1" s="1"/>
  <c r="AC277" i="1"/>
  <c r="AL277" i="1" s="1"/>
  <c r="AC594" i="1"/>
  <c r="AL594" i="1" s="1"/>
  <c r="AC526" i="1"/>
  <c r="AL526" i="1" s="1"/>
  <c r="AC558" i="1"/>
  <c r="AL558" i="1" s="1"/>
  <c r="AC511" i="1"/>
  <c r="AL511" i="1" s="1"/>
  <c r="AC223" i="1"/>
  <c r="AL223" i="1" s="1"/>
  <c r="AC167" i="1"/>
  <c r="AL167" i="1" s="1"/>
  <c r="AC37" i="1"/>
  <c r="AL37" i="1" s="1"/>
  <c r="AC2" i="1"/>
  <c r="AL2" i="1" s="1"/>
  <c r="AC381" i="1"/>
  <c r="AL381" i="1" s="1"/>
  <c r="AC527" i="1"/>
  <c r="AL527" i="1" s="1"/>
  <c r="AC512" i="1"/>
  <c r="AL512" i="1" s="1"/>
  <c r="AC366" i="1"/>
  <c r="AL366" i="1" s="1"/>
  <c r="AC56" i="1"/>
  <c r="AL56" i="1" s="1"/>
  <c r="AC607" i="1"/>
  <c r="AL607" i="1" s="1"/>
  <c r="AC164" i="1"/>
  <c r="AL164" i="1" s="1"/>
  <c r="AC566" i="1"/>
  <c r="AL566" i="1" s="1"/>
  <c r="AC341" i="1"/>
  <c r="AL341" i="1" s="1"/>
  <c r="AC622" i="1"/>
  <c r="AL622" i="1" s="1"/>
  <c r="AC504" i="1"/>
  <c r="AL504" i="1" s="1"/>
  <c r="AC292" i="1"/>
  <c r="AL292" i="1" s="1"/>
  <c r="AC399" i="1"/>
  <c r="AL399" i="1" s="1"/>
  <c r="AC251" i="1"/>
  <c r="AL251" i="1" s="1"/>
  <c r="AC134" i="1"/>
  <c r="AL134" i="1" s="1"/>
  <c r="AC233" i="1"/>
  <c r="AL233" i="1" s="1"/>
  <c r="AC520" i="1"/>
  <c r="AL520" i="1" s="1"/>
  <c r="AC281" i="1"/>
  <c r="AL281" i="1" s="1"/>
  <c r="AC220" i="1"/>
  <c r="AL220" i="1" s="1"/>
  <c r="AC555" i="1"/>
  <c r="AL555" i="1" s="1"/>
  <c r="AC536" i="1"/>
  <c r="AL536" i="1" s="1"/>
  <c r="AC253" i="1"/>
  <c r="AL253" i="1" s="1"/>
  <c r="AC213" i="1"/>
  <c r="AL213" i="1" s="1"/>
  <c r="AC276" i="1"/>
  <c r="AL276" i="1" s="1"/>
  <c r="AC426" i="1"/>
  <c r="AL426" i="1" s="1"/>
  <c r="AC608" i="1"/>
  <c r="AL608" i="1" s="1"/>
  <c r="AC33" i="1"/>
  <c r="AL33" i="1" s="1"/>
  <c r="AC98" i="1"/>
  <c r="AL98" i="1" s="1"/>
  <c r="AC94" i="1"/>
  <c r="AL94" i="1" s="1"/>
  <c r="AC280" i="1"/>
  <c r="AL280" i="1" s="1"/>
  <c r="AC363" i="1"/>
  <c r="AL363" i="1" s="1"/>
  <c r="AC372" i="1"/>
  <c r="AL372" i="1" s="1"/>
  <c r="AC427" i="1"/>
  <c r="AL427" i="1" s="1"/>
  <c r="AC445" i="1"/>
  <c r="AL445" i="1" s="1"/>
  <c r="AC48" i="1"/>
  <c r="AL48" i="1" s="1"/>
  <c r="AC91" i="1"/>
  <c r="AL91" i="1" s="1"/>
  <c r="AC416" i="1"/>
  <c r="AL416" i="1" s="1"/>
  <c r="AC332" i="1"/>
  <c r="AL332" i="1" s="1"/>
  <c r="AC9" i="1"/>
  <c r="AL9" i="1" s="1"/>
  <c r="AC513" i="1"/>
  <c r="AL513" i="1" s="1"/>
  <c r="AC103" i="1"/>
  <c r="AL103" i="1" s="1"/>
  <c r="AC460" i="1"/>
  <c r="AL460" i="1" s="1"/>
  <c r="AC286" i="1"/>
  <c r="AL286" i="1" s="1"/>
  <c r="AC350" i="1"/>
  <c r="AL350" i="1" s="1"/>
  <c r="AC610" i="1"/>
  <c r="AL610" i="1" s="1"/>
  <c r="AC359" i="1"/>
  <c r="AL359" i="1" s="1"/>
  <c r="AC239" i="1"/>
  <c r="AL239" i="1" s="1"/>
  <c r="AC485" i="1"/>
  <c r="AL485" i="1" s="1"/>
  <c r="AC629" i="1"/>
  <c r="AL629" i="1" s="1"/>
  <c r="AC294" i="1"/>
  <c r="AL294" i="1" s="1"/>
  <c r="AC198" i="1"/>
  <c r="AL198" i="1" s="1"/>
  <c r="AC157" i="1"/>
  <c r="AL157" i="1" s="1"/>
  <c r="AC300" i="1"/>
  <c r="AL300" i="1" s="1"/>
  <c r="AC598" i="1"/>
  <c r="AL598" i="1" s="1"/>
  <c r="AC170" i="1"/>
  <c r="AL170" i="1" s="1"/>
  <c r="AC509" i="1"/>
  <c r="AL509" i="1" s="1"/>
  <c r="AC376" i="1"/>
  <c r="AL376" i="1" s="1"/>
  <c r="AC296" i="1"/>
  <c r="AL296" i="1" s="1"/>
  <c r="AC528" i="1"/>
  <c r="AL528" i="1" s="1"/>
  <c r="AC546" i="1"/>
  <c r="AL546" i="1" s="1"/>
  <c r="AC628" i="1"/>
  <c r="AL628" i="1" s="1"/>
  <c r="AC225" i="1"/>
  <c r="AL225" i="1" s="1"/>
  <c r="AC159" i="1"/>
  <c r="AL159" i="1" s="1"/>
  <c r="AC425" i="1"/>
  <c r="AL425" i="1" s="1"/>
  <c r="AC51" i="1"/>
  <c r="AL51" i="1" s="1"/>
  <c r="AC310" i="1"/>
  <c r="AL310" i="1" s="1"/>
  <c r="AC523" i="1"/>
  <c r="AL523" i="1" s="1"/>
  <c r="AC603" i="1"/>
  <c r="AL603" i="1" s="1"/>
  <c r="AC28" i="1"/>
  <c r="AL28" i="1" s="1"/>
  <c r="AC514" i="1"/>
  <c r="AL514" i="1" s="1"/>
  <c r="AC495" i="1"/>
  <c r="AL495" i="1" s="1"/>
  <c r="AC435" i="1"/>
  <c r="AL435" i="1" s="1"/>
  <c r="AC154" i="1"/>
  <c r="AL154" i="1" s="1"/>
  <c r="AC597" i="1"/>
  <c r="AL597" i="1" s="1"/>
  <c r="AC377" i="1"/>
  <c r="AL377" i="1" s="1"/>
  <c r="AC84" i="1"/>
  <c r="AL84" i="1" s="1"/>
  <c r="AC477" i="1"/>
  <c r="AL477" i="1" s="1"/>
  <c r="AC454" i="1"/>
  <c r="AL454" i="1" s="1"/>
  <c r="AC405" i="1"/>
  <c r="AL405" i="1" s="1"/>
  <c r="AC179" i="1"/>
  <c r="AL179" i="1" s="1"/>
  <c r="AC556" i="1"/>
  <c r="AL556" i="1" s="1"/>
  <c r="AC13" i="1"/>
  <c r="AL13" i="1" s="1"/>
  <c r="AC287" i="1"/>
  <c r="AL287" i="1" s="1"/>
  <c r="AC311" i="1"/>
  <c r="AL311" i="1" s="1"/>
  <c r="AC130" i="1"/>
  <c r="AL130" i="1" s="1"/>
  <c r="AC588" i="1"/>
  <c r="AL588" i="1" s="1"/>
  <c r="AC258" i="1"/>
  <c r="AL258" i="1" s="1"/>
  <c r="AC347" i="1"/>
  <c r="AL347" i="1" s="1"/>
  <c r="AC578" i="1"/>
  <c r="AL578" i="1" s="1"/>
  <c r="AC530" i="1"/>
  <c r="AL530" i="1" s="1"/>
  <c r="AC489" i="1"/>
  <c r="AL489" i="1" s="1"/>
  <c r="AC184" i="1"/>
  <c r="AL184" i="1" s="1"/>
  <c r="AC579" i="1"/>
  <c r="AL579" i="1" s="1"/>
  <c r="AC437" i="1"/>
  <c r="AL437" i="1" s="1"/>
  <c r="AC472" i="1"/>
  <c r="AL472" i="1" s="1"/>
  <c r="AC419" i="1"/>
  <c r="AL419" i="1" s="1"/>
  <c r="AC543" i="1"/>
  <c r="AL543" i="1" s="1"/>
  <c r="AC306" i="1"/>
  <c r="AL306" i="1" s="1"/>
  <c r="AC199" i="1"/>
  <c r="AL199" i="1" s="1"/>
  <c r="AC79" i="1"/>
  <c r="AL79" i="1" s="1"/>
  <c r="AC466" i="1"/>
  <c r="AL466" i="1" s="1"/>
  <c r="AC144" i="1"/>
  <c r="AL144" i="1" s="1"/>
  <c r="AC171" i="1"/>
  <c r="AL171" i="1" s="1"/>
  <c r="AC601" i="1"/>
  <c r="AL601" i="1" s="1"/>
  <c r="AC313" i="1"/>
  <c r="AL313" i="1" s="1"/>
  <c r="AC362" i="1"/>
  <c r="AL362" i="1" s="1"/>
  <c r="AC569" i="1"/>
  <c r="AL569" i="1" s="1"/>
  <c r="AC360" i="1"/>
  <c r="AL360" i="1" s="1"/>
  <c r="AC16" i="1"/>
  <c r="AL16" i="1" s="1"/>
  <c r="AC583" i="1"/>
  <c r="AL583" i="1" s="1"/>
  <c r="AC192" i="1"/>
  <c r="AL192" i="1" s="1"/>
  <c r="AC422" i="1"/>
  <c r="AL422" i="1" s="1"/>
  <c r="AC497" i="1"/>
  <c r="AL497" i="1" s="1"/>
  <c r="AC191" i="1"/>
  <c r="AL191" i="1" s="1"/>
  <c r="AC133" i="1"/>
  <c r="AL133" i="1" s="1"/>
  <c r="AC69" i="1"/>
  <c r="AL69" i="1" s="1"/>
  <c r="AC609" i="1"/>
  <c r="AL609" i="1" s="1"/>
  <c r="AC206" i="1"/>
  <c r="AL206" i="1" s="1"/>
  <c r="AC90" i="1"/>
  <c r="AL90" i="1" s="1"/>
  <c r="AC40" i="1"/>
  <c r="AL40" i="1" s="1"/>
  <c r="AC487" i="1"/>
  <c r="AL487" i="1" s="1"/>
  <c r="AC326" i="1"/>
  <c r="AL326" i="1" s="1"/>
  <c r="AC82" i="1"/>
  <c r="AL82" i="1" s="1"/>
  <c r="AC375" i="1"/>
  <c r="AL375" i="1" s="1"/>
  <c r="AC20" i="1"/>
  <c r="AL20" i="1" s="1"/>
  <c r="AC303" i="1"/>
  <c r="AL303" i="1" s="1"/>
  <c r="AC252" i="1"/>
  <c r="AL252" i="1" s="1"/>
  <c r="AC118" i="1"/>
  <c r="AL118" i="1" s="1"/>
  <c r="AC275" i="1"/>
  <c r="AL275" i="1" s="1"/>
  <c r="AC336" i="1"/>
  <c r="AL336" i="1" s="1"/>
  <c r="AC407" i="1"/>
  <c r="AL407" i="1" s="1"/>
  <c r="AC480" i="1"/>
  <c r="AL480" i="1" s="1"/>
  <c r="AC518" i="1"/>
  <c r="AL518" i="1" s="1"/>
  <c r="AC216" i="1"/>
  <c r="AL216" i="1" s="1"/>
  <c r="AC156" i="1"/>
  <c r="AL156" i="1" s="1"/>
  <c r="AC455" i="1"/>
  <c r="AL455" i="1" s="1"/>
  <c r="AC138" i="1"/>
  <c r="AL138" i="1" s="1"/>
  <c r="AC31" i="1"/>
  <c r="AL31" i="1" s="1"/>
  <c r="AC55" i="1"/>
  <c r="AL55" i="1" s="1"/>
  <c r="AC238" i="1"/>
  <c r="AL238" i="1" s="1"/>
  <c r="AC515" i="1"/>
  <c r="AL515" i="1" s="1"/>
  <c r="AC185" i="1"/>
  <c r="AL185" i="1" s="1"/>
  <c r="AC298" i="1"/>
  <c r="AL298" i="1" s="1"/>
  <c r="AC249" i="1"/>
  <c r="AL249" i="1" s="1"/>
  <c r="AC39" i="1"/>
  <c r="AL39" i="1" s="1"/>
  <c r="AC12" i="1"/>
  <c r="AL12" i="1" s="1"/>
  <c r="AC151" i="1"/>
  <c r="AL151" i="1" s="1"/>
  <c r="AC24" i="1"/>
  <c r="AL24" i="1" s="1"/>
  <c r="AC429" i="1"/>
  <c r="AL429" i="1" s="1"/>
  <c r="AC163" i="1"/>
  <c r="AL163" i="1" s="1"/>
  <c r="AC145" i="1"/>
  <c r="AL145" i="1" s="1"/>
  <c r="AC625" i="1"/>
  <c r="AL625" i="1" s="1"/>
  <c r="AC160" i="1"/>
  <c r="AL160" i="1" s="1"/>
  <c r="AC584" i="1"/>
  <c r="AL584" i="1" s="1"/>
  <c r="AC19" i="1"/>
  <c r="AL19" i="1" s="1"/>
  <c r="AC278" i="1"/>
  <c r="AL278" i="1" s="1"/>
  <c r="AC274" i="1"/>
  <c r="AL274" i="1" s="1"/>
  <c r="AC236" i="1"/>
  <c r="AL236" i="1" s="1"/>
  <c r="AC50" i="1"/>
  <c r="AL50" i="1" s="1"/>
  <c r="AC99" i="1"/>
  <c r="AL99" i="1" s="1"/>
  <c r="AC397" i="1"/>
  <c r="AL397" i="1" s="1"/>
  <c r="AC267" i="1"/>
  <c r="AL267" i="1" s="1"/>
  <c r="AC174" i="1"/>
  <c r="AL174" i="1" s="1"/>
  <c r="AC166" i="1"/>
  <c r="AL166" i="1" s="1"/>
  <c r="AC162" i="1"/>
  <c r="AL162" i="1" s="1"/>
  <c r="AC538" i="1"/>
  <c r="AL538" i="1" s="1"/>
  <c r="AC291" i="1"/>
  <c r="AL291" i="1" s="1"/>
  <c r="AC346" i="1"/>
  <c r="AL346" i="1" s="1"/>
  <c r="AC117" i="1"/>
  <c r="AL117" i="1" s="1"/>
  <c r="AC65" i="1"/>
  <c r="AL65" i="1" s="1"/>
  <c r="AC443" i="1"/>
  <c r="AL443" i="1" s="1"/>
  <c r="AC150" i="1"/>
  <c r="AL150" i="1" s="1"/>
  <c r="AC491" i="1"/>
  <c r="AL491" i="1" s="1"/>
  <c r="AC368" i="1"/>
  <c r="AL368" i="1" s="1"/>
  <c r="AC574" i="1"/>
  <c r="AL574" i="1" s="1"/>
  <c r="AC337" i="1"/>
  <c r="AL337" i="1" s="1"/>
  <c r="AC207" i="1"/>
  <c r="AL207" i="1" s="1"/>
  <c r="AC307" i="1"/>
  <c r="AL307" i="1" s="1"/>
  <c r="AC211" i="1"/>
  <c r="AL211" i="1" s="1"/>
  <c r="AC385" i="1"/>
  <c r="AL385" i="1" s="1"/>
  <c r="AC616" i="1"/>
  <c r="AL616" i="1" s="1"/>
  <c r="AC356" i="1"/>
  <c r="AL356" i="1" s="1"/>
  <c r="AC259" i="1"/>
  <c r="AL259" i="1" s="1"/>
  <c r="AC371" i="1"/>
  <c r="AL371" i="1" s="1"/>
  <c r="AC6" i="1"/>
  <c r="AL6" i="1" s="1"/>
  <c r="AC25" i="1"/>
  <c r="AL25" i="1" s="1"/>
  <c r="AC26" i="1"/>
  <c r="AL26" i="1" s="1"/>
  <c r="AC339" i="1"/>
  <c r="AL339" i="1" s="1"/>
  <c r="AC58" i="1"/>
  <c r="AL58" i="1" s="1"/>
  <c r="AC95" i="1"/>
  <c r="AL95" i="1" s="1"/>
  <c r="AC260" i="1"/>
  <c r="AL260" i="1" s="1"/>
  <c r="AC86" i="1"/>
  <c r="AL86" i="1" s="1"/>
  <c r="AC395" i="1"/>
  <c r="AL395" i="1" s="1"/>
  <c r="AC67" i="1"/>
  <c r="AL67" i="1" s="1"/>
  <c r="AC488" i="1"/>
  <c r="AL488" i="1" s="1"/>
  <c r="AC383" i="1"/>
  <c r="AL383" i="1" s="1"/>
  <c r="AC545" i="1"/>
  <c r="AL545" i="1" s="1"/>
  <c r="AC77" i="1"/>
  <c r="AL77" i="1" s="1"/>
  <c r="AC524" i="1"/>
  <c r="AL524" i="1" s="1"/>
  <c r="AC473" i="1"/>
  <c r="AL473" i="1" s="1"/>
  <c r="AC96" i="1"/>
  <c r="AL96" i="1" s="1"/>
  <c r="AC552" i="1"/>
  <c r="AL552" i="1" s="1"/>
  <c r="AC265" i="1"/>
  <c r="AL265" i="1" s="1"/>
  <c r="AC285" i="1"/>
  <c r="AL285" i="1" s="1"/>
  <c r="AC190" i="1"/>
  <c r="AL190" i="1" s="1"/>
  <c r="AC519" i="1"/>
  <c r="AL519" i="1" s="1"/>
  <c r="AC247" i="1"/>
  <c r="AL247" i="1" s="1"/>
  <c r="AC589" i="1"/>
  <c r="AL589" i="1" s="1"/>
  <c r="AC451" i="1"/>
  <c r="AL451" i="1" s="1"/>
  <c r="AC458" i="1"/>
  <c r="AL458" i="1" s="1"/>
  <c r="AC52" i="1"/>
  <c r="AL52" i="1" s="1"/>
  <c r="AC214" i="1"/>
  <c r="AL214" i="1" s="1"/>
  <c r="AC391" i="1"/>
  <c r="AL391" i="1" s="1"/>
  <c r="AC320" i="1"/>
  <c r="AL320" i="1" s="1"/>
  <c r="AC263" i="1"/>
  <c r="AL263" i="1" s="1"/>
  <c r="AC354" i="1"/>
  <c r="AL354" i="1" s="1"/>
  <c r="AC241" i="1"/>
  <c r="AL241" i="1" s="1"/>
  <c r="AC305" i="1"/>
  <c r="AL305" i="1" s="1"/>
  <c r="AC229" i="1"/>
  <c r="AL229" i="1" s="1"/>
  <c r="AC328" i="1"/>
  <c r="AL328" i="1" s="1"/>
  <c r="AC493" i="1"/>
  <c r="AL493" i="1" s="1"/>
  <c r="AC158" i="1"/>
  <c r="AL158" i="1" s="1"/>
  <c r="AC577" i="1"/>
  <c r="AL577" i="1" s="1"/>
  <c r="AC602" i="1"/>
  <c r="AL602" i="1" s="1"/>
  <c r="AC492" i="1"/>
  <c r="AL492" i="1" s="1"/>
  <c r="AC568" i="1"/>
  <c r="AL568" i="1" s="1"/>
  <c r="AC586" i="1"/>
  <c r="AL586" i="1" s="1"/>
  <c r="AC10" i="1"/>
  <c r="AL10" i="1" s="1"/>
  <c r="AC570" i="1"/>
  <c r="AL570" i="1" s="1"/>
  <c r="AC289" i="1"/>
  <c r="AL289" i="1" s="1"/>
  <c r="AC141" i="1"/>
  <c r="AL141" i="1" s="1"/>
  <c r="AC256" i="1"/>
  <c r="AL256" i="1" s="1"/>
  <c r="AC446" i="1"/>
  <c r="AL446" i="1" s="1"/>
  <c r="AC136" i="1"/>
  <c r="AL136" i="1" s="1"/>
  <c r="AC349" i="1"/>
  <c r="AL349" i="1" s="1"/>
  <c r="AC450" i="1"/>
  <c r="AL450" i="1" s="1"/>
  <c r="AC262" i="1"/>
  <c r="AL262" i="1" s="1"/>
  <c r="AC180" i="1"/>
  <c r="AL180" i="1" s="1"/>
  <c r="AC587" i="1"/>
  <c r="AL587" i="1" s="1"/>
  <c r="AC393" i="1"/>
  <c r="AL393" i="1" s="1"/>
  <c r="AC89" i="1"/>
  <c r="AL89" i="1" s="1"/>
  <c r="AC129" i="1"/>
  <c r="AL129" i="1" s="1"/>
  <c r="AC110" i="1"/>
  <c r="AL110" i="1" s="1"/>
  <c r="AC544" i="1"/>
  <c r="AL544" i="1" s="1"/>
  <c r="AC112" i="1"/>
  <c r="AL112" i="1" s="1"/>
  <c r="AC486" i="1"/>
  <c r="AL486" i="1" s="1"/>
  <c r="AC149" i="1"/>
  <c r="AL149" i="1" s="1"/>
  <c r="AC420" i="1"/>
  <c r="AL420" i="1" s="1"/>
  <c r="AC508" i="1"/>
  <c r="AL508" i="1" s="1"/>
  <c r="AC182" i="1"/>
  <c r="AL182" i="1" s="1"/>
  <c r="AC503" i="1"/>
  <c r="AL503" i="1" s="1"/>
  <c r="AC423" i="1"/>
  <c r="AL423" i="1" s="1"/>
  <c r="AC593" i="1"/>
  <c r="AL593" i="1" s="1"/>
  <c r="AC517" i="1"/>
  <c r="AL517" i="1" s="1"/>
  <c r="AC290" i="1"/>
  <c r="AL290" i="1" s="1"/>
  <c r="AC631" i="1"/>
  <c r="AL631" i="1" s="1"/>
  <c r="AC314" i="1"/>
  <c r="AL314" i="1" s="1"/>
  <c r="AC540" i="1"/>
  <c r="AL540" i="1" s="1"/>
  <c r="AC176" i="1"/>
  <c r="AL176" i="1" s="1"/>
  <c r="AC42" i="1"/>
  <c r="AL42" i="1" s="1"/>
  <c r="AC481" i="1"/>
  <c r="AL481" i="1" s="1"/>
  <c r="AC327" i="1"/>
  <c r="AL327" i="1" s="1"/>
  <c r="AC271" i="1"/>
  <c r="AL271" i="1" s="1"/>
  <c r="AC237" i="1"/>
  <c r="AL237" i="1" s="1"/>
  <c r="AC439" i="1"/>
  <c r="AL439" i="1" s="1"/>
  <c r="AC434" i="1"/>
  <c r="AL434" i="1" s="1"/>
  <c r="AC308" i="1"/>
  <c r="AL308" i="1" s="1"/>
  <c r="AC187" i="1"/>
  <c r="AL187" i="1" s="1"/>
  <c r="AC63" i="1"/>
  <c r="AL63" i="1" s="1"/>
  <c r="AC344" i="1"/>
  <c r="AL344" i="1" s="1"/>
  <c r="AC549" i="1"/>
  <c r="AL549" i="1" s="1"/>
  <c r="AC467" i="1"/>
  <c r="AL467" i="1" s="1"/>
  <c r="AC321" i="1"/>
  <c r="AL321" i="1" s="1"/>
  <c r="AC529" i="1"/>
  <c r="AL529" i="1" s="1"/>
  <c r="AC14" i="1"/>
  <c r="AL14" i="1" s="1"/>
  <c r="AC484" i="1"/>
  <c r="AL484" i="1" s="1"/>
  <c r="AC173" i="1"/>
  <c r="AL173" i="1" s="1"/>
  <c r="AC379" i="1"/>
  <c r="AL379" i="1" s="1"/>
  <c r="AC143" i="1"/>
  <c r="AL143" i="1" s="1"/>
  <c r="AC612" i="1"/>
  <c r="AL612" i="1" s="1"/>
  <c r="AC398" i="1"/>
  <c r="AL398" i="1" s="1"/>
  <c r="AC590" i="1"/>
  <c r="AL590" i="1" s="1"/>
  <c r="AC408" i="1"/>
  <c r="AL408" i="1" s="1"/>
  <c r="AC43" i="1"/>
  <c r="AL43" i="1" s="1"/>
  <c r="AC147" i="1"/>
  <c r="AL147" i="1" s="1"/>
  <c r="AC352" i="1"/>
  <c r="AL352" i="1" s="1"/>
  <c r="AC474" i="1"/>
  <c r="AL474" i="1" s="1"/>
  <c r="AC444" i="1"/>
  <c r="AL444" i="1" s="1"/>
  <c r="AC559" i="1"/>
  <c r="AL559" i="1" s="1"/>
  <c r="AC325" i="1"/>
  <c r="AL325" i="1" s="1"/>
  <c r="AC11" i="1"/>
  <c r="AL11" i="1" s="1"/>
  <c r="AC202" i="1"/>
  <c r="AL202" i="1" s="1"/>
  <c r="AC334" i="1"/>
  <c r="AL334" i="1" s="1"/>
  <c r="AC605" i="1"/>
  <c r="AL605" i="1" s="1"/>
  <c r="AC611" i="1"/>
  <c r="AL611" i="1" s="1"/>
  <c r="AC387" i="1"/>
  <c r="AL387" i="1" s="1"/>
  <c r="AC80" i="1"/>
  <c r="AL80" i="1" s="1"/>
  <c r="AC322" i="1"/>
  <c r="AL322" i="1" s="1"/>
  <c r="AC388" i="1"/>
  <c r="AL388" i="1" s="1"/>
  <c r="AC54" i="1"/>
  <c r="AL54" i="1" s="1"/>
  <c r="AC304" i="1"/>
  <c r="AL304" i="1" s="1"/>
  <c r="AC22" i="1"/>
  <c r="AL22" i="1" s="1"/>
  <c r="AC456" i="1"/>
  <c r="AL456" i="1" s="1"/>
  <c r="AC316" i="1"/>
  <c r="AL316" i="1" s="1"/>
  <c r="AC88" i="1"/>
  <c r="AL88" i="1" s="1"/>
  <c r="AC432" i="1"/>
  <c r="AL432" i="1" s="1"/>
  <c r="AC403" i="1"/>
  <c r="AL403" i="1" s="1"/>
  <c r="AC272" i="1"/>
  <c r="AL272" i="1" s="1"/>
  <c r="AC532" i="1"/>
  <c r="AL532" i="1" s="1"/>
  <c r="AC273" i="1"/>
  <c r="AL273" i="1" s="1"/>
  <c r="AC66" i="1"/>
  <c r="AL66" i="1" s="1"/>
  <c r="AC333" i="1"/>
  <c r="AL333" i="1" s="1"/>
  <c r="AC175" i="1"/>
  <c r="AL175" i="1" s="1"/>
  <c r="AC592" i="1"/>
  <c r="AL592" i="1" s="1"/>
  <c r="AC231" i="1"/>
  <c r="AL231" i="1" s="1"/>
  <c r="AC168" i="1"/>
  <c r="AL168" i="1" s="1"/>
  <c r="AC203" i="1"/>
  <c r="AL203" i="1" s="1"/>
  <c r="AC177" i="1"/>
  <c r="AL177" i="1" s="1"/>
  <c r="AC64" i="1"/>
  <c r="AL64" i="1" s="1"/>
  <c r="AC72" i="1"/>
  <c r="AL72" i="1" s="1"/>
  <c r="AC406" i="1"/>
  <c r="AL406" i="1" s="1"/>
  <c r="AC351" i="1"/>
  <c r="AL351" i="1" s="1"/>
  <c r="AC102" i="1"/>
  <c r="AL102" i="1" s="1"/>
  <c r="AC389" i="1"/>
  <c r="AL389" i="1" s="1"/>
  <c r="AC83" i="1"/>
  <c r="AL83" i="1" s="1"/>
  <c r="AC483" i="1"/>
  <c r="AL483" i="1" s="1"/>
  <c r="AC318" i="1"/>
  <c r="AL318" i="1" s="1"/>
  <c r="AC553" i="1"/>
  <c r="AL553" i="1" s="1"/>
  <c r="AC169" i="1"/>
  <c r="AL169" i="1" s="1"/>
  <c r="AC57" i="1"/>
  <c r="AL57" i="1" s="1"/>
  <c r="AC235" i="1"/>
  <c r="AL235" i="1" s="1"/>
  <c r="AC153" i="1"/>
  <c r="AL153" i="1" s="1"/>
  <c r="AC563" i="1"/>
  <c r="AL563" i="1" s="1"/>
  <c r="AC499" i="1"/>
  <c r="AL499" i="1" s="1"/>
  <c r="AC617" i="1"/>
  <c r="AL617" i="1" s="1"/>
  <c r="AC200" i="1"/>
  <c r="AL200" i="1" s="1"/>
  <c r="AC197" i="1"/>
  <c r="AL197" i="1" s="1"/>
  <c r="AC619" i="1"/>
  <c r="AL619" i="1" s="1"/>
  <c r="AC269" i="1"/>
  <c r="AL269" i="1" s="1"/>
  <c r="AC357" i="1"/>
  <c r="AL357" i="1" s="1"/>
  <c r="AC442" i="1"/>
  <c r="AL442" i="1" s="1"/>
  <c r="AC548" i="1"/>
  <c r="AL548" i="1" s="1"/>
  <c r="AC392" i="1"/>
  <c r="AL392" i="1" s="1"/>
  <c r="AC533" i="1"/>
  <c r="AL533" i="1" s="1"/>
  <c r="AC585" i="1"/>
  <c r="AL585" i="1" s="1"/>
  <c r="AC46" i="1"/>
  <c r="AL46" i="1" s="1"/>
  <c r="AC534" i="1"/>
  <c r="AL534" i="1" s="1"/>
  <c r="AC183" i="1"/>
  <c r="AL183" i="1" s="1"/>
  <c r="AC626" i="1"/>
  <c r="AL626" i="1" s="1"/>
  <c r="AC106" i="1"/>
  <c r="AL106" i="1" s="1"/>
  <c r="AC30" i="1"/>
  <c r="AL30" i="1" s="1"/>
  <c r="AC412" i="1"/>
  <c r="AL412" i="1" s="1"/>
  <c r="AC245" i="1"/>
  <c r="AL245" i="1" s="1"/>
  <c r="AC283" i="1"/>
  <c r="AL283" i="1" s="1"/>
  <c r="AC61" i="1"/>
  <c r="AL61" i="1" s="1"/>
  <c r="AC411" i="1"/>
  <c r="AL411" i="1" s="1"/>
  <c r="AC478" i="1"/>
  <c r="AL478" i="1" s="1"/>
  <c r="AC386" i="1"/>
  <c r="AL386" i="1" s="1"/>
  <c r="AC433" i="1"/>
  <c r="AL433" i="1" s="1"/>
  <c r="AC567" i="1"/>
  <c r="AL567" i="1" s="1"/>
  <c r="AC510" i="1"/>
  <c r="AL510" i="1" s="1"/>
  <c r="AC479" i="1"/>
  <c r="AL479" i="1" s="1"/>
  <c r="AC124" i="1"/>
  <c r="AL124" i="1" s="1"/>
  <c r="AC302" i="1"/>
  <c r="AL302" i="1" s="1"/>
  <c r="AC595" i="1"/>
  <c r="AL595" i="1" s="1"/>
  <c r="AC111" i="1"/>
  <c r="AL111" i="1" s="1"/>
  <c r="AC521" i="1"/>
  <c r="AL521" i="1" s="1"/>
  <c r="AC309" i="1"/>
  <c r="AL309" i="1" s="1"/>
  <c r="AC219" i="1"/>
  <c r="AL219" i="1" s="1"/>
  <c r="AC221" i="1"/>
  <c r="AL221" i="1" s="1"/>
  <c r="AC557" i="1"/>
  <c r="AL557" i="1" s="1"/>
  <c r="AC554" i="1"/>
  <c r="AL554" i="1" s="1"/>
  <c r="AC317" i="1"/>
  <c r="AL317" i="1" s="1"/>
  <c r="AC282" i="1"/>
  <c r="AL282" i="1" s="1"/>
  <c r="AC330" i="1"/>
  <c r="AL330" i="1" s="1"/>
  <c r="AC29" i="1"/>
  <c r="AL29" i="1" s="1"/>
  <c r="AC255" i="1"/>
  <c r="AL255" i="1" s="1"/>
  <c r="AC345" i="1"/>
  <c r="AL345" i="1" s="1"/>
  <c r="AC461" i="1"/>
  <c r="AL461" i="1" s="1"/>
  <c r="AC100" i="1"/>
  <c r="AL100" i="1" s="1"/>
  <c r="AC70" i="1"/>
  <c r="AL70" i="1" s="1"/>
  <c r="AC27" i="1"/>
  <c r="AL27" i="1" s="1"/>
  <c r="AC599" i="1"/>
  <c r="AL599" i="1" s="1"/>
  <c r="AC581" i="1"/>
  <c r="AL581" i="1" s="1"/>
  <c r="AC36" i="1"/>
  <c r="AL36" i="1" s="1"/>
  <c r="AC324" i="1"/>
  <c r="AL324" i="1" s="1"/>
  <c r="AC59" i="1"/>
  <c r="AL59" i="1" s="1"/>
  <c r="AC122" i="1"/>
  <c r="AL122" i="1" s="1"/>
  <c r="AC81" i="1"/>
  <c r="AL81" i="1" s="1"/>
  <c r="AC539" i="1"/>
  <c r="AL539" i="1" s="1"/>
  <c r="AC126" i="1"/>
  <c r="AL126" i="1" s="1"/>
  <c r="AC113" i="1"/>
  <c r="AL113" i="1" s="1"/>
  <c r="AC401" i="1"/>
  <c r="AL401" i="1" s="1"/>
  <c r="AC621" i="1"/>
  <c r="AL621" i="1" s="1"/>
  <c r="AC537" i="1"/>
  <c r="AL537" i="1" s="1"/>
  <c r="AA32" i="1"/>
  <c r="AA142" i="1"/>
  <c r="AA431" i="1"/>
  <c r="AA284" i="1"/>
  <c r="AA550" i="1"/>
  <c r="AA547" i="1"/>
  <c r="AA613" i="1"/>
  <c r="AA348" i="1"/>
  <c r="AA17" i="1"/>
  <c r="AA196" i="1"/>
  <c r="AA132" i="1"/>
  <c r="AA501" i="1"/>
  <c r="AA293" i="1"/>
  <c r="AA301" i="1"/>
  <c r="AA384" i="1"/>
  <c r="AA68" i="1"/>
  <c r="AA107" i="1"/>
  <c r="AA116" i="1"/>
  <c r="AA114" i="1"/>
  <c r="AA270" i="1"/>
  <c r="AA266" i="1"/>
  <c r="AA367" i="1"/>
  <c r="AA279" i="1"/>
  <c r="AA254" i="1"/>
  <c r="AA418" i="1"/>
  <c r="AA582" i="1"/>
  <c r="AF582" i="1" s="1"/>
  <c r="AA447" i="1"/>
  <c r="AA560" i="1"/>
  <c r="AA268" i="1"/>
  <c r="AA335" i="1"/>
  <c r="AF335" i="1" s="1"/>
  <c r="AA105" i="1"/>
  <c r="AA424" i="1"/>
  <c r="AA402" i="1"/>
  <c r="AA230" i="1"/>
  <c r="AA394" i="1"/>
  <c r="AA115" i="1"/>
  <c r="AA414" i="1"/>
  <c r="AA257" i="1"/>
  <c r="AA522" i="1"/>
  <c r="AA53" i="1"/>
  <c r="AA369" i="1"/>
  <c r="AA108" i="1"/>
  <c r="AA441" i="1"/>
  <c r="AA193" i="1"/>
  <c r="AA78" i="1"/>
  <c r="AA471" i="1"/>
  <c r="AA15" i="1"/>
  <c r="AA97" i="1"/>
  <c r="AA49" i="1"/>
  <c r="AA250" i="1"/>
  <c r="AA606" i="1"/>
  <c r="AA343" i="1"/>
  <c r="AA531" i="1"/>
  <c r="AA624" i="1"/>
  <c r="AA35" i="1"/>
  <c r="AA234" i="1"/>
  <c r="AA525" i="1"/>
  <c r="AA3" i="1"/>
  <c r="AF3" i="1" s="1"/>
  <c r="AA475" i="1"/>
  <c r="AA73" i="1"/>
  <c r="AA139" i="1"/>
  <c r="AA390" i="1"/>
  <c r="AF390" i="1" s="1"/>
  <c r="AA5" i="1"/>
  <c r="AA104" i="1"/>
  <c r="AA152" i="1"/>
  <c r="AA146" i="1"/>
  <c r="AA319" i="1"/>
  <c r="AA312" i="1"/>
  <c r="AA470" i="1"/>
  <c r="AA340" i="1"/>
  <c r="AA507" i="1"/>
  <c r="AA75" i="1"/>
  <c r="AA228" i="1"/>
  <c r="AA463" i="1"/>
  <c r="AA428" i="1"/>
  <c r="AA135" i="1"/>
  <c r="AA121" i="1"/>
  <c r="AA374" i="1"/>
  <c r="AA498" i="1"/>
  <c r="AA21" i="1"/>
  <c r="AA120" i="1"/>
  <c r="AA535" i="1"/>
  <c r="AA623" i="1"/>
  <c r="AA127" i="1"/>
  <c r="AA224" i="1"/>
  <c r="AA210" i="1"/>
  <c r="AA561" i="1"/>
  <c r="AA430" i="1"/>
  <c r="AA618" i="1"/>
  <c r="AA459" i="1"/>
  <c r="AF459" i="1" s="1"/>
  <c r="AA222" i="1"/>
  <c r="AA404" i="1"/>
  <c r="AA297" i="1"/>
  <c r="AA415" i="1"/>
  <c r="AF415" i="1" s="1"/>
  <c r="AA109" i="1"/>
  <c r="AA627" i="1"/>
  <c r="AA87" i="1"/>
  <c r="AA353" i="1"/>
  <c r="AA92" i="1"/>
  <c r="AA93" i="1"/>
  <c r="AA382" i="1"/>
  <c r="AA417" i="1"/>
  <c r="AA505" i="1"/>
  <c r="AA378" i="1"/>
  <c r="AA204" i="1"/>
  <c r="AA615" i="1"/>
  <c r="AA209" i="1"/>
  <c r="AA596" i="1"/>
  <c r="AA604" i="1"/>
  <c r="AA195" i="1"/>
  <c r="AA101" i="1"/>
  <c r="AA632" i="1"/>
  <c r="AA564" i="1"/>
  <c r="AA551" i="1"/>
  <c r="AA246" i="1"/>
  <c r="AA576" i="1"/>
  <c r="AA38" i="1"/>
  <c r="AA496" i="1"/>
  <c r="AA620" i="1"/>
  <c r="AA128" i="1"/>
  <c r="AA248" i="1"/>
  <c r="AA155" i="1"/>
  <c r="AF155" i="1" s="1"/>
  <c r="AA261" i="1"/>
  <c r="AA572" i="1"/>
  <c r="AA218" i="1"/>
  <c r="AA18" i="1"/>
  <c r="AF18" i="1" s="1"/>
  <c r="AA591" i="1"/>
  <c r="AA573" i="1"/>
  <c r="AA361" i="1"/>
  <c r="AA500" i="1"/>
  <c r="AA413" i="1"/>
  <c r="AA186" i="1"/>
  <c r="AA541" i="1"/>
  <c r="AA131" i="1"/>
  <c r="AA201" i="1"/>
  <c r="AA331" i="1"/>
  <c r="AA465" i="1"/>
  <c r="AA60" i="1"/>
  <c r="AA565" i="1"/>
  <c r="AA4" i="1"/>
  <c r="AA468" i="1"/>
  <c r="AA44" i="1"/>
  <c r="AA364" i="1"/>
  <c r="AA165" i="1"/>
  <c r="AA410" i="1"/>
  <c r="AA440" i="1"/>
  <c r="AA295" i="1"/>
  <c r="AA299" i="1"/>
  <c r="AA76" i="1"/>
  <c r="AA240" i="1"/>
  <c r="AA137" i="1"/>
  <c r="AA396" i="1"/>
  <c r="AA194" i="1"/>
  <c r="AA323" i="1"/>
  <c r="AF323" i="1" s="1"/>
  <c r="AA338" i="1"/>
  <c r="AA502" i="1"/>
  <c r="AA212" i="1"/>
  <c r="AA457" i="1"/>
  <c r="AF457" i="1" s="1"/>
  <c r="AA148" i="1"/>
  <c r="AA189" i="1"/>
  <c r="AA482" i="1"/>
  <c r="AA373" i="1"/>
  <c r="AA409" i="1"/>
  <c r="AA365" i="1"/>
  <c r="AA7" i="1"/>
  <c r="AA181" i="1"/>
  <c r="AA217" i="1"/>
  <c r="AA438" i="1"/>
  <c r="AA562" i="1"/>
  <c r="AA232" i="1"/>
  <c r="AA476" i="1"/>
  <c r="AA630" i="1"/>
  <c r="AA119" i="1"/>
  <c r="AA571" i="1"/>
  <c r="AA8" i="1"/>
  <c r="AA329" i="1"/>
  <c r="AA614" i="1"/>
  <c r="AA506" i="1"/>
  <c r="AA464" i="1"/>
  <c r="AA633" i="1"/>
  <c r="AA85" i="1"/>
  <c r="AA490" i="1"/>
  <c r="AA436" i="1"/>
  <c r="AA74" i="1"/>
  <c r="AA315" i="1"/>
  <c r="AA494" i="1"/>
  <c r="AF494" i="1" s="1"/>
  <c r="AA41" i="1"/>
  <c r="AA125" i="1"/>
  <c r="AA358" i="1"/>
  <c r="AA123" i="1"/>
  <c r="AA469" i="1"/>
  <c r="AA47" i="1"/>
  <c r="AA421" i="1"/>
  <c r="AA516" i="1"/>
  <c r="AA62" i="1"/>
  <c r="AA71" i="1"/>
  <c r="AA370" i="1"/>
  <c r="AA342" i="1"/>
  <c r="AA34" i="1"/>
  <c r="AA188" i="1"/>
  <c r="AF188" i="1" s="1"/>
  <c r="AA453" i="1"/>
  <c r="AA178" i="1"/>
  <c r="AF178" i="1" s="1"/>
  <c r="AA23" i="1"/>
  <c r="AA242" i="1"/>
  <c r="AA227" i="1"/>
  <c r="AA449" i="1"/>
  <c r="AA215" i="1"/>
  <c r="AA208" i="1"/>
  <c r="AA244" i="1"/>
  <c r="AA288" i="1"/>
  <c r="AA575" i="1"/>
  <c r="AA380" i="1"/>
  <c r="AF380" i="1" s="1"/>
  <c r="AA226" i="1"/>
  <c r="AA462" i="1"/>
  <c r="AA205" i="1"/>
  <c r="AA355" i="1"/>
  <c r="AA580" i="1"/>
  <c r="AA448" i="1"/>
  <c r="AA172" i="1"/>
  <c r="AA400" i="1"/>
  <c r="AA600" i="1"/>
  <c r="AA542" i="1"/>
  <c r="AF542" i="1" s="1"/>
  <c r="AA45" i="1"/>
  <c r="AF45" i="1" s="1"/>
  <c r="AA161" i="1"/>
  <c r="AA264" i="1"/>
  <c r="AA140" i="1"/>
  <c r="AA452" i="1"/>
  <c r="AA243" i="1"/>
  <c r="AA277" i="1"/>
  <c r="AA594" i="1"/>
  <c r="AA526" i="1"/>
  <c r="AA558" i="1"/>
  <c r="AF558" i="1" s="1"/>
  <c r="AA511" i="1"/>
  <c r="AA223" i="1"/>
  <c r="AF223" i="1" s="1"/>
  <c r="AA167" i="1"/>
  <c r="AA37" i="1"/>
  <c r="AA2" i="1"/>
  <c r="AA381" i="1"/>
  <c r="AA527" i="1"/>
  <c r="AA512" i="1"/>
  <c r="AA366" i="1"/>
  <c r="AA56" i="1"/>
  <c r="AA607" i="1"/>
  <c r="AF607" i="1" s="1"/>
  <c r="AA164" i="1"/>
  <c r="AF164" i="1" s="1"/>
  <c r="AA566" i="1"/>
  <c r="AA341" i="1"/>
  <c r="AA622" i="1"/>
  <c r="AA504" i="1"/>
  <c r="AA292" i="1"/>
  <c r="AA399" i="1"/>
  <c r="AA251" i="1"/>
  <c r="AA134" i="1"/>
  <c r="AA233" i="1"/>
  <c r="AA520" i="1"/>
  <c r="AF520" i="1" s="1"/>
  <c r="AA281" i="1"/>
  <c r="AF281" i="1" s="1"/>
  <c r="AA220" i="1"/>
  <c r="AA555" i="1"/>
  <c r="AA536" i="1"/>
  <c r="AA253" i="1"/>
  <c r="AA213" i="1"/>
  <c r="AA276" i="1"/>
  <c r="AA426" i="1"/>
  <c r="AA608" i="1"/>
  <c r="AA33" i="1"/>
  <c r="AF33" i="1" s="1"/>
  <c r="AA98" i="1"/>
  <c r="AA94" i="1"/>
  <c r="AF94" i="1" s="1"/>
  <c r="AA280" i="1"/>
  <c r="AA363" i="1"/>
  <c r="AA372" i="1"/>
  <c r="AA427" i="1"/>
  <c r="AA445" i="1"/>
  <c r="AA48" i="1"/>
  <c r="AA91" i="1"/>
  <c r="AA416" i="1"/>
  <c r="AA332" i="1"/>
  <c r="AF332" i="1" s="1"/>
  <c r="AA9" i="1"/>
  <c r="AF9" i="1" s="1"/>
  <c r="AA513" i="1"/>
  <c r="AA103" i="1"/>
  <c r="AA460" i="1"/>
  <c r="AA286" i="1"/>
  <c r="AA350" i="1"/>
  <c r="AA610" i="1"/>
  <c r="AA359" i="1"/>
  <c r="AA239" i="1"/>
  <c r="AA485" i="1"/>
  <c r="AA629" i="1"/>
  <c r="AF629" i="1" s="1"/>
  <c r="AA294" i="1"/>
  <c r="AF294" i="1" s="1"/>
  <c r="AA198" i="1"/>
  <c r="AA157" i="1"/>
  <c r="AA300" i="1"/>
  <c r="AA598" i="1"/>
  <c r="AA170" i="1"/>
  <c r="AA509" i="1"/>
  <c r="AA376" i="1"/>
  <c r="AA296" i="1"/>
  <c r="AA528" i="1"/>
  <c r="AF528" i="1" s="1"/>
  <c r="AA546" i="1"/>
  <c r="AA628" i="1"/>
  <c r="AF628" i="1" s="1"/>
  <c r="AA225" i="1"/>
  <c r="AA159" i="1"/>
  <c r="AA425" i="1"/>
  <c r="AA51" i="1"/>
  <c r="AA310" i="1"/>
  <c r="AA523" i="1"/>
  <c r="AA603" i="1"/>
  <c r="AA28" i="1"/>
  <c r="AA514" i="1"/>
  <c r="AF514" i="1" s="1"/>
  <c r="AA495" i="1"/>
  <c r="AF495" i="1" s="1"/>
  <c r="AA435" i="1"/>
  <c r="AA154" i="1"/>
  <c r="AA597" i="1"/>
  <c r="AA377" i="1"/>
  <c r="AA84" i="1"/>
  <c r="AA477" i="1"/>
  <c r="AA454" i="1"/>
  <c r="AA405" i="1"/>
  <c r="AA179" i="1"/>
  <c r="AA556" i="1"/>
  <c r="AA13" i="1"/>
  <c r="AA287" i="1"/>
  <c r="AA311" i="1"/>
  <c r="AA130" i="1"/>
  <c r="AA588" i="1"/>
  <c r="AA258" i="1"/>
  <c r="AA347" i="1"/>
  <c r="AA578" i="1"/>
  <c r="AA530" i="1"/>
  <c r="AA489" i="1"/>
  <c r="AF489" i="1" s="1"/>
  <c r="AA184" i="1"/>
  <c r="AA579" i="1"/>
  <c r="AF579" i="1" s="1"/>
  <c r="AA437" i="1"/>
  <c r="AA472" i="1"/>
  <c r="AA419" i="1"/>
  <c r="AA543" i="1"/>
  <c r="AA306" i="1"/>
  <c r="AA199" i="1"/>
  <c r="AA79" i="1"/>
  <c r="AA466" i="1"/>
  <c r="AA144" i="1"/>
  <c r="AF144" i="1" s="1"/>
  <c r="AA171" i="1"/>
  <c r="AF171" i="1" s="1"/>
  <c r="AA601" i="1"/>
  <c r="AA313" i="1"/>
  <c r="AA362" i="1"/>
  <c r="AA569" i="1"/>
  <c r="AA360" i="1"/>
  <c r="AA16" i="1"/>
  <c r="AA583" i="1"/>
  <c r="AF583" i="1" s="1"/>
  <c r="AA192" i="1"/>
  <c r="AF192" i="1" s="1"/>
  <c r="AA422" i="1"/>
  <c r="AA497" i="1"/>
  <c r="AA191" i="1"/>
  <c r="AA133" i="1"/>
  <c r="AA69" i="1"/>
  <c r="AA609" i="1"/>
  <c r="AA206" i="1"/>
  <c r="AF206" i="1" s="1"/>
  <c r="AA90" i="1"/>
  <c r="AA40" i="1"/>
  <c r="AA487" i="1"/>
  <c r="AA326" i="1"/>
  <c r="AA82" i="1"/>
  <c r="AA375" i="1"/>
  <c r="AA20" i="1"/>
  <c r="AA303" i="1"/>
  <c r="AF303" i="1" s="1"/>
  <c r="AA252" i="1"/>
  <c r="AF252" i="1" s="1"/>
  <c r="AA118" i="1"/>
  <c r="AA275" i="1"/>
  <c r="AA336" i="1"/>
  <c r="AA407" i="1"/>
  <c r="AA480" i="1"/>
  <c r="AA518" i="1"/>
  <c r="AA216" i="1"/>
  <c r="AF216" i="1" s="1"/>
  <c r="AA156" i="1"/>
  <c r="AF156" i="1" s="1"/>
  <c r="AA455" i="1"/>
  <c r="AA138" i="1"/>
  <c r="AA31" i="1"/>
  <c r="AA55" i="1"/>
  <c r="AA238" i="1"/>
  <c r="AA515" i="1"/>
  <c r="AA185" i="1"/>
  <c r="AF185" i="1" s="1"/>
  <c r="AA298" i="1"/>
  <c r="AF298" i="1" s="1"/>
  <c r="AA249" i="1"/>
  <c r="AA39" i="1"/>
  <c r="AA12" i="1"/>
  <c r="AA151" i="1"/>
  <c r="AA24" i="1"/>
  <c r="AA429" i="1"/>
  <c r="AA163" i="1"/>
  <c r="AA145" i="1"/>
  <c r="AF145" i="1" s="1"/>
  <c r="AA625" i="1"/>
  <c r="AA160" i="1"/>
  <c r="AA584" i="1"/>
  <c r="AA19" i="1"/>
  <c r="AA278" i="1"/>
  <c r="AA274" i="1"/>
  <c r="AA236" i="1"/>
  <c r="AF236" i="1" s="1"/>
  <c r="AA50" i="1"/>
  <c r="AF50" i="1" s="1"/>
  <c r="AA99" i="1"/>
  <c r="AA397" i="1"/>
  <c r="AA267" i="1"/>
  <c r="AA174" i="1"/>
  <c r="AA166" i="1"/>
  <c r="AA162" i="1"/>
  <c r="AA538" i="1"/>
  <c r="AF538" i="1" s="1"/>
  <c r="AA291" i="1"/>
  <c r="AF291" i="1" s="1"/>
  <c r="AA346" i="1"/>
  <c r="AA117" i="1"/>
  <c r="AA65" i="1"/>
  <c r="AA443" i="1"/>
  <c r="AA150" i="1"/>
  <c r="AA491" i="1"/>
  <c r="AA368" i="1"/>
  <c r="AF368" i="1" s="1"/>
  <c r="AA574" i="1"/>
  <c r="AF574" i="1" s="1"/>
  <c r="AA337" i="1"/>
  <c r="AA207" i="1"/>
  <c r="AA307" i="1"/>
  <c r="AA211" i="1"/>
  <c r="AA385" i="1"/>
  <c r="AA616" i="1"/>
  <c r="AA356" i="1"/>
  <c r="AA259" i="1"/>
  <c r="AF259" i="1" s="1"/>
  <c r="AA371" i="1"/>
  <c r="AA6" i="1"/>
  <c r="AA25" i="1"/>
  <c r="AA26" i="1"/>
  <c r="AA339" i="1"/>
  <c r="AA58" i="1"/>
  <c r="AA95" i="1"/>
  <c r="AF95" i="1" s="1"/>
  <c r="AA260" i="1"/>
  <c r="AF260" i="1" s="1"/>
  <c r="AH260" i="1" s="1"/>
  <c r="AA86" i="1"/>
  <c r="AA395" i="1"/>
  <c r="AA67" i="1"/>
  <c r="AA488" i="1"/>
  <c r="AA383" i="1"/>
  <c r="AA545" i="1"/>
  <c r="AA77" i="1"/>
  <c r="AF77" i="1" s="1"/>
  <c r="AA524" i="1"/>
  <c r="AF524" i="1" s="1"/>
  <c r="AA473" i="1"/>
  <c r="AA96" i="1"/>
  <c r="AA552" i="1"/>
  <c r="AA265" i="1"/>
  <c r="AA285" i="1"/>
  <c r="AA190" i="1"/>
  <c r="AA519" i="1"/>
  <c r="AF519" i="1" s="1"/>
  <c r="AA247" i="1"/>
  <c r="AF247" i="1" s="1"/>
  <c r="AA589" i="1"/>
  <c r="AA451" i="1"/>
  <c r="AA458" i="1"/>
  <c r="AA52" i="1"/>
  <c r="AA214" i="1"/>
  <c r="AA391" i="1"/>
  <c r="AA320" i="1"/>
  <c r="AA263" i="1"/>
  <c r="AF263" i="1" s="1"/>
  <c r="AA354" i="1"/>
  <c r="AA241" i="1"/>
  <c r="AA305" i="1"/>
  <c r="AA229" i="1"/>
  <c r="AA328" i="1"/>
  <c r="AA493" i="1"/>
  <c r="AA158" i="1"/>
  <c r="AF158" i="1" s="1"/>
  <c r="AH158" i="1" s="1"/>
  <c r="AA577" i="1"/>
  <c r="AF577" i="1" s="1"/>
  <c r="AA602" i="1"/>
  <c r="AA492" i="1"/>
  <c r="AA568" i="1"/>
  <c r="AA586" i="1"/>
  <c r="AA10" i="1"/>
  <c r="AA570" i="1"/>
  <c r="AA289" i="1"/>
  <c r="AF289" i="1" s="1"/>
  <c r="AA141" i="1"/>
  <c r="AF141" i="1" s="1"/>
  <c r="AA256" i="1"/>
  <c r="AA446" i="1"/>
  <c r="AA136" i="1"/>
  <c r="AA349" i="1"/>
  <c r="AA450" i="1"/>
  <c r="AA262" i="1"/>
  <c r="AA180" i="1"/>
  <c r="AF180" i="1" s="1"/>
  <c r="AA587" i="1"/>
  <c r="AF587" i="1" s="1"/>
  <c r="AA393" i="1"/>
  <c r="AA89" i="1"/>
  <c r="AA129" i="1"/>
  <c r="AA110" i="1"/>
  <c r="AA544" i="1"/>
  <c r="AA112" i="1"/>
  <c r="AA486" i="1"/>
  <c r="AF486" i="1" s="1"/>
  <c r="AA149" i="1"/>
  <c r="AF149" i="1" s="1"/>
  <c r="AA420" i="1"/>
  <c r="AA508" i="1"/>
  <c r="AA182" i="1"/>
  <c r="AA503" i="1"/>
  <c r="AA423" i="1"/>
  <c r="AA593" i="1"/>
  <c r="AA517" i="1"/>
  <c r="AF517" i="1" s="1"/>
  <c r="AA290" i="1"/>
  <c r="AF290" i="1" s="1"/>
  <c r="AA631" i="1"/>
  <c r="AA314" i="1"/>
  <c r="AA540" i="1"/>
  <c r="AA176" i="1"/>
  <c r="AA42" i="1"/>
  <c r="AA481" i="1"/>
  <c r="AA327" i="1"/>
  <c r="AF327" i="1" s="1"/>
  <c r="AA271" i="1"/>
  <c r="AF271" i="1" s="1"/>
  <c r="AA237" i="1"/>
  <c r="AA439" i="1"/>
  <c r="AA434" i="1"/>
  <c r="AA308" i="1"/>
  <c r="AA187" i="1"/>
  <c r="AA63" i="1"/>
  <c r="AA344" i="1"/>
  <c r="AF344" i="1" s="1"/>
  <c r="AA549" i="1"/>
  <c r="AF549" i="1" s="1"/>
  <c r="AA467" i="1"/>
  <c r="AA321" i="1"/>
  <c r="AA529" i="1"/>
  <c r="AA14" i="1"/>
  <c r="AA484" i="1"/>
  <c r="AA173" i="1"/>
  <c r="AA379" i="1"/>
  <c r="AA143" i="1"/>
  <c r="AF143" i="1" s="1"/>
  <c r="AA612" i="1"/>
  <c r="AA398" i="1"/>
  <c r="AA590" i="1"/>
  <c r="AA408" i="1"/>
  <c r="AA43" i="1"/>
  <c r="AA147" i="1"/>
  <c r="AF147" i="1" s="1"/>
  <c r="AA352" i="1"/>
  <c r="AA474" i="1"/>
  <c r="AA444" i="1"/>
  <c r="AA559" i="1"/>
  <c r="AA325" i="1"/>
  <c r="AA11" i="1"/>
  <c r="AA202" i="1"/>
  <c r="AA334" i="1"/>
  <c r="AF334" i="1" s="1"/>
  <c r="AA605" i="1"/>
  <c r="AA611" i="1"/>
  <c r="AA387" i="1"/>
  <c r="AA80" i="1"/>
  <c r="AF80" i="1" s="1"/>
  <c r="AA322" i="1"/>
  <c r="AA388" i="1"/>
  <c r="AA54" i="1"/>
  <c r="AA304" i="1"/>
  <c r="AF304" i="1" s="1"/>
  <c r="AA22" i="1"/>
  <c r="AA456" i="1"/>
  <c r="AA316" i="1"/>
  <c r="AA88" i="1"/>
  <c r="AF88" i="1" s="1"/>
  <c r="AA432" i="1"/>
  <c r="AA403" i="1"/>
  <c r="AA272" i="1"/>
  <c r="AA532" i="1"/>
  <c r="AF532" i="1" s="1"/>
  <c r="AA273" i="1"/>
  <c r="AA66" i="1"/>
  <c r="AA333" i="1"/>
  <c r="AA175" i="1"/>
  <c r="AF175" i="1" s="1"/>
  <c r="AA592" i="1"/>
  <c r="AA231" i="1"/>
  <c r="AA168" i="1"/>
  <c r="AA203" i="1"/>
  <c r="AF203" i="1" s="1"/>
  <c r="AA177" i="1"/>
  <c r="AA64" i="1"/>
  <c r="AA72" i="1"/>
  <c r="AA406" i="1"/>
  <c r="AF406" i="1" s="1"/>
  <c r="AA351" i="1"/>
  <c r="AA102" i="1"/>
  <c r="AA389" i="1"/>
  <c r="AA83" i="1"/>
  <c r="AF83" i="1" s="1"/>
  <c r="AA483" i="1"/>
  <c r="AA318" i="1"/>
  <c r="AA553" i="1"/>
  <c r="AA169" i="1"/>
  <c r="AF169" i="1" s="1"/>
  <c r="AA57" i="1"/>
  <c r="AA235" i="1"/>
  <c r="AA153" i="1"/>
  <c r="AA563" i="1"/>
  <c r="AF563" i="1" s="1"/>
  <c r="AH563" i="1" s="1"/>
  <c r="AA499" i="1"/>
  <c r="AA617" i="1"/>
  <c r="AA200" i="1"/>
  <c r="AA197" i="1"/>
  <c r="AA619" i="1"/>
  <c r="AA269" i="1"/>
  <c r="AA357" i="1"/>
  <c r="AA442" i="1"/>
  <c r="AF442" i="1" s="1"/>
  <c r="AA548" i="1"/>
  <c r="AA392" i="1"/>
  <c r="AA533" i="1"/>
  <c r="AA585" i="1"/>
  <c r="AA46" i="1"/>
  <c r="AA534" i="1"/>
  <c r="AA183" i="1"/>
  <c r="AA626" i="1"/>
  <c r="AF626" i="1" s="1"/>
  <c r="AA106" i="1"/>
  <c r="AA30" i="1"/>
  <c r="AA412" i="1"/>
  <c r="AA245" i="1"/>
  <c r="AF245" i="1" s="1"/>
  <c r="AA283" i="1"/>
  <c r="AA61" i="1"/>
  <c r="AA411" i="1"/>
  <c r="AA478" i="1"/>
  <c r="AF478" i="1" s="1"/>
  <c r="AA386" i="1"/>
  <c r="AA433" i="1"/>
  <c r="AA567" i="1"/>
  <c r="AA510" i="1"/>
  <c r="AF510" i="1" s="1"/>
  <c r="AA479" i="1"/>
  <c r="AA124" i="1"/>
  <c r="AA302" i="1"/>
  <c r="AA595" i="1"/>
  <c r="AF595" i="1" s="1"/>
  <c r="AA111" i="1"/>
  <c r="AA521" i="1"/>
  <c r="AA309" i="1"/>
  <c r="AA219" i="1"/>
  <c r="AF219" i="1" s="1"/>
  <c r="AA221" i="1"/>
  <c r="AA557" i="1"/>
  <c r="AA554" i="1"/>
  <c r="AA317" i="1"/>
  <c r="AF317" i="1" s="1"/>
  <c r="AA282" i="1"/>
  <c r="AA330" i="1"/>
  <c r="AA29" i="1"/>
  <c r="AA255" i="1"/>
  <c r="AF255" i="1" s="1"/>
  <c r="AA345" i="1"/>
  <c r="AA461" i="1"/>
  <c r="AA100" i="1"/>
  <c r="AA70" i="1"/>
  <c r="AF70" i="1" s="1"/>
  <c r="AA27" i="1"/>
  <c r="AA599" i="1"/>
  <c r="AA581" i="1"/>
  <c r="AA36" i="1"/>
  <c r="AF36" i="1" s="1"/>
  <c r="AA324" i="1"/>
  <c r="AA59" i="1"/>
  <c r="AA122" i="1"/>
  <c r="AA81" i="1"/>
  <c r="AF81" i="1" s="1"/>
  <c r="AA539" i="1"/>
  <c r="AA126" i="1"/>
  <c r="AA113" i="1"/>
  <c r="AA401" i="1"/>
  <c r="AF401" i="1" s="1"/>
  <c r="AA621" i="1"/>
  <c r="AA537" i="1"/>
  <c r="R32" i="1"/>
  <c r="R142" i="1"/>
  <c r="R431" i="1"/>
  <c r="R284" i="1"/>
  <c r="R550" i="1"/>
  <c r="R547" i="1"/>
  <c r="R613" i="1"/>
  <c r="R348" i="1"/>
  <c r="R17" i="1"/>
  <c r="R196" i="1"/>
  <c r="R132" i="1"/>
  <c r="R501" i="1"/>
  <c r="R293" i="1"/>
  <c r="R301" i="1"/>
  <c r="R384" i="1"/>
  <c r="R68" i="1"/>
  <c r="R107" i="1"/>
  <c r="R116" i="1"/>
  <c r="R114" i="1"/>
  <c r="R270" i="1"/>
  <c r="R266" i="1"/>
  <c r="R367" i="1"/>
  <c r="R279" i="1"/>
  <c r="R254" i="1"/>
  <c r="R418" i="1"/>
  <c r="R582" i="1"/>
  <c r="R447" i="1"/>
  <c r="R560" i="1"/>
  <c r="R268" i="1"/>
  <c r="R335" i="1"/>
  <c r="R105" i="1"/>
  <c r="R424" i="1"/>
  <c r="R402" i="1"/>
  <c r="R230" i="1"/>
  <c r="R394" i="1"/>
  <c r="R115" i="1"/>
  <c r="R414" i="1"/>
  <c r="R257" i="1"/>
  <c r="R522" i="1"/>
  <c r="R53" i="1"/>
  <c r="R369" i="1"/>
  <c r="R108" i="1"/>
  <c r="R441" i="1"/>
  <c r="R193" i="1"/>
  <c r="R78" i="1"/>
  <c r="R471" i="1"/>
  <c r="R15" i="1"/>
  <c r="R97" i="1"/>
  <c r="R49" i="1"/>
  <c r="R250" i="1"/>
  <c r="R606" i="1"/>
  <c r="R343" i="1"/>
  <c r="R531" i="1"/>
  <c r="R624" i="1"/>
  <c r="R35" i="1"/>
  <c r="R234" i="1"/>
  <c r="R525" i="1"/>
  <c r="R3" i="1"/>
  <c r="R475" i="1"/>
  <c r="R73" i="1"/>
  <c r="R139" i="1"/>
  <c r="R390" i="1"/>
  <c r="R5" i="1"/>
  <c r="R104" i="1"/>
  <c r="R152" i="1"/>
  <c r="R146" i="1"/>
  <c r="R319" i="1"/>
  <c r="R312" i="1"/>
  <c r="R470" i="1"/>
  <c r="R340" i="1"/>
  <c r="R507" i="1"/>
  <c r="R75" i="1"/>
  <c r="R228" i="1"/>
  <c r="R463" i="1"/>
  <c r="R428" i="1"/>
  <c r="R135" i="1"/>
  <c r="R121" i="1"/>
  <c r="R374" i="1"/>
  <c r="R498" i="1"/>
  <c r="R21" i="1"/>
  <c r="R120" i="1"/>
  <c r="R535" i="1"/>
  <c r="R623" i="1"/>
  <c r="R127" i="1"/>
  <c r="R224" i="1"/>
  <c r="R210" i="1"/>
  <c r="R561" i="1"/>
  <c r="R430" i="1"/>
  <c r="R618" i="1"/>
  <c r="R459" i="1"/>
  <c r="R222" i="1"/>
  <c r="R404" i="1"/>
  <c r="R297" i="1"/>
  <c r="R415" i="1"/>
  <c r="R109" i="1"/>
  <c r="R627" i="1"/>
  <c r="R87" i="1"/>
  <c r="R353" i="1"/>
  <c r="R92" i="1"/>
  <c r="R93" i="1"/>
  <c r="R382" i="1"/>
  <c r="R417" i="1"/>
  <c r="R505" i="1"/>
  <c r="R378" i="1"/>
  <c r="R204" i="1"/>
  <c r="R615" i="1"/>
  <c r="R209" i="1"/>
  <c r="R596" i="1"/>
  <c r="R604" i="1"/>
  <c r="R195" i="1"/>
  <c r="R101" i="1"/>
  <c r="R632" i="1"/>
  <c r="R564" i="1"/>
  <c r="R551" i="1"/>
  <c r="R246" i="1"/>
  <c r="R576" i="1"/>
  <c r="R38" i="1"/>
  <c r="R496" i="1"/>
  <c r="R620" i="1"/>
  <c r="R128" i="1"/>
  <c r="R248" i="1"/>
  <c r="R155" i="1"/>
  <c r="R261" i="1"/>
  <c r="R572" i="1"/>
  <c r="R218" i="1"/>
  <c r="R18" i="1"/>
  <c r="R591" i="1"/>
  <c r="R573" i="1"/>
  <c r="R361" i="1"/>
  <c r="R500" i="1"/>
  <c r="R413" i="1"/>
  <c r="R186" i="1"/>
  <c r="R541" i="1"/>
  <c r="R131" i="1"/>
  <c r="R201" i="1"/>
  <c r="R331" i="1"/>
  <c r="R465" i="1"/>
  <c r="R60" i="1"/>
  <c r="R565" i="1"/>
  <c r="R4" i="1"/>
  <c r="R468" i="1"/>
  <c r="R44" i="1"/>
  <c r="R364" i="1"/>
  <c r="R165" i="1"/>
  <c r="R410" i="1"/>
  <c r="R440" i="1"/>
  <c r="R295" i="1"/>
  <c r="R299" i="1"/>
  <c r="R76" i="1"/>
  <c r="R240" i="1"/>
  <c r="R137" i="1"/>
  <c r="R396" i="1"/>
  <c r="R194" i="1"/>
  <c r="R323" i="1"/>
  <c r="R338" i="1"/>
  <c r="R502" i="1"/>
  <c r="R212" i="1"/>
  <c r="R457" i="1"/>
  <c r="R148" i="1"/>
  <c r="R189" i="1"/>
  <c r="R482" i="1"/>
  <c r="R373" i="1"/>
  <c r="R409" i="1"/>
  <c r="R365" i="1"/>
  <c r="R7" i="1"/>
  <c r="R181" i="1"/>
  <c r="R217" i="1"/>
  <c r="R438" i="1"/>
  <c r="R562" i="1"/>
  <c r="R232" i="1"/>
  <c r="R476" i="1"/>
  <c r="R630" i="1"/>
  <c r="R119" i="1"/>
  <c r="R571" i="1"/>
  <c r="R8" i="1"/>
  <c r="R329" i="1"/>
  <c r="R614" i="1"/>
  <c r="R506" i="1"/>
  <c r="R464" i="1"/>
  <c r="R633" i="1"/>
  <c r="R85" i="1"/>
  <c r="R490" i="1"/>
  <c r="R436" i="1"/>
  <c r="R74" i="1"/>
  <c r="R315" i="1"/>
  <c r="R494" i="1"/>
  <c r="R41" i="1"/>
  <c r="R125" i="1"/>
  <c r="R358" i="1"/>
  <c r="R123" i="1"/>
  <c r="R469" i="1"/>
  <c r="R47" i="1"/>
  <c r="R421" i="1"/>
  <c r="R516" i="1"/>
  <c r="R62" i="1"/>
  <c r="R71" i="1"/>
  <c r="R370" i="1"/>
  <c r="R342" i="1"/>
  <c r="R34" i="1"/>
  <c r="R188" i="1"/>
  <c r="R453" i="1"/>
  <c r="R178" i="1"/>
  <c r="R23" i="1"/>
  <c r="R242" i="1"/>
  <c r="R227" i="1"/>
  <c r="R449" i="1"/>
  <c r="R215" i="1"/>
  <c r="R208" i="1"/>
  <c r="R244" i="1"/>
  <c r="R288" i="1"/>
  <c r="R575" i="1"/>
  <c r="R380" i="1"/>
  <c r="R226" i="1"/>
  <c r="R462" i="1"/>
  <c r="R205" i="1"/>
  <c r="R355" i="1"/>
  <c r="R580" i="1"/>
  <c r="R448" i="1"/>
  <c r="R172" i="1"/>
  <c r="R400" i="1"/>
  <c r="R600" i="1"/>
  <c r="R542" i="1"/>
  <c r="R45" i="1"/>
  <c r="R161" i="1"/>
  <c r="R264" i="1"/>
  <c r="R140" i="1"/>
  <c r="R452" i="1"/>
  <c r="R243" i="1"/>
  <c r="R277" i="1"/>
  <c r="R594" i="1"/>
  <c r="R526" i="1"/>
  <c r="R558" i="1"/>
  <c r="R511" i="1"/>
  <c r="R223" i="1"/>
  <c r="R167" i="1"/>
  <c r="R37" i="1"/>
  <c r="R2" i="1"/>
  <c r="R381" i="1"/>
  <c r="R527" i="1"/>
  <c r="R512" i="1"/>
  <c r="R366" i="1"/>
  <c r="R56" i="1"/>
  <c r="R607" i="1"/>
  <c r="R164" i="1"/>
  <c r="R566" i="1"/>
  <c r="R341" i="1"/>
  <c r="R622" i="1"/>
  <c r="R504" i="1"/>
  <c r="R292" i="1"/>
  <c r="R399" i="1"/>
  <c r="R251" i="1"/>
  <c r="R134" i="1"/>
  <c r="R233" i="1"/>
  <c r="R520" i="1"/>
  <c r="R281" i="1"/>
  <c r="R220" i="1"/>
  <c r="R555" i="1"/>
  <c r="R536" i="1"/>
  <c r="R253" i="1"/>
  <c r="R213" i="1"/>
  <c r="R276" i="1"/>
  <c r="R426" i="1"/>
  <c r="R608" i="1"/>
  <c r="R33" i="1"/>
  <c r="R98" i="1"/>
  <c r="R94" i="1"/>
  <c r="R280" i="1"/>
  <c r="R363" i="1"/>
  <c r="R372" i="1"/>
  <c r="R427" i="1"/>
  <c r="R445" i="1"/>
  <c r="R48" i="1"/>
  <c r="R91" i="1"/>
  <c r="R416" i="1"/>
  <c r="R332" i="1"/>
  <c r="R9" i="1"/>
  <c r="R513" i="1"/>
  <c r="R103" i="1"/>
  <c r="R460" i="1"/>
  <c r="R286" i="1"/>
  <c r="R350" i="1"/>
  <c r="R610" i="1"/>
  <c r="R359" i="1"/>
  <c r="R239" i="1"/>
  <c r="R485" i="1"/>
  <c r="R629" i="1"/>
  <c r="R294" i="1"/>
  <c r="R198" i="1"/>
  <c r="R157" i="1"/>
  <c r="R300" i="1"/>
  <c r="R598" i="1"/>
  <c r="R170" i="1"/>
  <c r="R509" i="1"/>
  <c r="R376" i="1"/>
  <c r="R296" i="1"/>
  <c r="R528" i="1"/>
  <c r="R546" i="1"/>
  <c r="R628" i="1"/>
  <c r="R225" i="1"/>
  <c r="R159" i="1"/>
  <c r="R425" i="1"/>
  <c r="R51" i="1"/>
  <c r="R310" i="1"/>
  <c r="R523" i="1"/>
  <c r="R603" i="1"/>
  <c r="R28" i="1"/>
  <c r="R514" i="1"/>
  <c r="R495" i="1"/>
  <c r="R435" i="1"/>
  <c r="R154" i="1"/>
  <c r="R597" i="1"/>
  <c r="R377" i="1"/>
  <c r="R84" i="1"/>
  <c r="R477" i="1"/>
  <c r="R454" i="1"/>
  <c r="R405" i="1"/>
  <c r="R179" i="1"/>
  <c r="R556" i="1"/>
  <c r="R13" i="1"/>
  <c r="R287" i="1"/>
  <c r="R311" i="1"/>
  <c r="R130" i="1"/>
  <c r="R588" i="1"/>
  <c r="R258" i="1"/>
  <c r="R347" i="1"/>
  <c r="R578" i="1"/>
  <c r="R530" i="1"/>
  <c r="R489" i="1"/>
  <c r="R184" i="1"/>
  <c r="R579" i="1"/>
  <c r="R437" i="1"/>
  <c r="R472" i="1"/>
  <c r="R419" i="1"/>
  <c r="R543" i="1"/>
  <c r="R306" i="1"/>
  <c r="R199" i="1"/>
  <c r="R79" i="1"/>
  <c r="R466" i="1"/>
  <c r="R144" i="1"/>
  <c r="R171" i="1"/>
  <c r="R601" i="1"/>
  <c r="R313" i="1"/>
  <c r="R362" i="1"/>
  <c r="R569" i="1"/>
  <c r="R360" i="1"/>
  <c r="R16" i="1"/>
  <c r="R583" i="1"/>
  <c r="R192" i="1"/>
  <c r="R422" i="1"/>
  <c r="R497" i="1"/>
  <c r="R191" i="1"/>
  <c r="R133" i="1"/>
  <c r="R69" i="1"/>
  <c r="R609" i="1"/>
  <c r="R206" i="1"/>
  <c r="R90" i="1"/>
  <c r="R40" i="1"/>
  <c r="R487" i="1"/>
  <c r="R326" i="1"/>
  <c r="R82" i="1"/>
  <c r="R375" i="1"/>
  <c r="R20" i="1"/>
  <c r="R303" i="1"/>
  <c r="R252" i="1"/>
  <c r="R118" i="1"/>
  <c r="R275" i="1"/>
  <c r="R336" i="1"/>
  <c r="R407" i="1"/>
  <c r="R480" i="1"/>
  <c r="R518" i="1"/>
  <c r="R216" i="1"/>
  <c r="R156" i="1"/>
  <c r="R455" i="1"/>
  <c r="R138" i="1"/>
  <c r="R31" i="1"/>
  <c r="R55" i="1"/>
  <c r="R238" i="1"/>
  <c r="R515" i="1"/>
  <c r="R185" i="1"/>
  <c r="R298" i="1"/>
  <c r="R249" i="1"/>
  <c r="R39" i="1"/>
  <c r="R12" i="1"/>
  <c r="R151" i="1"/>
  <c r="R24" i="1"/>
  <c r="R429" i="1"/>
  <c r="R163" i="1"/>
  <c r="R145" i="1"/>
  <c r="R625" i="1"/>
  <c r="R160" i="1"/>
  <c r="R584" i="1"/>
  <c r="R19" i="1"/>
  <c r="R278" i="1"/>
  <c r="R274" i="1"/>
  <c r="R236" i="1"/>
  <c r="R50" i="1"/>
  <c r="R99" i="1"/>
  <c r="R397" i="1"/>
  <c r="R267" i="1"/>
  <c r="R174" i="1"/>
  <c r="R166" i="1"/>
  <c r="R162" i="1"/>
  <c r="R538" i="1"/>
  <c r="R291" i="1"/>
  <c r="R346" i="1"/>
  <c r="R117" i="1"/>
  <c r="R65" i="1"/>
  <c r="R443" i="1"/>
  <c r="R150" i="1"/>
  <c r="R491" i="1"/>
  <c r="R368" i="1"/>
  <c r="R574" i="1"/>
  <c r="R337" i="1"/>
  <c r="R207" i="1"/>
  <c r="R307" i="1"/>
  <c r="R211" i="1"/>
  <c r="R385" i="1"/>
  <c r="R616" i="1"/>
  <c r="R356" i="1"/>
  <c r="R259" i="1"/>
  <c r="R371" i="1"/>
  <c r="R6" i="1"/>
  <c r="R25" i="1"/>
  <c r="R26" i="1"/>
  <c r="R339" i="1"/>
  <c r="R58" i="1"/>
  <c r="R95" i="1"/>
  <c r="R260" i="1"/>
  <c r="R86" i="1"/>
  <c r="R395" i="1"/>
  <c r="R67" i="1"/>
  <c r="R488" i="1"/>
  <c r="R383" i="1"/>
  <c r="R545" i="1"/>
  <c r="R77" i="1"/>
  <c r="R524" i="1"/>
  <c r="R473" i="1"/>
  <c r="R96" i="1"/>
  <c r="R552" i="1"/>
  <c r="R265" i="1"/>
  <c r="R285" i="1"/>
  <c r="R190" i="1"/>
  <c r="R519" i="1"/>
  <c r="R247" i="1"/>
  <c r="R589" i="1"/>
  <c r="R451" i="1"/>
  <c r="R458" i="1"/>
  <c r="R52" i="1"/>
  <c r="R214" i="1"/>
  <c r="R391" i="1"/>
  <c r="R320" i="1"/>
  <c r="R263" i="1"/>
  <c r="R354" i="1"/>
  <c r="R241" i="1"/>
  <c r="R305" i="1"/>
  <c r="R229" i="1"/>
  <c r="R328" i="1"/>
  <c r="R493" i="1"/>
  <c r="R158" i="1"/>
  <c r="R577" i="1"/>
  <c r="R602" i="1"/>
  <c r="R492" i="1"/>
  <c r="R568" i="1"/>
  <c r="R586" i="1"/>
  <c r="R10" i="1"/>
  <c r="R570" i="1"/>
  <c r="R289" i="1"/>
  <c r="R141" i="1"/>
  <c r="R256" i="1"/>
  <c r="R446" i="1"/>
  <c r="R136" i="1"/>
  <c r="R349" i="1"/>
  <c r="R450" i="1"/>
  <c r="R262" i="1"/>
  <c r="R180" i="1"/>
  <c r="R587" i="1"/>
  <c r="R393" i="1"/>
  <c r="R89" i="1"/>
  <c r="R129" i="1"/>
  <c r="R110" i="1"/>
  <c r="R544" i="1"/>
  <c r="R112" i="1"/>
  <c r="R486" i="1"/>
  <c r="R149" i="1"/>
  <c r="R420" i="1"/>
  <c r="R508" i="1"/>
  <c r="R182" i="1"/>
  <c r="R503" i="1"/>
  <c r="R423" i="1"/>
  <c r="R593" i="1"/>
  <c r="R517" i="1"/>
  <c r="R290" i="1"/>
  <c r="R631" i="1"/>
  <c r="R314" i="1"/>
  <c r="R540" i="1"/>
  <c r="R176" i="1"/>
  <c r="R42" i="1"/>
  <c r="R481" i="1"/>
  <c r="R327" i="1"/>
  <c r="R271" i="1"/>
  <c r="R237" i="1"/>
  <c r="R439" i="1"/>
  <c r="R434" i="1"/>
  <c r="R308" i="1"/>
  <c r="R187" i="1"/>
  <c r="R63" i="1"/>
  <c r="R344" i="1"/>
  <c r="R549" i="1"/>
  <c r="R467" i="1"/>
  <c r="R321" i="1"/>
  <c r="R529" i="1"/>
  <c r="R14" i="1"/>
  <c r="R484" i="1"/>
  <c r="R173" i="1"/>
  <c r="R379" i="1"/>
  <c r="R143" i="1"/>
  <c r="R612" i="1"/>
  <c r="R398" i="1"/>
  <c r="R590" i="1"/>
  <c r="R408" i="1"/>
  <c r="R43" i="1"/>
  <c r="R147" i="1"/>
  <c r="R352" i="1"/>
  <c r="R474" i="1"/>
  <c r="R444" i="1"/>
  <c r="R559" i="1"/>
  <c r="R325" i="1"/>
  <c r="R11" i="1"/>
  <c r="R202" i="1"/>
  <c r="R334" i="1"/>
  <c r="R605" i="1"/>
  <c r="R611" i="1"/>
  <c r="R387" i="1"/>
  <c r="R80" i="1"/>
  <c r="R322" i="1"/>
  <c r="R388" i="1"/>
  <c r="R54" i="1"/>
  <c r="R304" i="1"/>
  <c r="R22" i="1"/>
  <c r="R456" i="1"/>
  <c r="R316" i="1"/>
  <c r="R88" i="1"/>
  <c r="R432" i="1"/>
  <c r="R403" i="1"/>
  <c r="R272" i="1"/>
  <c r="R532" i="1"/>
  <c r="R273" i="1"/>
  <c r="R66" i="1"/>
  <c r="R333" i="1"/>
  <c r="R175" i="1"/>
  <c r="R592" i="1"/>
  <c r="R231" i="1"/>
  <c r="R168" i="1"/>
  <c r="R203" i="1"/>
  <c r="R177" i="1"/>
  <c r="R64" i="1"/>
  <c r="R72" i="1"/>
  <c r="R406" i="1"/>
  <c r="R351" i="1"/>
  <c r="R102" i="1"/>
  <c r="R389" i="1"/>
  <c r="R83" i="1"/>
  <c r="R483" i="1"/>
  <c r="R318" i="1"/>
  <c r="R553" i="1"/>
  <c r="R169" i="1"/>
  <c r="R57" i="1"/>
  <c r="R235" i="1"/>
  <c r="R153" i="1"/>
  <c r="R563" i="1"/>
  <c r="R499" i="1"/>
  <c r="R617" i="1"/>
  <c r="R200" i="1"/>
  <c r="R197" i="1"/>
  <c r="R619" i="1"/>
  <c r="R269" i="1"/>
  <c r="R357" i="1"/>
  <c r="R442" i="1"/>
  <c r="R548" i="1"/>
  <c r="R392" i="1"/>
  <c r="R533" i="1"/>
  <c r="R585" i="1"/>
  <c r="R46" i="1"/>
  <c r="R534" i="1"/>
  <c r="R183" i="1"/>
  <c r="R626" i="1"/>
  <c r="R106" i="1"/>
  <c r="R30" i="1"/>
  <c r="R412" i="1"/>
  <c r="R245" i="1"/>
  <c r="R283" i="1"/>
  <c r="R61" i="1"/>
  <c r="R411" i="1"/>
  <c r="R478" i="1"/>
  <c r="R386" i="1"/>
  <c r="R433" i="1"/>
  <c r="R567" i="1"/>
  <c r="R510" i="1"/>
  <c r="R479" i="1"/>
  <c r="R124" i="1"/>
  <c r="R302" i="1"/>
  <c r="R595" i="1"/>
  <c r="R111" i="1"/>
  <c r="R521" i="1"/>
  <c r="R309" i="1"/>
  <c r="R219" i="1"/>
  <c r="R221" i="1"/>
  <c r="R557" i="1"/>
  <c r="R554" i="1"/>
  <c r="R317" i="1"/>
  <c r="R282" i="1"/>
  <c r="R330" i="1"/>
  <c r="R29" i="1"/>
  <c r="R255" i="1"/>
  <c r="R345" i="1"/>
  <c r="R461" i="1"/>
  <c r="R100" i="1"/>
  <c r="R70" i="1"/>
  <c r="R27" i="1"/>
  <c r="R599" i="1"/>
  <c r="R581" i="1"/>
  <c r="R36" i="1"/>
  <c r="R324" i="1"/>
  <c r="R59" i="1"/>
  <c r="R122" i="1"/>
  <c r="R81" i="1"/>
  <c r="R539" i="1"/>
  <c r="R126" i="1"/>
  <c r="R113" i="1"/>
  <c r="R401" i="1"/>
  <c r="R621" i="1"/>
  <c r="R537" i="1"/>
  <c r="T32" i="1"/>
  <c r="T142" i="1"/>
  <c r="T431" i="1"/>
  <c r="T284" i="1"/>
  <c r="T550" i="1"/>
  <c r="T547" i="1"/>
  <c r="T613" i="1"/>
  <c r="T348" i="1"/>
  <c r="T17" i="1"/>
  <c r="T196" i="1"/>
  <c r="T132" i="1"/>
  <c r="T501" i="1"/>
  <c r="T293" i="1"/>
  <c r="T301" i="1"/>
  <c r="T384" i="1"/>
  <c r="T68" i="1"/>
  <c r="T107" i="1"/>
  <c r="T116" i="1"/>
  <c r="T114" i="1"/>
  <c r="T270" i="1"/>
  <c r="T266" i="1"/>
  <c r="T367" i="1"/>
  <c r="T279" i="1"/>
  <c r="T254" i="1"/>
  <c r="T418" i="1"/>
  <c r="T582" i="1"/>
  <c r="T447" i="1"/>
  <c r="T560" i="1"/>
  <c r="T268" i="1"/>
  <c r="T335" i="1"/>
  <c r="T105" i="1"/>
  <c r="T424" i="1"/>
  <c r="T402" i="1"/>
  <c r="T230" i="1"/>
  <c r="T394" i="1"/>
  <c r="T115" i="1"/>
  <c r="T414" i="1"/>
  <c r="T257" i="1"/>
  <c r="T522" i="1"/>
  <c r="T53" i="1"/>
  <c r="T369" i="1"/>
  <c r="T108" i="1"/>
  <c r="T441" i="1"/>
  <c r="T193" i="1"/>
  <c r="T78" i="1"/>
  <c r="T471" i="1"/>
  <c r="T15" i="1"/>
  <c r="T97" i="1"/>
  <c r="T49" i="1"/>
  <c r="T250" i="1"/>
  <c r="T606" i="1"/>
  <c r="T343" i="1"/>
  <c r="T531" i="1"/>
  <c r="T624" i="1"/>
  <c r="T35" i="1"/>
  <c r="T234" i="1"/>
  <c r="T525" i="1"/>
  <c r="T3" i="1"/>
  <c r="T475" i="1"/>
  <c r="T73" i="1"/>
  <c r="T139" i="1"/>
  <c r="T390" i="1"/>
  <c r="T5" i="1"/>
  <c r="T104" i="1"/>
  <c r="T152" i="1"/>
  <c r="T146" i="1"/>
  <c r="T319" i="1"/>
  <c r="T312" i="1"/>
  <c r="T470" i="1"/>
  <c r="T340" i="1"/>
  <c r="T507" i="1"/>
  <c r="T75" i="1"/>
  <c r="T228" i="1"/>
  <c r="T463" i="1"/>
  <c r="T428" i="1"/>
  <c r="T135" i="1"/>
  <c r="T121" i="1"/>
  <c r="T374" i="1"/>
  <c r="T498" i="1"/>
  <c r="T21" i="1"/>
  <c r="T120" i="1"/>
  <c r="T535" i="1"/>
  <c r="T623" i="1"/>
  <c r="T127" i="1"/>
  <c r="T224" i="1"/>
  <c r="T210" i="1"/>
  <c r="T561" i="1"/>
  <c r="T430" i="1"/>
  <c r="T618" i="1"/>
  <c r="T459" i="1"/>
  <c r="T222" i="1"/>
  <c r="T404" i="1"/>
  <c r="T297" i="1"/>
  <c r="T415" i="1"/>
  <c r="T109" i="1"/>
  <c r="T627" i="1"/>
  <c r="T87" i="1"/>
  <c r="T353" i="1"/>
  <c r="T92" i="1"/>
  <c r="T93" i="1"/>
  <c r="T382" i="1"/>
  <c r="T417" i="1"/>
  <c r="T505" i="1"/>
  <c r="T378" i="1"/>
  <c r="T204" i="1"/>
  <c r="T615" i="1"/>
  <c r="T209" i="1"/>
  <c r="T596" i="1"/>
  <c r="T604" i="1"/>
  <c r="T195" i="1"/>
  <c r="T101" i="1"/>
  <c r="T632" i="1"/>
  <c r="T564" i="1"/>
  <c r="T551" i="1"/>
  <c r="T246" i="1"/>
  <c r="T576" i="1"/>
  <c r="T38" i="1"/>
  <c r="T496" i="1"/>
  <c r="T620" i="1"/>
  <c r="T128" i="1"/>
  <c r="T248" i="1"/>
  <c r="T155" i="1"/>
  <c r="T261" i="1"/>
  <c r="T572" i="1"/>
  <c r="T218" i="1"/>
  <c r="T18" i="1"/>
  <c r="T591" i="1"/>
  <c r="T573" i="1"/>
  <c r="T361" i="1"/>
  <c r="T500" i="1"/>
  <c r="T413" i="1"/>
  <c r="T186" i="1"/>
  <c r="T541" i="1"/>
  <c r="T131" i="1"/>
  <c r="T201" i="1"/>
  <c r="T331" i="1"/>
  <c r="T465" i="1"/>
  <c r="T60" i="1"/>
  <c r="T565" i="1"/>
  <c r="T4" i="1"/>
  <c r="T468" i="1"/>
  <c r="T44" i="1"/>
  <c r="T364" i="1"/>
  <c r="T165" i="1"/>
  <c r="T410" i="1"/>
  <c r="T440" i="1"/>
  <c r="T295" i="1"/>
  <c r="T299" i="1"/>
  <c r="T76" i="1"/>
  <c r="T240" i="1"/>
  <c r="T137" i="1"/>
  <c r="T396" i="1"/>
  <c r="T194" i="1"/>
  <c r="T323" i="1"/>
  <c r="T338" i="1"/>
  <c r="T502" i="1"/>
  <c r="T212" i="1"/>
  <c r="T457" i="1"/>
  <c r="T148" i="1"/>
  <c r="T189" i="1"/>
  <c r="T482" i="1"/>
  <c r="T373" i="1"/>
  <c r="T409" i="1"/>
  <c r="T365" i="1"/>
  <c r="T7" i="1"/>
  <c r="T181" i="1"/>
  <c r="T217" i="1"/>
  <c r="T438" i="1"/>
  <c r="T562" i="1"/>
  <c r="T232" i="1"/>
  <c r="T476" i="1"/>
  <c r="T630" i="1"/>
  <c r="T119" i="1"/>
  <c r="T571" i="1"/>
  <c r="T8" i="1"/>
  <c r="T329" i="1"/>
  <c r="T614" i="1"/>
  <c r="T506" i="1"/>
  <c r="T464" i="1"/>
  <c r="T633" i="1"/>
  <c r="T85" i="1"/>
  <c r="T490" i="1"/>
  <c r="T436" i="1"/>
  <c r="T74" i="1"/>
  <c r="T315" i="1"/>
  <c r="T494" i="1"/>
  <c r="T41" i="1"/>
  <c r="T125" i="1"/>
  <c r="T358" i="1"/>
  <c r="T123" i="1"/>
  <c r="T469" i="1"/>
  <c r="T47" i="1"/>
  <c r="T421" i="1"/>
  <c r="T516" i="1"/>
  <c r="T62" i="1"/>
  <c r="T71" i="1"/>
  <c r="T370" i="1"/>
  <c r="T342" i="1"/>
  <c r="T34" i="1"/>
  <c r="T188" i="1"/>
  <c r="T453" i="1"/>
  <c r="T178" i="1"/>
  <c r="T23" i="1"/>
  <c r="T242" i="1"/>
  <c r="T227" i="1"/>
  <c r="T449" i="1"/>
  <c r="T215" i="1"/>
  <c r="T208" i="1"/>
  <c r="T244" i="1"/>
  <c r="T288" i="1"/>
  <c r="T575" i="1"/>
  <c r="T380" i="1"/>
  <c r="T226" i="1"/>
  <c r="T462" i="1"/>
  <c r="T205" i="1"/>
  <c r="T355" i="1"/>
  <c r="T580" i="1"/>
  <c r="T448" i="1"/>
  <c r="T172" i="1"/>
  <c r="T400" i="1"/>
  <c r="T600" i="1"/>
  <c r="T542" i="1"/>
  <c r="T45" i="1"/>
  <c r="T161" i="1"/>
  <c r="T264" i="1"/>
  <c r="T140" i="1"/>
  <c r="T452" i="1"/>
  <c r="T243" i="1"/>
  <c r="T277" i="1"/>
  <c r="T594" i="1"/>
  <c r="T526" i="1"/>
  <c r="T558" i="1"/>
  <c r="T511" i="1"/>
  <c r="T223" i="1"/>
  <c r="T167" i="1"/>
  <c r="T37" i="1"/>
  <c r="T2" i="1"/>
  <c r="T381" i="1"/>
  <c r="T527" i="1"/>
  <c r="T512" i="1"/>
  <c r="T366" i="1"/>
  <c r="T56" i="1"/>
  <c r="T607" i="1"/>
  <c r="T164" i="1"/>
  <c r="T566" i="1"/>
  <c r="T341" i="1"/>
  <c r="T622" i="1"/>
  <c r="T504" i="1"/>
  <c r="T292" i="1"/>
  <c r="T399" i="1"/>
  <c r="T251" i="1"/>
  <c r="T134" i="1"/>
  <c r="T233" i="1"/>
  <c r="T520" i="1"/>
  <c r="T281" i="1"/>
  <c r="T220" i="1"/>
  <c r="T555" i="1"/>
  <c r="T536" i="1"/>
  <c r="T253" i="1"/>
  <c r="T213" i="1"/>
  <c r="T276" i="1"/>
  <c r="T426" i="1"/>
  <c r="T608" i="1"/>
  <c r="T33" i="1"/>
  <c r="T98" i="1"/>
  <c r="T94" i="1"/>
  <c r="T280" i="1"/>
  <c r="T363" i="1"/>
  <c r="T372" i="1"/>
  <c r="T427" i="1"/>
  <c r="T445" i="1"/>
  <c r="T48" i="1"/>
  <c r="T91" i="1"/>
  <c r="T416" i="1"/>
  <c r="T332" i="1"/>
  <c r="T9" i="1"/>
  <c r="T513" i="1"/>
  <c r="T103" i="1"/>
  <c r="T460" i="1"/>
  <c r="T286" i="1"/>
  <c r="T350" i="1"/>
  <c r="T610" i="1"/>
  <c r="T359" i="1"/>
  <c r="T239" i="1"/>
  <c r="T485" i="1"/>
  <c r="T629" i="1"/>
  <c r="T294" i="1"/>
  <c r="T198" i="1"/>
  <c r="T157" i="1"/>
  <c r="T300" i="1"/>
  <c r="T598" i="1"/>
  <c r="T170" i="1"/>
  <c r="T509" i="1"/>
  <c r="T376" i="1"/>
  <c r="T296" i="1"/>
  <c r="T528" i="1"/>
  <c r="T546" i="1"/>
  <c r="T628" i="1"/>
  <c r="T225" i="1"/>
  <c r="T159" i="1"/>
  <c r="T425" i="1"/>
  <c r="T51" i="1"/>
  <c r="T310" i="1"/>
  <c r="T523" i="1"/>
  <c r="T603" i="1"/>
  <c r="T28" i="1"/>
  <c r="T514" i="1"/>
  <c r="T495" i="1"/>
  <c r="T435" i="1"/>
  <c r="T154" i="1"/>
  <c r="T597" i="1"/>
  <c r="T377" i="1"/>
  <c r="T84" i="1"/>
  <c r="T477" i="1"/>
  <c r="T454" i="1"/>
  <c r="T405" i="1"/>
  <c r="T179" i="1"/>
  <c r="T556" i="1"/>
  <c r="T13" i="1"/>
  <c r="T287" i="1"/>
  <c r="T311" i="1"/>
  <c r="T130" i="1"/>
  <c r="T588" i="1"/>
  <c r="T258" i="1"/>
  <c r="T347" i="1"/>
  <c r="T578" i="1"/>
  <c r="T530" i="1"/>
  <c r="T489" i="1"/>
  <c r="T184" i="1"/>
  <c r="T579" i="1"/>
  <c r="T437" i="1"/>
  <c r="T472" i="1"/>
  <c r="T419" i="1"/>
  <c r="T543" i="1"/>
  <c r="T306" i="1"/>
  <c r="T199" i="1"/>
  <c r="T79" i="1"/>
  <c r="T466" i="1"/>
  <c r="T171" i="1"/>
  <c r="T601" i="1"/>
  <c r="T313" i="1"/>
  <c r="T362" i="1"/>
  <c r="T569" i="1"/>
  <c r="T360" i="1"/>
  <c r="T16" i="1"/>
  <c r="T583" i="1"/>
  <c r="T192" i="1"/>
  <c r="T422" i="1"/>
  <c r="T497" i="1"/>
  <c r="T191" i="1"/>
  <c r="T133" i="1"/>
  <c r="T69" i="1"/>
  <c r="T609" i="1"/>
  <c r="T206" i="1"/>
  <c r="T90" i="1"/>
  <c r="T40" i="1"/>
  <c r="T487" i="1"/>
  <c r="T326" i="1"/>
  <c r="T82" i="1"/>
  <c r="T375" i="1"/>
  <c r="T20" i="1"/>
  <c r="T303" i="1"/>
  <c r="T252" i="1"/>
  <c r="T118" i="1"/>
  <c r="T275" i="1"/>
  <c r="T336" i="1"/>
  <c r="T407" i="1"/>
  <c r="T480" i="1"/>
  <c r="T518" i="1"/>
  <c r="T216" i="1"/>
  <c r="T156" i="1"/>
  <c r="T455" i="1"/>
  <c r="T138" i="1"/>
  <c r="T31" i="1"/>
  <c r="T55" i="1"/>
  <c r="T238" i="1"/>
  <c r="T515" i="1"/>
  <c r="T185" i="1"/>
  <c r="T298" i="1"/>
  <c r="T249" i="1"/>
  <c r="T39" i="1"/>
  <c r="T12" i="1"/>
  <c r="T151" i="1"/>
  <c r="T24" i="1"/>
  <c r="T429" i="1"/>
  <c r="T163" i="1"/>
  <c r="T145" i="1"/>
  <c r="T625" i="1"/>
  <c r="T160" i="1"/>
  <c r="T584" i="1"/>
  <c r="T19" i="1"/>
  <c r="T278" i="1"/>
  <c r="T274" i="1"/>
  <c r="T236" i="1"/>
  <c r="T50" i="1"/>
  <c r="T99" i="1"/>
  <c r="T397" i="1"/>
  <c r="T267" i="1"/>
  <c r="T174" i="1"/>
  <c r="T166" i="1"/>
  <c r="T162" i="1"/>
  <c r="T538" i="1"/>
  <c r="T291" i="1"/>
  <c r="T346" i="1"/>
  <c r="T117" i="1"/>
  <c r="T65" i="1"/>
  <c r="T443" i="1"/>
  <c r="T150" i="1"/>
  <c r="T491" i="1"/>
  <c r="T368" i="1"/>
  <c r="T574" i="1"/>
  <c r="T337" i="1"/>
  <c r="T207" i="1"/>
  <c r="T307" i="1"/>
  <c r="T211" i="1"/>
  <c r="T385" i="1"/>
  <c r="T616" i="1"/>
  <c r="T356" i="1"/>
  <c r="T259" i="1"/>
  <c r="T371" i="1"/>
  <c r="T25" i="1"/>
  <c r="T26" i="1"/>
  <c r="T339" i="1"/>
  <c r="T58" i="1"/>
  <c r="T95" i="1"/>
  <c r="T260" i="1"/>
  <c r="T86" i="1"/>
  <c r="T395" i="1"/>
  <c r="T67" i="1"/>
  <c r="T488" i="1"/>
  <c r="T383" i="1"/>
  <c r="T545" i="1"/>
  <c r="T77" i="1"/>
  <c r="T524" i="1"/>
  <c r="T473" i="1"/>
  <c r="T96" i="1"/>
  <c r="T552" i="1"/>
  <c r="T265" i="1"/>
  <c r="T285" i="1"/>
  <c r="T190" i="1"/>
  <c r="T519" i="1"/>
  <c r="T247" i="1"/>
  <c r="T589" i="1"/>
  <c r="T451" i="1"/>
  <c r="T458" i="1"/>
  <c r="T52" i="1"/>
  <c r="T214" i="1"/>
  <c r="T391" i="1"/>
  <c r="T320" i="1"/>
  <c r="T263" i="1"/>
  <c r="T354" i="1"/>
  <c r="T241" i="1"/>
  <c r="T305" i="1"/>
  <c r="T229" i="1"/>
  <c r="T328" i="1"/>
  <c r="T493" i="1"/>
  <c r="T158" i="1"/>
  <c r="T577" i="1"/>
  <c r="T602" i="1"/>
  <c r="T492" i="1"/>
  <c r="T568" i="1"/>
  <c r="T586" i="1"/>
  <c r="T10" i="1"/>
  <c r="T570" i="1"/>
  <c r="T289" i="1"/>
  <c r="T141" i="1"/>
  <c r="T256" i="1"/>
  <c r="T446" i="1"/>
  <c r="T136" i="1"/>
  <c r="T349" i="1"/>
  <c r="T450" i="1"/>
  <c r="T262" i="1"/>
  <c r="T180" i="1"/>
  <c r="T587" i="1"/>
  <c r="T393" i="1"/>
  <c r="T89" i="1"/>
  <c r="T129" i="1"/>
  <c r="T110" i="1"/>
  <c r="T544" i="1"/>
  <c r="T112" i="1"/>
  <c r="T486" i="1"/>
  <c r="T149" i="1"/>
  <c r="T420" i="1"/>
  <c r="T508" i="1"/>
  <c r="T182" i="1"/>
  <c r="T503" i="1"/>
  <c r="T423" i="1"/>
  <c r="T593" i="1"/>
  <c r="T517" i="1"/>
  <c r="T290" i="1"/>
  <c r="T631" i="1"/>
  <c r="T314" i="1"/>
  <c r="T540" i="1"/>
  <c r="T176" i="1"/>
  <c r="T42" i="1"/>
  <c r="T481" i="1"/>
  <c r="T327" i="1"/>
  <c r="T271" i="1"/>
  <c r="T237" i="1"/>
  <c r="T439" i="1"/>
  <c r="T434" i="1"/>
  <c r="T308" i="1"/>
  <c r="T187" i="1"/>
  <c r="T63" i="1"/>
  <c r="T344" i="1"/>
  <c r="T549" i="1"/>
  <c r="T467" i="1"/>
  <c r="T321" i="1"/>
  <c r="T529" i="1"/>
  <c r="T14" i="1"/>
  <c r="T484" i="1"/>
  <c r="T173" i="1"/>
  <c r="T379" i="1"/>
  <c r="T143" i="1"/>
  <c r="T612" i="1"/>
  <c r="T398" i="1"/>
  <c r="T590" i="1"/>
  <c r="T408" i="1"/>
  <c r="T43" i="1"/>
  <c r="T147" i="1"/>
  <c r="T352" i="1"/>
  <c r="T474" i="1"/>
  <c r="T444" i="1"/>
  <c r="T559" i="1"/>
  <c r="T325" i="1"/>
  <c r="T11" i="1"/>
  <c r="T202" i="1"/>
  <c r="T334" i="1"/>
  <c r="T605" i="1"/>
  <c r="T611" i="1"/>
  <c r="T387" i="1"/>
  <c r="T80" i="1"/>
  <c r="T322" i="1"/>
  <c r="T388" i="1"/>
  <c r="T54" i="1"/>
  <c r="T304" i="1"/>
  <c r="T22" i="1"/>
  <c r="T456" i="1"/>
  <c r="T316" i="1"/>
  <c r="T88" i="1"/>
  <c r="T432" i="1"/>
  <c r="T403" i="1"/>
  <c r="T272" i="1"/>
  <c r="T532" i="1"/>
  <c r="T273" i="1"/>
  <c r="T66" i="1"/>
  <c r="T333" i="1"/>
  <c r="T175" i="1"/>
  <c r="T592" i="1"/>
  <c r="T231" i="1"/>
  <c r="T168" i="1"/>
  <c r="T203" i="1"/>
  <c r="T177" i="1"/>
  <c r="T64" i="1"/>
  <c r="T72" i="1"/>
  <c r="T406" i="1"/>
  <c r="T351" i="1"/>
  <c r="T102" i="1"/>
  <c r="T389" i="1"/>
  <c r="T83" i="1"/>
  <c r="T483" i="1"/>
  <c r="T318" i="1"/>
  <c r="T553" i="1"/>
  <c r="T169" i="1"/>
  <c r="T57" i="1"/>
  <c r="T235" i="1"/>
  <c r="T153" i="1"/>
  <c r="T563" i="1"/>
  <c r="T499" i="1"/>
  <c r="T617" i="1"/>
  <c r="T200" i="1"/>
  <c r="T197" i="1"/>
  <c r="T619" i="1"/>
  <c r="T269" i="1"/>
  <c r="T357" i="1"/>
  <c r="T442" i="1"/>
  <c r="T548" i="1"/>
  <c r="T392" i="1"/>
  <c r="T533" i="1"/>
  <c r="T585" i="1"/>
  <c r="T46" i="1"/>
  <c r="T534" i="1"/>
  <c r="T183" i="1"/>
  <c r="T626" i="1"/>
  <c r="T106" i="1"/>
  <c r="T30" i="1"/>
  <c r="T412" i="1"/>
  <c r="T245" i="1"/>
  <c r="T283" i="1"/>
  <c r="T61" i="1"/>
  <c r="T411" i="1"/>
  <c r="T478" i="1"/>
  <c r="T386" i="1"/>
  <c r="T433" i="1"/>
  <c r="T567" i="1"/>
  <c r="T510" i="1"/>
  <c r="T479" i="1"/>
  <c r="T124" i="1"/>
  <c r="T302" i="1"/>
  <c r="T595" i="1"/>
  <c r="T111" i="1"/>
  <c r="T521" i="1"/>
  <c r="T309" i="1"/>
  <c r="T219" i="1"/>
  <c r="T221" i="1"/>
  <c r="T557" i="1"/>
  <c r="T554" i="1"/>
  <c r="T317" i="1"/>
  <c r="T282" i="1"/>
  <c r="T330" i="1"/>
  <c r="T29" i="1"/>
  <c r="T255" i="1"/>
  <c r="T345" i="1"/>
  <c r="T461" i="1"/>
  <c r="T100" i="1"/>
  <c r="T70" i="1"/>
  <c r="T27" i="1"/>
  <c r="T599" i="1"/>
  <c r="T581" i="1"/>
  <c r="T36" i="1"/>
  <c r="T324" i="1"/>
  <c r="T59" i="1"/>
  <c r="T122" i="1"/>
  <c r="T81" i="1"/>
  <c r="T539" i="1"/>
  <c r="T126" i="1"/>
  <c r="T113" i="1"/>
  <c r="T401" i="1"/>
  <c r="T621" i="1"/>
  <c r="T537" i="1"/>
  <c r="O32" i="1"/>
  <c r="O142" i="1"/>
  <c r="O431" i="1"/>
  <c r="O284" i="1"/>
  <c r="O550" i="1"/>
  <c r="O547" i="1"/>
  <c r="O613" i="1"/>
  <c r="O348" i="1"/>
  <c r="O17" i="1"/>
  <c r="O196" i="1"/>
  <c r="O132" i="1"/>
  <c r="O501" i="1"/>
  <c r="O293" i="1"/>
  <c r="O301" i="1"/>
  <c r="O384" i="1"/>
  <c r="O68" i="1"/>
  <c r="O107" i="1"/>
  <c r="O116" i="1"/>
  <c r="O114" i="1"/>
  <c r="O270" i="1"/>
  <c r="O266" i="1"/>
  <c r="O367" i="1"/>
  <c r="O279" i="1"/>
  <c r="O254" i="1"/>
  <c r="O418" i="1"/>
  <c r="O582" i="1"/>
  <c r="O447" i="1"/>
  <c r="O560" i="1"/>
  <c r="O268" i="1"/>
  <c r="O335" i="1"/>
  <c r="O105" i="1"/>
  <c r="O424" i="1"/>
  <c r="O402" i="1"/>
  <c r="O230" i="1"/>
  <c r="O394" i="1"/>
  <c r="O115" i="1"/>
  <c r="O414" i="1"/>
  <c r="O257" i="1"/>
  <c r="O522" i="1"/>
  <c r="O53" i="1"/>
  <c r="O369" i="1"/>
  <c r="O108" i="1"/>
  <c r="O441" i="1"/>
  <c r="O193" i="1"/>
  <c r="O78" i="1"/>
  <c r="O471" i="1"/>
  <c r="O15" i="1"/>
  <c r="O97" i="1"/>
  <c r="O49" i="1"/>
  <c r="O250" i="1"/>
  <c r="O606" i="1"/>
  <c r="O343" i="1"/>
  <c r="O531" i="1"/>
  <c r="O624" i="1"/>
  <c r="O35" i="1"/>
  <c r="O234" i="1"/>
  <c r="O525" i="1"/>
  <c r="O3" i="1"/>
  <c r="O475" i="1"/>
  <c r="O73" i="1"/>
  <c r="O139" i="1"/>
  <c r="O390" i="1"/>
  <c r="O5" i="1"/>
  <c r="O104" i="1"/>
  <c r="O152" i="1"/>
  <c r="O146" i="1"/>
  <c r="O319" i="1"/>
  <c r="O312" i="1"/>
  <c r="O470" i="1"/>
  <c r="O340" i="1"/>
  <c r="O507" i="1"/>
  <c r="O75" i="1"/>
  <c r="O228" i="1"/>
  <c r="O463" i="1"/>
  <c r="O428" i="1"/>
  <c r="O135" i="1"/>
  <c r="O121" i="1"/>
  <c r="O374" i="1"/>
  <c r="O498" i="1"/>
  <c r="O21" i="1"/>
  <c r="O120" i="1"/>
  <c r="O535" i="1"/>
  <c r="O623" i="1"/>
  <c r="O127" i="1"/>
  <c r="O224" i="1"/>
  <c r="O210" i="1"/>
  <c r="O561" i="1"/>
  <c r="O430" i="1"/>
  <c r="O618" i="1"/>
  <c r="O459" i="1"/>
  <c r="O222" i="1"/>
  <c r="O404" i="1"/>
  <c r="O297" i="1"/>
  <c r="O415" i="1"/>
  <c r="O109" i="1"/>
  <c r="O627" i="1"/>
  <c r="O87" i="1"/>
  <c r="O353" i="1"/>
  <c r="O92" i="1"/>
  <c r="O93" i="1"/>
  <c r="O382" i="1"/>
  <c r="O417" i="1"/>
  <c r="O505" i="1"/>
  <c r="O378" i="1"/>
  <c r="O204" i="1"/>
  <c r="O615" i="1"/>
  <c r="O209" i="1"/>
  <c r="O596" i="1"/>
  <c r="O604" i="1"/>
  <c r="O195" i="1"/>
  <c r="O101" i="1"/>
  <c r="O632" i="1"/>
  <c r="O564" i="1"/>
  <c r="O551" i="1"/>
  <c r="O246" i="1"/>
  <c r="O576" i="1"/>
  <c r="O38" i="1"/>
  <c r="O496" i="1"/>
  <c r="O620" i="1"/>
  <c r="O128" i="1"/>
  <c r="O248" i="1"/>
  <c r="O155" i="1"/>
  <c r="O261" i="1"/>
  <c r="O572" i="1"/>
  <c r="O218" i="1"/>
  <c r="O18" i="1"/>
  <c r="O591" i="1"/>
  <c r="O573" i="1"/>
  <c r="O361" i="1"/>
  <c r="O500" i="1"/>
  <c r="O413" i="1"/>
  <c r="O186" i="1"/>
  <c r="O541" i="1"/>
  <c r="O131" i="1"/>
  <c r="O201" i="1"/>
  <c r="O331" i="1"/>
  <c r="O465" i="1"/>
  <c r="O60" i="1"/>
  <c r="O565" i="1"/>
  <c r="O4" i="1"/>
  <c r="O468" i="1"/>
  <c r="O44" i="1"/>
  <c r="O364" i="1"/>
  <c r="O165" i="1"/>
  <c r="O410" i="1"/>
  <c r="O440" i="1"/>
  <c r="O295" i="1"/>
  <c r="O299" i="1"/>
  <c r="O76" i="1"/>
  <c r="O240" i="1"/>
  <c r="O137" i="1"/>
  <c r="O396" i="1"/>
  <c r="O194" i="1"/>
  <c r="O323" i="1"/>
  <c r="O338" i="1"/>
  <c r="O502" i="1"/>
  <c r="O212" i="1"/>
  <c r="O457" i="1"/>
  <c r="O148" i="1"/>
  <c r="O189" i="1"/>
  <c r="O482" i="1"/>
  <c r="O373" i="1"/>
  <c r="O409" i="1"/>
  <c r="O365" i="1"/>
  <c r="O7" i="1"/>
  <c r="O181" i="1"/>
  <c r="O217" i="1"/>
  <c r="O438" i="1"/>
  <c r="O562" i="1"/>
  <c r="O232" i="1"/>
  <c r="O476" i="1"/>
  <c r="O630" i="1"/>
  <c r="O119" i="1"/>
  <c r="O571" i="1"/>
  <c r="O8" i="1"/>
  <c r="O329" i="1"/>
  <c r="O614" i="1"/>
  <c r="O506" i="1"/>
  <c r="O464" i="1"/>
  <c r="O633" i="1"/>
  <c r="O85" i="1"/>
  <c r="O490" i="1"/>
  <c r="O436" i="1"/>
  <c r="O74" i="1"/>
  <c r="O315" i="1"/>
  <c r="O494" i="1"/>
  <c r="O41" i="1"/>
  <c r="O125" i="1"/>
  <c r="O358" i="1"/>
  <c r="O123" i="1"/>
  <c r="O469" i="1"/>
  <c r="O47" i="1"/>
  <c r="O421" i="1"/>
  <c r="O516" i="1"/>
  <c r="O62" i="1"/>
  <c r="O71" i="1"/>
  <c r="O370" i="1"/>
  <c r="O342" i="1"/>
  <c r="O34" i="1"/>
  <c r="O188" i="1"/>
  <c r="O453" i="1"/>
  <c r="O178" i="1"/>
  <c r="O23" i="1"/>
  <c r="O242" i="1"/>
  <c r="O227" i="1"/>
  <c r="O449" i="1"/>
  <c r="O215" i="1"/>
  <c r="O208" i="1"/>
  <c r="O244" i="1"/>
  <c r="O288" i="1"/>
  <c r="O575" i="1"/>
  <c r="O380" i="1"/>
  <c r="O226" i="1"/>
  <c r="O462" i="1"/>
  <c r="O205" i="1"/>
  <c r="O355" i="1"/>
  <c r="O580" i="1"/>
  <c r="O448" i="1"/>
  <c r="O172" i="1"/>
  <c r="O400" i="1"/>
  <c r="O600" i="1"/>
  <c r="O542" i="1"/>
  <c r="O45" i="1"/>
  <c r="O161" i="1"/>
  <c r="O264" i="1"/>
  <c r="O140" i="1"/>
  <c r="O452" i="1"/>
  <c r="O243" i="1"/>
  <c r="O277" i="1"/>
  <c r="O594" i="1"/>
  <c r="O526" i="1"/>
  <c r="O558" i="1"/>
  <c r="O511" i="1"/>
  <c r="O223" i="1"/>
  <c r="O167" i="1"/>
  <c r="O37" i="1"/>
  <c r="O2" i="1"/>
  <c r="O381" i="1"/>
  <c r="O527" i="1"/>
  <c r="O512" i="1"/>
  <c r="O366" i="1"/>
  <c r="O56" i="1"/>
  <c r="O607" i="1"/>
  <c r="O164" i="1"/>
  <c r="O566" i="1"/>
  <c r="O341" i="1"/>
  <c r="O622" i="1"/>
  <c r="O504" i="1"/>
  <c r="O292" i="1"/>
  <c r="O399" i="1"/>
  <c r="O251" i="1"/>
  <c r="O134" i="1"/>
  <c r="O233" i="1"/>
  <c r="O520" i="1"/>
  <c r="O281" i="1"/>
  <c r="O220" i="1"/>
  <c r="O555" i="1"/>
  <c r="O536" i="1"/>
  <c r="O253" i="1"/>
  <c r="O213" i="1"/>
  <c r="O276" i="1"/>
  <c r="O426" i="1"/>
  <c r="O608" i="1"/>
  <c r="O33" i="1"/>
  <c r="O98" i="1"/>
  <c r="O94" i="1"/>
  <c r="O280" i="1"/>
  <c r="O363" i="1"/>
  <c r="O372" i="1"/>
  <c r="O427" i="1"/>
  <c r="O445" i="1"/>
  <c r="O48" i="1"/>
  <c r="O91" i="1"/>
  <c r="O416" i="1"/>
  <c r="O332" i="1"/>
  <c r="O9" i="1"/>
  <c r="O513" i="1"/>
  <c r="O103" i="1"/>
  <c r="O460" i="1"/>
  <c r="O286" i="1"/>
  <c r="O350" i="1"/>
  <c r="O610" i="1"/>
  <c r="O359" i="1"/>
  <c r="O239" i="1"/>
  <c r="O485" i="1"/>
  <c r="O629" i="1"/>
  <c r="O294" i="1"/>
  <c r="O198" i="1"/>
  <c r="O157" i="1"/>
  <c r="O300" i="1"/>
  <c r="O598" i="1"/>
  <c r="O170" i="1"/>
  <c r="O509" i="1"/>
  <c r="O376" i="1"/>
  <c r="O296" i="1"/>
  <c r="O528" i="1"/>
  <c r="O546" i="1"/>
  <c r="O628" i="1"/>
  <c r="O225" i="1"/>
  <c r="O159" i="1"/>
  <c r="O425" i="1"/>
  <c r="O51" i="1"/>
  <c r="O310" i="1"/>
  <c r="O523" i="1"/>
  <c r="O603" i="1"/>
  <c r="O28" i="1"/>
  <c r="O514" i="1"/>
  <c r="O495" i="1"/>
  <c r="O435" i="1"/>
  <c r="O154" i="1"/>
  <c r="O597" i="1"/>
  <c r="O377" i="1"/>
  <c r="O84" i="1"/>
  <c r="O477" i="1"/>
  <c r="O454" i="1"/>
  <c r="O405" i="1"/>
  <c r="O179" i="1"/>
  <c r="O556" i="1"/>
  <c r="O13" i="1"/>
  <c r="O287" i="1"/>
  <c r="O311" i="1"/>
  <c r="O130" i="1"/>
  <c r="O588" i="1"/>
  <c r="O258" i="1"/>
  <c r="O347" i="1"/>
  <c r="O578" i="1"/>
  <c r="O530" i="1"/>
  <c r="O489" i="1"/>
  <c r="O184" i="1"/>
  <c r="O579" i="1"/>
  <c r="O437" i="1"/>
  <c r="O472" i="1"/>
  <c r="O419" i="1"/>
  <c r="O543" i="1"/>
  <c r="O306" i="1"/>
  <c r="O199" i="1"/>
  <c r="O79" i="1"/>
  <c r="O466" i="1"/>
  <c r="O144" i="1"/>
  <c r="O171" i="1"/>
  <c r="O601" i="1"/>
  <c r="O313" i="1"/>
  <c r="O362" i="1"/>
  <c r="O569" i="1"/>
  <c r="O360" i="1"/>
  <c r="O16" i="1"/>
  <c r="O583" i="1"/>
  <c r="O192" i="1"/>
  <c r="O422" i="1"/>
  <c r="O497" i="1"/>
  <c r="O191" i="1"/>
  <c r="O133" i="1"/>
  <c r="O69" i="1"/>
  <c r="O609" i="1"/>
  <c r="O206" i="1"/>
  <c r="O90" i="1"/>
  <c r="O40" i="1"/>
  <c r="O487" i="1"/>
  <c r="O326" i="1"/>
  <c r="O82" i="1"/>
  <c r="O375" i="1"/>
  <c r="O20" i="1"/>
  <c r="O303" i="1"/>
  <c r="O252" i="1"/>
  <c r="O118" i="1"/>
  <c r="O275" i="1"/>
  <c r="O336" i="1"/>
  <c r="O407" i="1"/>
  <c r="O480" i="1"/>
  <c r="O518" i="1"/>
  <c r="O216" i="1"/>
  <c r="O156" i="1"/>
  <c r="O455" i="1"/>
  <c r="O138" i="1"/>
  <c r="O31" i="1"/>
  <c r="O55" i="1"/>
  <c r="O238" i="1"/>
  <c r="O515" i="1"/>
  <c r="O185" i="1"/>
  <c r="O298" i="1"/>
  <c r="O249" i="1"/>
  <c r="O39" i="1"/>
  <c r="O12" i="1"/>
  <c r="O151" i="1"/>
  <c r="O24" i="1"/>
  <c r="O429" i="1"/>
  <c r="O163" i="1"/>
  <c r="O145" i="1"/>
  <c r="O625" i="1"/>
  <c r="O160" i="1"/>
  <c r="O584" i="1"/>
  <c r="O19" i="1"/>
  <c r="O278" i="1"/>
  <c r="O274" i="1"/>
  <c r="O236" i="1"/>
  <c r="O50" i="1"/>
  <c r="O99" i="1"/>
  <c r="O397" i="1"/>
  <c r="O267" i="1"/>
  <c r="O174" i="1"/>
  <c r="O166" i="1"/>
  <c r="O162" i="1"/>
  <c r="O538" i="1"/>
  <c r="O291" i="1"/>
  <c r="O346" i="1"/>
  <c r="O117" i="1"/>
  <c r="O65" i="1"/>
  <c r="O443" i="1"/>
  <c r="O150" i="1"/>
  <c r="O491" i="1"/>
  <c r="O368" i="1"/>
  <c r="O574" i="1"/>
  <c r="O337" i="1"/>
  <c r="O207" i="1"/>
  <c r="O307" i="1"/>
  <c r="O211" i="1"/>
  <c r="O385" i="1"/>
  <c r="O616" i="1"/>
  <c r="O356" i="1"/>
  <c r="O259" i="1"/>
  <c r="O371" i="1"/>
  <c r="O6" i="1"/>
  <c r="O25" i="1"/>
  <c r="O26" i="1"/>
  <c r="O339" i="1"/>
  <c r="O58" i="1"/>
  <c r="O95" i="1"/>
  <c r="O260" i="1"/>
  <c r="O86" i="1"/>
  <c r="O395" i="1"/>
  <c r="O67" i="1"/>
  <c r="O488" i="1"/>
  <c r="O383" i="1"/>
  <c r="O545" i="1"/>
  <c r="O77" i="1"/>
  <c r="O524" i="1"/>
  <c r="O473" i="1"/>
  <c r="O96" i="1"/>
  <c r="O552" i="1"/>
  <c r="O265" i="1"/>
  <c r="O285" i="1"/>
  <c r="O190" i="1"/>
  <c r="O519" i="1"/>
  <c r="O247" i="1"/>
  <c r="O589" i="1"/>
  <c r="O451" i="1"/>
  <c r="O458" i="1"/>
  <c r="O52" i="1"/>
  <c r="O214" i="1"/>
  <c r="O391" i="1"/>
  <c r="O320" i="1"/>
  <c r="O263" i="1"/>
  <c r="O354" i="1"/>
  <c r="O241" i="1"/>
  <c r="O305" i="1"/>
  <c r="O229" i="1"/>
  <c r="O328" i="1"/>
  <c r="O493" i="1"/>
  <c r="O158" i="1"/>
  <c r="O577" i="1"/>
  <c r="O602" i="1"/>
  <c r="O492" i="1"/>
  <c r="O568" i="1"/>
  <c r="O586" i="1"/>
  <c r="O10" i="1"/>
  <c r="O570" i="1"/>
  <c r="O289" i="1"/>
  <c r="O141" i="1"/>
  <c r="O256" i="1"/>
  <c r="O446" i="1"/>
  <c r="O136" i="1"/>
  <c r="O349" i="1"/>
  <c r="O450" i="1"/>
  <c r="O262" i="1"/>
  <c r="O180" i="1"/>
  <c r="O587" i="1"/>
  <c r="O393" i="1"/>
  <c r="O89" i="1"/>
  <c r="O129" i="1"/>
  <c r="O110" i="1"/>
  <c r="O544" i="1"/>
  <c r="O112" i="1"/>
  <c r="O486" i="1"/>
  <c r="O149" i="1"/>
  <c r="O420" i="1"/>
  <c r="O508" i="1"/>
  <c r="O182" i="1"/>
  <c r="O503" i="1"/>
  <c r="O423" i="1"/>
  <c r="O593" i="1"/>
  <c r="O517" i="1"/>
  <c r="O290" i="1"/>
  <c r="O631" i="1"/>
  <c r="O314" i="1"/>
  <c r="O540" i="1"/>
  <c r="O176" i="1"/>
  <c r="O42" i="1"/>
  <c r="O481" i="1"/>
  <c r="O327" i="1"/>
  <c r="O271" i="1"/>
  <c r="O237" i="1"/>
  <c r="O439" i="1"/>
  <c r="O434" i="1"/>
  <c r="O308" i="1"/>
  <c r="O187" i="1"/>
  <c r="O63" i="1"/>
  <c r="O344" i="1"/>
  <c r="O549" i="1"/>
  <c r="O467" i="1"/>
  <c r="O321" i="1"/>
  <c r="O529" i="1"/>
  <c r="O14" i="1"/>
  <c r="O484" i="1"/>
  <c r="O173" i="1"/>
  <c r="O379" i="1"/>
  <c r="O143" i="1"/>
  <c r="O612" i="1"/>
  <c r="O398" i="1"/>
  <c r="O590" i="1"/>
  <c r="O408" i="1"/>
  <c r="O43" i="1"/>
  <c r="O147" i="1"/>
  <c r="O352" i="1"/>
  <c r="O474" i="1"/>
  <c r="O444" i="1"/>
  <c r="O559" i="1"/>
  <c r="O325" i="1"/>
  <c r="O11" i="1"/>
  <c r="O202" i="1"/>
  <c r="O334" i="1"/>
  <c r="O605" i="1"/>
  <c r="O611" i="1"/>
  <c r="O387" i="1"/>
  <c r="O80" i="1"/>
  <c r="O322" i="1"/>
  <c r="O388" i="1"/>
  <c r="O54" i="1"/>
  <c r="O304" i="1"/>
  <c r="O22" i="1"/>
  <c r="O456" i="1"/>
  <c r="O316" i="1"/>
  <c r="O88" i="1"/>
  <c r="O432" i="1"/>
  <c r="O403" i="1"/>
  <c r="O272" i="1"/>
  <c r="O532" i="1"/>
  <c r="O273" i="1"/>
  <c r="O66" i="1"/>
  <c r="O333" i="1"/>
  <c r="O175" i="1"/>
  <c r="O592" i="1"/>
  <c r="O231" i="1"/>
  <c r="O168" i="1"/>
  <c r="O203" i="1"/>
  <c r="O177" i="1"/>
  <c r="O64" i="1"/>
  <c r="O72" i="1"/>
  <c r="O406" i="1"/>
  <c r="O351" i="1"/>
  <c r="O102" i="1"/>
  <c r="O389" i="1"/>
  <c r="O83" i="1"/>
  <c r="O483" i="1"/>
  <c r="O318" i="1"/>
  <c r="O553" i="1"/>
  <c r="O169" i="1"/>
  <c r="O57" i="1"/>
  <c r="O235" i="1"/>
  <c r="O153" i="1"/>
  <c r="O563" i="1"/>
  <c r="O499" i="1"/>
  <c r="O617" i="1"/>
  <c r="O200" i="1"/>
  <c r="O197" i="1"/>
  <c r="O619" i="1"/>
  <c r="O269" i="1"/>
  <c r="O357" i="1"/>
  <c r="O442" i="1"/>
  <c r="O548" i="1"/>
  <c r="O392" i="1"/>
  <c r="O533" i="1"/>
  <c r="O585" i="1"/>
  <c r="O46" i="1"/>
  <c r="O534" i="1"/>
  <c r="O183" i="1"/>
  <c r="O626" i="1"/>
  <c r="O106" i="1"/>
  <c r="O30" i="1"/>
  <c r="O412" i="1"/>
  <c r="O245" i="1"/>
  <c r="O283" i="1"/>
  <c r="O61" i="1"/>
  <c r="O411" i="1"/>
  <c r="O478" i="1"/>
  <c r="O386" i="1"/>
  <c r="O433" i="1"/>
  <c r="O567" i="1"/>
  <c r="O510" i="1"/>
  <c r="O479" i="1"/>
  <c r="O124" i="1"/>
  <c r="O302" i="1"/>
  <c r="O595" i="1"/>
  <c r="O111" i="1"/>
  <c r="O521" i="1"/>
  <c r="O309" i="1"/>
  <c r="O219" i="1"/>
  <c r="O221" i="1"/>
  <c r="O557" i="1"/>
  <c r="O554" i="1"/>
  <c r="O317" i="1"/>
  <c r="O282" i="1"/>
  <c r="O330" i="1"/>
  <c r="O29" i="1"/>
  <c r="O255" i="1"/>
  <c r="O345" i="1"/>
  <c r="O461" i="1"/>
  <c r="O100" i="1"/>
  <c r="O70" i="1"/>
  <c r="O27" i="1"/>
  <c r="O599" i="1"/>
  <c r="O581" i="1"/>
  <c r="O36" i="1"/>
  <c r="O324" i="1"/>
  <c r="O59" i="1"/>
  <c r="O122" i="1"/>
  <c r="O81" i="1"/>
  <c r="O539" i="1"/>
  <c r="O126" i="1"/>
  <c r="O113" i="1"/>
  <c r="O401" i="1"/>
  <c r="O621" i="1"/>
  <c r="O537" i="1"/>
  <c r="AO308" i="1" l="1"/>
  <c r="AO59" i="1"/>
  <c r="AO330" i="1"/>
  <c r="AO124" i="1"/>
  <c r="AO30" i="1"/>
  <c r="AO269" i="1"/>
  <c r="AO318" i="1"/>
  <c r="AO231" i="1"/>
  <c r="AO456" i="1"/>
  <c r="AO11" i="1"/>
  <c r="AO143" i="1"/>
  <c r="AO14" i="1"/>
  <c r="AO549" i="1"/>
  <c r="AO290" i="1"/>
  <c r="AO126" i="1"/>
  <c r="AO461" i="1"/>
  <c r="AO521" i="1"/>
  <c r="AO61" i="1"/>
  <c r="AO392" i="1"/>
  <c r="AO235" i="1"/>
  <c r="AO64" i="1"/>
  <c r="AO403" i="1"/>
  <c r="AO611" i="1"/>
  <c r="AO408" i="1"/>
  <c r="AO271" i="1"/>
  <c r="AO537" i="1"/>
  <c r="AO599" i="1"/>
  <c r="AO557" i="1"/>
  <c r="AO433" i="1"/>
  <c r="AO534" i="1"/>
  <c r="AO617" i="1"/>
  <c r="AO102" i="1"/>
  <c r="AO66" i="1"/>
  <c r="AO388" i="1"/>
  <c r="AO474" i="1"/>
  <c r="AO176" i="1"/>
  <c r="AO110" i="1"/>
  <c r="AO141" i="1"/>
  <c r="AO577" i="1"/>
  <c r="AO52" i="1"/>
  <c r="AO524" i="1"/>
  <c r="AO26" i="1"/>
  <c r="AO574" i="1"/>
  <c r="AO174" i="1"/>
  <c r="AO145" i="1"/>
  <c r="AO55" i="1"/>
  <c r="AO407" i="1"/>
  <c r="AO90" i="1"/>
  <c r="AO192" i="1"/>
  <c r="AO171" i="1"/>
  <c r="AO489" i="1"/>
  <c r="AO405" i="1"/>
  <c r="AO523" i="1"/>
  <c r="AO170" i="1"/>
  <c r="AO286" i="1"/>
  <c r="AO363" i="1"/>
  <c r="AO220" i="1"/>
  <c r="AO164" i="1"/>
  <c r="AO558" i="1"/>
  <c r="AO400" i="1"/>
  <c r="AO208" i="1"/>
  <c r="AO71" i="1"/>
  <c r="AO125" i="1"/>
  <c r="AO329" i="1"/>
  <c r="AO365" i="1"/>
  <c r="AO396" i="1"/>
  <c r="AO4" i="1"/>
  <c r="AO572" i="1"/>
  <c r="AO632" i="1"/>
  <c r="AO93" i="1"/>
  <c r="AO430" i="1"/>
  <c r="AO135" i="1"/>
  <c r="AO104" i="1"/>
  <c r="AO234" i="1"/>
  <c r="AO193" i="1"/>
  <c r="AO424" i="1"/>
  <c r="AO68" i="1"/>
  <c r="AO539" i="1"/>
  <c r="AO345" i="1"/>
  <c r="AO111" i="1"/>
  <c r="AO283" i="1"/>
  <c r="AO46" i="1"/>
  <c r="AO499" i="1"/>
  <c r="AO351" i="1"/>
  <c r="AO273" i="1"/>
  <c r="AO322" i="1"/>
  <c r="AO325" i="1"/>
  <c r="AO379" i="1"/>
  <c r="AO434" i="1"/>
  <c r="AO517" i="1"/>
  <c r="AO129" i="1"/>
  <c r="AO289" i="1"/>
  <c r="AO305" i="1"/>
  <c r="AO519" i="1"/>
  <c r="AO67" i="1"/>
  <c r="AO356" i="1"/>
  <c r="AO368" i="1"/>
  <c r="AO267" i="1"/>
  <c r="AO163" i="1"/>
  <c r="AO31" i="1"/>
  <c r="AO303" i="1"/>
  <c r="AO191" i="1"/>
  <c r="AO144" i="1"/>
  <c r="AO530" i="1"/>
  <c r="AO454" i="1"/>
  <c r="AO514" i="1"/>
  <c r="AO296" i="1"/>
  <c r="AO359" i="1"/>
  <c r="AO445" i="1"/>
  <c r="AO253" i="1"/>
  <c r="AO622" i="1"/>
  <c r="AO167" i="1"/>
  <c r="AO452" i="1"/>
  <c r="AO205" i="1"/>
  <c r="AO215" i="1"/>
  <c r="AO62" i="1"/>
  <c r="AO436" i="1"/>
  <c r="AO476" i="1"/>
  <c r="AO148" i="1"/>
  <c r="AO137" i="1"/>
  <c r="AO565" i="1"/>
  <c r="AO149" i="1"/>
  <c r="AO349" i="1"/>
  <c r="AO229" i="1"/>
  <c r="AO247" i="1"/>
  <c r="AO488" i="1"/>
  <c r="AO259" i="1"/>
  <c r="AO443" i="1"/>
  <c r="AO50" i="1"/>
  <c r="AO151" i="1"/>
  <c r="AO252" i="1"/>
  <c r="AO133" i="1"/>
  <c r="AO472" i="1"/>
  <c r="AO287" i="1"/>
  <c r="AO495" i="1"/>
  <c r="AO528" i="1"/>
  <c r="AO239" i="1"/>
  <c r="AO48" i="1"/>
  <c r="AO213" i="1"/>
  <c r="AO504" i="1"/>
  <c r="AO243" i="1"/>
  <c r="AO380" i="1"/>
  <c r="AO188" i="1"/>
  <c r="AO74" i="1"/>
  <c r="AO438" i="1"/>
  <c r="AO502" i="1"/>
  <c r="AO165" i="1"/>
  <c r="AO186" i="1"/>
  <c r="AO128" i="1"/>
  <c r="AO596" i="1"/>
  <c r="AO627" i="1"/>
  <c r="AO127" i="1"/>
  <c r="AO312" i="1"/>
  <c r="AO343" i="1"/>
  <c r="AO53" i="1"/>
  <c r="AO254" i="1"/>
  <c r="AO348" i="1"/>
  <c r="AO324" i="1"/>
  <c r="AO221" i="1"/>
  <c r="AO386" i="1"/>
  <c r="AO548" i="1"/>
  <c r="AO483" i="1"/>
  <c r="AO592" i="1"/>
  <c r="AO22" i="1"/>
  <c r="AO352" i="1"/>
  <c r="AO529" i="1"/>
  <c r="AO327" i="1"/>
  <c r="AO182" i="1"/>
  <c r="AO180" i="1"/>
  <c r="AO568" i="1"/>
  <c r="AO458" i="1"/>
  <c r="AO77" i="1"/>
  <c r="AO25" i="1"/>
  <c r="AO65" i="1"/>
  <c r="AO584" i="1"/>
  <c r="AO185" i="1"/>
  <c r="AO336" i="1"/>
  <c r="AO206" i="1"/>
  <c r="AO362" i="1"/>
  <c r="AO437" i="1"/>
  <c r="AO13" i="1"/>
  <c r="AO310" i="1"/>
  <c r="AO294" i="1"/>
  <c r="AO332" i="1"/>
  <c r="AO608" i="1"/>
  <c r="AO251" i="1"/>
  <c r="AO527" i="1"/>
  <c r="AO172" i="1"/>
  <c r="AO23" i="1"/>
  <c r="AO469" i="1"/>
  <c r="AO464" i="1"/>
  <c r="AO217" i="1"/>
  <c r="AO295" i="1"/>
  <c r="AO503" i="1"/>
  <c r="AO587" i="1"/>
  <c r="AO586" i="1"/>
  <c r="AO263" i="1"/>
  <c r="AO265" i="1"/>
  <c r="AO260" i="1"/>
  <c r="AO211" i="1"/>
  <c r="AO291" i="1"/>
  <c r="AO19" i="1"/>
  <c r="AO298" i="1"/>
  <c r="AO156" i="1"/>
  <c r="AO82" i="1"/>
  <c r="AO569" i="1"/>
  <c r="AO199" i="1"/>
  <c r="AO258" i="1"/>
  <c r="AO377" i="1"/>
  <c r="AO159" i="1"/>
  <c r="AO198" i="1"/>
  <c r="AO9" i="1"/>
  <c r="AO33" i="1"/>
  <c r="AO134" i="1"/>
  <c r="AO512" i="1"/>
  <c r="AO37" i="1"/>
  <c r="AO161" i="1"/>
  <c r="AO355" i="1"/>
  <c r="AO242" i="1"/>
  <c r="AO47" i="1"/>
  <c r="AO633" i="1"/>
  <c r="AO630" i="1"/>
  <c r="AO189" i="1"/>
  <c r="AO299" i="1"/>
  <c r="AO331" i="1"/>
  <c r="AO573" i="1"/>
  <c r="AO576" i="1"/>
  <c r="AO378" i="1"/>
  <c r="AO404" i="1"/>
  <c r="AO21" i="1"/>
  <c r="AO75" i="1"/>
  <c r="AO73" i="1"/>
  <c r="AO97" i="1"/>
  <c r="AO115" i="1"/>
  <c r="AO560" i="1"/>
  <c r="AO270" i="1"/>
  <c r="AO501" i="1"/>
  <c r="AO284" i="1"/>
  <c r="AO621" i="1"/>
  <c r="AO27" i="1"/>
  <c r="AO282" i="1"/>
  <c r="AO479" i="1"/>
  <c r="AO106" i="1"/>
  <c r="AO619" i="1"/>
  <c r="AO57" i="1"/>
  <c r="AO177" i="1"/>
  <c r="AO432" i="1"/>
  <c r="AO605" i="1"/>
  <c r="AO590" i="1"/>
  <c r="AO344" i="1"/>
  <c r="AO540" i="1"/>
  <c r="AO486" i="1"/>
  <c r="AO136" i="1"/>
  <c r="AO158" i="1"/>
  <c r="AO320" i="1"/>
  <c r="AO552" i="1"/>
  <c r="AO95" i="1"/>
  <c r="AO307" i="1"/>
  <c r="AO538" i="1"/>
  <c r="AO236" i="1"/>
  <c r="AO12" i="1"/>
  <c r="AO216" i="1"/>
  <c r="AO326" i="1"/>
  <c r="AO583" i="1"/>
  <c r="AO306" i="1"/>
  <c r="AO588" i="1"/>
  <c r="AO597" i="1"/>
  <c r="AO225" i="1"/>
  <c r="AO598" i="1"/>
  <c r="AO460" i="1"/>
  <c r="AO280" i="1"/>
  <c r="AO281" i="1"/>
  <c r="AO607" i="1"/>
  <c r="AO526" i="1"/>
  <c r="AO45" i="1"/>
  <c r="AO575" i="1"/>
  <c r="AO34" i="1"/>
  <c r="AO41" i="1"/>
  <c r="AO8" i="1"/>
  <c r="AO409" i="1"/>
  <c r="AO338" i="1"/>
  <c r="AO364" i="1"/>
  <c r="AO591" i="1"/>
  <c r="AO246" i="1"/>
  <c r="AO92" i="1"/>
  <c r="AO561" i="1"/>
  <c r="AO428" i="1"/>
  <c r="AO5" i="1"/>
  <c r="AO606" i="1"/>
  <c r="AO522" i="1"/>
  <c r="AO447" i="1"/>
  <c r="AO384" i="1"/>
  <c r="AO613" i="1"/>
  <c r="AO201" i="1"/>
  <c r="AO261" i="1"/>
  <c r="AO101" i="1"/>
  <c r="AO505" i="1"/>
  <c r="AO222" i="1"/>
  <c r="AO498" i="1"/>
  <c r="AO319" i="1"/>
  <c r="AO35" i="1"/>
  <c r="AO441" i="1"/>
  <c r="AO394" i="1"/>
  <c r="AO114" i="1"/>
  <c r="AO431" i="1"/>
  <c r="AO401" i="1"/>
  <c r="AO81" i="1"/>
  <c r="AO36" i="1"/>
  <c r="AO70" i="1"/>
  <c r="AO255" i="1"/>
  <c r="AO317" i="1"/>
  <c r="AO219" i="1"/>
  <c r="AO595" i="1"/>
  <c r="AO510" i="1"/>
  <c r="AO478" i="1"/>
  <c r="AO245" i="1"/>
  <c r="AO626" i="1"/>
  <c r="AO585" i="1"/>
  <c r="AO442" i="1"/>
  <c r="AO197" i="1"/>
  <c r="AO563" i="1"/>
  <c r="AO169" i="1"/>
  <c r="AO83" i="1"/>
  <c r="AO406" i="1"/>
  <c r="AO203" i="1"/>
  <c r="AO175" i="1"/>
  <c r="AO532" i="1"/>
  <c r="AO88" i="1"/>
  <c r="AO304" i="1"/>
  <c r="AO80" i="1"/>
  <c r="AO334" i="1"/>
  <c r="AO559" i="1"/>
  <c r="AO147" i="1"/>
  <c r="AO398" i="1"/>
  <c r="AO173" i="1"/>
  <c r="AO321" i="1"/>
  <c r="AO63" i="1"/>
  <c r="AO439" i="1"/>
  <c r="AO481" i="1"/>
  <c r="AO314" i="1"/>
  <c r="AO593" i="1"/>
  <c r="AO508" i="1"/>
  <c r="AO112" i="1"/>
  <c r="AO89" i="1"/>
  <c r="AO262" i="1"/>
  <c r="AO446" i="1"/>
  <c r="AO570" i="1"/>
  <c r="AO492" i="1"/>
  <c r="AO493" i="1"/>
  <c r="AO241" i="1"/>
  <c r="AO391" i="1"/>
  <c r="AO451" i="1"/>
  <c r="AO190" i="1"/>
  <c r="AO96" i="1"/>
  <c r="AO545" i="1"/>
  <c r="AO395" i="1"/>
  <c r="AO58" i="1"/>
  <c r="AO6" i="1"/>
  <c r="AO616" i="1"/>
  <c r="AO207" i="1"/>
  <c r="AO491" i="1"/>
  <c r="AO117" i="1"/>
  <c r="AO162" i="1"/>
  <c r="AO397" i="1"/>
  <c r="AO274" i="1"/>
  <c r="AO160" i="1"/>
  <c r="AO429" i="1"/>
  <c r="AO39" i="1"/>
  <c r="AO515" i="1"/>
  <c r="AO138" i="1"/>
  <c r="AO518" i="1"/>
  <c r="AO275" i="1"/>
  <c r="AO20" i="1"/>
  <c r="AO487" i="1"/>
  <c r="AO609" i="1"/>
  <c r="AO497" i="1"/>
  <c r="AO16" i="1"/>
  <c r="AO313" i="1"/>
  <c r="AO466" i="1"/>
  <c r="AO413" i="1"/>
  <c r="AO620" i="1"/>
  <c r="AO209" i="1"/>
  <c r="AO109" i="1"/>
  <c r="AO623" i="1"/>
  <c r="AO507" i="1"/>
  <c r="AO475" i="1"/>
  <c r="AO15" i="1"/>
  <c r="AO105" i="1"/>
  <c r="AO279" i="1"/>
  <c r="AO132" i="1"/>
  <c r="AO113" i="1"/>
  <c r="AO122" i="1"/>
  <c r="AO581" i="1"/>
  <c r="AO100" i="1"/>
  <c r="AO29" i="1"/>
  <c r="AO554" i="1"/>
  <c r="AO309" i="1"/>
  <c r="AO302" i="1"/>
  <c r="AO567" i="1"/>
  <c r="AO411" i="1"/>
  <c r="AO412" i="1"/>
  <c r="AO183" i="1"/>
  <c r="AO533" i="1"/>
  <c r="AO357" i="1"/>
  <c r="AO200" i="1"/>
  <c r="AO153" i="1"/>
  <c r="AO553" i="1"/>
  <c r="AO389" i="1"/>
  <c r="AO72" i="1"/>
  <c r="AO168" i="1"/>
  <c r="AO333" i="1"/>
  <c r="AO272" i="1"/>
  <c r="AO316" i="1"/>
  <c r="AO54" i="1"/>
  <c r="AO387" i="1"/>
  <c r="AO202" i="1"/>
  <c r="AO444" i="1"/>
  <c r="AO43" i="1"/>
  <c r="AO612" i="1"/>
  <c r="AO484" i="1"/>
  <c r="AO467" i="1"/>
  <c r="AO187" i="1"/>
  <c r="AO237" i="1"/>
  <c r="AO42" i="1"/>
  <c r="AO631" i="1"/>
  <c r="AO423" i="1"/>
  <c r="AO420" i="1"/>
  <c r="AO544" i="1"/>
  <c r="AO393" i="1"/>
  <c r="AO450" i="1"/>
  <c r="AO256" i="1"/>
  <c r="AO10" i="1"/>
  <c r="AO602" i="1"/>
  <c r="AO328" i="1"/>
  <c r="AO354" i="1"/>
  <c r="AO214" i="1"/>
  <c r="AO589" i="1"/>
  <c r="AO285" i="1"/>
  <c r="AO473" i="1"/>
  <c r="AO383" i="1"/>
  <c r="AO86" i="1"/>
  <c r="AO339" i="1"/>
  <c r="AO371" i="1"/>
  <c r="AO385" i="1"/>
  <c r="AO337" i="1"/>
  <c r="AO150" i="1"/>
  <c r="AO346" i="1"/>
  <c r="AO166" i="1"/>
  <c r="AO99" i="1"/>
  <c r="AO278" i="1"/>
  <c r="AO625" i="1"/>
  <c r="AO24" i="1"/>
  <c r="AO249" i="1"/>
  <c r="AO238" i="1"/>
  <c r="AO455" i="1"/>
  <c r="AO480" i="1"/>
  <c r="AO118" i="1"/>
  <c r="AO375" i="1"/>
  <c r="AO40" i="1"/>
  <c r="AO69" i="1"/>
  <c r="AO422" i="1"/>
  <c r="AO360" i="1"/>
  <c r="AO601" i="1"/>
  <c r="AO79" i="1"/>
  <c r="AO543" i="1"/>
  <c r="AO579" i="1"/>
  <c r="AO578" i="1"/>
  <c r="AO130" i="1"/>
  <c r="AO556" i="1"/>
  <c r="AO477" i="1"/>
  <c r="AO154" i="1"/>
  <c r="AO28" i="1"/>
  <c r="AO51" i="1"/>
  <c r="AO628" i="1"/>
  <c r="AO376" i="1"/>
  <c r="AO300" i="1"/>
  <c r="AO629" i="1"/>
  <c r="AO610" i="1"/>
  <c r="AO103" i="1"/>
  <c r="AO416" i="1"/>
  <c r="AO427" i="1"/>
  <c r="AO94" i="1"/>
  <c r="AO426" i="1"/>
  <c r="AO536" i="1"/>
  <c r="AO520" i="1"/>
  <c r="AO399" i="1"/>
  <c r="AO341" i="1"/>
  <c r="AO56" i="1"/>
  <c r="AO381" i="1"/>
  <c r="AO223" i="1"/>
  <c r="AO594" i="1"/>
  <c r="AO140" i="1"/>
  <c r="AO542" i="1"/>
  <c r="AO448" i="1"/>
  <c r="AO462" i="1"/>
  <c r="AO288" i="1"/>
  <c r="AO449" i="1"/>
  <c r="AO178" i="1"/>
  <c r="AO342" i="1"/>
  <c r="AO516" i="1"/>
  <c r="AO123" i="1"/>
  <c r="AO494" i="1"/>
  <c r="AO490" i="1"/>
  <c r="AO506" i="1"/>
  <c r="AO571" i="1"/>
  <c r="AO232" i="1"/>
  <c r="AO181" i="1"/>
  <c r="AO373" i="1"/>
  <c r="AO457" i="1"/>
  <c r="AO323" i="1"/>
  <c r="AO240" i="1"/>
  <c r="AO440" i="1"/>
  <c r="AO44" i="1"/>
  <c r="AO60" i="1"/>
  <c r="AO131" i="1"/>
  <c r="AO500" i="1"/>
  <c r="AO18" i="1"/>
  <c r="AO155" i="1"/>
  <c r="AO496" i="1"/>
  <c r="AO551" i="1"/>
  <c r="AO195" i="1"/>
  <c r="AO615" i="1"/>
  <c r="AO417" i="1"/>
  <c r="AO353" i="1"/>
  <c r="AO415" i="1"/>
  <c r="AO459" i="1"/>
  <c r="AO210" i="1"/>
  <c r="AO535" i="1"/>
  <c r="AO374" i="1"/>
  <c r="AO463" i="1"/>
  <c r="AO340" i="1"/>
  <c r="AO146" i="1"/>
  <c r="AO390" i="1"/>
  <c r="AO3" i="1"/>
  <c r="AO624" i="1"/>
  <c r="AO250" i="1"/>
  <c r="AO471" i="1"/>
  <c r="AO108" i="1"/>
  <c r="AO257" i="1"/>
  <c r="AO230" i="1"/>
  <c r="AO335" i="1"/>
  <c r="AO582" i="1"/>
  <c r="AO367" i="1"/>
  <c r="AO116" i="1"/>
  <c r="AO301" i="1"/>
  <c r="AO196" i="1"/>
  <c r="AO547" i="1"/>
  <c r="AO142" i="1"/>
  <c r="AO419" i="1"/>
  <c r="AO184" i="1"/>
  <c r="AO347" i="1"/>
  <c r="AO311" i="1"/>
  <c r="AO179" i="1"/>
  <c r="AO84" i="1"/>
  <c r="AO435" i="1"/>
  <c r="AO603" i="1"/>
  <c r="AO425" i="1"/>
  <c r="AO546" i="1"/>
  <c r="AO509" i="1"/>
  <c r="AO157" i="1"/>
  <c r="AO485" i="1"/>
  <c r="AO350" i="1"/>
  <c r="AO513" i="1"/>
  <c r="AO91" i="1"/>
  <c r="AO372" i="1"/>
  <c r="AO98" i="1"/>
  <c r="AO276" i="1"/>
  <c r="AO555" i="1"/>
  <c r="AO233" i="1"/>
  <c r="AO292" i="1"/>
  <c r="AO566" i="1"/>
  <c r="AO366" i="1"/>
  <c r="AO2" i="1"/>
  <c r="AO511" i="1"/>
  <c r="AO277" i="1"/>
  <c r="AO264" i="1"/>
  <c r="AO600" i="1"/>
  <c r="AO580" i="1"/>
  <c r="AO226" i="1"/>
  <c r="AO244" i="1"/>
  <c r="AO227" i="1"/>
  <c r="AO453" i="1"/>
  <c r="AO370" i="1"/>
  <c r="AO421" i="1"/>
  <c r="AO358" i="1"/>
  <c r="AO315" i="1"/>
  <c r="AO85" i="1"/>
  <c r="AO614" i="1"/>
  <c r="AO119" i="1"/>
  <c r="AO562" i="1"/>
  <c r="AO7" i="1"/>
  <c r="AO482" i="1"/>
  <c r="AO212" i="1"/>
  <c r="AO194" i="1"/>
  <c r="AO76" i="1"/>
  <c r="AO410" i="1"/>
  <c r="AO468" i="1"/>
  <c r="AO465" i="1"/>
  <c r="AO541" i="1"/>
  <c r="AO361" i="1"/>
  <c r="AO218" i="1"/>
  <c r="AO248" i="1"/>
  <c r="AO38" i="1"/>
  <c r="AO564" i="1"/>
  <c r="AO604" i="1"/>
  <c r="AO204" i="1"/>
  <c r="AO382" i="1"/>
  <c r="AO87" i="1"/>
  <c r="AO297" i="1"/>
  <c r="AO618" i="1"/>
  <c r="AO224" i="1"/>
  <c r="AO120" i="1"/>
  <c r="AO121" i="1"/>
  <c r="AO228" i="1"/>
  <c r="AO470" i="1"/>
  <c r="AO152" i="1"/>
  <c r="AO139" i="1"/>
  <c r="AO525" i="1"/>
  <c r="AO531" i="1"/>
  <c r="AO49" i="1"/>
  <c r="AO78" i="1"/>
  <c r="AO369" i="1"/>
  <c r="AO414" i="1"/>
  <c r="AO402" i="1"/>
  <c r="AO268" i="1"/>
  <c r="AO418" i="1"/>
  <c r="AO266" i="1"/>
  <c r="AO107" i="1"/>
  <c r="AO293" i="1"/>
  <c r="AO17" i="1"/>
  <c r="AO550" i="1"/>
  <c r="AO32" i="1"/>
  <c r="AD569" i="1"/>
  <c r="AD126" i="1"/>
  <c r="AD59" i="1"/>
  <c r="AD330" i="1"/>
  <c r="AD557" i="1"/>
  <c r="AD521" i="1"/>
  <c r="AD124" i="1"/>
  <c r="AD433" i="1"/>
  <c r="AD61" i="1"/>
  <c r="AD30" i="1"/>
  <c r="AD534" i="1"/>
  <c r="AD269" i="1"/>
  <c r="AD617" i="1"/>
  <c r="AD235" i="1"/>
  <c r="AD102" i="1"/>
  <c r="AD64" i="1"/>
  <c r="AD231" i="1"/>
  <c r="AD66" i="1"/>
  <c r="AD403" i="1"/>
  <c r="AD456" i="1"/>
  <c r="AD388" i="1"/>
  <c r="AD611" i="1"/>
  <c r="AD11" i="1"/>
  <c r="AD474" i="1"/>
  <c r="AD408" i="1"/>
  <c r="AD143" i="1"/>
  <c r="AD14" i="1"/>
  <c r="AD549" i="1"/>
  <c r="AD308" i="1"/>
  <c r="AD271" i="1"/>
  <c r="AD176" i="1"/>
  <c r="AD290" i="1"/>
  <c r="AD503" i="1"/>
  <c r="AD149" i="1"/>
  <c r="AD110" i="1"/>
  <c r="AD587" i="1"/>
  <c r="AD349" i="1"/>
  <c r="AD141" i="1"/>
  <c r="AD586" i="1"/>
  <c r="AD577" i="1"/>
  <c r="AD229" i="1"/>
  <c r="AD263" i="1"/>
  <c r="AD52" i="1"/>
  <c r="AD247" i="1"/>
  <c r="AD265" i="1"/>
  <c r="AD524" i="1"/>
  <c r="AD488" i="1"/>
  <c r="AD260" i="1"/>
  <c r="AD26" i="1"/>
  <c r="AD259" i="1"/>
  <c r="AD211" i="1"/>
  <c r="AD574" i="1"/>
  <c r="AD443" i="1"/>
  <c r="AD291" i="1"/>
  <c r="AD174" i="1"/>
  <c r="AD50" i="1"/>
  <c r="AD19" i="1"/>
  <c r="AD145" i="1"/>
  <c r="AD151" i="1"/>
  <c r="AD298" i="1"/>
  <c r="AD55" i="1"/>
  <c r="AD156" i="1"/>
  <c r="AD407" i="1"/>
  <c r="AD252" i="1"/>
  <c r="AD82" i="1"/>
  <c r="AD90" i="1"/>
  <c r="AD133" i="1"/>
  <c r="AD192" i="1"/>
  <c r="AD199" i="1"/>
  <c r="AD258" i="1"/>
  <c r="AD377" i="1"/>
  <c r="AD170" i="1"/>
  <c r="AD363" i="1"/>
  <c r="AD134" i="1"/>
  <c r="AD512" i="1"/>
  <c r="AD161" i="1"/>
  <c r="AD380" i="1"/>
  <c r="AD188" i="1"/>
  <c r="AD125" i="1"/>
  <c r="AD630" i="1"/>
  <c r="AD189" i="1"/>
  <c r="AD299" i="1"/>
  <c r="AD331" i="1"/>
  <c r="AD128" i="1"/>
  <c r="AD378" i="1"/>
  <c r="AD404" i="1"/>
  <c r="AD21" i="1"/>
  <c r="AD135" i="1"/>
  <c r="AD75" i="1"/>
  <c r="AD312" i="1"/>
  <c r="AD234" i="1"/>
  <c r="AD343" i="1"/>
  <c r="AD97" i="1"/>
  <c r="AD193" i="1"/>
  <c r="AD53" i="1"/>
  <c r="AD115" i="1"/>
  <c r="AD424" i="1"/>
  <c r="AD560" i="1"/>
  <c r="AD254" i="1"/>
  <c r="AD270" i="1"/>
  <c r="AD68" i="1"/>
  <c r="AD501" i="1"/>
  <c r="AD348" i="1"/>
  <c r="AD284" i="1"/>
  <c r="AD621" i="1"/>
  <c r="AD27" i="1"/>
  <c r="AD221" i="1"/>
  <c r="AD386" i="1"/>
  <c r="AD46" i="1"/>
  <c r="AD499" i="1"/>
  <c r="AD351" i="1"/>
  <c r="AD273" i="1"/>
  <c r="AD322" i="1"/>
  <c r="AD352" i="1"/>
  <c r="AD529" i="1"/>
  <c r="AD327" i="1"/>
  <c r="AD182" i="1"/>
  <c r="AD180" i="1"/>
  <c r="AD568" i="1"/>
  <c r="AD320" i="1"/>
  <c r="AD552" i="1"/>
  <c r="AD95" i="1"/>
  <c r="AD307" i="1"/>
  <c r="AD538" i="1"/>
  <c r="AD584" i="1"/>
  <c r="AD185" i="1"/>
  <c r="AD336" i="1"/>
  <c r="AD206" i="1"/>
  <c r="AD362" i="1"/>
  <c r="AD437" i="1"/>
  <c r="AD13" i="1"/>
  <c r="AD310" i="1"/>
  <c r="AD294" i="1"/>
  <c r="AD359" i="1"/>
  <c r="AD332" i="1"/>
  <c r="AD280" i="1"/>
  <c r="AD253" i="1"/>
  <c r="AD251" i="1"/>
  <c r="AD607" i="1"/>
  <c r="AD167" i="1"/>
  <c r="AD452" i="1"/>
  <c r="AD172" i="1"/>
  <c r="AD575" i="1"/>
  <c r="AD23" i="1"/>
  <c r="AD62" i="1"/>
  <c r="AD41" i="1"/>
  <c r="AD464" i="1"/>
  <c r="AD476" i="1"/>
  <c r="AD409" i="1"/>
  <c r="AD338" i="1"/>
  <c r="AD295" i="1"/>
  <c r="AD565" i="1"/>
  <c r="AD413" i="1"/>
  <c r="AD261" i="1"/>
  <c r="AD246" i="1"/>
  <c r="AD209" i="1"/>
  <c r="AD92" i="1"/>
  <c r="AD222" i="1"/>
  <c r="AD623" i="1"/>
  <c r="AD428" i="1"/>
  <c r="AD507" i="1"/>
  <c r="AD5" i="1"/>
  <c r="AD475" i="1"/>
  <c r="AD35" i="1"/>
  <c r="AD606" i="1"/>
  <c r="AD15" i="1"/>
  <c r="AD522" i="1"/>
  <c r="AD394" i="1"/>
  <c r="AD105" i="1"/>
  <c r="AD447" i="1"/>
  <c r="AD279" i="1"/>
  <c r="AD114" i="1"/>
  <c r="AD384" i="1"/>
  <c r="AD132" i="1"/>
  <c r="AD613" i="1"/>
  <c r="AD599" i="1"/>
  <c r="AD318" i="1"/>
  <c r="AD472" i="1"/>
  <c r="AD287" i="1"/>
  <c r="AD495" i="1"/>
  <c r="AD159" i="1"/>
  <c r="AD198" i="1"/>
  <c r="AD286" i="1"/>
  <c r="AD48" i="1"/>
  <c r="AD213" i="1"/>
  <c r="AD504" i="1"/>
  <c r="AD37" i="1"/>
  <c r="AD243" i="1"/>
  <c r="AD355" i="1"/>
  <c r="AD242" i="1"/>
  <c r="AD47" i="1"/>
  <c r="AD633" i="1"/>
  <c r="AD438" i="1"/>
  <c r="AD502" i="1"/>
  <c r="AD165" i="1"/>
  <c r="AD186" i="1"/>
  <c r="AD572" i="1"/>
  <c r="AD632" i="1"/>
  <c r="AD93" i="1"/>
  <c r="AD430" i="1"/>
  <c r="AD73" i="1"/>
  <c r="AD324" i="1"/>
  <c r="AD282" i="1"/>
  <c r="AD479" i="1"/>
  <c r="AD106" i="1"/>
  <c r="AD619" i="1"/>
  <c r="AD483" i="1"/>
  <c r="AD592" i="1"/>
  <c r="AD22" i="1"/>
  <c r="AD325" i="1"/>
  <c r="AD379" i="1"/>
  <c r="AD434" i="1"/>
  <c r="AD517" i="1"/>
  <c r="AD129" i="1"/>
  <c r="AD289" i="1"/>
  <c r="AD305" i="1"/>
  <c r="AD519" i="1"/>
  <c r="AD67" i="1"/>
  <c r="AD356" i="1"/>
  <c r="AD65" i="1"/>
  <c r="AD236" i="1"/>
  <c r="AD12" i="1"/>
  <c r="AD216" i="1"/>
  <c r="AD326" i="1"/>
  <c r="AD583" i="1"/>
  <c r="AD144" i="1"/>
  <c r="AD530" i="1"/>
  <c r="AD597" i="1"/>
  <c r="AD460" i="1"/>
  <c r="AD445" i="1"/>
  <c r="AD608" i="1"/>
  <c r="AD281" i="1"/>
  <c r="AD622" i="1"/>
  <c r="AD527" i="1"/>
  <c r="AD526" i="1"/>
  <c r="AD45" i="1"/>
  <c r="AD205" i="1"/>
  <c r="AD215" i="1"/>
  <c r="AD34" i="1"/>
  <c r="AD469" i="1"/>
  <c r="AD436" i="1"/>
  <c r="AD8" i="1"/>
  <c r="AD217" i="1"/>
  <c r="AD148" i="1"/>
  <c r="AD137" i="1"/>
  <c r="AD364" i="1"/>
  <c r="AD201" i="1"/>
  <c r="AD591" i="1"/>
  <c r="AD620" i="1"/>
  <c r="AD101" i="1"/>
  <c r="AD505" i="1"/>
  <c r="AD109" i="1"/>
  <c r="AD561" i="1"/>
  <c r="AD498" i="1"/>
  <c r="AD319" i="1"/>
  <c r="AD441" i="1"/>
  <c r="AD401" i="1"/>
  <c r="AD81" i="1"/>
  <c r="AD36" i="1"/>
  <c r="AD70" i="1"/>
  <c r="AD255" i="1"/>
  <c r="AD317" i="1"/>
  <c r="AD219" i="1"/>
  <c r="AD595" i="1"/>
  <c r="AD510" i="1"/>
  <c r="AD478" i="1"/>
  <c r="AD245" i="1"/>
  <c r="AD626" i="1"/>
  <c r="AD585" i="1"/>
  <c r="AD442" i="1"/>
  <c r="AD197" i="1"/>
  <c r="AD563" i="1"/>
  <c r="AD169" i="1"/>
  <c r="AD83" i="1"/>
  <c r="AD406" i="1"/>
  <c r="AD203" i="1"/>
  <c r="AD175" i="1"/>
  <c r="AD532" i="1"/>
  <c r="AD88" i="1"/>
  <c r="AD304" i="1"/>
  <c r="AD80" i="1"/>
  <c r="AD334" i="1"/>
  <c r="AD559" i="1"/>
  <c r="AD147" i="1"/>
  <c r="AD398" i="1"/>
  <c r="AD173" i="1"/>
  <c r="AD321" i="1"/>
  <c r="AD63" i="1"/>
  <c r="AD439" i="1"/>
  <c r="AD481" i="1"/>
  <c r="AD314" i="1"/>
  <c r="AD593" i="1"/>
  <c r="AD508" i="1"/>
  <c r="AD112" i="1"/>
  <c r="AD89" i="1"/>
  <c r="AD262" i="1"/>
  <c r="AD446" i="1"/>
  <c r="AD570" i="1"/>
  <c r="AD492" i="1"/>
  <c r="AD493" i="1"/>
  <c r="AD241" i="1"/>
  <c r="AD391" i="1"/>
  <c r="AD451" i="1"/>
  <c r="AD190" i="1"/>
  <c r="AD96" i="1"/>
  <c r="AD545" i="1"/>
  <c r="AD395" i="1"/>
  <c r="AD58" i="1"/>
  <c r="AD6" i="1"/>
  <c r="AD616" i="1"/>
  <c r="AD207" i="1"/>
  <c r="AD491" i="1"/>
  <c r="AD117" i="1"/>
  <c r="AD162" i="1"/>
  <c r="AD397" i="1"/>
  <c r="AD274" i="1"/>
  <c r="AD160" i="1"/>
  <c r="AD429" i="1"/>
  <c r="AD39" i="1"/>
  <c r="AD515" i="1"/>
  <c r="AD138" i="1"/>
  <c r="AD518" i="1"/>
  <c r="AD275" i="1"/>
  <c r="AD20" i="1"/>
  <c r="AD487" i="1"/>
  <c r="AD609" i="1"/>
  <c r="AD497" i="1"/>
  <c r="AD16" i="1"/>
  <c r="AD313" i="1"/>
  <c r="AD466" i="1"/>
  <c r="AD543" i="1"/>
  <c r="AD579" i="1"/>
  <c r="AD578" i="1"/>
  <c r="AD130" i="1"/>
  <c r="AD556" i="1"/>
  <c r="AD477" i="1"/>
  <c r="AD154" i="1"/>
  <c r="AD28" i="1"/>
  <c r="AD51" i="1"/>
  <c r="AD628" i="1"/>
  <c r="AD376" i="1"/>
  <c r="AD300" i="1"/>
  <c r="AD629" i="1"/>
  <c r="AD610" i="1"/>
  <c r="AD103" i="1"/>
  <c r="AD416" i="1"/>
  <c r="AD427" i="1"/>
  <c r="AD94" i="1"/>
  <c r="AD426" i="1"/>
  <c r="AD536" i="1"/>
  <c r="AD520" i="1"/>
  <c r="AD399" i="1"/>
  <c r="AD341" i="1"/>
  <c r="AD56" i="1"/>
  <c r="AD381" i="1"/>
  <c r="AD223" i="1"/>
  <c r="AD594" i="1"/>
  <c r="AD140" i="1"/>
  <c r="AD542" i="1"/>
  <c r="AD448" i="1"/>
  <c r="AD462" i="1"/>
  <c r="AD288" i="1"/>
  <c r="AD449" i="1"/>
  <c r="AD178" i="1"/>
  <c r="AD342" i="1"/>
  <c r="AD516" i="1"/>
  <c r="AD123" i="1"/>
  <c r="AD494" i="1"/>
  <c r="AD490" i="1"/>
  <c r="AD506" i="1"/>
  <c r="AD571" i="1"/>
  <c r="AD232" i="1"/>
  <c r="AD181" i="1"/>
  <c r="AD373" i="1"/>
  <c r="AD457" i="1"/>
  <c r="AD323" i="1"/>
  <c r="AD240" i="1"/>
  <c r="AD440" i="1"/>
  <c r="AD44" i="1"/>
  <c r="AD60" i="1"/>
  <c r="AD131" i="1"/>
  <c r="AD500" i="1"/>
  <c r="AD18" i="1"/>
  <c r="AD155" i="1"/>
  <c r="AD496" i="1"/>
  <c r="AD551" i="1"/>
  <c r="AD195" i="1"/>
  <c r="AD615" i="1"/>
  <c r="AD417" i="1"/>
  <c r="AD353" i="1"/>
  <c r="AD415" i="1"/>
  <c r="AD459" i="1"/>
  <c r="AD210" i="1"/>
  <c r="AD535" i="1"/>
  <c r="AD374" i="1"/>
  <c r="AD463" i="1"/>
  <c r="AD340" i="1"/>
  <c r="AD146" i="1"/>
  <c r="AD390" i="1"/>
  <c r="AD3" i="1"/>
  <c r="AD624" i="1"/>
  <c r="AD250" i="1"/>
  <c r="AD471" i="1"/>
  <c r="AD108" i="1"/>
  <c r="AD257" i="1"/>
  <c r="AD230" i="1"/>
  <c r="AD335" i="1"/>
  <c r="AD582" i="1"/>
  <c r="AD367" i="1"/>
  <c r="AD116" i="1"/>
  <c r="AD301" i="1"/>
  <c r="AD196" i="1"/>
  <c r="AD547" i="1"/>
  <c r="AD142" i="1"/>
  <c r="AD537" i="1"/>
  <c r="AD461" i="1"/>
  <c r="AD392" i="1"/>
  <c r="AD171" i="1"/>
  <c r="AD489" i="1"/>
  <c r="AD405" i="1"/>
  <c r="AD523" i="1"/>
  <c r="AD528" i="1"/>
  <c r="AD239" i="1"/>
  <c r="AD9" i="1"/>
  <c r="AD33" i="1"/>
  <c r="AD220" i="1"/>
  <c r="AD164" i="1"/>
  <c r="AD558" i="1"/>
  <c r="AD400" i="1"/>
  <c r="AD208" i="1"/>
  <c r="AD71" i="1"/>
  <c r="AD74" i="1"/>
  <c r="AD329" i="1"/>
  <c r="AD365" i="1"/>
  <c r="AD396" i="1"/>
  <c r="AD4" i="1"/>
  <c r="AD573" i="1"/>
  <c r="AD576" i="1"/>
  <c r="AD596" i="1"/>
  <c r="AD627" i="1"/>
  <c r="AD127" i="1"/>
  <c r="AD104" i="1"/>
  <c r="AD539" i="1"/>
  <c r="AD345" i="1"/>
  <c r="AD111" i="1"/>
  <c r="AD283" i="1"/>
  <c r="AD548" i="1"/>
  <c r="AD57" i="1"/>
  <c r="AD177" i="1"/>
  <c r="AD432" i="1"/>
  <c r="AD605" i="1"/>
  <c r="AD590" i="1"/>
  <c r="AD344" i="1"/>
  <c r="AD540" i="1"/>
  <c r="AD486" i="1"/>
  <c r="AD136" i="1"/>
  <c r="AD158" i="1"/>
  <c r="AD458" i="1"/>
  <c r="AD77" i="1"/>
  <c r="AD25" i="1"/>
  <c r="AD368" i="1"/>
  <c r="AD267" i="1"/>
  <c r="AD163" i="1"/>
  <c r="AD31" i="1"/>
  <c r="AD303" i="1"/>
  <c r="AD191" i="1"/>
  <c r="AD306" i="1"/>
  <c r="AD588" i="1"/>
  <c r="AD454" i="1"/>
  <c r="AD514" i="1"/>
  <c r="AD225" i="1"/>
  <c r="AD296" i="1"/>
  <c r="AD598" i="1"/>
  <c r="AD431" i="1"/>
  <c r="AD113" i="1"/>
  <c r="AD122" i="1"/>
  <c r="AD581" i="1"/>
  <c r="AD100" i="1"/>
  <c r="AD29" i="1"/>
  <c r="AD554" i="1"/>
  <c r="AD309" i="1"/>
  <c r="AD302" i="1"/>
  <c r="AD567" i="1"/>
  <c r="AD411" i="1"/>
  <c r="AD412" i="1"/>
  <c r="AD183" i="1"/>
  <c r="AD533" i="1"/>
  <c r="AD357" i="1"/>
  <c r="AD200" i="1"/>
  <c r="AD153" i="1"/>
  <c r="AD553" i="1"/>
  <c r="AD389" i="1"/>
  <c r="AD72" i="1"/>
  <c r="AD168" i="1"/>
  <c r="AD333" i="1"/>
  <c r="AD272" i="1"/>
  <c r="AD316" i="1"/>
  <c r="AD54" i="1"/>
  <c r="AD387" i="1"/>
  <c r="AD202" i="1"/>
  <c r="AD444" i="1"/>
  <c r="AD43" i="1"/>
  <c r="AD612" i="1"/>
  <c r="AD484" i="1"/>
  <c r="AD467" i="1"/>
  <c r="AD187" i="1"/>
  <c r="AD237" i="1"/>
  <c r="AD42" i="1"/>
  <c r="AD631" i="1"/>
  <c r="AD423" i="1"/>
  <c r="AD420" i="1"/>
  <c r="AD544" i="1"/>
  <c r="AD393" i="1"/>
  <c r="AD450" i="1"/>
  <c r="AD256" i="1"/>
  <c r="AD10" i="1"/>
  <c r="AD602" i="1"/>
  <c r="AD328" i="1"/>
  <c r="AD354" i="1"/>
  <c r="AD214" i="1"/>
  <c r="AD589" i="1"/>
  <c r="AD285" i="1"/>
  <c r="AD473" i="1"/>
  <c r="AD383" i="1"/>
  <c r="AD86" i="1"/>
  <c r="AD339" i="1"/>
  <c r="AD371" i="1"/>
  <c r="AD385" i="1"/>
  <c r="AD337" i="1"/>
  <c r="AD150" i="1"/>
  <c r="AD346" i="1"/>
  <c r="AD166" i="1"/>
  <c r="AD99" i="1"/>
  <c r="AD278" i="1"/>
  <c r="AD625" i="1"/>
  <c r="AD24" i="1"/>
  <c r="AD249" i="1"/>
  <c r="AD238" i="1"/>
  <c r="AD455" i="1"/>
  <c r="AD480" i="1"/>
  <c r="AD118" i="1"/>
  <c r="AD375" i="1"/>
  <c r="AD40" i="1"/>
  <c r="AD69" i="1"/>
  <c r="AD422" i="1"/>
  <c r="AD360" i="1"/>
  <c r="AD601" i="1"/>
  <c r="AD79" i="1"/>
  <c r="AD419" i="1"/>
  <c r="AD184" i="1"/>
  <c r="AD347" i="1"/>
  <c r="AD311" i="1"/>
  <c r="AD179" i="1"/>
  <c r="AD84" i="1"/>
  <c r="AD435" i="1"/>
  <c r="AD603" i="1"/>
  <c r="AD425" i="1"/>
  <c r="AD546" i="1"/>
  <c r="AD509" i="1"/>
  <c r="AD157" i="1"/>
  <c r="AD485" i="1"/>
  <c r="AD350" i="1"/>
  <c r="AD513" i="1"/>
  <c r="AD91" i="1"/>
  <c r="AD372" i="1"/>
  <c r="AD98" i="1"/>
  <c r="AD276" i="1"/>
  <c r="AD555" i="1"/>
  <c r="AD233" i="1"/>
  <c r="AD292" i="1"/>
  <c r="AD566" i="1"/>
  <c r="AD366" i="1"/>
  <c r="AD2" i="1"/>
  <c r="AD511" i="1"/>
  <c r="AD277" i="1"/>
  <c r="AD264" i="1"/>
  <c r="AD600" i="1"/>
  <c r="AD580" i="1"/>
  <c r="AD226" i="1"/>
  <c r="AD244" i="1"/>
  <c r="AD227" i="1"/>
  <c r="AD453" i="1"/>
  <c r="AD370" i="1"/>
  <c r="AD421" i="1"/>
  <c r="AD358" i="1"/>
  <c r="AD315" i="1"/>
  <c r="AD85" i="1"/>
  <c r="AD614" i="1"/>
  <c r="AD119" i="1"/>
  <c r="AD562" i="1"/>
  <c r="AD7" i="1"/>
  <c r="AD482" i="1"/>
  <c r="AD212" i="1"/>
  <c r="AD194" i="1"/>
  <c r="AD76" i="1"/>
  <c r="AD410" i="1"/>
  <c r="AD468" i="1"/>
  <c r="AD465" i="1"/>
  <c r="AD541" i="1"/>
  <c r="AD361" i="1"/>
  <c r="AD218" i="1"/>
  <c r="AD248" i="1"/>
  <c r="AD38" i="1"/>
  <c r="AD564" i="1"/>
  <c r="AD604" i="1"/>
  <c r="AD204" i="1"/>
  <c r="AD382" i="1"/>
  <c r="AD87" i="1"/>
  <c r="AD297" i="1"/>
  <c r="AD618" i="1"/>
  <c r="AD224" i="1"/>
  <c r="AD120" i="1"/>
  <c r="AD121" i="1"/>
  <c r="AD228" i="1"/>
  <c r="AD470" i="1"/>
  <c r="AD152" i="1"/>
  <c r="AD139" i="1"/>
  <c r="AD525" i="1"/>
  <c r="AD531" i="1"/>
  <c r="AD49" i="1"/>
  <c r="AD78" i="1"/>
  <c r="AD369" i="1"/>
  <c r="AD414" i="1"/>
  <c r="AD402" i="1"/>
  <c r="AD268" i="1"/>
  <c r="AD418" i="1"/>
  <c r="AD266" i="1"/>
  <c r="AD107" i="1"/>
  <c r="AD293" i="1"/>
  <c r="AD17" i="1"/>
  <c r="AD550" i="1"/>
  <c r="AD32" i="1"/>
  <c r="H322" i="1"/>
  <c r="I322" i="1" s="1"/>
  <c r="H282" i="1"/>
  <c r="I282" i="1" s="1"/>
  <c r="H219" i="1"/>
  <c r="I219" i="1" s="1"/>
  <c r="H169" i="1"/>
  <c r="I169" i="1" s="1"/>
  <c r="H203" i="1"/>
  <c r="I203" i="1" s="1"/>
  <c r="H175" i="1"/>
  <c r="I175" i="1" s="1"/>
  <c r="H173" i="1"/>
  <c r="I173" i="1" s="1"/>
  <c r="H112" i="1"/>
  <c r="I112" i="1" s="1"/>
  <c r="H593" i="1"/>
  <c r="I593" i="1" s="1"/>
  <c r="H545" i="1"/>
  <c r="I545" i="1" s="1"/>
  <c r="H556" i="1"/>
  <c r="I556" i="1" s="1"/>
  <c r="H619" i="1"/>
  <c r="I619" i="1" s="1"/>
  <c r="H559" i="1"/>
  <c r="I559" i="1" s="1"/>
  <c r="I36" i="1"/>
  <c r="I334" i="1"/>
  <c r="I446" i="1"/>
  <c r="I255" i="1"/>
  <c r="I478" i="1"/>
  <c r="I83" i="1"/>
  <c r="I532" i="1"/>
  <c r="I398" i="1"/>
  <c r="I481" i="1"/>
  <c r="I508" i="1"/>
  <c r="I190" i="1"/>
  <c r="I58" i="1"/>
  <c r="I539" i="1"/>
  <c r="I479" i="1"/>
  <c r="I386" i="1"/>
  <c r="I486" i="1"/>
  <c r="AF559" i="1"/>
  <c r="AF123" i="1"/>
  <c r="AH123" i="1" s="1"/>
  <c r="AI123" i="1" s="1"/>
  <c r="I61" i="1"/>
  <c r="I235" i="1"/>
  <c r="I408" i="1"/>
  <c r="I549" i="1"/>
  <c r="I33" i="1"/>
  <c r="I111" i="1"/>
  <c r="I320" i="1"/>
  <c r="I307" i="1"/>
  <c r="I70" i="1"/>
  <c r="I595" i="1"/>
  <c r="I510" i="1"/>
  <c r="I626" i="1"/>
  <c r="I585" i="1"/>
  <c r="I442" i="1"/>
  <c r="I439" i="1"/>
  <c r="I262" i="1"/>
  <c r="I241" i="1"/>
  <c r="I207" i="1"/>
  <c r="I16" i="1"/>
  <c r="I416" i="1"/>
  <c r="I29" i="1"/>
  <c r="I388" i="1"/>
  <c r="I143" i="1"/>
  <c r="I141" i="1"/>
  <c r="I47" i="1"/>
  <c r="I597" i="1"/>
  <c r="I134" i="1"/>
  <c r="I177" i="1"/>
  <c r="I605" i="1"/>
  <c r="I325" i="1"/>
  <c r="I517" i="1"/>
  <c r="I180" i="1"/>
  <c r="I289" i="1"/>
  <c r="I519" i="1"/>
  <c r="I185" i="1"/>
  <c r="I280" i="1"/>
  <c r="I201" i="1"/>
  <c r="I245" i="1"/>
  <c r="I563" i="1"/>
  <c r="I88" i="1"/>
  <c r="I275" i="1"/>
  <c r="I621" i="1"/>
  <c r="I345" i="1"/>
  <c r="I548" i="1"/>
  <c r="I592" i="1"/>
  <c r="I22" i="1"/>
  <c r="I182" i="1"/>
  <c r="I25" i="1"/>
  <c r="I584" i="1"/>
  <c r="I12" i="1"/>
  <c r="I216" i="1"/>
  <c r="I206" i="1"/>
  <c r="I588" i="1"/>
  <c r="I514" i="1"/>
  <c r="I469" i="1"/>
  <c r="I436" i="1"/>
  <c r="I101" i="1"/>
  <c r="I475" i="1"/>
  <c r="I401" i="1"/>
  <c r="I81" i="1"/>
  <c r="I406" i="1"/>
  <c r="I147" i="1"/>
  <c r="I570" i="1"/>
  <c r="I492" i="1"/>
  <c r="I391" i="1"/>
  <c r="I451" i="1"/>
  <c r="I122" i="1"/>
  <c r="I411" i="1"/>
  <c r="I153" i="1"/>
  <c r="I602" i="1"/>
  <c r="I509" i="1"/>
  <c r="I600" i="1"/>
  <c r="I580" i="1"/>
  <c r="I121" i="1"/>
  <c r="I63" i="1"/>
  <c r="I314" i="1"/>
  <c r="I96" i="1"/>
  <c r="I395" i="1"/>
  <c r="I616" i="1"/>
  <c r="I117" i="1"/>
  <c r="I609" i="1"/>
  <c r="I341" i="1"/>
  <c r="I448" i="1"/>
  <c r="I42" i="1"/>
  <c r="I339" i="1"/>
  <c r="I69" i="1"/>
  <c r="I84" i="1"/>
  <c r="I124" i="1"/>
  <c r="I392" i="1"/>
  <c r="I403" i="1"/>
  <c r="I19" i="1"/>
  <c r="I472" i="1"/>
  <c r="I504" i="1"/>
  <c r="I329" i="1"/>
  <c r="I189" i="1"/>
  <c r="I396" i="1"/>
  <c r="I312" i="1"/>
  <c r="I326" i="1"/>
  <c r="I575" i="1"/>
  <c r="I317" i="1"/>
  <c r="I304" i="1"/>
  <c r="I321" i="1"/>
  <c r="I554" i="1"/>
  <c r="I302" i="1"/>
  <c r="I567" i="1"/>
  <c r="I183" i="1"/>
  <c r="I533" i="1"/>
  <c r="I357" i="1"/>
  <c r="I200" i="1"/>
  <c r="I72" i="1"/>
  <c r="I387" i="1"/>
  <c r="I197" i="1"/>
  <c r="I493" i="1"/>
  <c r="I491" i="1"/>
  <c r="I100" i="1"/>
  <c r="V332" i="1"/>
  <c r="I77" i="1"/>
  <c r="I362" i="1"/>
  <c r="I251" i="1"/>
  <c r="I41" i="1"/>
  <c r="I464" i="1"/>
  <c r="I137" i="1"/>
  <c r="I295" i="1"/>
  <c r="I364" i="1"/>
  <c r="I565" i="1"/>
  <c r="I413" i="1"/>
  <c r="I620" i="1"/>
  <c r="I114" i="1"/>
  <c r="I162" i="1"/>
  <c r="I518" i="1"/>
  <c r="I20" i="1"/>
  <c r="I579" i="1"/>
  <c r="I628" i="1"/>
  <c r="I516" i="1"/>
  <c r="I116" i="1"/>
  <c r="J80" i="1"/>
  <c r="K80" i="1" s="1"/>
  <c r="J187" i="1"/>
  <c r="K187" i="1" s="1"/>
  <c r="J25" i="1"/>
  <c r="K25" i="1" s="1"/>
  <c r="V281" i="1"/>
  <c r="AF90" i="1"/>
  <c r="AH90" i="1" s="1"/>
  <c r="AI90" i="1" s="1"/>
  <c r="V90" i="1"/>
  <c r="V149" i="1"/>
  <c r="AF356" i="1"/>
  <c r="AH356" i="1" s="1"/>
  <c r="AI356" i="1" s="1"/>
  <c r="V356" i="1"/>
  <c r="I109" i="1"/>
  <c r="I606" i="1"/>
  <c r="I522" i="1"/>
  <c r="I105" i="1"/>
  <c r="I447" i="1"/>
  <c r="I279" i="1"/>
  <c r="V259" i="1"/>
  <c r="I397" i="1"/>
  <c r="I274" i="1"/>
  <c r="I160" i="1"/>
  <c r="I429" i="1"/>
  <c r="I138" i="1"/>
  <c r="I487" i="1"/>
  <c r="I313" i="1"/>
  <c r="I466" i="1"/>
  <c r="I543" i="1"/>
  <c r="I578" i="1"/>
  <c r="J584" i="1"/>
  <c r="K584" i="1" s="1"/>
  <c r="I477" i="1"/>
  <c r="I154" i="1"/>
  <c r="I28" i="1"/>
  <c r="I51" i="1"/>
  <c r="I376" i="1"/>
  <c r="I300" i="1"/>
  <c r="I610" i="1"/>
  <c r="I103" i="1"/>
  <c r="I94" i="1"/>
  <c r="I426" i="1"/>
  <c r="I536" i="1"/>
  <c r="I399" i="1"/>
  <c r="I56" i="1"/>
  <c r="I381" i="1"/>
  <c r="I223" i="1"/>
  <c r="I594" i="1"/>
  <c r="I140" i="1"/>
  <c r="I462" i="1"/>
  <c r="I449" i="1"/>
  <c r="I178" i="1"/>
  <c r="I342" i="1"/>
  <c r="I494" i="1"/>
  <c r="I490" i="1"/>
  <c r="I506" i="1"/>
  <c r="I571" i="1"/>
  <c r="I232" i="1"/>
  <c r="I373" i="1"/>
  <c r="I323" i="1"/>
  <c r="I240" i="1"/>
  <c r="I44" i="1"/>
  <c r="I60" i="1"/>
  <c r="I131" i="1"/>
  <c r="I500" i="1"/>
  <c r="J622" i="1"/>
  <c r="K622" i="1" s="1"/>
  <c r="I155" i="1"/>
  <c r="I496" i="1"/>
  <c r="I551" i="1"/>
  <c r="I459" i="1"/>
  <c r="I210" i="1"/>
  <c r="I535" i="1"/>
  <c r="I374" i="1"/>
  <c r="I463" i="1"/>
  <c r="I340" i="1"/>
  <c r="I146" i="1"/>
  <c r="I3" i="1"/>
  <c r="I624" i="1"/>
  <c r="I250" i="1"/>
  <c r="I471" i="1"/>
  <c r="I257" i="1"/>
  <c r="I230" i="1"/>
  <c r="I582" i="1"/>
  <c r="I367" i="1"/>
  <c r="I301" i="1"/>
  <c r="I547" i="1"/>
  <c r="I467" i="1"/>
  <c r="I187" i="1"/>
  <c r="I237" i="1"/>
  <c r="I393" i="1"/>
  <c r="I450" i="1"/>
  <c r="I328" i="1"/>
  <c r="I354" i="1"/>
  <c r="I589" i="1"/>
  <c r="I473" i="1"/>
  <c r="I86" i="1"/>
  <c r="I385" i="1"/>
  <c r="I150" i="1"/>
  <c r="I166" i="1"/>
  <c r="I99" i="1"/>
  <c r="I625" i="1"/>
  <c r="I24" i="1"/>
  <c r="I249" i="1"/>
  <c r="I238" i="1"/>
  <c r="I480" i="1"/>
  <c r="I375" i="1"/>
  <c r="I40" i="1"/>
  <c r="I422" i="1"/>
  <c r="I360" i="1"/>
  <c r="I601" i="1"/>
  <c r="I184" i="1"/>
  <c r="I347" i="1"/>
  <c r="I435" i="1"/>
  <c r="I425" i="1"/>
  <c r="I157" i="1"/>
  <c r="I485" i="1"/>
  <c r="I513" i="1"/>
  <c r="I91" i="1"/>
  <c r="I372" i="1"/>
  <c r="I98" i="1"/>
  <c r="I276" i="1"/>
  <c r="I555" i="1"/>
  <c r="I233" i="1"/>
  <c r="I292" i="1"/>
  <c r="J240" i="1"/>
  <c r="K240" i="1" s="1"/>
  <c r="I511" i="1"/>
  <c r="I277" i="1"/>
  <c r="I264" i="1"/>
  <c r="I244" i="1"/>
  <c r="I453" i="1"/>
  <c r="I370" i="1"/>
  <c r="I315" i="1"/>
  <c r="I614" i="1"/>
  <c r="I119" i="1"/>
  <c r="J296" i="1"/>
  <c r="K296" i="1" s="1"/>
  <c r="I482" i="1"/>
  <c r="I194" i="1"/>
  <c r="I468" i="1"/>
  <c r="I541" i="1"/>
  <c r="I361" i="1"/>
  <c r="I218" i="1"/>
  <c r="I248" i="1"/>
  <c r="I38" i="1"/>
  <c r="I564" i="1"/>
  <c r="I604" i="1"/>
  <c r="I382" i="1"/>
  <c r="I297" i="1"/>
  <c r="I618" i="1"/>
  <c r="I120" i="1"/>
  <c r="I152" i="1"/>
  <c r="I49" i="1"/>
  <c r="I369" i="1"/>
  <c r="I414" i="1"/>
  <c r="I418" i="1"/>
  <c r="I266" i="1"/>
  <c r="J334" i="1"/>
  <c r="K334" i="1" s="1"/>
  <c r="I293" i="1"/>
  <c r="J116" i="1"/>
  <c r="K116" i="1" s="1"/>
  <c r="I32" i="1"/>
  <c r="I89" i="1"/>
  <c r="J109" i="1"/>
  <c r="K109" i="1" s="1"/>
  <c r="J591" i="1"/>
  <c r="K591" i="1" s="1"/>
  <c r="J469" i="1"/>
  <c r="K469" i="1" s="1"/>
  <c r="J154" i="1"/>
  <c r="K154" i="1" s="1"/>
  <c r="J497" i="1"/>
  <c r="K497" i="1" s="1"/>
  <c r="J39" i="1"/>
  <c r="K39" i="1" s="1"/>
  <c r="I288" i="1"/>
  <c r="I440" i="1"/>
  <c r="I195" i="1"/>
  <c r="I353" i="1"/>
  <c r="I108" i="1"/>
  <c r="I142" i="1"/>
  <c r="V175" i="1"/>
  <c r="J255" i="1"/>
  <c r="K255" i="1" s="1"/>
  <c r="J585" i="1"/>
  <c r="K585" i="1" s="1"/>
  <c r="J169" i="1"/>
  <c r="K169" i="1" s="1"/>
  <c r="J398" i="1"/>
  <c r="K398" i="1" s="1"/>
  <c r="J327" i="1"/>
  <c r="K327" i="1" s="1"/>
  <c r="J89" i="1"/>
  <c r="K89" i="1" s="1"/>
  <c r="J552" i="1"/>
  <c r="K552" i="1" s="1"/>
  <c r="J31" i="1"/>
  <c r="K31" i="1" s="1"/>
  <c r="J597" i="1"/>
  <c r="K597" i="1" s="1"/>
  <c r="J462" i="1"/>
  <c r="K462" i="1" s="1"/>
  <c r="J361" i="1"/>
  <c r="K361" i="1" s="1"/>
  <c r="J441" i="1"/>
  <c r="K441" i="1" s="1"/>
  <c r="AF197" i="1"/>
  <c r="AH197" i="1" s="1"/>
  <c r="AI197" i="1" s="1"/>
  <c r="V197" i="1"/>
  <c r="AF556" i="1"/>
  <c r="V556" i="1"/>
  <c r="I80" i="1"/>
  <c r="J103" i="1"/>
  <c r="K103" i="1" s="1"/>
  <c r="J160" i="1"/>
  <c r="K160" i="1" s="1"/>
  <c r="J397" i="1"/>
  <c r="K397" i="1" s="1"/>
  <c r="J602" i="1"/>
  <c r="K602" i="1" s="1"/>
  <c r="I427" i="1"/>
  <c r="I417" i="1"/>
  <c r="I196" i="1"/>
  <c r="J36" i="1"/>
  <c r="K36" i="1" s="1"/>
  <c r="J510" i="1"/>
  <c r="K510" i="1" s="1"/>
  <c r="J197" i="1"/>
  <c r="K197" i="1" s="1"/>
  <c r="J175" i="1"/>
  <c r="K175" i="1" s="1"/>
  <c r="I581" i="1"/>
  <c r="I412" i="1"/>
  <c r="I168" i="1"/>
  <c r="I333" i="1"/>
  <c r="I272" i="1"/>
  <c r="I316" i="1"/>
  <c r="I54" i="1"/>
  <c r="J178" i="1"/>
  <c r="K178" i="1" s="1"/>
  <c r="J556" i="1"/>
  <c r="K556" i="1" s="1"/>
  <c r="J138" i="1"/>
  <c r="K138" i="1" s="1"/>
  <c r="J241" i="1"/>
  <c r="K241" i="1" s="1"/>
  <c r="I631" i="1"/>
  <c r="I256" i="1"/>
  <c r="I10" i="1"/>
  <c r="J384" i="1"/>
  <c r="K384" i="1" s="1"/>
  <c r="J447" i="1"/>
  <c r="K447" i="1" s="1"/>
  <c r="J270" i="1"/>
  <c r="K270" i="1" s="1"/>
  <c r="J560" i="1"/>
  <c r="K560" i="1" s="1"/>
  <c r="J343" i="1"/>
  <c r="K343" i="1" s="1"/>
  <c r="J208" i="1"/>
  <c r="K208" i="1" s="1"/>
  <c r="J561" i="1"/>
  <c r="K561" i="1" s="1"/>
  <c r="J604" i="1"/>
  <c r="K604" i="1" s="1"/>
  <c r="J440" i="1"/>
  <c r="K440" i="1" s="1"/>
  <c r="J400" i="1"/>
  <c r="K400" i="1" s="1"/>
  <c r="J37" i="1"/>
  <c r="K37" i="1" s="1"/>
  <c r="J504" i="1"/>
  <c r="K504" i="1" s="1"/>
  <c r="J523" i="1"/>
  <c r="K523" i="1" s="1"/>
  <c r="J171" i="1"/>
  <c r="K171" i="1" s="1"/>
  <c r="J174" i="1"/>
  <c r="K174" i="1" s="1"/>
  <c r="J415" i="1"/>
  <c r="K415" i="1" s="1"/>
  <c r="J465" i="1"/>
  <c r="K465" i="1" s="1"/>
  <c r="J194" i="1"/>
  <c r="K194" i="1" s="1"/>
  <c r="J277" i="1"/>
  <c r="K277" i="1" s="1"/>
  <c r="J155" i="1"/>
  <c r="K155" i="1" s="1"/>
  <c r="J323" i="1"/>
  <c r="K323" i="1" s="1"/>
  <c r="J370" i="1"/>
  <c r="K370" i="1" s="1"/>
  <c r="J215" i="1"/>
  <c r="K215" i="1" s="1"/>
  <c r="J610" i="1"/>
  <c r="K610" i="1" s="1"/>
  <c r="J352" i="1"/>
  <c r="K352" i="1" s="1"/>
  <c r="J351" i="1"/>
  <c r="K351" i="1" s="1"/>
  <c r="J386" i="1"/>
  <c r="K386" i="1" s="1"/>
  <c r="J324" i="1"/>
  <c r="K324" i="1" s="1"/>
  <c r="J475" i="1"/>
  <c r="K475" i="1" s="1"/>
  <c r="J417" i="1"/>
  <c r="K417" i="1" s="1"/>
  <c r="J77" i="1"/>
  <c r="K77" i="1" s="1"/>
  <c r="J10" i="1"/>
  <c r="K10" i="1" s="1"/>
  <c r="J446" i="1"/>
  <c r="K446" i="1" s="1"/>
  <c r="J11" i="1"/>
  <c r="K11" i="1" s="1"/>
  <c r="J392" i="1"/>
  <c r="K392" i="1" s="1"/>
  <c r="J534" i="1"/>
  <c r="K534" i="1" s="1"/>
  <c r="J557" i="1"/>
  <c r="K557" i="1" s="1"/>
  <c r="J599" i="1"/>
  <c r="K599" i="1" s="1"/>
  <c r="J537" i="1"/>
  <c r="K537" i="1" s="1"/>
  <c r="J108" i="1"/>
  <c r="K108" i="1" s="1"/>
  <c r="J615" i="1"/>
  <c r="K615" i="1" s="1"/>
  <c r="J226" i="1"/>
  <c r="K226" i="1" s="1"/>
  <c r="J313" i="1"/>
  <c r="K313" i="1" s="1"/>
  <c r="J275" i="1"/>
  <c r="K275" i="1" s="1"/>
  <c r="I285" i="1"/>
  <c r="I337" i="1"/>
  <c r="I346" i="1"/>
  <c r="I278" i="1"/>
  <c r="I455" i="1"/>
  <c r="I79" i="1"/>
  <c r="I311" i="1"/>
  <c r="I179" i="1"/>
  <c r="I603" i="1"/>
  <c r="I350" i="1"/>
  <c r="I226" i="1"/>
  <c r="I85" i="1"/>
  <c r="J148" i="1"/>
  <c r="K148" i="1" s="1"/>
  <c r="J85" i="1"/>
  <c r="K85" i="1" s="1"/>
  <c r="J594" i="1"/>
  <c r="K594" i="1" s="1"/>
  <c r="J487" i="1"/>
  <c r="K487" i="1" s="1"/>
  <c r="I212" i="1"/>
  <c r="I465" i="1"/>
  <c r="I204" i="1"/>
  <c r="I139" i="1"/>
  <c r="I525" i="1"/>
  <c r="I531" i="1"/>
  <c r="I402" i="1"/>
  <c r="V88" i="1"/>
  <c r="J113" i="1"/>
  <c r="K113" i="1" s="1"/>
  <c r="J581" i="1"/>
  <c r="K581" i="1" s="1"/>
  <c r="J29" i="1"/>
  <c r="K29" i="1" s="1"/>
  <c r="J309" i="1"/>
  <c r="K309" i="1" s="1"/>
  <c r="J567" i="1"/>
  <c r="K567" i="1" s="1"/>
  <c r="J412" i="1"/>
  <c r="K412" i="1" s="1"/>
  <c r="J533" i="1"/>
  <c r="K533" i="1" s="1"/>
  <c r="J200" i="1"/>
  <c r="K200" i="1" s="1"/>
  <c r="J553" i="1"/>
  <c r="K553" i="1" s="1"/>
  <c r="J72" i="1"/>
  <c r="K72" i="1" s="1"/>
  <c r="J333" i="1"/>
  <c r="K333" i="1" s="1"/>
  <c r="J316" i="1"/>
  <c r="K316" i="1" s="1"/>
  <c r="J387" i="1"/>
  <c r="K387" i="1" s="1"/>
  <c r="J444" i="1"/>
  <c r="K444" i="1" s="1"/>
  <c r="J612" i="1"/>
  <c r="K612" i="1" s="1"/>
  <c r="J467" i="1"/>
  <c r="K467" i="1" s="1"/>
  <c r="J481" i="1"/>
  <c r="K481" i="1" s="1"/>
  <c r="J182" i="1"/>
  <c r="K182" i="1" s="1"/>
  <c r="J393" i="1"/>
  <c r="K393" i="1" s="1"/>
  <c r="J492" i="1"/>
  <c r="K492" i="1" s="1"/>
  <c r="J67" i="1"/>
  <c r="K67" i="1" s="1"/>
  <c r="J267" i="1"/>
  <c r="K267" i="1" s="1"/>
  <c r="J336" i="1"/>
  <c r="K336" i="1" s="1"/>
  <c r="J306" i="1"/>
  <c r="K306" i="1" s="1"/>
  <c r="J310" i="1"/>
  <c r="K310" i="1" s="1"/>
  <c r="J445" i="1"/>
  <c r="K445" i="1" s="1"/>
  <c r="J527" i="1"/>
  <c r="K527" i="1" s="1"/>
  <c r="J23" i="1"/>
  <c r="K23" i="1" s="1"/>
  <c r="J482" i="1"/>
  <c r="K482" i="1" s="1"/>
  <c r="J496" i="1"/>
  <c r="K496" i="1" s="1"/>
  <c r="J428" i="1"/>
  <c r="K428" i="1" s="1"/>
  <c r="J402" i="1"/>
  <c r="K402" i="1" s="1"/>
  <c r="V255" i="1"/>
  <c r="V18" i="1"/>
  <c r="J81" i="1"/>
  <c r="K81" i="1" s="1"/>
  <c r="J70" i="1"/>
  <c r="K70" i="1" s="1"/>
  <c r="J317" i="1"/>
  <c r="K317" i="1" s="1"/>
  <c r="J595" i="1"/>
  <c r="K595" i="1" s="1"/>
  <c r="J478" i="1"/>
  <c r="K478" i="1" s="1"/>
  <c r="J626" i="1"/>
  <c r="K626" i="1" s="1"/>
  <c r="J442" i="1"/>
  <c r="K442" i="1" s="1"/>
  <c r="J563" i="1"/>
  <c r="K563" i="1" s="1"/>
  <c r="J83" i="1"/>
  <c r="K83" i="1" s="1"/>
  <c r="J203" i="1"/>
  <c r="K203" i="1" s="1"/>
  <c r="J532" i="1"/>
  <c r="K532" i="1" s="1"/>
  <c r="J304" i="1"/>
  <c r="K304" i="1" s="1"/>
  <c r="J147" i="1"/>
  <c r="K147" i="1" s="1"/>
  <c r="J173" i="1"/>
  <c r="K173" i="1" s="1"/>
  <c r="J314" i="1"/>
  <c r="K314" i="1" s="1"/>
  <c r="J486" i="1"/>
  <c r="K486" i="1" s="1"/>
  <c r="J450" i="1"/>
  <c r="K450" i="1" s="1"/>
  <c r="J305" i="1"/>
  <c r="K305" i="1" s="1"/>
  <c r="J326" i="1"/>
  <c r="K326" i="1" s="1"/>
  <c r="J530" i="1"/>
  <c r="K530" i="1" s="1"/>
  <c r="J608" i="1"/>
  <c r="K608" i="1" s="1"/>
  <c r="J526" i="1"/>
  <c r="K526" i="1" s="1"/>
  <c r="J421" i="1"/>
  <c r="K421" i="1" s="1"/>
  <c r="J209" i="1"/>
  <c r="K209" i="1" s="1"/>
  <c r="J152" i="1"/>
  <c r="K152" i="1" s="1"/>
  <c r="AF585" i="1"/>
  <c r="AH585" i="1" s="1"/>
  <c r="AI585" i="1" s="1"/>
  <c r="V585" i="1"/>
  <c r="I6" i="1"/>
  <c r="J431" i="1"/>
  <c r="K431" i="1" s="1"/>
  <c r="J613" i="1"/>
  <c r="K613" i="1" s="1"/>
  <c r="J348" i="1"/>
  <c r="K348" i="1" s="1"/>
  <c r="J97" i="1"/>
  <c r="K97" i="1" s="1"/>
  <c r="J74" i="1"/>
  <c r="K74" i="1" s="1"/>
  <c r="J297" i="1"/>
  <c r="K297" i="1" s="1"/>
  <c r="J436" i="1"/>
  <c r="K436" i="1" s="1"/>
  <c r="J558" i="1"/>
  <c r="K558" i="1" s="1"/>
  <c r="J213" i="1"/>
  <c r="K213" i="1" s="1"/>
  <c r="J33" i="1"/>
  <c r="K33" i="1" s="1"/>
  <c r="J192" i="1"/>
  <c r="K192" i="1" s="1"/>
  <c r="J133" i="1"/>
  <c r="K133" i="1" s="1"/>
  <c r="J156" i="1"/>
  <c r="K156" i="1" s="1"/>
  <c r="J367" i="1"/>
  <c r="K367" i="1" s="1"/>
  <c r="J471" i="1"/>
  <c r="K471" i="1" s="1"/>
  <c r="J413" i="1"/>
  <c r="K413" i="1" s="1"/>
  <c r="J566" i="1"/>
  <c r="K566" i="1" s="1"/>
  <c r="J337" i="1"/>
  <c r="K337" i="1" s="1"/>
  <c r="J383" i="1"/>
  <c r="K383" i="1" s="1"/>
  <c r="J214" i="1"/>
  <c r="K214" i="1" s="1"/>
  <c r="J300" i="1"/>
  <c r="K300" i="1" s="1"/>
  <c r="J28" i="1"/>
  <c r="K28" i="1" s="1"/>
  <c r="J466" i="1"/>
  <c r="K466" i="1" s="1"/>
  <c r="J20" i="1"/>
  <c r="K20" i="1" s="1"/>
  <c r="J58" i="1"/>
  <c r="K58" i="1" s="1"/>
  <c r="J593" i="1"/>
  <c r="K593" i="1" s="1"/>
  <c r="J590" i="1"/>
  <c r="K590" i="1" s="1"/>
  <c r="J432" i="1"/>
  <c r="K432" i="1" s="1"/>
  <c r="J57" i="1"/>
  <c r="K57" i="1" s="1"/>
  <c r="J106" i="1"/>
  <c r="K106" i="1" s="1"/>
  <c r="J257" i="1"/>
  <c r="K257" i="1" s="1"/>
  <c r="J244" i="1"/>
  <c r="K244" i="1" s="1"/>
  <c r="J280" i="1"/>
  <c r="K280" i="1" s="1"/>
  <c r="J583" i="1"/>
  <c r="K583" i="1" s="1"/>
  <c r="J163" i="1"/>
  <c r="K163" i="1" s="1"/>
  <c r="J461" i="1"/>
  <c r="K461" i="1" s="1"/>
  <c r="J32" i="1"/>
  <c r="K32" i="1" s="1"/>
  <c r="J6" i="1"/>
  <c r="K6" i="1" s="1"/>
  <c r="J570" i="1"/>
  <c r="K570" i="1" s="1"/>
  <c r="I515" i="1"/>
  <c r="I130" i="1"/>
  <c r="J96" i="1"/>
  <c r="K96" i="1" s="1"/>
  <c r="I181" i="1"/>
  <c r="I615" i="1"/>
  <c r="J401" i="1"/>
  <c r="K401" i="1" s="1"/>
  <c r="J219" i="1"/>
  <c r="K219" i="1" s="1"/>
  <c r="J245" i="1"/>
  <c r="K245" i="1" s="1"/>
  <c r="J406" i="1"/>
  <c r="K406" i="1" s="1"/>
  <c r="J88" i="1"/>
  <c r="K88" i="1" s="1"/>
  <c r="J559" i="1"/>
  <c r="K559" i="1" s="1"/>
  <c r="J321" i="1"/>
  <c r="K321" i="1" s="1"/>
  <c r="J423" i="1"/>
  <c r="K423" i="1" s="1"/>
  <c r="J289" i="1"/>
  <c r="K289" i="1" s="1"/>
  <c r="J65" i="1"/>
  <c r="K65" i="1" s="1"/>
  <c r="J362" i="1"/>
  <c r="K362" i="1" s="1"/>
  <c r="J460" i="1"/>
  <c r="K460" i="1" s="1"/>
  <c r="J476" i="1"/>
  <c r="K476" i="1" s="1"/>
  <c r="J210" i="1"/>
  <c r="K210" i="1" s="1"/>
  <c r="I113" i="1"/>
  <c r="I309" i="1"/>
  <c r="I553" i="1"/>
  <c r="I389" i="1"/>
  <c r="I202" i="1"/>
  <c r="I444" i="1"/>
  <c r="I43" i="1"/>
  <c r="J5" i="1"/>
  <c r="K5" i="1" s="1"/>
  <c r="J381" i="1"/>
  <c r="K381" i="1" s="1"/>
  <c r="J578" i="1"/>
  <c r="K578" i="1" s="1"/>
  <c r="J543" i="1"/>
  <c r="K543" i="1" s="1"/>
  <c r="J117" i="1"/>
  <c r="K117" i="1" s="1"/>
  <c r="J207" i="1"/>
  <c r="K207" i="1" s="1"/>
  <c r="I612" i="1"/>
  <c r="I484" i="1"/>
  <c r="I423" i="1"/>
  <c r="I420" i="1"/>
  <c r="I544" i="1"/>
  <c r="I214" i="1"/>
  <c r="I383" i="1"/>
  <c r="I371" i="1"/>
  <c r="I118" i="1"/>
  <c r="I419" i="1"/>
  <c r="I546" i="1"/>
  <c r="I566" i="1"/>
  <c r="I366" i="1"/>
  <c r="I2" i="1"/>
  <c r="J193" i="1"/>
  <c r="K193" i="1" s="1"/>
  <c r="J576" i="1"/>
  <c r="K576" i="1" s="1"/>
  <c r="J572" i="1"/>
  <c r="K572" i="1" s="1"/>
  <c r="J550" i="1"/>
  <c r="K550" i="1" s="1"/>
  <c r="J250" i="1"/>
  <c r="K250" i="1" s="1"/>
  <c r="J505" i="1"/>
  <c r="K505" i="1" s="1"/>
  <c r="J620" i="1"/>
  <c r="K620" i="1" s="1"/>
  <c r="J506" i="1"/>
  <c r="K506" i="1" s="1"/>
  <c r="J134" i="1"/>
  <c r="K134" i="1" s="1"/>
  <c r="J528" i="1"/>
  <c r="K528" i="1" s="1"/>
  <c r="J159" i="1"/>
  <c r="K159" i="1" s="1"/>
  <c r="J377" i="1"/>
  <c r="K377" i="1" s="1"/>
  <c r="J247" i="1"/>
  <c r="K247" i="1" s="1"/>
  <c r="J52" i="1"/>
  <c r="K52" i="1" s="1"/>
  <c r="J575" i="1"/>
  <c r="K575" i="1" s="1"/>
  <c r="J2" i="1"/>
  <c r="K2" i="1" s="1"/>
  <c r="J98" i="1"/>
  <c r="K98" i="1" s="1"/>
  <c r="J91" i="1"/>
  <c r="K91" i="1" s="1"/>
  <c r="J184" i="1"/>
  <c r="K184" i="1" s="1"/>
  <c r="J480" i="1"/>
  <c r="K480" i="1" s="1"/>
  <c r="J249" i="1"/>
  <c r="K249" i="1" s="1"/>
  <c r="J589" i="1"/>
  <c r="K589" i="1" s="1"/>
  <c r="J364" i="1"/>
  <c r="K364" i="1" s="1"/>
  <c r="J16" i="1"/>
  <c r="K16" i="1" s="1"/>
  <c r="J162" i="1"/>
  <c r="K162" i="1" s="1"/>
  <c r="J273" i="1"/>
  <c r="K273" i="1" s="1"/>
  <c r="J483" i="1"/>
  <c r="K483" i="1" s="1"/>
  <c r="J120" i="1"/>
  <c r="K120" i="1" s="1"/>
  <c r="J251" i="1"/>
  <c r="K251" i="1" s="1"/>
  <c r="J269" i="1"/>
  <c r="K269" i="1" s="1"/>
  <c r="J433" i="1"/>
  <c r="K433" i="1" s="1"/>
  <c r="J126" i="1"/>
  <c r="K126" i="1" s="1"/>
  <c r="J105" i="1"/>
  <c r="K105" i="1" s="1"/>
  <c r="J76" i="1"/>
  <c r="K76" i="1" s="1"/>
  <c r="J341" i="1"/>
  <c r="K341" i="1" s="1"/>
  <c r="I227" i="1"/>
  <c r="I421" i="1"/>
  <c r="I358" i="1"/>
  <c r="I562" i="1"/>
  <c r="I7" i="1"/>
  <c r="J115" i="1"/>
  <c r="K115" i="1" s="1"/>
  <c r="J53" i="1"/>
  <c r="K53" i="1" s="1"/>
  <c r="J468" i="1"/>
  <c r="K468" i="1" s="1"/>
  <c r="J34" i="1"/>
  <c r="K34" i="1" s="1"/>
  <c r="J227" i="1"/>
  <c r="K227" i="1" s="1"/>
  <c r="J48" i="1"/>
  <c r="K48" i="1" s="1"/>
  <c r="J239" i="1"/>
  <c r="K239" i="1" s="1"/>
  <c r="J287" i="1"/>
  <c r="K287" i="1" s="1"/>
  <c r="J50" i="1"/>
  <c r="K50" i="1" s="1"/>
  <c r="J574" i="1"/>
  <c r="K574" i="1" s="1"/>
  <c r="J141" i="1"/>
  <c r="K141" i="1" s="1"/>
  <c r="J525" i="1"/>
  <c r="K525" i="1" s="1"/>
  <c r="J92" i="1"/>
  <c r="K92" i="1" s="1"/>
  <c r="J18" i="1"/>
  <c r="K18" i="1" s="1"/>
  <c r="J295" i="1"/>
  <c r="K295" i="1" s="1"/>
  <c r="J457" i="1"/>
  <c r="K457" i="1" s="1"/>
  <c r="J580" i="1"/>
  <c r="K580" i="1" s="1"/>
  <c r="J276" i="1"/>
  <c r="K276" i="1" s="1"/>
  <c r="J513" i="1"/>
  <c r="K513" i="1" s="1"/>
  <c r="J7" i="1"/>
  <c r="K7" i="1" s="1"/>
  <c r="J536" i="1"/>
  <c r="K536" i="1" s="1"/>
  <c r="J493" i="1"/>
  <c r="K493" i="1" s="1"/>
  <c r="J256" i="1"/>
  <c r="K256" i="1" s="1"/>
  <c r="J129" i="1"/>
  <c r="K129" i="1" s="1"/>
  <c r="J605" i="1"/>
  <c r="K605" i="1" s="1"/>
  <c r="J196" i="1"/>
  <c r="K196" i="1" s="1"/>
  <c r="J340" i="1"/>
  <c r="K340" i="1" s="1"/>
  <c r="J614" i="1"/>
  <c r="K614" i="1" s="1"/>
  <c r="J342" i="1"/>
  <c r="K342" i="1" s="1"/>
  <c r="J607" i="1"/>
  <c r="K607" i="1" s="1"/>
  <c r="J356" i="1"/>
  <c r="K356" i="1" s="1"/>
  <c r="J519" i="1"/>
  <c r="K519" i="1" s="1"/>
  <c r="J456" i="1"/>
  <c r="K456" i="1" s="1"/>
  <c r="J403" i="1"/>
  <c r="K403" i="1" s="1"/>
  <c r="J66" i="1"/>
  <c r="K66" i="1" s="1"/>
  <c r="J38" i="1"/>
  <c r="K38" i="1" s="1"/>
  <c r="J629" i="1"/>
  <c r="K629" i="1" s="1"/>
  <c r="J395" i="1"/>
  <c r="K395" i="1" s="1"/>
  <c r="I76" i="1"/>
  <c r="I410" i="1"/>
  <c r="I87" i="1"/>
  <c r="I224" i="1"/>
  <c r="I228" i="1"/>
  <c r="I470" i="1"/>
  <c r="I78" i="1"/>
  <c r="I268" i="1"/>
  <c r="I107" i="1"/>
  <c r="J451" i="1"/>
  <c r="K451" i="1" s="1"/>
  <c r="I17" i="1"/>
  <c r="J501" i="1"/>
  <c r="K501" i="1" s="1"/>
  <c r="J254" i="1"/>
  <c r="K254" i="1" s="1"/>
  <c r="J234" i="1"/>
  <c r="K234" i="1" s="1"/>
  <c r="J135" i="1"/>
  <c r="K135" i="1" s="1"/>
  <c r="J404" i="1"/>
  <c r="K404" i="1" s="1"/>
  <c r="J165" i="1"/>
  <c r="K165" i="1" s="1"/>
  <c r="J633" i="1"/>
  <c r="K633" i="1" s="1"/>
  <c r="J125" i="1"/>
  <c r="K125" i="1" s="1"/>
  <c r="J35" i="1"/>
  <c r="K35" i="1" s="1"/>
  <c r="J507" i="1"/>
  <c r="K507" i="1" s="1"/>
  <c r="J121" i="1"/>
  <c r="K121" i="1" s="1"/>
  <c r="J500" i="1"/>
  <c r="K500" i="1" s="1"/>
  <c r="J373" i="1"/>
  <c r="K373" i="1" s="1"/>
  <c r="J358" i="1"/>
  <c r="K358" i="1" s="1"/>
  <c r="J164" i="1"/>
  <c r="K164" i="1" s="1"/>
  <c r="J363" i="1"/>
  <c r="K363" i="1" s="1"/>
  <c r="J258" i="1"/>
  <c r="K258" i="1" s="1"/>
  <c r="J489" i="1"/>
  <c r="K489" i="1" s="1"/>
  <c r="J90" i="1"/>
  <c r="K90" i="1" s="1"/>
  <c r="J291" i="1"/>
  <c r="K291" i="1" s="1"/>
  <c r="J229" i="1"/>
  <c r="K229" i="1" s="1"/>
  <c r="J149" i="1"/>
  <c r="K149" i="1" s="1"/>
  <c r="J176" i="1"/>
  <c r="K176" i="1" s="1"/>
  <c r="J308" i="1"/>
  <c r="K308" i="1" s="1"/>
  <c r="J301" i="1"/>
  <c r="K301" i="1" s="1"/>
  <c r="J246" i="1"/>
  <c r="K246" i="1" s="1"/>
  <c r="J62" i="1"/>
  <c r="K62" i="1" s="1"/>
  <c r="J264" i="1"/>
  <c r="K264" i="1" s="1"/>
  <c r="J179" i="1"/>
  <c r="K179" i="1" s="1"/>
  <c r="J79" i="1"/>
  <c r="K79" i="1" s="1"/>
  <c r="J40" i="1"/>
  <c r="K40" i="1" s="1"/>
  <c r="J17" i="1"/>
  <c r="K17" i="1" s="1"/>
  <c r="J418" i="1"/>
  <c r="K418" i="1" s="1"/>
  <c r="J609" i="1"/>
  <c r="K609" i="1" s="1"/>
  <c r="J322" i="1"/>
  <c r="K322" i="1" s="1"/>
  <c r="J592" i="1"/>
  <c r="K592" i="1" s="1"/>
  <c r="J479" i="1"/>
  <c r="K479" i="1" s="1"/>
  <c r="J261" i="1"/>
  <c r="K261" i="1" s="1"/>
  <c r="J172" i="1"/>
  <c r="K172" i="1" s="1"/>
  <c r="J253" i="1"/>
  <c r="K253" i="1" s="1"/>
  <c r="J332" i="1"/>
  <c r="K332" i="1" s="1"/>
  <c r="J598" i="1"/>
  <c r="K598" i="1" s="1"/>
  <c r="J588" i="1"/>
  <c r="K588" i="1" s="1"/>
  <c r="J185" i="1"/>
  <c r="K185" i="1" s="1"/>
  <c r="J180" i="1"/>
  <c r="K180" i="1" s="1"/>
  <c r="J426" i="1"/>
  <c r="K426" i="1" s="1"/>
  <c r="J427" i="1"/>
  <c r="K427" i="1" s="1"/>
  <c r="J51" i="1"/>
  <c r="K51" i="1" s="1"/>
  <c r="I550" i="1"/>
  <c r="AF379" i="1"/>
  <c r="V379" i="1"/>
  <c r="AF320" i="1"/>
  <c r="AH320" i="1" s="1"/>
  <c r="AI320" i="1" s="1"/>
  <c r="V320" i="1"/>
  <c r="AF163" i="1"/>
  <c r="AH163" i="1" s="1"/>
  <c r="AI163" i="1" s="1"/>
  <c r="V163" i="1"/>
  <c r="AF13" i="1"/>
  <c r="AH13" i="1" s="1"/>
  <c r="AI13" i="1" s="1"/>
  <c r="V13" i="1"/>
  <c r="AF575" i="1"/>
  <c r="AH575" i="1" s="1"/>
  <c r="AI575" i="1" s="1"/>
  <c r="V575" i="1"/>
  <c r="J582" i="1"/>
  <c r="K582" i="1" s="1"/>
  <c r="J107" i="1"/>
  <c r="K107" i="1" s="1"/>
  <c r="J410" i="1"/>
  <c r="K410" i="1" s="1"/>
  <c r="J437" i="1"/>
  <c r="K437" i="1" s="1"/>
  <c r="V219" i="1"/>
  <c r="V486" i="1"/>
  <c r="V206" i="1"/>
  <c r="V155" i="1"/>
  <c r="J122" i="1"/>
  <c r="K122" i="1" s="1"/>
  <c r="J100" i="1"/>
  <c r="K100" i="1" s="1"/>
  <c r="J554" i="1"/>
  <c r="K554" i="1" s="1"/>
  <c r="J302" i="1"/>
  <c r="K302" i="1" s="1"/>
  <c r="J411" i="1"/>
  <c r="K411" i="1" s="1"/>
  <c r="J183" i="1"/>
  <c r="K183" i="1" s="1"/>
  <c r="J357" i="1"/>
  <c r="K357" i="1" s="1"/>
  <c r="J153" i="1"/>
  <c r="K153" i="1" s="1"/>
  <c r="J389" i="1"/>
  <c r="K389" i="1" s="1"/>
  <c r="J168" i="1"/>
  <c r="K168" i="1" s="1"/>
  <c r="J272" i="1"/>
  <c r="K272" i="1" s="1"/>
  <c r="J54" i="1"/>
  <c r="K54" i="1" s="1"/>
  <c r="J202" i="1"/>
  <c r="K202" i="1" s="1"/>
  <c r="J43" i="1"/>
  <c r="K43" i="1" s="1"/>
  <c r="J484" i="1"/>
  <c r="K484" i="1" s="1"/>
  <c r="J434" i="1"/>
  <c r="K434" i="1" s="1"/>
  <c r="J631" i="1"/>
  <c r="K631" i="1" s="1"/>
  <c r="J112" i="1"/>
  <c r="K112" i="1" s="1"/>
  <c r="J136" i="1"/>
  <c r="K136" i="1" s="1"/>
  <c r="J458" i="1"/>
  <c r="K458" i="1" s="1"/>
  <c r="J307" i="1"/>
  <c r="K307" i="1" s="1"/>
  <c r="J12" i="1"/>
  <c r="K12" i="1" s="1"/>
  <c r="J191" i="1"/>
  <c r="K191" i="1" s="1"/>
  <c r="J13" i="1"/>
  <c r="K13" i="1" s="1"/>
  <c r="J294" i="1"/>
  <c r="K294" i="1" s="1"/>
  <c r="J281" i="1"/>
  <c r="K281" i="1" s="1"/>
  <c r="J45" i="1"/>
  <c r="K45" i="1" s="1"/>
  <c r="J490" i="1"/>
  <c r="K490" i="1" s="1"/>
  <c r="J565" i="1"/>
  <c r="K565" i="1" s="1"/>
  <c r="J87" i="1"/>
  <c r="K87" i="1" s="1"/>
  <c r="J624" i="1"/>
  <c r="K624" i="1" s="1"/>
  <c r="J142" i="1"/>
  <c r="K142" i="1" s="1"/>
  <c r="J376" i="1"/>
  <c r="K376" i="1" s="1"/>
  <c r="J520" i="1"/>
  <c r="K520" i="1" s="1"/>
  <c r="J542" i="1"/>
  <c r="K542" i="1" s="1"/>
  <c r="J232" i="1"/>
  <c r="K232" i="1" s="1"/>
  <c r="J60" i="1"/>
  <c r="K60" i="1" s="1"/>
  <c r="J224" i="1"/>
  <c r="K224" i="1" s="1"/>
  <c r="J463" i="1"/>
  <c r="K463" i="1" s="1"/>
  <c r="J531" i="1"/>
  <c r="K531" i="1" s="1"/>
  <c r="I537" i="1"/>
  <c r="I126" i="1"/>
  <c r="I59" i="1"/>
  <c r="I599" i="1"/>
  <c r="I461" i="1"/>
  <c r="I330" i="1"/>
  <c r="I557" i="1"/>
  <c r="I521" i="1"/>
  <c r="I433" i="1"/>
  <c r="I30" i="1"/>
  <c r="J132" i="1"/>
  <c r="K132" i="1" s="1"/>
  <c r="J284" i="1"/>
  <c r="K284" i="1" s="1"/>
  <c r="J596" i="1"/>
  <c r="K596" i="1" s="1"/>
  <c r="J396" i="1"/>
  <c r="K396" i="1" s="1"/>
  <c r="J71" i="1"/>
  <c r="K71" i="1" s="1"/>
  <c r="J139" i="1"/>
  <c r="K139" i="1" s="1"/>
  <c r="J551" i="1"/>
  <c r="K551" i="1" s="1"/>
  <c r="J205" i="1"/>
  <c r="K205" i="1" s="1"/>
  <c r="J495" i="1"/>
  <c r="K495" i="1" s="1"/>
  <c r="J405" i="1"/>
  <c r="K405" i="1" s="1"/>
  <c r="J569" i="1"/>
  <c r="K569" i="1" s="1"/>
  <c r="J259" i="1"/>
  <c r="K259" i="1" s="1"/>
  <c r="J577" i="1"/>
  <c r="K577" i="1" s="1"/>
  <c r="J586" i="1"/>
  <c r="K586" i="1" s="1"/>
  <c r="J110" i="1"/>
  <c r="K110" i="1" s="1"/>
  <c r="J290" i="1"/>
  <c r="K290" i="1" s="1"/>
  <c r="J319" i="1"/>
  <c r="K319" i="1" s="1"/>
  <c r="J618" i="1"/>
  <c r="K618" i="1" s="1"/>
  <c r="J409" i="1"/>
  <c r="K409" i="1" s="1"/>
  <c r="J511" i="1"/>
  <c r="K511" i="1" s="1"/>
  <c r="J292" i="1"/>
  <c r="K292" i="1" s="1"/>
  <c r="J350" i="1"/>
  <c r="K350" i="1" s="1"/>
  <c r="J485" i="1"/>
  <c r="K485" i="1" s="1"/>
  <c r="J360" i="1"/>
  <c r="K360" i="1" s="1"/>
  <c r="J69" i="1"/>
  <c r="K69" i="1" s="1"/>
  <c r="J118" i="1"/>
  <c r="K118" i="1" s="1"/>
  <c r="J99" i="1"/>
  <c r="K99" i="1" s="1"/>
  <c r="J473" i="1"/>
  <c r="K473" i="1" s="1"/>
  <c r="J354" i="1"/>
  <c r="K354" i="1" s="1"/>
  <c r="I534" i="1"/>
  <c r="I269" i="1"/>
  <c r="I617" i="1"/>
  <c r="I318" i="1"/>
  <c r="I102" i="1"/>
  <c r="I64" i="1"/>
  <c r="I231" i="1"/>
  <c r="I66" i="1"/>
  <c r="I456" i="1"/>
  <c r="I611" i="1"/>
  <c r="I11" i="1"/>
  <c r="I474" i="1"/>
  <c r="I14" i="1"/>
  <c r="I308" i="1"/>
  <c r="I271" i="1"/>
  <c r="I176" i="1"/>
  <c r="I290" i="1"/>
  <c r="I503" i="1"/>
  <c r="I149" i="1"/>
  <c r="I110" i="1"/>
  <c r="I587" i="1"/>
  <c r="I349" i="1"/>
  <c r="I586" i="1"/>
  <c r="I577" i="1"/>
  <c r="I229" i="1"/>
  <c r="I263" i="1"/>
  <c r="I52" i="1"/>
  <c r="I247" i="1"/>
  <c r="I265" i="1"/>
  <c r="I524" i="1"/>
  <c r="I488" i="1"/>
  <c r="I260" i="1"/>
  <c r="I26" i="1"/>
  <c r="J93" i="1"/>
  <c r="K93" i="1" s="1"/>
  <c r="J378" i="1"/>
  <c r="K378" i="1" s="1"/>
  <c r="J331" i="1"/>
  <c r="K331" i="1" s="1"/>
  <c r="J365" i="1"/>
  <c r="K365" i="1" s="1"/>
  <c r="J380" i="1"/>
  <c r="K380" i="1" s="1"/>
  <c r="J266" i="1"/>
  <c r="K266" i="1" s="1"/>
  <c r="J353" i="1"/>
  <c r="K353" i="1" s="1"/>
  <c r="J218" i="1"/>
  <c r="K218" i="1" s="1"/>
  <c r="J199" i="1"/>
  <c r="K199" i="1" s="1"/>
  <c r="J55" i="1"/>
  <c r="K55" i="1" s="1"/>
  <c r="J145" i="1"/>
  <c r="K145" i="1" s="1"/>
  <c r="J19" i="1"/>
  <c r="K19" i="1" s="1"/>
  <c r="J26" i="1"/>
  <c r="K26" i="1" s="1"/>
  <c r="J265" i="1"/>
  <c r="K265" i="1" s="1"/>
  <c r="J349" i="1"/>
  <c r="K349" i="1" s="1"/>
  <c r="J228" i="1"/>
  <c r="K228" i="1" s="1"/>
  <c r="J195" i="1"/>
  <c r="K195" i="1" s="1"/>
  <c r="J464" i="1"/>
  <c r="K464" i="1" s="1"/>
  <c r="J123" i="1"/>
  <c r="K123" i="1" s="1"/>
  <c r="J366" i="1"/>
  <c r="K366" i="1" s="1"/>
  <c r="J425" i="1"/>
  <c r="K425" i="1" s="1"/>
  <c r="J346" i="1"/>
  <c r="K346" i="1" s="1"/>
  <c r="J150" i="1"/>
  <c r="K150" i="1" s="1"/>
  <c r="J328" i="1"/>
  <c r="K328" i="1" s="1"/>
  <c r="I259" i="1"/>
  <c r="I211" i="1"/>
  <c r="I574" i="1"/>
  <c r="I443" i="1"/>
  <c r="I291" i="1"/>
  <c r="I174" i="1"/>
  <c r="I50" i="1"/>
  <c r="I145" i="1"/>
  <c r="I151" i="1"/>
  <c r="I298" i="1"/>
  <c r="I55" i="1"/>
  <c r="I156" i="1"/>
  <c r="I407" i="1"/>
  <c r="I252" i="1"/>
  <c r="I82" i="1"/>
  <c r="I90" i="1"/>
  <c r="I133" i="1"/>
  <c r="I192" i="1"/>
  <c r="I569" i="1"/>
  <c r="I171" i="1"/>
  <c r="I199" i="1"/>
  <c r="I489" i="1"/>
  <c r="I258" i="1"/>
  <c r="I287" i="1"/>
  <c r="I405" i="1"/>
  <c r="I377" i="1"/>
  <c r="I495" i="1"/>
  <c r="I523" i="1"/>
  <c r="I159" i="1"/>
  <c r="I528" i="1"/>
  <c r="I170" i="1"/>
  <c r="I198" i="1"/>
  <c r="I239" i="1"/>
  <c r="I286" i="1"/>
  <c r="I9" i="1"/>
  <c r="J279" i="1"/>
  <c r="K279" i="1" s="1"/>
  <c r="J573" i="1"/>
  <c r="K573" i="1" s="1"/>
  <c r="J630" i="1"/>
  <c r="K630" i="1" s="1"/>
  <c r="J47" i="1"/>
  <c r="K47" i="1" s="1"/>
  <c r="J188" i="1"/>
  <c r="K188" i="1" s="1"/>
  <c r="J522" i="1"/>
  <c r="K522" i="1" s="1"/>
  <c r="J516" i="1"/>
  <c r="K516" i="1" s="1"/>
  <c r="J243" i="1"/>
  <c r="K243" i="1" s="1"/>
  <c r="J9" i="1"/>
  <c r="K9" i="1" s="1"/>
  <c r="J286" i="1"/>
  <c r="K286" i="1" s="1"/>
  <c r="J407" i="1"/>
  <c r="K407" i="1" s="1"/>
  <c r="J623" i="1"/>
  <c r="K623" i="1" s="1"/>
  <c r="J44" i="1"/>
  <c r="K44" i="1" s="1"/>
  <c r="J453" i="1"/>
  <c r="K453" i="1" s="1"/>
  <c r="J600" i="1"/>
  <c r="K600" i="1" s="1"/>
  <c r="J233" i="1"/>
  <c r="K233" i="1" s="1"/>
  <c r="J546" i="1"/>
  <c r="K546" i="1" s="1"/>
  <c r="J311" i="1"/>
  <c r="K311" i="1" s="1"/>
  <c r="J601" i="1"/>
  <c r="K601" i="1" s="1"/>
  <c r="J278" i="1"/>
  <c r="K278" i="1" s="1"/>
  <c r="J166" i="1"/>
  <c r="K166" i="1" s="1"/>
  <c r="J371" i="1"/>
  <c r="K371" i="1" s="1"/>
  <c r="I48" i="1"/>
  <c r="I363" i="1"/>
  <c r="I213" i="1"/>
  <c r="I220" i="1"/>
  <c r="I164" i="1"/>
  <c r="I512" i="1"/>
  <c r="I37" i="1"/>
  <c r="I558" i="1"/>
  <c r="I243" i="1"/>
  <c r="I161" i="1"/>
  <c r="I400" i="1"/>
  <c r="I355" i="1"/>
  <c r="I380" i="1"/>
  <c r="I208" i="1"/>
  <c r="I242" i="1"/>
  <c r="I188" i="1"/>
  <c r="I71" i="1"/>
  <c r="I125" i="1"/>
  <c r="I74" i="1"/>
  <c r="I633" i="1"/>
  <c r="I630" i="1"/>
  <c r="I438" i="1"/>
  <c r="I365" i="1"/>
  <c r="I502" i="1"/>
  <c r="I299" i="1"/>
  <c r="I165" i="1"/>
  <c r="I4" i="1"/>
  <c r="J430" i="1"/>
  <c r="K430" i="1" s="1"/>
  <c r="J627" i="1"/>
  <c r="K627" i="1" s="1"/>
  <c r="J4" i="1"/>
  <c r="K4" i="1" s="1"/>
  <c r="J189" i="1"/>
  <c r="K189" i="1" s="1"/>
  <c r="J438" i="1"/>
  <c r="K438" i="1" s="1"/>
  <c r="J355" i="1"/>
  <c r="K355" i="1" s="1"/>
  <c r="J78" i="1"/>
  <c r="K78" i="1" s="1"/>
  <c r="J212" i="1"/>
  <c r="K212" i="1" s="1"/>
  <c r="J512" i="1"/>
  <c r="K512" i="1" s="1"/>
  <c r="J220" i="1"/>
  <c r="K220" i="1" s="1"/>
  <c r="J472" i="1"/>
  <c r="K472" i="1" s="1"/>
  <c r="J443" i="1"/>
  <c r="K443" i="1" s="1"/>
  <c r="J211" i="1"/>
  <c r="K211" i="1" s="1"/>
  <c r="J524" i="1"/>
  <c r="K524" i="1" s="1"/>
  <c r="J263" i="1"/>
  <c r="K263" i="1" s="1"/>
  <c r="J271" i="1"/>
  <c r="K271" i="1" s="1"/>
  <c r="J547" i="1"/>
  <c r="K547" i="1" s="1"/>
  <c r="J335" i="1"/>
  <c r="K335" i="1" s="1"/>
  <c r="J394" i="1"/>
  <c r="K394" i="1" s="1"/>
  <c r="J606" i="1"/>
  <c r="K606" i="1" s="1"/>
  <c r="J422" i="1"/>
  <c r="K422" i="1" s="1"/>
  <c r="J24" i="1"/>
  <c r="K24" i="1" s="1"/>
  <c r="J385" i="1"/>
  <c r="K385" i="1" s="1"/>
  <c r="J339" i="1"/>
  <c r="K339" i="1" s="1"/>
  <c r="J86" i="1"/>
  <c r="K86" i="1" s="1"/>
  <c r="J285" i="1"/>
  <c r="K285" i="1" s="1"/>
  <c r="I331" i="1"/>
  <c r="I186" i="1"/>
  <c r="I573" i="1"/>
  <c r="I572" i="1"/>
  <c r="I128" i="1"/>
  <c r="I576" i="1"/>
  <c r="I632" i="1"/>
  <c r="I596" i="1"/>
  <c r="I378" i="1"/>
  <c r="I93" i="1"/>
  <c r="I627" i="1"/>
  <c r="I404" i="1"/>
  <c r="I430" i="1"/>
  <c r="I127" i="1"/>
  <c r="I21" i="1"/>
  <c r="I135" i="1"/>
  <c r="I75" i="1"/>
  <c r="I104" i="1"/>
  <c r="I73" i="1"/>
  <c r="I234" i="1"/>
  <c r="I343" i="1"/>
  <c r="I97" i="1"/>
  <c r="I193" i="1"/>
  <c r="I53" i="1"/>
  <c r="I115" i="1"/>
  <c r="I424" i="1"/>
  <c r="I560" i="1"/>
  <c r="I254" i="1"/>
  <c r="I270" i="1"/>
  <c r="I68" i="1"/>
  <c r="I501" i="1"/>
  <c r="I348" i="1"/>
  <c r="I284" i="1"/>
  <c r="V143" i="1"/>
  <c r="V263" i="1"/>
  <c r="V145" i="1"/>
  <c r="V380" i="1"/>
  <c r="J59" i="1"/>
  <c r="K59" i="1" s="1"/>
  <c r="J330" i="1"/>
  <c r="K330" i="1" s="1"/>
  <c r="J521" i="1"/>
  <c r="K521" i="1" s="1"/>
  <c r="J124" i="1"/>
  <c r="K124" i="1" s="1"/>
  <c r="J61" i="1"/>
  <c r="K61" i="1" s="1"/>
  <c r="J30" i="1"/>
  <c r="K30" i="1" s="1"/>
  <c r="J617" i="1"/>
  <c r="K617" i="1" s="1"/>
  <c r="J235" i="1"/>
  <c r="K235" i="1" s="1"/>
  <c r="J318" i="1"/>
  <c r="K318" i="1" s="1"/>
  <c r="J102" i="1"/>
  <c r="K102" i="1" s="1"/>
  <c r="J64" i="1"/>
  <c r="K64" i="1" s="1"/>
  <c r="J231" i="1"/>
  <c r="K231" i="1" s="1"/>
  <c r="J388" i="1"/>
  <c r="K388" i="1" s="1"/>
  <c r="J611" i="1"/>
  <c r="K611" i="1" s="1"/>
  <c r="J474" i="1"/>
  <c r="K474" i="1" s="1"/>
  <c r="J408" i="1"/>
  <c r="K408" i="1" s="1"/>
  <c r="J143" i="1"/>
  <c r="K143" i="1" s="1"/>
  <c r="J14" i="1"/>
  <c r="K14" i="1" s="1"/>
  <c r="J344" i="1"/>
  <c r="K344" i="1" s="1"/>
  <c r="J439" i="1"/>
  <c r="K439" i="1" s="1"/>
  <c r="J42" i="1"/>
  <c r="K42" i="1" s="1"/>
  <c r="J517" i="1"/>
  <c r="K517" i="1" s="1"/>
  <c r="J508" i="1"/>
  <c r="K508" i="1" s="1"/>
  <c r="J544" i="1"/>
  <c r="K544" i="1" s="1"/>
  <c r="J158" i="1"/>
  <c r="K158" i="1" s="1"/>
  <c r="J320" i="1"/>
  <c r="K320" i="1" s="1"/>
  <c r="J95" i="1"/>
  <c r="K95" i="1" s="1"/>
  <c r="J368" i="1"/>
  <c r="K368" i="1" s="1"/>
  <c r="J538" i="1"/>
  <c r="K538" i="1" s="1"/>
  <c r="J236" i="1"/>
  <c r="K236" i="1" s="1"/>
  <c r="J216" i="1"/>
  <c r="K216" i="1" s="1"/>
  <c r="J303" i="1"/>
  <c r="K303" i="1" s="1"/>
  <c r="J206" i="1"/>
  <c r="K206" i="1" s="1"/>
  <c r="J144" i="1"/>
  <c r="K144" i="1" s="1"/>
  <c r="J454" i="1"/>
  <c r="K454" i="1" s="1"/>
  <c r="J514" i="1"/>
  <c r="K514" i="1" s="1"/>
  <c r="J225" i="1"/>
  <c r="K225" i="1" s="1"/>
  <c r="J359" i="1"/>
  <c r="K359" i="1" s="1"/>
  <c r="J167" i="1"/>
  <c r="K167" i="1" s="1"/>
  <c r="J452" i="1"/>
  <c r="K452" i="1" s="1"/>
  <c r="J41" i="1"/>
  <c r="K41" i="1" s="1"/>
  <c r="J181" i="1"/>
  <c r="K181" i="1" s="1"/>
  <c r="J338" i="1"/>
  <c r="K338" i="1" s="1"/>
  <c r="J131" i="1"/>
  <c r="K131" i="1" s="1"/>
  <c r="J564" i="1"/>
  <c r="K564" i="1" s="1"/>
  <c r="J222" i="1"/>
  <c r="K222" i="1" s="1"/>
  <c r="J49" i="1"/>
  <c r="K49" i="1" s="1"/>
  <c r="I324" i="1"/>
  <c r="I27" i="1"/>
  <c r="J68" i="1"/>
  <c r="K68" i="1" s="1"/>
  <c r="J73" i="1"/>
  <c r="K73" i="1" s="1"/>
  <c r="J299" i="1"/>
  <c r="K299" i="1" s="1"/>
  <c r="J502" i="1"/>
  <c r="K502" i="1" s="1"/>
  <c r="J293" i="1"/>
  <c r="K293" i="1" s="1"/>
  <c r="J268" i="1"/>
  <c r="K268" i="1" s="1"/>
  <c r="J535" i="1"/>
  <c r="K535" i="1" s="1"/>
  <c r="J201" i="1"/>
  <c r="K201" i="1" s="1"/>
  <c r="J217" i="1"/>
  <c r="K217" i="1" s="1"/>
  <c r="J151" i="1"/>
  <c r="K151" i="1" s="1"/>
  <c r="J260" i="1"/>
  <c r="K260" i="1" s="1"/>
  <c r="J549" i="1"/>
  <c r="K549" i="1" s="1"/>
  <c r="J390" i="1"/>
  <c r="K390" i="1" s="1"/>
  <c r="J248" i="1"/>
  <c r="K248" i="1" s="1"/>
  <c r="J315" i="1"/>
  <c r="K315" i="1" s="1"/>
  <c r="J372" i="1"/>
  <c r="K372" i="1" s="1"/>
  <c r="J603" i="1"/>
  <c r="K603" i="1" s="1"/>
  <c r="J435" i="1"/>
  <c r="K435" i="1" s="1"/>
  <c r="I221" i="1"/>
  <c r="I283" i="1"/>
  <c r="I106" i="1"/>
  <c r="I46" i="1"/>
  <c r="I499" i="1"/>
  <c r="I57" i="1"/>
  <c r="I483" i="1"/>
  <c r="I351" i="1"/>
  <c r="I273" i="1"/>
  <c r="I432" i="1"/>
  <c r="I352" i="1"/>
  <c r="I590" i="1"/>
  <c r="I379" i="1"/>
  <c r="I529" i="1"/>
  <c r="I344" i="1"/>
  <c r="I434" i="1"/>
  <c r="I327" i="1"/>
  <c r="I540" i="1"/>
  <c r="I129" i="1"/>
  <c r="I136" i="1"/>
  <c r="I568" i="1"/>
  <c r="I158" i="1"/>
  <c r="I305" i="1"/>
  <c r="I458" i="1"/>
  <c r="I552" i="1"/>
  <c r="I67" i="1"/>
  <c r="I95" i="1"/>
  <c r="I356" i="1"/>
  <c r="I368" i="1"/>
  <c r="I65" i="1"/>
  <c r="I538" i="1"/>
  <c r="I267" i="1"/>
  <c r="I236" i="1"/>
  <c r="I163" i="1"/>
  <c r="I31" i="1"/>
  <c r="I336" i="1"/>
  <c r="I303" i="1"/>
  <c r="I191" i="1"/>
  <c r="I583" i="1"/>
  <c r="I144" i="1"/>
  <c r="I306" i="1"/>
  <c r="I437" i="1"/>
  <c r="I530" i="1"/>
  <c r="I13" i="1"/>
  <c r="I454" i="1"/>
  <c r="I310" i="1"/>
  <c r="I225" i="1"/>
  <c r="I296" i="1"/>
  <c r="I598" i="1"/>
  <c r="I294" i="1"/>
  <c r="I359" i="1"/>
  <c r="I460" i="1"/>
  <c r="I332" i="1"/>
  <c r="I445" i="1"/>
  <c r="I608" i="1"/>
  <c r="I253" i="1"/>
  <c r="I281" i="1"/>
  <c r="I622" i="1"/>
  <c r="I607" i="1"/>
  <c r="I527" i="1"/>
  <c r="I167" i="1"/>
  <c r="I526" i="1"/>
  <c r="I452" i="1"/>
  <c r="I45" i="1"/>
  <c r="J424" i="1"/>
  <c r="K424" i="1" s="1"/>
  <c r="J104" i="1"/>
  <c r="K104" i="1" s="1"/>
  <c r="J312" i="1"/>
  <c r="K312" i="1" s="1"/>
  <c r="J75" i="1"/>
  <c r="K75" i="1" s="1"/>
  <c r="J21" i="1"/>
  <c r="K21" i="1" s="1"/>
  <c r="J632" i="1"/>
  <c r="K632" i="1" s="1"/>
  <c r="J230" i="1"/>
  <c r="K230" i="1" s="1"/>
  <c r="J137" i="1"/>
  <c r="K137" i="1" s="1"/>
  <c r="J119" i="1"/>
  <c r="K119" i="1" s="1"/>
  <c r="J288" i="1"/>
  <c r="K288" i="1" s="1"/>
  <c r="J198" i="1"/>
  <c r="K198" i="1" s="1"/>
  <c r="J369" i="1"/>
  <c r="K369" i="1" s="1"/>
  <c r="J204" i="1"/>
  <c r="K204" i="1" s="1"/>
  <c r="J571" i="1"/>
  <c r="K571" i="1" s="1"/>
  <c r="J157" i="1"/>
  <c r="K157" i="1" s="1"/>
  <c r="J347" i="1"/>
  <c r="K347" i="1" s="1"/>
  <c r="J238" i="1"/>
  <c r="K238" i="1" s="1"/>
  <c r="J625" i="1"/>
  <c r="K625" i="1" s="1"/>
  <c r="I172" i="1"/>
  <c r="I205" i="1"/>
  <c r="I215" i="1"/>
  <c r="I23" i="1"/>
  <c r="I34" i="1"/>
  <c r="I62" i="1"/>
  <c r="I8" i="1"/>
  <c r="I476" i="1"/>
  <c r="I217" i="1"/>
  <c r="I409" i="1"/>
  <c r="I148" i="1"/>
  <c r="I338" i="1"/>
  <c r="I591" i="1"/>
  <c r="I261" i="1"/>
  <c r="I246" i="1"/>
  <c r="I209" i="1"/>
  <c r="I505" i="1"/>
  <c r="I92" i="1"/>
  <c r="I222" i="1"/>
  <c r="I561" i="1"/>
  <c r="I623" i="1"/>
  <c r="I498" i="1"/>
  <c r="I428" i="1"/>
  <c r="I507" i="1"/>
  <c r="I319" i="1"/>
  <c r="I5" i="1"/>
  <c r="I35" i="1"/>
  <c r="I15" i="1"/>
  <c r="J114" i="1"/>
  <c r="K114" i="1" s="1"/>
  <c r="J127" i="1"/>
  <c r="K127" i="1" s="1"/>
  <c r="J128" i="1"/>
  <c r="K128" i="1" s="1"/>
  <c r="J186" i="1"/>
  <c r="K186" i="1" s="1"/>
  <c r="J329" i="1"/>
  <c r="K329" i="1" s="1"/>
  <c r="J242" i="1"/>
  <c r="K242" i="1" s="1"/>
  <c r="J146" i="1"/>
  <c r="K146" i="1" s="1"/>
  <c r="J161" i="1"/>
  <c r="K161" i="1" s="1"/>
  <c r="J170" i="1"/>
  <c r="K170" i="1" s="1"/>
  <c r="J82" i="1"/>
  <c r="K82" i="1" s="1"/>
  <c r="J252" i="1"/>
  <c r="K252" i="1" s="1"/>
  <c r="J298" i="1"/>
  <c r="K298" i="1" s="1"/>
  <c r="J488" i="1"/>
  <c r="K488" i="1" s="1"/>
  <c r="J587" i="1"/>
  <c r="K587" i="1" s="1"/>
  <c r="J503" i="1"/>
  <c r="K503" i="1" s="1"/>
  <c r="J374" i="1"/>
  <c r="K374" i="1" s="1"/>
  <c r="J562" i="1"/>
  <c r="K562" i="1" s="1"/>
  <c r="J449" i="1"/>
  <c r="K449" i="1" s="1"/>
  <c r="J555" i="1"/>
  <c r="K555" i="1" s="1"/>
  <c r="J509" i="1"/>
  <c r="K509" i="1" s="1"/>
  <c r="J84" i="1"/>
  <c r="K84" i="1" s="1"/>
  <c r="J419" i="1"/>
  <c r="K419" i="1" s="1"/>
  <c r="J375" i="1"/>
  <c r="K375" i="1" s="1"/>
  <c r="J455" i="1"/>
  <c r="K455" i="1" s="1"/>
  <c r="I441" i="1"/>
  <c r="I394" i="1"/>
  <c r="I384" i="1"/>
  <c r="I132" i="1"/>
  <c r="I613" i="1"/>
  <c r="I431" i="1"/>
  <c r="J621" i="1"/>
  <c r="K621" i="1" s="1"/>
  <c r="J539" i="1"/>
  <c r="K539" i="1" s="1"/>
  <c r="J27" i="1"/>
  <c r="K27" i="1" s="1"/>
  <c r="J345" i="1"/>
  <c r="K345" i="1" s="1"/>
  <c r="J282" i="1"/>
  <c r="K282" i="1" s="1"/>
  <c r="J221" i="1"/>
  <c r="K221" i="1" s="1"/>
  <c r="J111" i="1"/>
  <c r="K111" i="1" s="1"/>
  <c r="J283" i="1"/>
  <c r="K283" i="1" s="1"/>
  <c r="J46" i="1"/>
  <c r="K46" i="1" s="1"/>
  <c r="J548" i="1"/>
  <c r="K548" i="1" s="1"/>
  <c r="J619" i="1"/>
  <c r="K619" i="1" s="1"/>
  <c r="J499" i="1"/>
  <c r="K499" i="1" s="1"/>
  <c r="J177" i="1"/>
  <c r="K177" i="1" s="1"/>
  <c r="J22" i="1"/>
  <c r="K22" i="1" s="1"/>
  <c r="J325" i="1"/>
  <c r="K325" i="1" s="1"/>
  <c r="J379" i="1"/>
  <c r="K379" i="1" s="1"/>
  <c r="J529" i="1"/>
  <c r="K529" i="1" s="1"/>
  <c r="J63" i="1"/>
  <c r="K63" i="1" s="1"/>
  <c r="J237" i="1"/>
  <c r="K237" i="1" s="1"/>
  <c r="J540" i="1"/>
  <c r="K540" i="1" s="1"/>
  <c r="J420" i="1"/>
  <c r="K420" i="1" s="1"/>
  <c r="J262" i="1"/>
  <c r="K262" i="1" s="1"/>
  <c r="J568" i="1"/>
  <c r="K568" i="1" s="1"/>
  <c r="J391" i="1"/>
  <c r="K391" i="1" s="1"/>
  <c r="J190" i="1"/>
  <c r="K190" i="1" s="1"/>
  <c r="J545" i="1"/>
  <c r="K545" i="1" s="1"/>
  <c r="J616" i="1"/>
  <c r="K616" i="1" s="1"/>
  <c r="J491" i="1"/>
  <c r="K491" i="1" s="1"/>
  <c r="J274" i="1"/>
  <c r="K274" i="1" s="1"/>
  <c r="J429" i="1"/>
  <c r="K429" i="1" s="1"/>
  <c r="J515" i="1"/>
  <c r="K515" i="1" s="1"/>
  <c r="J518" i="1"/>
  <c r="K518" i="1" s="1"/>
  <c r="J579" i="1"/>
  <c r="K579" i="1" s="1"/>
  <c r="J130" i="1"/>
  <c r="K130" i="1" s="1"/>
  <c r="J477" i="1"/>
  <c r="K477" i="1" s="1"/>
  <c r="J628" i="1"/>
  <c r="K628" i="1" s="1"/>
  <c r="J416" i="1"/>
  <c r="K416" i="1" s="1"/>
  <c r="J94" i="1"/>
  <c r="K94" i="1" s="1"/>
  <c r="J399" i="1"/>
  <c r="K399" i="1" s="1"/>
  <c r="J56" i="1"/>
  <c r="K56" i="1" s="1"/>
  <c r="J223" i="1"/>
  <c r="K223" i="1" s="1"/>
  <c r="J140" i="1"/>
  <c r="K140" i="1" s="1"/>
  <c r="J448" i="1"/>
  <c r="K448" i="1" s="1"/>
  <c r="J494" i="1"/>
  <c r="K494" i="1" s="1"/>
  <c r="J8" i="1"/>
  <c r="K8" i="1" s="1"/>
  <c r="J541" i="1"/>
  <c r="K541" i="1" s="1"/>
  <c r="J101" i="1"/>
  <c r="K101" i="1" s="1"/>
  <c r="J382" i="1"/>
  <c r="K382" i="1" s="1"/>
  <c r="J459" i="1"/>
  <c r="K459" i="1" s="1"/>
  <c r="J498" i="1"/>
  <c r="K498" i="1" s="1"/>
  <c r="J470" i="1"/>
  <c r="K470" i="1" s="1"/>
  <c r="J3" i="1"/>
  <c r="K3" i="1" s="1"/>
  <c r="J15" i="1"/>
  <c r="K15" i="1" s="1"/>
  <c r="J414" i="1"/>
  <c r="K414" i="1" s="1"/>
  <c r="V401" i="1"/>
  <c r="V510" i="1"/>
  <c r="V169" i="1"/>
  <c r="V80" i="1"/>
  <c r="V271" i="1"/>
  <c r="V141" i="1"/>
  <c r="V524" i="1"/>
  <c r="V291" i="1"/>
  <c r="V156" i="1"/>
  <c r="V171" i="1"/>
  <c r="V628" i="1"/>
  <c r="V520" i="1"/>
  <c r="V123" i="1"/>
  <c r="V390" i="1"/>
  <c r="V36" i="1"/>
  <c r="V245" i="1"/>
  <c r="V406" i="1"/>
  <c r="V559" i="1"/>
  <c r="V327" i="1"/>
  <c r="V289" i="1"/>
  <c r="V77" i="1"/>
  <c r="V538" i="1"/>
  <c r="V216" i="1"/>
  <c r="V144" i="1"/>
  <c r="V9" i="1"/>
  <c r="V223" i="1"/>
  <c r="V494" i="1"/>
  <c r="V3" i="1"/>
  <c r="AF113" i="1"/>
  <c r="AH113" i="1" s="1"/>
  <c r="AI113" i="1" s="1"/>
  <c r="V113" i="1"/>
  <c r="AF122" i="1"/>
  <c r="AH122" i="1" s="1"/>
  <c r="AI122" i="1" s="1"/>
  <c r="V122" i="1"/>
  <c r="AF581" i="1"/>
  <c r="AH581" i="1" s="1"/>
  <c r="AI581" i="1" s="1"/>
  <c r="V581" i="1"/>
  <c r="AF100" i="1"/>
  <c r="AH100" i="1" s="1"/>
  <c r="AI100" i="1" s="1"/>
  <c r="V100" i="1"/>
  <c r="AF29" i="1"/>
  <c r="AH29" i="1" s="1"/>
  <c r="AI29" i="1" s="1"/>
  <c r="V29" i="1"/>
  <c r="AF554" i="1"/>
  <c r="AH554" i="1" s="1"/>
  <c r="AI554" i="1" s="1"/>
  <c r="V554" i="1"/>
  <c r="AF309" i="1"/>
  <c r="AH309" i="1" s="1"/>
  <c r="AI309" i="1" s="1"/>
  <c r="V309" i="1"/>
  <c r="AF302" i="1"/>
  <c r="AH302" i="1" s="1"/>
  <c r="AI302" i="1" s="1"/>
  <c r="V302" i="1"/>
  <c r="AF567" i="1"/>
  <c r="AH567" i="1" s="1"/>
  <c r="AI567" i="1" s="1"/>
  <c r="V567" i="1"/>
  <c r="AF411" i="1"/>
  <c r="AH411" i="1" s="1"/>
  <c r="AI411" i="1" s="1"/>
  <c r="V411" i="1"/>
  <c r="AF412" i="1"/>
  <c r="AH412" i="1" s="1"/>
  <c r="V412" i="1"/>
  <c r="AF183" i="1"/>
  <c r="AH183" i="1" s="1"/>
  <c r="AI183" i="1" s="1"/>
  <c r="V183" i="1"/>
  <c r="AF533" i="1"/>
  <c r="AH533" i="1" s="1"/>
  <c r="AI533" i="1" s="1"/>
  <c r="V533" i="1"/>
  <c r="AF357" i="1"/>
  <c r="AH357" i="1" s="1"/>
  <c r="AI357" i="1" s="1"/>
  <c r="V357" i="1"/>
  <c r="AF200" i="1"/>
  <c r="AH200" i="1" s="1"/>
  <c r="V200" i="1"/>
  <c r="AF153" i="1"/>
  <c r="AH153" i="1" s="1"/>
  <c r="V153" i="1"/>
  <c r="AF553" i="1"/>
  <c r="AH553" i="1" s="1"/>
  <c r="AI553" i="1" s="1"/>
  <c r="V553" i="1"/>
  <c r="AF389" i="1"/>
  <c r="V389" i="1"/>
  <c r="AF72" i="1"/>
  <c r="AH72" i="1" s="1"/>
  <c r="AI72" i="1" s="1"/>
  <c r="V72" i="1"/>
  <c r="AF168" i="1"/>
  <c r="AH168" i="1" s="1"/>
  <c r="AI168" i="1" s="1"/>
  <c r="V168" i="1"/>
  <c r="AF333" i="1"/>
  <c r="AH333" i="1" s="1"/>
  <c r="AI333" i="1" s="1"/>
  <c r="V333" i="1"/>
  <c r="AF272" i="1"/>
  <c r="AH272" i="1" s="1"/>
  <c r="AI272" i="1" s="1"/>
  <c r="V272" i="1"/>
  <c r="AF316" i="1"/>
  <c r="AH316" i="1" s="1"/>
  <c r="AI316" i="1" s="1"/>
  <c r="V316" i="1"/>
  <c r="AF54" i="1"/>
  <c r="AH54" i="1" s="1"/>
  <c r="AI54" i="1" s="1"/>
  <c r="V54" i="1"/>
  <c r="AF387" i="1"/>
  <c r="AH387" i="1" s="1"/>
  <c r="AI387" i="1" s="1"/>
  <c r="V387" i="1"/>
  <c r="AF202" i="1"/>
  <c r="AH202" i="1" s="1"/>
  <c r="AI202" i="1" s="1"/>
  <c r="V202" i="1"/>
  <c r="AF444" i="1"/>
  <c r="AH444" i="1" s="1"/>
  <c r="V444" i="1"/>
  <c r="AF43" i="1"/>
  <c r="AH43" i="1" s="1"/>
  <c r="AI43" i="1" s="1"/>
  <c r="V43" i="1"/>
  <c r="AF612" i="1"/>
  <c r="AH612" i="1" s="1"/>
  <c r="AI612" i="1" s="1"/>
  <c r="V612" i="1"/>
  <c r="AF484" i="1"/>
  <c r="AH484" i="1" s="1"/>
  <c r="AI484" i="1" s="1"/>
  <c r="V484" i="1"/>
  <c r="AF467" i="1"/>
  <c r="AH467" i="1" s="1"/>
  <c r="V467" i="1"/>
  <c r="AF187" i="1"/>
  <c r="AH187" i="1" s="1"/>
  <c r="AI187" i="1" s="1"/>
  <c r="V187" i="1"/>
  <c r="AF237" i="1"/>
  <c r="AH237" i="1" s="1"/>
  <c r="AI237" i="1" s="1"/>
  <c r="V237" i="1"/>
  <c r="AF42" i="1"/>
  <c r="AH42" i="1" s="1"/>
  <c r="AI42" i="1" s="1"/>
  <c r="V42" i="1"/>
  <c r="AF631" i="1"/>
  <c r="AH631" i="1" s="1"/>
  <c r="V631" i="1"/>
  <c r="AF423" i="1"/>
  <c r="AH423" i="1" s="1"/>
  <c r="AI423" i="1" s="1"/>
  <c r="V423" i="1"/>
  <c r="AF420" i="1"/>
  <c r="AH420" i="1" s="1"/>
  <c r="AI420" i="1" s="1"/>
  <c r="V420" i="1"/>
  <c r="AF544" i="1"/>
  <c r="AH544" i="1" s="1"/>
  <c r="AI544" i="1" s="1"/>
  <c r="V544" i="1"/>
  <c r="AF393" i="1"/>
  <c r="AH393" i="1" s="1"/>
  <c r="AI393" i="1" s="1"/>
  <c r="V393" i="1"/>
  <c r="AF450" i="1"/>
  <c r="AH450" i="1" s="1"/>
  <c r="V450" i="1"/>
  <c r="AF256" i="1"/>
  <c r="AH256" i="1" s="1"/>
  <c r="AI256" i="1" s="1"/>
  <c r="V256" i="1"/>
  <c r="AF10" i="1"/>
  <c r="AH10" i="1" s="1"/>
  <c r="AI10" i="1" s="1"/>
  <c r="V10" i="1"/>
  <c r="AF602" i="1"/>
  <c r="AH602" i="1" s="1"/>
  <c r="AI602" i="1" s="1"/>
  <c r="V602" i="1"/>
  <c r="AF328" i="1"/>
  <c r="AH328" i="1" s="1"/>
  <c r="V328" i="1"/>
  <c r="AF354" i="1"/>
  <c r="AH354" i="1" s="1"/>
  <c r="AI354" i="1" s="1"/>
  <c r="V354" i="1"/>
  <c r="AF214" i="1"/>
  <c r="AH214" i="1" s="1"/>
  <c r="AI214" i="1" s="1"/>
  <c r="V214" i="1"/>
  <c r="AF589" i="1"/>
  <c r="AH589" i="1" s="1"/>
  <c r="AI589" i="1" s="1"/>
  <c r="V589" i="1"/>
  <c r="AF285" i="1"/>
  <c r="AH285" i="1" s="1"/>
  <c r="AI285" i="1" s="1"/>
  <c r="V285" i="1"/>
  <c r="AF473" i="1"/>
  <c r="AH473" i="1" s="1"/>
  <c r="AI473" i="1" s="1"/>
  <c r="V473" i="1"/>
  <c r="AF383" i="1"/>
  <c r="AH383" i="1" s="1"/>
  <c r="AI383" i="1" s="1"/>
  <c r="V383" i="1"/>
  <c r="AF86" i="1"/>
  <c r="AH86" i="1" s="1"/>
  <c r="AI86" i="1" s="1"/>
  <c r="V86" i="1"/>
  <c r="AF339" i="1"/>
  <c r="AH339" i="1" s="1"/>
  <c r="V339" i="1"/>
  <c r="AF371" i="1"/>
  <c r="AH371" i="1" s="1"/>
  <c r="AI371" i="1" s="1"/>
  <c r="V371" i="1"/>
  <c r="AF385" i="1"/>
  <c r="AH385" i="1" s="1"/>
  <c r="AI385" i="1" s="1"/>
  <c r="V385" i="1"/>
  <c r="AF337" i="1"/>
  <c r="AH337" i="1" s="1"/>
  <c r="AI337" i="1" s="1"/>
  <c r="V337" i="1"/>
  <c r="AF150" i="1"/>
  <c r="AH150" i="1" s="1"/>
  <c r="AI150" i="1" s="1"/>
  <c r="V150" i="1"/>
  <c r="AF346" i="1"/>
  <c r="AH346" i="1" s="1"/>
  <c r="AI346" i="1" s="1"/>
  <c r="V346" i="1"/>
  <c r="AF166" i="1"/>
  <c r="AH166" i="1" s="1"/>
  <c r="AI166" i="1" s="1"/>
  <c r="V166" i="1"/>
  <c r="AF99" i="1"/>
  <c r="AH99" i="1" s="1"/>
  <c r="AI99" i="1" s="1"/>
  <c r="V99" i="1"/>
  <c r="AF278" i="1"/>
  <c r="AH278" i="1" s="1"/>
  <c r="AI278" i="1" s="1"/>
  <c r="V278" i="1"/>
  <c r="AF625" i="1"/>
  <c r="AH625" i="1" s="1"/>
  <c r="AI625" i="1" s="1"/>
  <c r="V625" i="1"/>
  <c r="AF24" i="1"/>
  <c r="AH24" i="1" s="1"/>
  <c r="AI24" i="1" s="1"/>
  <c r="V24" i="1"/>
  <c r="AF249" i="1"/>
  <c r="AH249" i="1" s="1"/>
  <c r="AI249" i="1" s="1"/>
  <c r="V249" i="1"/>
  <c r="AF238" i="1"/>
  <c r="AH238" i="1" s="1"/>
  <c r="AI238" i="1" s="1"/>
  <c r="V238" i="1"/>
  <c r="AF455" i="1"/>
  <c r="AH455" i="1" s="1"/>
  <c r="AI455" i="1" s="1"/>
  <c r="V455" i="1"/>
  <c r="AF480" i="1"/>
  <c r="AH480" i="1" s="1"/>
  <c r="V480" i="1"/>
  <c r="AF118" i="1"/>
  <c r="AH118" i="1" s="1"/>
  <c r="AI118" i="1" s="1"/>
  <c r="V118" i="1"/>
  <c r="AF375" i="1"/>
  <c r="AH375" i="1" s="1"/>
  <c r="AI375" i="1" s="1"/>
  <c r="V375" i="1"/>
  <c r="AF40" i="1"/>
  <c r="AH40" i="1" s="1"/>
  <c r="AI40" i="1" s="1"/>
  <c r="V40" i="1"/>
  <c r="AF69" i="1"/>
  <c r="AH69" i="1" s="1"/>
  <c r="AI69" i="1" s="1"/>
  <c r="V69" i="1"/>
  <c r="AF422" i="1"/>
  <c r="AH422" i="1" s="1"/>
  <c r="AI422" i="1" s="1"/>
  <c r="V422" i="1"/>
  <c r="AF360" i="1"/>
  <c r="AH360" i="1" s="1"/>
  <c r="AI360" i="1" s="1"/>
  <c r="V360" i="1"/>
  <c r="AF601" i="1"/>
  <c r="AH601" i="1" s="1"/>
  <c r="AI601" i="1" s="1"/>
  <c r="V601" i="1"/>
  <c r="AF79" i="1"/>
  <c r="AH79" i="1" s="1"/>
  <c r="AI79" i="1" s="1"/>
  <c r="V79" i="1"/>
  <c r="AF419" i="1"/>
  <c r="AH419" i="1" s="1"/>
  <c r="AI419" i="1" s="1"/>
  <c r="V419" i="1"/>
  <c r="AF184" i="1"/>
  <c r="AH184" i="1" s="1"/>
  <c r="AI184" i="1" s="1"/>
  <c r="V184" i="1"/>
  <c r="AF347" i="1"/>
  <c r="AH347" i="1" s="1"/>
  <c r="AI347" i="1" s="1"/>
  <c r="V347" i="1"/>
  <c r="AF311" i="1"/>
  <c r="AH311" i="1" s="1"/>
  <c r="AI311" i="1" s="1"/>
  <c r="V311" i="1"/>
  <c r="AF179" i="1"/>
  <c r="AH179" i="1" s="1"/>
  <c r="AI179" i="1" s="1"/>
  <c r="V179" i="1"/>
  <c r="AF84" i="1"/>
  <c r="AH84" i="1" s="1"/>
  <c r="AI84" i="1" s="1"/>
  <c r="V84" i="1"/>
  <c r="AF435" i="1"/>
  <c r="AH435" i="1" s="1"/>
  <c r="AI435" i="1" s="1"/>
  <c r="V435" i="1"/>
  <c r="AF603" i="1"/>
  <c r="AH603" i="1" s="1"/>
  <c r="AI603" i="1" s="1"/>
  <c r="V603" i="1"/>
  <c r="AF425" i="1"/>
  <c r="AH425" i="1" s="1"/>
  <c r="AI425" i="1" s="1"/>
  <c r="V425" i="1"/>
  <c r="AF546" i="1"/>
  <c r="AH546" i="1" s="1"/>
  <c r="AI546" i="1" s="1"/>
  <c r="V546" i="1"/>
  <c r="AF509" i="1"/>
  <c r="AH509" i="1" s="1"/>
  <c r="AI509" i="1" s="1"/>
  <c r="V509" i="1"/>
  <c r="AF157" i="1"/>
  <c r="AH157" i="1" s="1"/>
  <c r="AI157" i="1" s="1"/>
  <c r="V157" i="1"/>
  <c r="AF485" i="1"/>
  <c r="AH485" i="1" s="1"/>
  <c r="AI485" i="1" s="1"/>
  <c r="V485" i="1"/>
  <c r="AF350" i="1"/>
  <c r="AH350" i="1" s="1"/>
  <c r="AI350" i="1" s="1"/>
  <c r="V350" i="1"/>
  <c r="AF513" i="1"/>
  <c r="AH513" i="1" s="1"/>
  <c r="AI513" i="1" s="1"/>
  <c r="V513" i="1"/>
  <c r="AF91" i="1"/>
  <c r="AH91" i="1" s="1"/>
  <c r="AI91" i="1" s="1"/>
  <c r="V91" i="1"/>
  <c r="AF372" i="1"/>
  <c r="AH372" i="1" s="1"/>
  <c r="AI372" i="1" s="1"/>
  <c r="V372" i="1"/>
  <c r="AF98" i="1"/>
  <c r="AH98" i="1" s="1"/>
  <c r="AI98" i="1" s="1"/>
  <c r="V98" i="1"/>
  <c r="AF276" i="1"/>
  <c r="AH276" i="1" s="1"/>
  <c r="AI276" i="1" s="1"/>
  <c r="V276" i="1"/>
  <c r="AF555" i="1"/>
  <c r="AH555" i="1" s="1"/>
  <c r="AI555" i="1" s="1"/>
  <c r="V555" i="1"/>
  <c r="AF233" i="1"/>
  <c r="AH233" i="1" s="1"/>
  <c r="AI233" i="1" s="1"/>
  <c r="V233" i="1"/>
  <c r="AF292" i="1"/>
  <c r="AH292" i="1" s="1"/>
  <c r="AI292" i="1" s="1"/>
  <c r="V292" i="1"/>
  <c r="AF566" i="1"/>
  <c r="AH566" i="1" s="1"/>
  <c r="AI566" i="1" s="1"/>
  <c r="V566" i="1"/>
  <c r="AF366" i="1"/>
  <c r="AH366" i="1" s="1"/>
  <c r="AI366" i="1" s="1"/>
  <c r="V366" i="1"/>
  <c r="AF2" i="1"/>
  <c r="V2" i="1"/>
  <c r="AF511" i="1"/>
  <c r="AH511" i="1" s="1"/>
  <c r="AI511" i="1" s="1"/>
  <c r="V511" i="1"/>
  <c r="AF277" i="1"/>
  <c r="AH277" i="1" s="1"/>
  <c r="AI277" i="1" s="1"/>
  <c r="V277" i="1"/>
  <c r="AF264" i="1"/>
  <c r="AH264" i="1" s="1"/>
  <c r="AI264" i="1" s="1"/>
  <c r="V264" i="1"/>
  <c r="AF600" i="1"/>
  <c r="AH600" i="1" s="1"/>
  <c r="AI600" i="1" s="1"/>
  <c r="V600" i="1"/>
  <c r="AF580" i="1"/>
  <c r="AH580" i="1" s="1"/>
  <c r="AI580" i="1" s="1"/>
  <c r="V580" i="1"/>
  <c r="AF226" i="1"/>
  <c r="AH226" i="1" s="1"/>
  <c r="AI226" i="1" s="1"/>
  <c r="V226" i="1"/>
  <c r="AF244" i="1"/>
  <c r="AH244" i="1" s="1"/>
  <c r="AI244" i="1" s="1"/>
  <c r="V244" i="1"/>
  <c r="AF227" i="1"/>
  <c r="AH227" i="1" s="1"/>
  <c r="AI227" i="1" s="1"/>
  <c r="V227" i="1"/>
  <c r="AF453" i="1"/>
  <c r="AH453" i="1" s="1"/>
  <c r="AI453" i="1" s="1"/>
  <c r="V453" i="1"/>
  <c r="AF370" i="1"/>
  <c r="AH370" i="1" s="1"/>
  <c r="AI370" i="1" s="1"/>
  <c r="V370" i="1"/>
  <c r="AF421" i="1"/>
  <c r="AH421" i="1" s="1"/>
  <c r="AI421" i="1" s="1"/>
  <c r="V421" i="1"/>
  <c r="AF358" i="1"/>
  <c r="AH358" i="1" s="1"/>
  <c r="AI358" i="1" s="1"/>
  <c r="V358" i="1"/>
  <c r="AF537" i="1"/>
  <c r="AH537" i="1" s="1"/>
  <c r="AI537" i="1" s="1"/>
  <c r="V537" i="1"/>
  <c r="AF599" i="1"/>
  <c r="AH599" i="1" s="1"/>
  <c r="AI599" i="1" s="1"/>
  <c r="V599" i="1"/>
  <c r="AF330" i="1"/>
  <c r="AH330" i="1" s="1"/>
  <c r="AI330" i="1" s="1"/>
  <c r="V330" i="1"/>
  <c r="AF124" i="1"/>
  <c r="AH124" i="1" s="1"/>
  <c r="AI124" i="1" s="1"/>
  <c r="V124" i="1"/>
  <c r="AF61" i="1"/>
  <c r="AH61" i="1" s="1"/>
  <c r="AI61" i="1" s="1"/>
  <c r="V61" i="1"/>
  <c r="AF392" i="1"/>
  <c r="AH392" i="1" s="1"/>
  <c r="AI392" i="1" s="1"/>
  <c r="V392" i="1"/>
  <c r="AF269" i="1"/>
  <c r="AH269" i="1" s="1"/>
  <c r="AI269" i="1" s="1"/>
  <c r="V269" i="1"/>
  <c r="AF235" i="1"/>
  <c r="AH235" i="1" s="1"/>
  <c r="AI235" i="1" s="1"/>
  <c r="V235" i="1"/>
  <c r="AF102" i="1"/>
  <c r="AH102" i="1" s="1"/>
  <c r="AI102" i="1" s="1"/>
  <c r="V102" i="1"/>
  <c r="AF231" i="1"/>
  <c r="AH231" i="1" s="1"/>
  <c r="AI231" i="1" s="1"/>
  <c r="V231" i="1"/>
  <c r="AF456" i="1"/>
  <c r="AH456" i="1" s="1"/>
  <c r="AI456" i="1" s="1"/>
  <c r="V456" i="1"/>
  <c r="AF11" i="1"/>
  <c r="AH11" i="1" s="1"/>
  <c r="AI11" i="1" s="1"/>
  <c r="V11" i="1"/>
  <c r="AF14" i="1"/>
  <c r="AH14" i="1" s="1"/>
  <c r="AI14" i="1" s="1"/>
  <c r="V14" i="1"/>
  <c r="AF308" i="1"/>
  <c r="AH308" i="1" s="1"/>
  <c r="AI308" i="1" s="1"/>
  <c r="V308" i="1"/>
  <c r="AF176" i="1"/>
  <c r="AH176" i="1" s="1"/>
  <c r="AI176" i="1" s="1"/>
  <c r="V176" i="1"/>
  <c r="AF110" i="1"/>
  <c r="AH110" i="1" s="1"/>
  <c r="AI110" i="1" s="1"/>
  <c r="V110" i="1"/>
  <c r="AF586" i="1"/>
  <c r="AH586" i="1" s="1"/>
  <c r="AI586" i="1" s="1"/>
  <c r="V586" i="1"/>
  <c r="AF229" i="1"/>
  <c r="AH229" i="1" s="1"/>
  <c r="AI229" i="1" s="1"/>
  <c r="V229" i="1"/>
  <c r="AF265" i="1"/>
  <c r="AH265" i="1" s="1"/>
  <c r="AI265" i="1" s="1"/>
  <c r="V265" i="1"/>
  <c r="AF488" i="1"/>
  <c r="AH488" i="1" s="1"/>
  <c r="AI488" i="1" s="1"/>
  <c r="V488" i="1"/>
  <c r="AF443" i="1"/>
  <c r="AH443" i="1" s="1"/>
  <c r="AI443" i="1" s="1"/>
  <c r="V443" i="1"/>
  <c r="AF19" i="1"/>
  <c r="AH19" i="1" s="1"/>
  <c r="AI19" i="1" s="1"/>
  <c r="V19" i="1"/>
  <c r="AF55" i="1"/>
  <c r="AH55" i="1" s="1"/>
  <c r="AI55" i="1" s="1"/>
  <c r="V55" i="1"/>
  <c r="AF407" i="1"/>
  <c r="AH407" i="1" s="1"/>
  <c r="AI407" i="1" s="1"/>
  <c r="V407" i="1"/>
  <c r="AF82" i="1"/>
  <c r="AH82" i="1" s="1"/>
  <c r="AI82" i="1" s="1"/>
  <c r="V82" i="1"/>
  <c r="AF133" i="1"/>
  <c r="AH133" i="1" s="1"/>
  <c r="AI133" i="1" s="1"/>
  <c r="V133" i="1"/>
  <c r="AF199" i="1"/>
  <c r="AH199" i="1" s="1"/>
  <c r="AI199" i="1" s="1"/>
  <c r="V199" i="1"/>
  <c r="AF472" i="1"/>
  <c r="AH472" i="1" s="1"/>
  <c r="V472" i="1"/>
  <c r="AF258" i="1"/>
  <c r="AH258" i="1" s="1"/>
  <c r="AI258" i="1" s="1"/>
  <c r="V258" i="1"/>
  <c r="AF287" i="1"/>
  <c r="AH287" i="1" s="1"/>
  <c r="AI287" i="1" s="1"/>
  <c r="V287" i="1"/>
  <c r="AF377" i="1"/>
  <c r="AH377" i="1" s="1"/>
  <c r="AI377" i="1" s="1"/>
  <c r="V377" i="1"/>
  <c r="AF198" i="1"/>
  <c r="AH198" i="1" s="1"/>
  <c r="AI198" i="1" s="1"/>
  <c r="V198" i="1"/>
  <c r="AF286" i="1"/>
  <c r="AH286" i="1" s="1"/>
  <c r="AI286" i="1" s="1"/>
  <c r="V286" i="1"/>
  <c r="AF220" i="1"/>
  <c r="AH220" i="1" s="1"/>
  <c r="AI220" i="1" s="1"/>
  <c r="V220" i="1"/>
  <c r="AF504" i="1"/>
  <c r="AH504" i="1" s="1"/>
  <c r="AI504" i="1" s="1"/>
  <c r="V504" i="1"/>
  <c r="AF512" i="1"/>
  <c r="AH512" i="1" s="1"/>
  <c r="AI512" i="1" s="1"/>
  <c r="V512" i="1"/>
  <c r="AF37" i="1"/>
  <c r="AH37" i="1" s="1"/>
  <c r="V37" i="1"/>
  <c r="AF161" i="1"/>
  <c r="AH161" i="1" s="1"/>
  <c r="AI161" i="1" s="1"/>
  <c r="V161" i="1"/>
  <c r="AF355" i="1"/>
  <c r="AH355" i="1" s="1"/>
  <c r="AI355" i="1" s="1"/>
  <c r="V355" i="1"/>
  <c r="AF47" i="1"/>
  <c r="AH47" i="1" s="1"/>
  <c r="AI47" i="1" s="1"/>
  <c r="V47" i="1"/>
  <c r="AF74" i="1"/>
  <c r="AH74" i="1" s="1"/>
  <c r="AI74" i="1" s="1"/>
  <c r="V74" i="1"/>
  <c r="AF630" i="1"/>
  <c r="AH630" i="1" s="1"/>
  <c r="V630" i="1"/>
  <c r="AF189" i="1"/>
  <c r="AH189" i="1" s="1"/>
  <c r="AI189" i="1" s="1"/>
  <c r="V189" i="1"/>
  <c r="AF396" i="1"/>
  <c r="AH396" i="1" s="1"/>
  <c r="AI396" i="1" s="1"/>
  <c r="V396" i="1"/>
  <c r="AF165" i="1"/>
  <c r="AH165" i="1" s="1"/>
  <c r="AI165" i="1" s="1"/>
  <c r="V165" i="1"/>
  <c r="AF186" i="1"/>
  <c r="AH186" i="1" s="1"/>
  <c r="AI186" i="1" s="1"/>
  <c r="V186" i="1"/>
  <c r="AF572" i="1"/>
  <c r="AH572" i="1" s="1"/>
  <c r="AI572" i="1" s="1"/>
  <c r="V572" i="1"/>
  <c r="AF576" i="1"/>
  <c r="AH576" i="1" s="1"/>
  <c r="AI576" i="1" s="1"/>
  <c r="V576" i="1"/>
  <c r="AF378" i="1"/>
  <c r="AH378" i="1" s="1"/>
  <c r="AI378" i="1" s="1"/>
  <c r="V378" i="1"/>
  <c r="AF627" i="1"/>
  <c r="AH627" i="1" s="1"/>
  <c r="AI627" i="1" s="1"/>
  <c r="V627" i="1"/>
  <c r="AF127" i="1"/>
  <c r="AH127" i="1" s="1"/>
  <c r="AI127" i="1" s="1"/>
  <c r="V127" i="1"/>
  <c r="AF75" i="1"/>
  <c r="AH75" i="1" s="1"/>
  <c r="AI75" i="1" s="1"/>
  <c r="V75" i="1"/>
  <c r="AF104" i="1"/>
  <c r="AH104" i="1" s="1"/>
  <c r="AI104" i="1" s="1"/>
  <c r="V104" i="1"/>
  <c r="AF234" i="1"/>
  <c r="AH234" i="1" s="1"/>
  <c r="AI234" i="1" s="1"/>
  <c r="V234" i="1"/>
  <c r="AF193" i="1"/>
  <c r="AH193" i="1" s="1"/>
  <c r="V193" i="1"/>
  <c r="AF424" i="1"/>
  <c r="AH424" i="1" s="1"/>
  <c r="AI424" i="1" s="1"/>
  <c r="V424" i="1"/>
  <c r="AF254" i="1"/>
  <c r="AH254" i="1" s="1"/>
  <c r="AI254" i="1" s="1"/>
  <c r="V254" i="1"/>
  <c r="AF68" i="1"/>
  <c r="AH68" i="1" s="1"/>
  <c r="AI68" i="1" s="1"/>
  <c r="V68" i="1"/>
  <c r="AF284" i="1"/>
  <c r="AH284" i="1" s="1"/>
  <c r="AI284" i="1" s="1"/>
  <c r="V284" i="1"/>
  <c r="V528" i="1"/>
  <c r="AF621" i="1"/>
  <c r="AH621" i="1" s="1"/>
  <c r="AI621" i="1" s="1"/>
  <c r="V621" i="1"/>
  <c r="AF539" i="1"/>
  <c r="AH539" i="1" s="1"/>
  <c r="AI539" i="1" s="1"/>
  <c r="V539" i="1"/>
  <c r="AF324" i="1"/>
  <c r="AH324" i="1" s="1"/>
  <c r="AI324" i="1" s="1"/>
  <c r="V324" i="1"/>
  <c r="AF345" i="1"/>
  <c r="AH345" i="1" s="1"/>
  <c r="AI345" i="1" s="1"/>
  <c r="V345" i="1"/>
  <c r="AF221" i="1"/>
  <c r="AH221" i="1" s="1"/>
  <c r="AI221" i="1" s="1"/>
  <c r="V221" i="1"/>
  <c r="AF479" i="1"/>
  <c r="AH479" i="1" s="1"/>
  <c r="AI479" i="1" s="1"/>
  <c r="V479" i="1"/>
  <c r="AF106" i="1"/>
  <c r="AH106" i="1" s="1"/>
  <c r="AI106" i="1" s="1"/>
  <c r="V106" i="1"/>
  <c r="AF548" i="1"/>
  <c r="AH548" i="1" s="1"/>
  <c r="AI548" i="1" s="1"/>
  <c r="V548" i="1"/>
  <c r="AF499" i="1"/>
  <c r="AH499" i="1" s="1"/>
  <c r="AI499" i="1" s="1"/>
  <c r="V499" i="1"/>
  <c r="AF351" i="1"/>
  <c r="AH351" i="1" s="1"/>
  <c r="AI351" i="1" s="1"/>
  <c r="V351" i="1"/>
  <c r="AF592" i="1"/>
  <c r="AH592" i="1" s="1"/>
  <c r="AI592" i="1" s="1"/>
  <c r="V592" i="1"/>
  <c r="AF432" i="1"/>
  <c r="AH432" i="1" s="1"/>
  <c r="AI432" i="1" s="1"/>
  <c r="V432" i="1"/>
  <c r="AF605" i="1"/>
  <c r="AH605" i="1" s="1"/>
  <c r="AI605" i="1" s="1"/>
  <c r="V605" i="1"/>
  <c r="AF352" i="1"/>
  <c r="AH352" i="1" s="1"/>
  <c r="AI352" i="1" s="1"/>
  <c r="V352" i="1"/>
  <c r="AF590" i="1"/>
  <c r="AH590" i="1" s="1"/>
  <c r="AI590" i="1" s="1"/>
  <c r="V590" i="1"/>
  <c r="AF434" i="1"/>
  <c r="AH434" i="1" s="1"/>
  <c r="AI434" i="1" s="1"/>
  <c r="V434" i="1"/>
  <c r="AF540" i="1"/>
  <c r="AH540" i="1" s="1"/>
  <c r="AI540" i="1" s="1"/>
  <c r="V540" i="1"/>
  <c r="AF182" i="1"/>
  <c r="AH182" i="1" s="1"/>
  <c r="AI182" i="1" s="1"/>
  <c r="V182" i="1"/>
  <c r="AF129" i="1"/>
  <c r="AH129" i="1" s="1"/>
  <c r="AI129" i="1" s="1"/>
  <c r="V129" i="1"/>
  <c r="AF136" i="1"/>
  <c r="AH136" i="1" s="1"/>
  <c r="AI136" i="1" s="1"/>
  <c r="V136" i="1"/>
  <c r="AF568" i="1"/>
  <c r="AH568" i="1" s="1"/>
  <c r="AI568" i="1" s="1"/>
  <c r="V568" i="1"/>
  <c r="AF458" i="1"/>
  <c r="AH458" i="1" s="1"/>
  <c r="AI458" i="1" s="1"/>
  <c r="V458" i="1"/>
  <c r="AF552" i="1"/>
  <c r="AH552" i="1" s="1"/>
  <c r="AI552" i="1" s="1"/>
  <c r="V552" i="1"/>
  <c r="AF67" i="1"/>
  <c r="AH67" i="1" s="1"/>
  <c r="AI67" i="1" s="1"/>
  <c r="V67" i="1"/>
  <c r="AF25" i="1"/>
  <c r="AH25" i="1" s="1"/>
  <c r="AI25" i="1" s="1"/>
  <c r="V25" i="1"/>
  <c r="AF307" i="1"/>
  <c r="AH307" i="1" s="1"/>
  <c r="AI307" i="1" s="1"/>
  <c r="V307" i="1"/>
  <c r="AF65" i="1"/>
  <c r="AH65" i="1" s="1"/>
  <c r="AI65" i="1" s="1"/>
  <c r="V65" i="1"/>
  <c r="AF584" i="1"/>
  <c r="AH584" i="1" s="1"/>
  <c r="AI584" i="1" s="1"/>
  <c r="V584" i="1"/>
  <c r="AF12" i="1"/>
  <c r="AH12" i="1" s="1"/>
  <c r="AI12" i="1" s="1"/>
  <c r="V12" i="1"/>
  <c r="AF31" i="1"/>
  <c r="AH31" i="1" s="1"/>
  <c r="AI31" i="1" s="1"/>
  <c r="V31" i="1"/>
  <c r="AF362" i="1"/>
  <c r="AH362" i="1" s="1"/>
  <c r="AI362" i="1" s="1"/>
  <c r="V362" i="1"/>
  <c r="AF306" i="1"/>
  <c r="AH306" i="1" s="1"/>
  <c r="AI306" i="1" s="1"/>
  <c r="V306" i="1"/>
  <c r="AF530" i="1"/>
  <c r="AH530" i="1" s="1"/>
  <c r="AI530" i="1" s="1"/>
  <c r="V530" i="1"/>
  <c r="AF597" i="1"/>
  <c r="AH597" i="1" s="1"/>
  <c r="AI597" i="1" s="1"/>
  <c r="V597" i="1"/>
  <c r="AF310" i="1"/>
  <c r="AH310" i="1" s="1"/>
  <c r="AI310" i="1" s="1"/>
  <c r="V310" i="1"/>
  <c r="AF460" i="1"/>
  <c r="AH460" i="1" s="1"/>
  <c r="AI460" i="1" s="1"/>
  <c r="V460" i="1"/>
  <c r="AF445" i="1"/>
  <c r="AH445" i="1" s="1"/>
  <c r="AI445" i="1" s="1"/>
  <c r="V445" i="1"/>
  <c r="AF608" i="1"/>
  <c r="AH608" i="1" s="1"/>
  <c r="AI608" i="1" s="1"/>
  <c r="V608" i="1"/>
  <c r="AF622" i="1"/>
  <c r="AH622" i="1" s="1"/>
  <c r="AI622" i="1" s="1"/>
  <c r="V622" i="1"/>
  <c r="AF527" i="1"/>
  <c r="AH527" i="1" s="1"/>
  <c r="AI527" i="1" s="1"/>
  <c r="V527" i="1"/>
  <c r="AF452" i="1"/>
  <c r="AH452" i="1" s="1"/>
  <c r="AI452" i="1" s="1"/>
  <c r="V452" i="1"/>
  <c r="AF34" i="1"/>
  <c r="AH34" i="1" s="1"/>
  <c r="AI34" i="1" s="1"/>
  <c r="V34" i="1"/>
  <c r="AF41" i="1"/>
  <c r="AH41" i="1" s="1"/>
  <c r="AI41" i="1" s="1"/>
  <c r="V41" i="1"/>
  <c r="AF464" i="1"/>
  <c r="AH464" i="1" s="1"/>
  <c r="AI464" i="1" s="1"/>
  <c r="V464" i="1"/>
  <c r="AF476" i="1"/>
  <c r="AH476" i="1" s="1"/>
  <c r="V476" i="1"/>
  <c r="AF409" i="1"/>
  <c r="AH409" i="1" s="1"/>
  <c r="AI409" i="1" s="1"/>
  <c r="V409" i="1"/>
  <c r="AF137" i="1"/>
  <c r="AH137" i="1" s="1"/>
  <c r="AI137" i="1" s="1"/>
  <c r="V137" i="1"/>
  <c r="AF364" i="1"/>
  <c r="AH364" i="1" s="1"/>
  <c r="AI364" i="1" s="1"/>
  <c r="V364" i="1"/>
  <c r="AF413" i="1"/>
  <c r="AH413" i="1" s="1"/>
  <c r="V413" i="1"/>
  <c r="AF591" i="1"/>
  <c r="AH591" i="1" s="1"/>
  <c r="V591" i="1"/>
  <c r="AF620" i="1"/>
  <c r="AH620" i="1" s="1"/>
  <c r="AI620" i="1" s="1"/>
  <c r="V620" i="1"/>
  <c r="AF246" i="1"/>
  <c r="AH246" i="1" s="1"/>
  <c r="AI246" i="1" s="1"/>
  <c r="V246" i="1"/>
  <c r="AF209" i="1"/>
  <c r="AH209" i="1" s="1"/>
  <c r="V209" i="1"/>
  <c r="AF92" i="1"/>
  <c r="AH92" i="1" s="1"/>
  <c r="AI92" i="1" s="1"/>
  <c r="V92" i="1"/>
  <c r="AF561" i="1"/>
  <c r="AH561" i="1" s="1"/>
  <c r="AI561" i="1" s="1"/>
  <c r="V561" i="1"/>
  <c r="AF428" i="1"/>
  <c r="AH428" i="1" s="1"/>
  <c r="V428" i="1"/>
  <c r="AF5" i="1"/>
  <c r="AH5" i="1" s="1"/>
  <c r="AI5" i="1" s="1"/>
  <c r="V5" i="1"/>
  <c r="AF606" i="1"/>
  <c r="AH606" i="1" s="1"/>
  <c r="AI606" i="1" s="1"/>
  <c r="V606" i="1"/>
  <c r="AF522" i="1"/>
  <c r="AH522" i="1" s="1"/>
  <c r="AI522" i="1" s="1"/>
  <c r="V522" i="1"/>
  <c r="AF447" i="1"/>
  <c r="AH447" i="1" s="1"/>
  <c r="AI447" i="1" s="1"/>
  <c r="V447" i="1"/>
  <c r="AF114" i="1"/>
  <c r="AH114" i="1" s="1"/>
  <c r="AI114" i="1" s="1"/>
  <c r="V114" i="1"/>
  <c r="AF384" i="1"/>
  <c r="AH384" i="1" s="1"/>
  <c r="AI384" i="1" s="1"/>
  <c r="V384" i="1"/>
  <c r="AF431" i="1"/>
  <c r="AH431" i="1" s="1"/>
  <c r="AI431" i="1" s="1"/>
  <c r="V431" i="1"/>
  <c r="F351" i="1"/>
  <c r="F540" i="1"/>
  <c r="F67" i="1"/>
  <c r="F336" i="1"/>
  <c r="F310" i="1"/>
  <c r="F527" i="1"/>
  <c r="F8" i="1"/>
  <c r="F101" i="1"/>
  <c r="F15" i="1"/>
  <c r="V81" i="1"/>
  <c r="V70" i="1"/>
  <c r="V317" i="1"/>
  <c r="V595" i="1"/>
  <c r="V478" i="1"/>
  <c r="V626" i="1"/>
  <c r="V442" i="1"/>
  <c r="V563" i="1"/>
  <c r="V83" i="1"/>
  <c r="V203" i="1"/>
  <c r="V532" i="1"/>
  <c r="V304" i="1"/>
  <c r="V334" i="1"/>
  <c r="V147" i="1"/>
  <c r="V549" i="1"/>
  <c r="V290" i="1"/>
  <c r="V587" i="1"/>
  <c r="V577" i="1"/>
  <c r="V247" i="1"/>
  <c r="V260" i="1"/>
  <c r="V574" i="1"/>
  <c r="V50" i="1"/>
  <c r="V298" i="1"/>
  <c r="V252" i="1"/>
  <c r="V192" i="1"/>
  <c r="V579" i="1"/>
  <c r="V495" i="1"/>
  <c r="V294" i="1"/>
  <c r="V94" i="1"/>
  <c r="V164" i="1"/>
  <c r="V45" i="1"/>
  <c r="V178" i="1"/>
  <c r="V457" i="1"/>
  <c r="V415" i="1"/>
  <c r="V335" i="1"/>
  <c r="AF315" i="1"/>
  <c r="AH315" i="1" s="1"/>
  <c r="AI315" i="1" s="1"/>
  <c r="V315" i="1"/>
  <c r="AF85" i="1"/>
  <c r="AH85" i="1" s="1"/>
  <c r="AI85" i="1" s="1"/>
  <c r="V85" i="1"/>
  <c r="AF614" i="1"/>
  <c r="AH614" i="1" s="1"/>
  <c r="AI614" i="1" s="1"/>
  <c r="V614" i="1"/>
  <c r="AF119" i="1"/>
  <c r="AH119" i="1" s="1"/>
  <c r="AI119" i="1" s="1"/>
  <c r="V119" i="1"/>
  <c r="AF562" i="1"/>
  <c r="AH562" i="1" s="1"/>
  <c r="AI562" i="1" s="1"/>
  <c r="V562" i="1"/>
  <c r="AF7" i="1"/>
  <c r="AH7" i="1" s="1"/>
  <c r="AI7" i="1" s="1"/>
  <c r="V7" i="1"/>
  <c r="AF482" i="1"/>
  <c r="AH482" i="1" s="1"/>
  <c r="AI482" i="1" s="1"/>
  <c r="V482" i="1"/>
  <c r="AF212" i="1"/>
  <c r="AH212" i="1" s="1"/>
  <c r="AI212" i="1" s="1"/>
  <c r="V212" i="1"/>
  <c r="AF194" i="1"/>
  <c r="AH194" i="1" s="1"/>
  <c r="AI194" i="1" s="1"/>
  <c r="V194" i="1"/>
  <c r="AF76" i="1"/>
  <c r="AH76" i="1" s="1"/>
  <c r="AI76" i="1" s="1"/>
  <c r="V76" i="1"/>
  <c r="AF410" i="1"/>
  <c r="AH410" i="1" s="1"/>
  <c r="AI410" i="1" s="1"/>
  <c r="V410" i="1"/>
  <c r="AF468" i="1"/>
  <c r="AH468" i="1" s="1"/>
  <c r="AI468" i="1" s="1"/>
  <c r="V468" i="1"/>
  <c r="AF465" i="1"/>
  <c r="AH465" i="1" s="1"/>
  <c r="AI465" i="1" s="1"/>
  <c r="V465" i="1"/>
  <c r="AF541" i="1"/>
  <c r="AH541" i="1" s="1"/>
  <c r="AI541" i="1" s="1"/>
  <c r="V541" i="1"/>
  <c r="AF361" i="1"/>
  <c r="AH361" i="1" s="1"/>
  <c r="AI361" i="1" s="1"/>
  <c r="V361" i="1"/>
  <c r="AF218" i="1"/>
  <c r="AH218" i="1" s="1"/>
  <c r="AI218" i="1" s="1"/>
  <c r="V218" i="1"/>
  <c r="AF248" i="1"/>
  <c r="AH248" i="1" s="1"/>
  <c r="AI248" i="1" s="1"/>
  <c r="V248" i="1"/>
  <c r="AF38" i="1"/>
  <c r="AH38" i="1" s="1"/>
  <c r="AI38" i="1" s="1"/>
  <c r="V38" i="1"/>
  <c r="AF564" i="1"/>
  <c r="AH564" i="1" s="1"/>
  <c r="AI564" i="1" s="1"/>
  <c r="V564" i="1"/>
  <c r="AF604" i="1"/>
  <c r="AH604" i="1" s="1"/>
  <c r="AI604" i="1" s="1"/>
  <c r="V604" i="1"/>
  <c r="AF204" i="1"/>
  <c r="AH204" i="1" s="1"/>
  <c r="AI204" i="1" s="1"/>
  <c r="V204" i="1"/>
  <c r="AF382" i="1"/>
  <c r="AH382" i="1" s="1"/>
  <c r="AI382" i="1" s="1"/>
  <c r="V382" i="1"/>
  <c r="AF87" i="1"/>
  <c r="AH87" i="1" s="1"/>
  <c r="AI87" i="1" s="1"/>
  <c r="V87" i="1"/>
  <c r="AF297" i="1"/>
  <c r="AH297" i="1" s="1"/>
  <c r="AI297" i="1" s="1"/>
  <c r="V297" i="1"/>
  <c r="AF618" i="1"/>
  <c r="AH618" i="1" s="1"/>
  <c r="AI618" i="1" s="1"/>
  <c r="V618" i="1"/>
  <c r="AF224" i="1"/>
  <c r="AH224" i="1" s="1"/>
  <c r="AI224" i="1" s="1"/>
  <c r="V224" i="1"/>
  <c r="AF120" i="1"/>
  <c r="AH120" i="1" s="1"/>
  <c r="AI120" i="1" s="1"/>
  <c r="V120" i="1"/>
  <c r="AF121" i="1"/>
  <c r="AH121" i="1" s="1"/>
  <c r="AI121" i="1" s="1"/>
  <c r="V121" i="1"/>
  <c r="AF228" i="1"/>
  <c r="AH228" i="1" s="1"/>
  <c r="AI228" i="1" s="1"/>
  <c r="V228" i="1"/>
  <c r="AF470" i="1"/>
  <c r="AH470" i="1" s="1"/>
  <c r="AI470" i="1" s="1"/>
  <c r="V470" i="1"/>
  <c r="AF152" i="1"/>
  <c r="AH152" i="1" s="1"/>
  <c r="AI152" i="1" s="1"/>
  <c r="V152" i="1"/>
  <c r="AF139" i="1"/>
  <c r="AH139" i="1" s="1"/>
  <c r="AI139" i="1" s="1"/>
  <c r="V139" i="1"/>
  <c r="AF525" i="1"/>
  <c r="AH525" i="1" s="1"/>
  <c r="AI525" i="1" s="1"/>
  <c r="V525" i="1"/>
  <c r="AF531" i="1"/>
  <c r="AH531" i="1" s="1"/>
  <c r="AI531" i="1" s="1"/>
  <c r="V531" i="1"/>
  <c r="AF49" i="1"/>
  <c r="AH49" i="1" s="1"/>
  <c r="AI49" i="1" s="1"/>
  <c r="V49" i="1"/>
  <c r="AF78" i="1"/>
  <c r="AH78" i="1" s="1"/>
  <c r="AI78" i="1" s="1"/>
  <c r="V78" i="1"/>
  <c r="AF369" i="1"/>
  <c r="AH369" i="1" s="1"/>
  <c r="AI369" i="1" s="1"/>
  <c r="V369" i="1"/>
  <c r="AF414" i="1"/>
  <c r="AH414" i="1" s="1"/>
  <c r="AI414" i="1" s="1"/>
  <c r="V414" i="1"/>
  <c r="AF402" i="1"/>
  <c r="AH402" i="1" s="1"/>
  <c r="AI402" i="1" s="1"/>
  <c r="V402" i="1"/>
  <c r="AF268" i="1"/>
  <c r="AH268" i="1" s="1"/>
  <c r="AI268" i="1" s="1"/>
  <c r="V268" i="1"/>
  <c r="AF418" i="1"/>
  <c r="AH418" i="1" s="1"/>
  <c r="AI418" i="1" s="1"/>
  <c r="V418" i="1"/>
  <c r="AF266" i="1"/>
  <c r="AH266" i="1" s="1"/>
  <c r="AI266" i="1" s="1"/>
  <c r="V266" i="1"/>
  <c r="AF107" i="1"/>
  <c r="AH107" i="1" s="1"/>
  <c r="AI107" i="1" s="1"/>
  <c r="V107" i="1"/>
  <c r="AF293" i="1"/>
  <c r="AH293" i="1" s="1"/>
  <c r="AI293" i="1" s="1"/>
  <c r="V293" i="1"/>
  <c r="AF17" i="1"/>
  <c r="AH17" i="1" s="1"/>
  <c r="AI17" i="1" s="1"/>
  <c r="V17" i="1"/>
  <c r="AF550" i="1"/>
  <c r="AH550" i="1" s="1"/>
  <c r="AI550" i="1" s="1"/>
  <c r="V550" i="1"/>
  <c r="AF32" i="1"/>
  <c r="AH32" i="1" s="1"/>
  <c r="AI32" i="1" s="1"/>
  <c r="V32" i="1"/>
  <c r="AF126" i="1"/>
  <c r="AH126" i="1" s="1"/>
  <c r="AI126" i="1" s="1"/>
  <c r="V126" i="1"/>
  <c r="AF59" i="1"/>
  <c r="AH59" i="1" s="1"/>
  <c r="AI59" i="1" s="1"/>
  <c r="V59" i="1"/>
  <c r="AF461" i="1"/>
  <c r="AH461" i="1" s="1"/>
  <c r="AI461" i="1" s="1"/>
  <c r="V461" i="1"/>
  <c r="AF557" i="1"/>
  <c r="AH557" i="1" s="1"/>
  <c r="AI557" i="1" s="1"/>
  <c r="V557" i="1"/>
  <c r="AF521" i="1"/>
  <c r="AH521" i="1" s="1"/>
  <c r="AI521" i="1" s="1"/>
  <c r="V521" i="1"/>
  <c r="AF433" i="1"/>
  <c r="AH433" i="1" s="1"/>
  <c r="AI433" i="1" s="1"/>
  <c r="V433" i="1"/>
  <c r="AF30" i="1"/>
  <c r="AH30" i="1" s="1"/>
  <c r="AI30" i="1" s="1"/>
  <c r="V30" i="1"/>
  <c r="AF534" i="1"/>
  <c r="AH534" i="1" s="1"/>
  <c r="AI534" i="1" s="1"/>
  <c r="V534" i="1"/>
  <c r="AF617" i="1"/>
  <c r="AH617" i="1" s="1"/>
  <c r="AI617" i="1" s="1"/>
  <c r="V617" i="1"/>
  <c r="AF318" i="1"/>
  <c r="AH318" i="1" s="1"/>
  <c r="AI318" i="1" s="1"/>
  <c r="V318" i="1"/>
  <c r="AF64" i="1"/>
  <c r="AH64" i="1" s="1"/>
  <c r="AI64" i="1" s="1"/>
  <c r="V64" i="1"/>
  <c r="AF66" i="1"/>
  <c r="AH66" i="1" s="1"/>
  <c r="AI66" i="1" s="1"/>
  <c r="V66" i="1"/>
  <c r="AF403" i="1"/>
  <c r="AH403" i="1" s="1"/>
  <c r="AI403" i="1" s="1"/>
  <c r="V403" i="1"/>
  <c r="AF388" i="1"/>
  <c r="AH388" i="1" s="1"/>
  <c r="AI388" i="1" s="1"/>
  <c r="V388" i="1"/>
  <c r="AF611" i="1"/>
  <c r="AH611" i="1" s="1"/>
  <c r="AI611" i="1" s="1"/>
  <c r="V611" i="1"/>
  <c r="AF474" i="1"/>
  <c r="AH474" i="1" s="1"/>
  <c r="AI474" i="1" s="1"/>
  <c r="V474" i="1"/>
  <c r="AF408" i="1"/>
  <c r="AH408" i="1" s="1"/>
  <c r="AI408" i="1" s="1"/>
  <c r="V408" i="1"/>
  <c r="AF503" i="1"/>
  <c r="AH503" i="1" s="1"/>
  <c r="AI503" i="1" s="1"/>
  <c r="V503" i="1"/>
  <c r="AF349" i="1"/>
  <c r="AH349" i="1" s="1"/>
  <c r="AI349" i="1" s="1"/>
  <c r="V349" i="1"/>
  <c r="AF52" i="1"/>
  <c r="AH52" i="1" s="1"/>
  <c r="AI52" i="1" s="1"/>
  <c r="V52" i="1"/>
  <c r="AF26" i="1"/>
  <c r="AH26" i="1" s="1"/>
  <c r="AI26" i="1" s="1"/>
  <c r="V26" i="1"/>
  <c r="AF211" i="1"/>
  <c r="AH211" i="1" s="1"/>
  <c r="AI211" i="1" s="1"/>
  <c r="V211" i="1"/>
  <c r="AF174" i="1"/>
  <c r="AH174" i="1" s="1"/>
  <c r="AI174" i="1" s="1"/>
  <c r="V174" i="1"/>
  <c r="AF151" i="1"/>
  <c r="AH151" i="1" s="1"/>
  <c r="AI151" i="1" s="1"/>
  <c r="V151" i="1"/>
  <c r="AF569" i="1"/>
  <c r="AH569" i="1" s="1"/>
  <c r="AI569" i="1" s="1"/>
  <c r="V569" i="1"/>
  <c r="AF405" i="1"/>
  <c r="AH405" i="1" s="1"/>
  <c r="AI405" i="1" s="1"/>
  <c r="V405" i="1"/>
  <c r="AF523" i="1"/>
  <c r="AH523" i="1" s="1"/>
  <c r="AI523" i="1" s="1"/>
  <c r="V523" i="1"/>
  <c r="AF159" i="1"/>
  <c r="AH159" i="1" s="1"/>
  <c r="V159" i="1"/>
  <c r="AF170" i="1"/>
  <c r="AH170" i="1" s="1"/>
  <c r="AI170" i="1" s="1"/>
  <c r="V170" i="1"/>
  <c r="AF239" i="1"/>
  <c r="AH239" i="1" s="1"/>
  <c r="AI239" i="1" s="1"/>
  <c r="V239" i="1"/>
  <c r="AF48" i="1"/>
  <c r="AH48" i="1" s="1"/>
  <c r="AI48" i="1" s="1"/>
  <c r="V48" i="1"/>
  <c r="AF363" i="1"/>
  <c r="AH363" i="1" s="1"/>
  <c r="AI363" i="1" s="1"/>
  <c r="V363" i="1"/>
  <c r="AF213" i="1"/>
  <c r="AH213" i="1" s="1"/>
  <c r="AI213" i="1" s="1"/>
  <c r="V213" i="1"/>
  <c r="AF134" i="1"/>
  <c r="AH134" i="1" s="1"/>
  <c r="AI134" i="1" s="1"/>
  <c r="V134" i="1"/>
  <c r="AF243" i="1"/>
  <c r="AH243" i="1" s="1"/>
  <c r="AI243" i="1" s="1"/>
  <c r="V243" i="1"/>
  <c r="AF400" i="1"/>
  <c r="AH400" i="1" s="1"/>
  <c r="AI400" i="1" s="1"/>
  <c r="V400" i="1"/>
  <c r="AF208" i="1"/>
  <c r="AH208" i="1" s="1"/>
  <c r="AI208" i="1" s="1"/>
  <c r="V208" i="1"/>
  <c r="AF242" i="1"/>
  <c r="AH242" i="1" s="1"/>
  <c r="AI242" i="1" s="1"/>
  <c r="V242" i="1"/>
  <c r="AF71" i="1"/>
  <c r="AH71" i="1" s="1"/>
  <c r="AI71" i="1" s="1"/>
  <c r="V71" i="1"/>
  <c r="AF125" i="1"/>
  <c r="AH125" i="1" s="1"/>
  <c r="AI125" i="1" s="1"/>
  <c r="V125" i="1"/>
  <c r="AF633" i="1"/>
  <c r="AH633" i="1" s="1"/>
  <c r="AI633" i="1" s="1"/>
  <c r="V633" i="1"/>
  <c r="AF329" i="1"/>
  <c r="AH329" i="1" s="1"/>
  <c r="AI329" i="1" s="1"/>
  <c r="V329" i="1"/>
  <c r="AF438" i="1"/>
  <c r="AH438" i="1" s="1"/>
  <c r="AI438" i="1" s="1"/>
  <c r="V438" i="1"/>
  <c r="AF365" i="1"/>
  <c r="AH365" i="1" s="1"/>
  <c r="AI365" i="1" s="1"/>
  <c r="V365" i="1"/>
  <c r="AF502" i="1"/>
  <c r="AH502" i="1" s="1"/>
  <c r="AI502" i="1" s="1"/>
  <c r="V502" i="1"/>
  <c r="AF299" i="1"/>
  <c r="AH299" i="1" s="1"/>
  <c r="AI299" i="1" s="1"/>
  <c r="V299" i="1"/>
  <c r="AF4" i="1"/>
  <c r="AH4" i="1" s="1"/>
  <c r="AI4" i="1" s="1"/>
  <c r="V4" i="1"/>
  <c r="AF331" i="1"/>
  <c r="V331" i="1"/>
  <c r="AF573" i="1"/>
  <c r="AH573" i="1" s="1"/>
  <c r="AI573" i="1" s="1"/>
  <c r="V573" i="1"/>
  <c r="AF128" i="1"/>
  <c r="AH128" i="1" s="1"/>
  <c r="AI128" i="1" s="1"/>
  <c r="V128" i="1"/>
  <c r="AF632" i="1"/>
  <c r="AH632" i="1" s="1"/>
  <c r="AI632" i="1" s="1"/>
  <c r="V632" i="1"/>
  <c r="AF596" i="1"/>
  <c r="AH596" i="1" s="1"/>
  <c r="V596" i="1"/>
  <c r="AF93" i="1"/>
  <c r="AH93" i="1" s="1"/>
  <c r="AI93" i="1" s="1"/>
  <c r="V93" i="1"/>
  <c r="AF404" i="1"/>
  <c r="AH404" i="1" s="1"/>
  <c r="AI404" i="1" s="1"/>
  <c r="V404" i="1"/>
  <c r="AF430" i="1"/>
  <c r="AH430" i="1" s="1"/>
  <c r="AI430" i="1" s="1"/>
  <c r="V430" i="1"/>
  <c r="AF21" i="1"/>
  <c r="AH21" i="1" s="1"/>
  <c r="AI21" i="1" s="1"/>
  <c r="V21" i="1"/>
  <c r="AF135" i="1"/>
  <c r="AH135" i="1" s="1"/>
  <c r="AI135" i="1" s="1"/>
  <c r="V135" i="1"/>
  <c r="AF312" i="1"/>
  <c r="AH312" i="1" s="1"/>
  <c r="AI312" i="1" s="1"/>
  <c r="V312" i="1"/>
  <c r="AF73" i="1"/>
  <c r="AH73" i="1" s="1"/>
  <c r="AI73" i="1" s="1"/>
  <c r="V73" i="1"/>
  <c r="AF343" i="1"/>
  <c r="AH343" i="1" s="1"/>
  <c r="AI343" i="1" s="1"/>
  <c r="V343" i="1"/>
  <c r="AF97" i="1"/>
  <c r="AH97" i="1" s="1"/>
  <c r="AI97" i="1" s="1"/>
  <c r="V97" i="1"/>
  <c r="AF53" i="1"/>
  <c r="AH53" i="1" s="1"/>
  <c r="AI53" i="1" s="1"/>
  <c r="V53" i="1"/>
  <c r="AF115" i="1"/>
  <c r="AH115" i="1" s="1"/>
  <c r="AI115" i="1" s="1"/>
  <c r="V115" i="1"/>
  <c r="AF560" i="1"/>
  <c r="AH560" i="1" s="1"/>
  <c r="AI560" i="1" s="1"/>
  <c r="V560" i="1"/>
  <c r="AF270" i="1"/>
  <c r="AH270" i="1" s="1"/>
  <c r="AI270" i="1" s="1"/>
  <c r="V270" i="1"/>
  <c r="AF501" i="1"/>
  <c r="AH501" i="1" s="1"/>
  <c r="AI501" i="1" s="1"/>
  <c r="V501" i="1"/>
  <c r="AF348" i="1"/>
  <c r="AH348" i="1" s="1"/>
  <c r="AI348" i="1" s="1"/>
  <c r="V348" i="1"/>
  <c r="V558" i="1"/>
  <c r="AF27" i="1"/>
  <c r="AH27" i="1" s="1"/>
  <c r="AI27" i="1" s="1"/>
  <c r="V27" i="1"/>
  <c r="AF282" i="1"/>
  <c r="AH282" i="1" s="1"/>
  <c r="AI282" i="1" s="1"/>
  <c r="V282" i="1"/>
  <c r="AF111" i="1"/>
  <c r="AH111" i="1" s="1"/>
  <c r="AI111" i="1" s="1"/>
  <c r="V111" i="1"/>
  <c r="AF386" i="1"/>
  <c r="AH386" i="1" s="1"/>
  <c r="V386" i="1"/>
  <c r="AF283" i="1"/>
  <c r="AH283" i="1" s="1"/>
  <c r="AI283" i="1" s="1"/>
  <c r="V283" i="1"/>
  <c r="AF46" i="1"/>
  <c r="AH46" i="1" s="1"/>
  <c r="AI46" i="1" s="1"/>
  <c r="V46" i="1"/>
  <c r="AF619" i="1"/>
  <c r="AH619" i="1" s="1"/>
  <c r="AI619" i="1" s="1"/>
  <c r="V619" i="1"/>
  <c r="AF57" i="1"/>
  <c r="AH57" i="1" s="1"/>
  <c r="AI57" i="1" s="1"/>
  <c r="V57" i="1"/>
  <c r="AF483" i="1"/>
  <c r="AH483" i="1" s="1"/>
  <c r="AI483" i="1" s="1"/>
  <c r="V483" i="1"/>
  <c r="AF177" i="1"/>
  <c r="AH177" i="1" s="1"/>
  <c r="AI177" i="1" s="1"/>
  <c r="V177" i="1"/>
  <c r="AF273" i="1"/>
  <c r="AH273" i="1" s="1"/>
  <c r="AI273" i="1" s="1"/>
  <c r="V273" i="1"/>
  <c r="AF22" i="1"/>
  <c r="AH22" i="1" s="1"/>
  <c r="AI22" i="1" s="1"/>
  <c r="V22" i="1"/>
  <c r="AF322" i="1"/>
  <c r="AH322" i="1" s="1"/>
  <c r="AI322" i="1" s="1"/>
  <c r="V322" i="1"/>
  <c r="AF325" i="1"/>
  <c r="AH325" i="1" s="1"/>
  <c r="AI325" i="1" s="1"/>
  <c r="V325" i="1"/>
  <c r="AF529" i="1"/>
  <c r="AH529" i="1" s="1"/>
  <c r="AI529" i="1" s="1"/>
  <c r="V529" i="1"/>
  <c r="AF305" i="1"/>
  <c r="AH305" i="1" s="1"/>
  <c r="AI305" i="1" s="1"/>
  <c r="V305" i="1"/>
  <c r="AF267" i="1"/>
  <c r="V267" i="1"/>
  <c r="AF336" i="1"/>
  <c r="AH336" i="1" s="1"/>
  <c r="AI336" i="1" s="1"/>
  <c r="V336" i="1"/>
  <c r="AF326" i="1"/>
  <c r="AH326" i="1" s="1"/>
  <c r="AI326" i="1" s="1"/>
  <c r="V326" i="1"/>
  <c r="AF191" i="1"/>
  <c r="AH191" i="1" s="1"/>
  <c r="AI191" i="1" s="1"/>
  <c r="V191" i="1"/>
  <c r="AF437" i="1"/>
  <c r="AH437" i="1" s="1"/>
  <c r="AI437" i="1" s="1"/>
  <c r="V437" i="1"/>
  <c r="AF588" i="1"/>
  <c r="AH588" i="1" s="1"/>
  <c r="AI588" i="1" s="1"/>
  <c r="V588" i="1"/>
  <c r="AF454" i="1"/>
  <c r="AH454" i="1" s="1"/>
  <c r="AI454" i="1" s="1"/>
  <c r="V454" i="1"/>
  <c r="AF225" i="1"/>
  <c r="AH225" i="1" s="1"/>
  <c r="V225" i="1"/>
  <c r="AF296" i="1"/>
  <c r="AH296" i="1" s="1"/>
  <c r="AI296" i="1" s="1"/>
  <c r="V296" i="1"/>
  <c r="AF598" i="1"/>
  <c r="AH598" i="1" s="1"/>
  <c r="AI598" i="1" s="1"/>
  <c r="V598" i="1"/>
  <c r="AF359" i="1"/>
  <c r="AH359" i="1" s="1"/>
  <c r="AI359" i="1" s="1"/>
  <c r="V359" i="1"/>
  <c r="AF280" i="1"/>
  <c r="AH280" i="1" s="1"/>
  <c r="V280" i="1"/>
  <c r="AF253" i="1"/>
  <c r="AH253" i="1" s="1"/>
  <c r="V253" i="1"/>
  <c r="AF251" i="1"/>
  <c r="AH251" i="1" s="1"/>
  <c r="AI251" i="1" s="1"/>
  <c r="V251" i="1"/>
  <c r="AF167" i="1"/>
  <c r="AH167" i="1" s="1"/>
  <c r="V167" i="1"/>
  <c r="AF526" i="1"/>
  <c r="AH526" i="1" s="1"/>
  <c r="AI526" i="1" s="1"/>
  <c r="V526" i="1"/>
  <c r="AF172" i="1"/>
  <c r="AH172" i="1" s="1"/>
  <c r="AI172" i="1" s="1"/>
  <c r="V172" i="1"/>
  <c r="AF205" i="1"/>
  <c r="AH205" i="1" s="1"/>
  <c r="AI205" i="1" s="1"/>
  <c r="V205" i="1"/>
  <c r="AF215" i="1"/>
  <c r="AH215" i="1" s="1"/>
  <c r="AI215" i="1" s="1"/>
  <c r="V215" i="1"/>
  <c r="AF23" i="1"/>
  <c r="AH23" i="1" s="1"/>
  <c r="V23" i="1"/>
  <c r="AF62" i="1"/>
  <c r="AH62" i="1" s="1"/>
  <c r="AI62" i="1" s="1"/>
  <c r="V62" i="1"/>
  <c r="AF469" i="1"/>
  <c r="AH469" i="1" s="1"/>
  <c r="AI469" i="1" s="1"/>
  <c r="V469" i="1"/>
  <c r="AF436" i="1"/>
  <c r="AH436" i="1" s="1"/>
  <c r="AI436" i="1" s="1"/>
  <c r="V436" i="1"/>
  <c r="AF8" i="1"/>
  <c r="AH8" i="1" s="1"/>
  <c r="AI8" i="1" s="1"/>
  <c r="V8" i="1"/>
  <c r="AF217" i="1"/>
  <c r="AH217" i="1" s="1"/>
  <c r="AI217" i="1" s="1"/>
  <c r="V217" i="1"/>
  <c r="AF148" i="1"/>
  <c r="AH148" i="1" s="1"/>
  <c r="AI148" i="1" s="1"/>
  <c r="V148" i="1"/>
  <c r="AF338" i="1"/>
  <c r="AH338" i="1" s="1"/>
  <c r="AI338" i="1" s="1"/>
  <c r="V338" i="1"/>
  <c r="AF295" i="1"/>
  <c r="AH295" i="1" s="1"/>
  <c r="AI295" i="1" s="1"/>
  <c r="V295" i="1"/>
  <c r="AF565" i="1"/>
  <c r="AH565" i="1" s="1"/>
  <c r="V565" i="1"/>
  <c r="AF201" i="1"/>
  <c r="AH201" i="1" s="1"/>
  <c r="AI201" i="1" s="1"/>
  <c r="V201" i="1"/>
  <c r="AF261" i="1"/>
  <c r="AH261" i="1" s="1"/>
  <c r="AI261" i="1" s="1"/>
  <c r="V261" i="1"/>
  <c r="AF101" i="1"/>
  <c r="AH101" i="1" s="1"/>
  <c r="AI101" i="1" s="1"/>
  <c r="V101" i="1"/>
  <c r="AF505" i="1"/>
  <c r="AH505" i="1" s="1"/>
  <c r="AI505" i="1" s="1"/>
  <c r="V505" i="1"/>
  <c r="AF109" i="1"/>
  <c r="AH109" i="1" s="1"/>
  <c r="AI109" i="1" s="1"/>
  <c r="V109" i="1"/>
  <c r="AF222" i="1"/>
  <c r="AH222" i="1" s="1"/>
  <c r="AI222" i="1" s="1"/>
  <c r="V222" i="1"/>
  <c r="AF623" i="1"/>
  <c r="AH623" i="1" s="1"/>
  <c r="AI623" i="1" s="1"/>
  <c r="V623" i="1"/>
  <c r="AF498" i="1"/>
  <c r="AH498" i="1" s="1"/>
  <c r="AI498" i="1" s="1"/>
  <c r="V498" i="1"/>
  <c r="AF507" i="1"/>
  <c r="AH507" i="1" s="1"/>
  <c r="AI507" i="1" s="1"/>
  <c r="V507" i="1"/>
  <c r="AF319" i="1"/>
  <c r="AH319" i="1" s="1"/>
  <c r="AI319" i="1" s="1"/>
  <c r="V319" i="1"/>
  <c r="AF475" i="1"/>
  <c r="AH475" i="1" s="1"/>
  <c r="AI475" i="1" s="1"/>
  <c r="V475" i="1"/>
  <c r="AF35" i="1"/>
  <c r="AH35" i="1" s="1"/>
  <c r="AI35" i="1" s="1"/>
  <c r="V35" i="1"/>
  <c r="AF15" i="1"/>
  <c r="V15" i="1"/>
  <c r="AF441" i="1"/>
  <c r="AH441" i="1" s="1"/>
  <c r="V441" i="1"/>
  <c r="AF394" i="1"/>
  <c r="AH394" i="1" s="1"/>
  <c r="AI394" i="1" s="1"/>
  <c r="V394" i="1"/>
  <c r="AF105" i="1"/>
  <c r="AH105" i="1" s="1"/>
  <c r="AI105" i="1" s="1"/>
  <c r="V105" i="1"/>
  <c r="AF279" i="1"/>
  <c r="AH279" i="1" s="1"/>
  <c r="AI279" i="1" s="1"/>
  <c r="V279" i="1"/>
  <c r="AF132" i="1"/>
  <c r="AH132" i="1" s="1"/>
  <c r="V132" i="1"/>
  <c r="AF613" i="1"/>
  <c r="AH613" i="1" s="1"/>
  <c r="AI613" i="1" s="1"/>
  <c r="V613" i="1"/>
  <c r="AF398" i="1"/>
  <c r="AH398" i="1" s="1"/>
  <c r="AI398" i="1" s="1"/>
  <c r="V398" i="1"/>
  <c r="AF173" i="1"/>
  <c r="AH173" i="1" s="1"/>
  <c r="AI173" i="1" s="1"/>
  <c r="V173" i="1"/>
  <c r="AF321" i="1"/>
  <c r="AH321" i="1" s="1"/>
  <c r="AI321" i="1" s="1"/>
  <c r="V321" i="1"/>
  <c r="AF63" i="1"/>
  <c r="AH63" i="1" s="1"/>
  <c r="V63" i="1"/>
  <c r="AF439" i="1"/>
  <c r="AH439" i="1" s="1"/>
  <c r="AI439" i="1" s="1"/>
  <c r="V439" i="1"/>
  <c r="AF481" i="1"/>
  <c r="AH481" i="1" s="1"/>
  <c r="AI481" i="1" s="1"/>
  <c r="V481" i="1"/>
  <c r="AF314" i="1"/>
  <c r="AH314" i="1" s="1"/>
  <c r="AI314" i="1" s="1"/>
  <c r="V314" i="1"/>
  <c r="AF593" i="1"/>
  <c r="AH593" i="1" s="1"/>
  <c r="AI593" i="1" s="1"/>
  <c r="V593" i="1"/>
  <c r="AF508" i="1"/>
  <c r="AH508" i="1" s="1"/>
  <c r="AI508" i="1" s="1"/>
  <c r="V508" i="1"/>
  <c r="AF112" i="1"/>
  <c r="AH112" i="1" s="1"/>
  <c r="AI112" i="1" s="1"/>
  <c r="V112" i="1"/>
  <c r="AF89" i="1"/>
  <c r="AH89" i="1" s="1"/>
  <c r="AI89" i="1" s="1"/>
  <c r="V89" i="1"/>
  <c r="AF262" i="1"/>
  <c r="AH262" i="1" s="1"/>
  <c r="AI262" i="1" s="1"/>
  <c r="V262" i="1"/>
  <c r="AF446" i="1"/>
  <c r="AH446" i="1" s="1"/>
  <c r="AI446" i="1" s="1"/>
  <c r="V446" i="1"/>
  <c r="AF570" i="1"/>
  <c r="AH570" i="1" s="1"/>
  <c r="V570" i="1"/>
  <c r="AF492" i="1"/>
  <c r="AH492" i="1" s="1"/>
  <c r="AI492" i="1" s="1"/>
  <c r="V492" i="1"/>
  <c r="AF493" i="1"/>
  <c r="AH493" i="1" s="1"/>
  <c r="AI493" i="1" s="1"/>
  <c r="V493" i="1"/>
  <c r="AF241" i="1"/>
  <c r="AH241" i="1" s="1"/>
  <c r="AI241" i="1" s="1"/>
  <c r="V241" i="1"/>
  <c r="AF391" i="1"/>
  <c r="AH391" i="1" s="1"/>
  <c r="AI391" i="1" s="1"/>
  <c r="V391" i="1"/>
  <c r="AF451" i="1"/>
  <c r="AH451" i="1" s="1"/>
  <c r="AI451" i="1" s="1"/>
  <c r="V451" i="1"/>
  <c r="AF190" i="1"/>
  <c r="AH190" i="1" s="1"/>
  <c r="V190" i="1"/>
  <c r="AF96" i="1"/>
  <c r="AH96" i="1" s="1"/>
  <c r="AI96" i="1" s="1"/>
  <c r="V96" i="1"/>
  <c r="AF545" i="1"/>
  <c r="AH545" i="1" s="1"/>
  <c r="AI545" i="1" s="1"/>
  <c r="V545" i="1"/>
  <c r="AF395" i="1"/>
  <c r="AH395" i="1" s="1"/>
  <c r="AI395" i="1" s="1"/>
  <c r="V395" i="1"/>
  <c r="AF58" i="1"/>
  <c r="AH58" i="1" s="1"/>
  <c r="AI58" i="1" s="1"/>
  <c r="V58" i="1"/>
  <c r="AF6" i="1"/>
  <c r="AH6" i="1" s="1"/>
  <c r="AI6" i="1" s="1"/>
  <c r="V6" i="1"/>
  <c r="AF616" i="1"/>
  <c r="AH616" i="1" s="1"/>
  <c r="AI616" i="1" s="1"/>
  <c r="V616" i="1"/>
  <c r="AF207" i="1"/>
  <c r="AH207" i="1" s="1"/>
  <c r="AI207" i="1" s="1"/>
  <c r="V207" i="1"/>
  <c r="AF491" i="1"/>
  <c r="AH491" i="1" s="1"/>
  <c r="AI491" i="1" s="1"/>
  <c r="V491" i="1"/>
  <c r="AF117" i="1"/>
  <c r="AH117" i="1" s="1"/>
  <c r="AI117" i="1" s="1"/>
  <c r="V117" i="1"/>
  <c r="AF162" i="1"/>
  <c r="AH162" i="1" s="1"/>
  <c r="AI162" i="1" s="1"/>
  <c r="V162" i="1"/>
  <c r="AF397" i="1"/>
  <c r="AH397" i="1" s="1"/>
  <c r="AI397" i="1" s="1"/>
  <c r="V397" i="1"/>
  <c r="AF274" i="1"/>
  <c r="AH274" i="1" s="1"/>
  <c r="AI274" i="1" s="1"/>
  <c r="V274" i="1"/>
  <c r="AF160" i="1"/>
  <c r="AH160" i="1" s="1"/>
  <c r="AI160" i="1" s="1"/>
  <c r="V160" i="1"/>
  <c r="AF429" i="1"/>
  <c r="AH429" i="1" s="1"/>
  <c r="AI429" i="1" s="1"/>
  <c r="V429" i="1"/>
  <c r="AF39" i="1"/>
  <c r="AH39" i="1" s="1"/>
  <c r="AI39" i="1" s="1"/>
  <c r="V39" i="1"/>
  <c r="AF515" i="1"/>
  <c r="AH515" i="1" s="1"/>
  <c r="V515" i="1"/>
  <c r="AF138" i="1"/>
  <c r="AH138" i="1" s="1"/>
  <c r="AI138" i="1" s="1"/>
  <c r="V138" i="1"/>
  <c r="AF518" i="1"/>
  <c r="AH518" i="1" s="1"/>
  <c r="AI518" i="1" s="1"/>
  <c r="V518" i="1"/>
  <c r="AF275" i="1"/>
  <c r="AH275" i="1" s="1"/>
  <c r="AI275" i="1" s="1"/>
  <c r="V275" i="1"/>
  <c r="AF20" i="1"/>
  <c r="AH20" i="1" s="1"/>
  <c r="AI20" i="1" s="1"/>
  <c r="V20" i="1"/>
  <c r="AF487" i="1"/>
  <c r="AH487" i="1" s="1"/>
  <c r="AI487" i="1" s="1"/>
  <c r="V487" i="1"/>
  <c r="AF609" i="1"/>
  <c r="AH609" i="1" s="1"/>
  <c r="AI609" i="1" s="1"/>
  <c r="V609" i="1"/>
  <c r="AF497" i="1"/>
  <c r="AH497" i="1" s="1"/>
  <c r="AI497" i="1" s="1"/>
  <c r="V497" i="1"/>
  <c r="AF16" i="1"/>
  <c r="AH16" i="1" s="1"/>
  <c r="AI16" i="1" s="1"/>
  <c r="V16" i="1"/>
  <c r="AF313" i="1"/>
  <c r="AH313" i="1" s="1"/>
  <c r="AI313" i="1" s="1"/>
  <c r="V313" i="1"/>
  <c r="AF466" i="1"/>
  <c r="AH466" i="1" s="1"/>
  <c r="AI466" i="1" s="1"/>
  <c r="V466" i="1"/>
  <c r="AF543" i="1"/>
  <c r="AH543" i="1" s="1"/>
  <c r="AI543" i="1" s="1"/>
  <c r="V543" i="1"/>
  <c r="AF578" i="1"/>
  <c r="AH578" i="1" s="1"/>
  <c r="AI578" i="1" s="1"/>
  <c r="V578" i="1"/>
  <c r="AF130" i="1"/>
  <c r="AH130" i="1" s="1"/>
  <c r="AI130" i="1" s="1"/>
  <c r="V130" i="1"/>
  <c r="AF477" i="1"/>
  <c r="AH477" i="1" s="1"/>
  <c r="AI477" i="1" s="1"/>
  <c r="V477" i="1"/>
  <c r="AF154" i="1"/>
  <c r="AH154" i="1" s="1"/>
  <c r="AI154" i="1" s="1"/>
  <c r="V154" i="1"/>
  <c r="AF28" i="1"/>
  <c r="AH28" i="1" s="1"/>
  <c r="AI28" i="1" s="1"/>
  <c r="V28" i="1"/>
  <c r="AF51" i="1"/>
  <c r="AH51" i="1" s="1"/>
  <c r="AI51" i="1" s="1"/>
  <c r="V51" i="1"/>
  <c r="AF376" i="1"/>
  <c r="AH376" i="1" s="1"/>
  <c r="AI376" i="1" s="1"/>
  <c r="V376" i="1"/>
  <c r="AF300" i="1"/>
  <c r="AH300" i="1" s="1"/>
  <c r="AI300" i="1" s="1"/>
  <c r="V300" i="1"/>
  <c r="AF610" i="1"/>
  <c r="AH610" i="1" s="1"/>
  <c r="AI610" i="1" s="1"/>
  <c r="V610" i="1"/>
  <c r="AF103" i="1"/>
  <c r="AH103" i="1" s="1"/>
  <c r="AI103" i="1" s="1"/>
  <c r="V103" i="1"/>
  <c r="AF416" i="1"/>
  <c r="AH416" i="1" s="1"/>
  <c r="AI416" i="1" s="1"/>
  <c r="V416" i="1"/>
  <c r="AF427" i="1"/>
  <c r="AH427" i="1" s="1"/>
  <c r="AI427" i="1" s="1"/>
  <c r="V427" i="1"/>
  <c r="AF426" i="1"/>
  <c r="AH426" i="1" s="1"/>
  <c r="AI426" i="1" s="1"/>
  <c r="V426" i="1"/>
  <c r="AF536" i="1"/>
  <c r="AH536" i="1" s="1"/>
  <c r="AI536" i="1" s="1"/>
  <c r="V536" i="1"/>
  <c r="AF399" i="1"/>
  <c r="AH399" i="1" s="1"/>
  <c r="AI399" i="1" s="1"/>
  <c r="V399" i="1"/>
  <c r="AF341" i="1"/>
  <c r="AH341" i="1" s="1"/>
  <c r="AI341" i="1" s="1"/>
  <c r="V341" i="1"/>
  <c r="AF56" i="1"/>
  <c r="AH56" i="1" s="1"/>
  <c r="AI56" i="1" s="1"/>
  <c r="V56" i="1"/>
  <c r="AF381" i="1"/>
  <c r="AH381" i="1" s="1"/>
  <c r="AI381" i="1" s="1"/>
  <c r="V381" i="1"/>
  <c r="AF594" i="1"/>
  <c r="AH594" i="1" s="1"/>
  <c r="AI594" i="1" s="1"/>
  <c r="V594" i="1"/>
  <c r="AF140" i="1"/>
  <c r="AH140" i="1" s="1"/>
  <c r="AI140" i="1" s="1"/>
  <c r="V140" i="1"/>
  <c r="AF448" i="1"/>
  <c r="AH448" i="1" s="1"/>
  <c r="AI448" i="1" s="1"/>
  <c r="V448" i="1"/>
  <c r="AF462" i="1"/>
  <c r="AH462" i="1" s="1"/>
  <c r="AI462" i="1" s="1"/>
  <c r="V462" i="1"/>
  <c r="AF288" i="1"/>
  <c r="AH288" i="1" s="1"/>
  <c r="AI288" i="1" s="1"/>
  <c r="V288" i="1"/>
  <c r="AF449" i="1"/>
  <c r="AH449" i="1" s="1"/>
  <c r="AI449" i="1" s="1"/>
  <c r="V449" i="1"/>
  <c r="AF342" i="1"/>
  <c r="AH342" i="1" s="1"/>
  <c r="AI342" i="1" s="1"/>
  <c r="V342" i="1"/>
  <c r="AF516" i="1"/>
  <c r="AH516" i="1" s="1"/>
  <c r="AI516" i="1" s="1"/>
  <c r="V516" i="1"/>
  <c r="AF490" i="1"/>
  <c r="AH490" i="1" s="1"/>
  <c r="AI490" i="1" s="1"/>
  <c r="V490" i="1"/>
  <c r="AF506" i="1"/>
  <c r="AH506" i="1" s="1"/>
  <c r="AI506" i="1" s="1"/>
  <c r="V506" i="1"/>
  <c r="AF571" i="1"/>
  <c r="AH571" i="1" s="1"/>
  <c r="AI571" i="1" s="1"/>
  <c r="V571" i="1"/>
  <c r="AF232" i="1"/>
  <c r="AH232" i="1" s="1"/>
  <c r="AI232" i="1" s="1"/>
  <c r="V232" i="1"/>
  <c r="AF181" i="1"/>
  <c r="AH181" i="1" s="1"/>
  <c r="AI181" i="1" s="1"/>
  <c r="V181" i="1"/>
  <c r="AF373" i="1"/>
  <c r="AH373" i="1" s="1"/>
  <c r="AI373" i="1" s="1"/>
  <c r="V373" i="1"/>
  <c r="AF240" i="1"/>
  <c r="AH240" i="1" s="1"/>
  <c r="AI240" i="1" s="1"/>
  <c r="V240" i="1"/>
  <c r="AF440" i="1"/>
  <c r="AH440" i="1" s="1"/>
  <c r="AI440" i="1" s="1"/>
  <c r="V440" i="1"/>
  <c r="AF44" i="1"/>
  <c r="AH44" i="1" s="1"/>
  <c r="AI44" i="1" s="1"/>
  <c r="V44" i="1"/>
  <c r="AF60" i="1"/>
  <c r="AH60" i="1" s="1"/>
  <c r="AI60" i="1" s="1"/>
  <c r="V60" i="1"/>
  <c r="AF131" i="1"/>
  <c r="AH131" i="1" s="1"/>
  <c r="AI131" i="1" s="1"/>
  <c r="V131" i="1"/>
  <c r="AF500" i="1"/>
  <c r="AH500" i="1" s="1"/>
  <c r="AI500" i="1" s="1"/>
  <c r="V500" i="1"/>
  <c r="AF496" i="1"/>
  <c r="AH496" i="1" s="1"/>
  <c r="AI496" i="1" s="1"/>
  <c r="V496" i="1"/>
  <c r="AF551" i="1"/>
  <c r="AH551" i="1" s="1"/>
  <c r="AI551" i="1" s="1"/>
  <c r="V551" i="1"/>
  <c r="AF195" i="1"/>
  <c r="AH195" i="1" s="1"/>
  <c r="AI195" i="1" s="1"/>
  <c r="V195" i="1"/>
  <c r="AF615" i="1"/>
  <c r="AH615" i="1" s="1"/>
  <c r="AI615" i="1" s="1"/>
  <c r="V615" i="1"/>
  <c r="AF417" i="1"/>
  <c r="AH417" i="1" s="1"/>
  <c r="AI417" i="1" s="1"/>
  <c r="V417" i="1"/>
  <c r="AF353" i="1"/>
  <c r="AH353" i="1" s="1"/>
  <c r="AI353" i="1" s="1"/>
  <c r="V353" i="1"/>
  <c r="AF210" i="1"/>
  <c r="AH210" i="1" s="1"/>
  <c r="AI210" i="1" s="1"/>
  <c r="V210" i="1"/>
  <c r="AF535" i="1"/>
  <c r="AH535" i="1" s="1"/>
  <c r="AI535" i="1" s="1"/>
  <c r="V535" i="1"/>
  <c r="AF374" i="1"/>
  <c r="AH374" i="1" s="1"/>
  <c r="AI374" i="1" s="1"/>
  <c r="V374" i="1"/>
  <c r="AF463" i="1"/>
  <c r="AH463" i="1" s="1"/>
  <c r="AI463" i="1" s="1"/>
  <c r="V463" i="1"/>
  <c r="AF340" i="1"/>
  <c r="AH340" i="1" s="1"/>
  <c r="AI340" i="1" s="1"/>
  <c r="V340" i="1"/>
  <c r="AF146" i="1"/>
  <c r="AH146" i="1" s="1"/>
  <c r="AI146" i="1" s="1"/>
  <c r="V146" i="1"/>
  <c r="AF624" i="1"/>
  <c r="AH624" i="1" s="1"/>
  <c r="AI624" i="1" s="1"/>
  <c r="V624" i="1"/>
  <c r="AF250" i="1"/>
  <c r="AH250" i="1" s="1"/>
  <c r="AI250" i="1" s="1"/>
  <c r="V250" i="1"/>
  <c r="AF471" i="1"/>
  <c r="AH471" i="1" s="1"/>
  <c r="AI471" i="1" s="1"/>
  <c r="V471" i="1"/>
  <c r="AF108" i="1"/>
  <c r="AH108" i="1" s="1"/>
  <c r="AI108" i="1" s="1"/>
  <c r="V108" i="1"/>
  <c r="AF257" i="1"/>
  <c r="AH257" i="1" s="1"/>
  <c r="AI257" i="1" s="1"/>
  <c r="V257" i="1"/>
  <c r="AF230" i="1"/>
  <c r="AH230" i="1" s="1"/>
  <c r="AI230" i="1" s="1"/>
  <c r="V230" i="1"/>
  <c r="AF367" i="1"/>
  <c r="AH367" i="1" s="1"/>
  <c r="AI367" i="1" s="1"/>
  <c r="V367" i="1"/>
  <c r="AF116" i="1"/>
  <c r="AH116" i="1" s="1"/>
  <c r="AI116" i="1" s="1"/>
  <c r="V116" i="1"/>
  <c r="AF301" i="1"/>
  <c r="AH301" i="1" s="1"/>
  <c r="AI301" i="1" s="1"/>
  <c r="V301" i="1"/>
  <c r="AF196" i="1"/>
  <c r="AH196" i="1" s="1"/>
  <c r="AI196" i="1" s="1"/>
  <c r="V196" i="1"/>
  <c r="AF547" i="1"/>
  <c r="AH547" i="1" s="1"/>
  <c r="AI547" i="1" s="1"/>
  <c r="V547" i="1"/>
  <c r="AF142" i="1"/>
  <c r="AH142" i="1" s="1"/>
  <c r="AI142" i="1" s="1"/>
  <c r="V142" i="1"/>
  <c r="V344" i="1"/>
  <c r="V517" i="1"/>
  <c r="V180" i="1"/>
  <c r="V158" i="1"/>
  <c r="V519" i="1"/>
  <c r="V95" i="1"/>
  <c r="V368" i="1"/>
  <c r="V236" i="1"/>
  <c r="V185" i="1"/>
  <c r="V303" i="1"/>
  <c r="V583" i="1"/>
  <c r="V489" i="1"/>
  <c r="V514" i="1"/>
  <c r="V629" i="1"/>
  <c r="V33" i="1"/>
  <c r="V607" i="1"/>
  <c r="V542" i="1"/>
  <c r="V188" i="1"/>
  <c r="V323" i="1"/>
  <c r="V459" i="1"/>
  <c r="V582" i="1"/>
  <c r="F283" i="1"/>
  <c r="F406" i="1"/>
  <c r="F314" i="1"/>
  <c r="G314" i="1" s="1"/>
  <c r="F492" i="1"/>
  <c r="F245" i="1"/>
  <c r="F559" i="1"/>
  <c r="F395" i="1"/>
  <c r="G395" i="1" s="1"/>
  <c r="I39" i="1"/>
  <c r="F39" i="1"/>
  <c r="I542" i="1"/>
  <c r="F542" i="1"/>
  <c r="G542" i="1" s="1"/>
  <c r="I123" i="1"/>
  <c r="F123" i="1"/>
  <c r="I457" i="1"/>
  <c r="F457" i="1"/>
  <c r="I18" i="1"/>
  <c r="F18" i="1"/>
  <c r="G18" i="1" s="1"/>
  <c r="I415" i="1"/>
  <c r="F415" i="1"/>
  <c r="I390" i="1"/>
  <c r="F390" i="1"/>
  <c r="I335" i="1"/>
  <c r="F335" i="1"/>
  <c r="F401" i="1"/>
  <c r="F36" i="1"/>
  <c r="F255" i="1"/>
  <c r="F219" i="1"/>
  <c r="F510" i="1"/>
  <c r="F626" i="1"/>
  <c r="F442" i="1"/>
  <c r="F563" i="1"/>
  <c r="F169" i="1"/>
  <c r="F203" i="1"/>
  <c r="F532" i="1"/>
  <c r="F304" i="1"/>
  <c r="F334" i="1"/>
  <c r="F398" i="1"/>
  <c r="F321" i="1"/>
  <c r="F439" i="1"/>
  <c r="G439" i="1" s="1"/>
  <c r="F508" i="1"/>
  <c r="F89" i="1"/>
  <c r="F446" i="1"/>
  <c r="F241" i="1"/>
  <c r="F451" i="1"/>
  <c r="F96" i="1"/>
  <c r="G96" i="1" s="1"/>
  <c r="F6" i="1"/>
  <c r="F207" i="1"/>
  <c r="F491" i="1"/>
  <c r="F160" i="1"/>
  <c r="F487" i="1"/>
  <c r="F578" i="1"/>
  <c r="F103" i="1"/>
  <c r="F426" i="1"/>
  <c r="G426" i="1" s="1"/>
  <c r="F594" i="1"/>
  <c r="F342" i="1"/>
  <c r="G342" i="1" s="1"/>
  <c r="F181" i="1"/>
  <c r="F131" i="1"/>
  <c r="F417" i="1"/>
  <c r="F624" i="1"/>
  <c r="G624" i="1" s="1"/>
  <c r="F113" i="1"/>
  <c r="F581" i="1"/>
  <c r="F100" i="1"/>
  <c r="F554" i="1"/>
  <c r="F275" i="1"/>
  <c r="F325" i="1"/>
  <c r="F568" i="1"/>
  <c r="F267" i="1"/>
  <c r="F306" i="1"/>
  <c r="F445" i="1"/>
  <c r="F215" i="1"/>
  <c r="F364" i="1"/>
  <c r="G364" i="1" s="1"/>
  <c r="F498" i="1"/>
  <c r="F384" i="1"/>
  <c r="I497" i="1"/>
  <c r="F497" i="1"/>
  <c r="I629" i="1"/>
  <c r="F629" i="1"/>
  <c r="I520" i="1"/>
  <c r="F520" i="1"/>
  <c r="F81" i="1"/>
  <c r="F70" i="1"/>
  <c r="F317" i="1"/>
  <c r="F595" i="1"/>
  <c r="F478" i="1"/>
  <c r="G478" i="1" s="1"/>
  <c r="F585" i="1"/>
  <c r="F197" i="1"/>
  <c r="F83" i="1"/>
  <c r="F175" i="1"/>
  <c r="F88" i="1"/>
  <c r="F80" i="1"/>
  <c r="F147" i="1"/>
  <c r="F173" i="1"/>
  <c r="F63" i="1"/>
  <c r="F481" i="1"/>
  <c r="F593" i="1"/>
  <c r="F112" i="1"/>
  <c r="F262" i="1"/>
  <c r="F570" i="1"/>
  <c r="G570" i="1" s="1"/>
  <c r="F493" i="1"/>
  <c r="F391" i="1"/>
  <c r="F190" i="1"/>
  <c r="F545" i="1"/>
  <c r="F58" i="1"/>
  <c r="F616" i="1"/>
  <c r="F117" i="1"/>
  <c r="F138" i="1"/>
  <c r="F313" i="1"/>
  <c r="F154" i="1"/>
  <c r="F376" i="1"/>
  <c r="F341" i="1"/>
  <c r="F462" i="1"/>
  <c r="F490" i="1"/>
  <c r="F240" i="1"/>
  <c r="F496" i="1"/>
  <c r="F210" i="1"/>
  <c r="F340" i="1"/>
  <c r="F257" i="1"/>
  <c r="F367" i="1"/>
  <c r="F547" i="1"/>
  <c r="F122" i="1"/>
  <c r="F29" i="1"/>
  <c r="F309" i="1"/>
  <c r="F51" i="1"/>
  <c r="G51" i="1" s="1"/>
  <c r="F381" i="1"/>
  <c r="F571" i="1"/>
  <c r="F195" i="1"/>
  <c r="F471" i="1"/>
  <c r="AH281" i="1"/>
  <c r="AI281" i="1" s="1"/>
  <c r="F621" i="1"/>
  <c r="F539" i="1"/>
  <c r="G539" i="1" s="1"/>
  <c r="F324" i="1"/>
  <c r="F27" i="1"/>
  <c r="F345" i="1"/>
  <c r="F282" i="1"/>
  <c r="F221" i="1"/>
  <c r="F111" i="1"/>
  <c r="F479" i="1"/>
  <c r="F386" i="1"/>
  <c r="G386" i="1" s="1"/>
  <c r="F106" i="1"/>
  <c r="F619" i="1"/>
  <c r="G619" i="1" s="1"/>
  <c r="F432" i="1"/>
  <c r="F529" i="1"/>
  <c r="G529" i="1" s="1"/>
  <c r="F129" i="1"/>
  <c r="F458" i="1"/>
  <c r="F307" i="1"/>
  <c r="F12" i="1"/>
  <c r="F191" i="1"/>
  <c r="F13" i="1"/>
  <c r="G13" i="1" s="1"/>
  <c r="F294" i="1"/>
  <c r="F281" i="1"/>
  <c r="G281" i="1" s="1"/>
  <c r="F45" i="1"/>
  <c r="F469" i="1"/>
  <c r="F148" i="1"/>
  <c r="F591" i="1"/>
  <c r="G591" i="1" s="1"/>
  <c r="F109" i="1"/>
  <c r="F5" i="1"/>
  <c r="G5" i="1" s="1"/>
  <c r="F105" i="1"/>
  <c r="F397" i="1"/>
  <c r="G397" i="1" s="1"/>
  <c r="F543" i="1"/>
  <c r="F427" i="1"/>
  <c r="F449" i="1"/>
  <c r="F44" i="1"/>
  <c r="F374" i="1"/>
  <c r="F301" i="1"/>
  <c r="F46" i="1"/>
  <c r="F548" i="1"/>
  <c r="F499" i="1"/>
  <c r="F57" i="1"/>
  <c r="F483" i="1"/>
  <c r="F177" i="1"/>
  <c r="F592" i="1"/>
  <c r="G592" i="1" s="1"/>
  <c r="F273" i="1"/>
  <c r="F22" i="1"/>
  <c r="F322" i="1"/>
  <c r="F605" i="1"/>
  <c r="F352" i="1"/>
  <c r="F590" i="1"/>
  <c r="F379" i="1"/>
  <c r="F344" i="1"/>
  <c r="G344" i="1" s="1"/>
  <c r="F434" i="1"/>
  <c r="F327" i="1"/>
  <c r="F517" i="1"/>
  <c r="F182" i="1"/>
  <c r="F486" i="1"/>
  <c r="F180" i="1"/>
  <c r="F136" i="1"/>
  <c r="F289" i="1"/>
  <c r="F158" i="1"/>
  <c r="F305" i="1"/>
  <c r="F320" i="1"/>
  <c r="F519" i="1"/>
  <c r="F552" i="1"/>
  <c r="F77" i="1"/>
  <c r="F95" i="1"/>
  <c r="F25" i="1"/>
  <c r="F356" i="1"/>
  <c r="F368" i="1"/>
  <c r="F65" i="1"/>
  <c r="F538" i="1"/>
  <c r="F236" i="1"/>
  <c r="F584" i="1"/>
  <c r="F163" i="1"/>
  <c r="G163" i="1" s="1"/>
  <c r="F185" i="1"/>
  <c r="F31" i="1"/>
  <c r="F216" i="1"/>
  <c r="F303" i="1"/>
  <c r="F326" i="1"/>
  <c r="F206" i="1"/>
  <c r="F583" i="1"/>
  <c r="F362" i="1"/>
  <c r="G362" i="1" s="1"/>
  <c r="F144" i="1"/>
  <c r="G144" i="1" s="1"/>
  <c r="F437" i="1"/>
  <c r="G437" i="1" s="1"/>
  <c r="F530" i="1"/>
  <c r="F588" i="1"/>
  <c r="F454" i="1"/>
  <c r="F597" i="1"/>
  <c r="F514" i="1"/>
  <c r="F225" i="1"/>
  <c r="F296" i="1"/>
  <c r="G296" i="1" s="1"/>
  <c r="F598" i="1"/>
  <c r="F359" i="1"/>
  <c r="F460" i="1"/>
  <c r="G460" i="1" s="1"/>
  <c r="F332" i="1"/>
  <c r="F280" i="1"/>
  <c r="F608" i="1"/>
  <c r="F253" i="1"/>
  <c r="F251" i="1"/>
  <c r="F622" i="1"/>
  <c r="F607" i="1"/>
  <c r="F167" i="1"/>
  <c r="F526" i="1"/>
  <c r="F452" i="1"/>
  <c r="F172" i="1"/>
  <c r="G172" i="1" s="1"/>
  <c r="F205" i="1"/>
  <c r="G205" i="1" s="1"/>
  <c r="F575" i="1"/>
  <c r="F23" i="1"/>
  <c r="F34" i="1"/>
  <c r="F62" i="1"/>
  <c r="G62" i="1" s="1"/>
  <c r="F41" i="1"/>
  <c r="F436" i="1"/>
  <c r="F464" i="1"/>
  <c r="F476" i="1"/>
  <c r="F217" i="1"/>
  <c r="G217" i="1" s="1"/>
  <c r="F409" i="1"/>
  <c r="F338" i="1"/>
  <c r="G338" i="1" s="1"/>
  <c r="F137" i="1"/>
  <c r="F295" i="1"/>
  <c r="F565" i="1"/>
  <c r="F201" i="1"/>
  <c r="F413" i="1"/>
  <c r="F261" i="1"/>
  <c r="F620" i="1"/>
  <c r="F246" i="1"/>
  <c r="F209" i="1"/>
  <c r="F505" i="1"/>
  <c r="F92" i="1"/>
  <c r="F222" i="1"/>
  <c r="F561" i="1"/>
  <c r="F623" i="1"/>
  <c r="F428" i="1"/>
  <c r="F507" i="1"/>
  <c r="F319" i="1"/>
  <c r="F475" i="1"/>
  <c r="F35" i="1"/>
  <c r="F606" i="1"/>
  <c r="F441" i="1"/>
  <c r="F522" i="1"/>
  <c r="F394" i="1"/>
  <c r="F447" i="1"/>
  <c r="F279" i="1"/>
  <c r="F114" i="1"/>
  <c r="F132" i="1"/>
  <c r="F613" i="1"/>
  <c r="F431" i="1"/>
  <c r="F162" i="1"/>
  <c r="F274" i="1"/>
  <c r="F429" i="1"/>
  <c r="F515" i="1"/>
  <c r="G515" i="1" s="1"/>
  <c r="F518" i="1"/>
  <c r="F20" i="1"/>
  <c r="F609" i="1"/>
  <c r="F16" i="1"/>
  <c r="F466" i="1"/>
  <c r="F579" i="1"/>
  <c r="F130" i="1"/>
  <c r="F477" i="1"/>
  <c r="F28" i="1"/>
  <c r="F628" i="1"/>
  <c r="F300" i="1"/>
  <c r="F610" i="1"/>
  <c r="G610" i="1" s="1"/>
  <c r="F416" i="1"/>
  <c r="F94" i="1"/>
  <c r="F536" i="1"/>
  <c r="F399" i="1"/>
  <c r="F56" i="1"/>
  <c r="G56" i="1" s="1"/>
  <c r="F223" i="1"/>
  <c r="F140" i="1"/>
  <c r="F448" i="1"/>
  <c r="F288" i="1"/>
  <c r="F178" i="1"/>
  <c r="F516" i="1"/>
  <c r="F494" i="1"/>
  <c r="G494" i="1" s="1"/>
  <c r="F506" i="1"/>
  <c r="G506" i="1" s="1"/>
  <c r="F232" i="1"/>
  <c r="F373" i="1"/>
  <c r="F323" i="1"/>
  <c r="F440" i="1"/>
  <c r="G440" i="1" s="1"/>
  <c r="F60" i="1"/>
  <c r="F500" i="1"/>
  <c r="F155" i="1"/>
  <c r="G155" i="1" s="1"/>
  <c r="F551" i="1"/>
  <c r="F615" i="1"/>
  <c r="F353" i="1"/>
  <c r="F459" i="1"/>
  <c r="F535" i="1"/>
  <c r="F463" i="1"/>
  <c r="F146" i="1"/>
  <c r="F3" i="1"/>
  <c r="F250" i="1"/>
  <c r="G250" i="1" s="1"/>
  <c r="F108" i="1"/>
  <c r="F230" i="1"/>
  <c r="F582" i="1"/>
  <c r="F116" i="1"/>
  <c r="G116" i="1" s="1"/>
  <c r="F196" i="1"/>
  <c r="F142" i="1"/>
  <c r="AH528" i="1"/>
  <c r="AI528" i="1" s="1"/>
  <c r="AH188" i="1"/>
  <c r="AI188" i="1" s="1"/>
  <c r="AH33" i="1"/>
  <c r="AI33" i="1" s="1"/>
  <c r="AH558" i="1"/>
  <c r="AI558" i="1" s="1"/>
  <c r="AH147" i="1"/>
  <c r="AI147" i="1" s="1"/>
  <c r="F302" i="1"/>
  <c r="G302" i="1" s="1"/>
  <c r="F567" i="1"/>
  <c r="F411" i="1"/>
  <c r="F412" i="1"/>
  <c r="F183" i="1"/>
  <c r="F533" i="1"/>
  <c r="F357" i="1"/>
  <c r="F200" i="1"/>
  <c r="F153" i="1"/>
  <c r="F553" i="1"/>
  <c r="F389" i="1"/>
  <c r="G389" i="1" s="1"/>
  <c r="F72" i="1"/>
  <c r="F168" i="1"/>
  <c r="G168" i="1" s="1"/>
  <c r="F333" i="1"/>
  <c r="F272" i="1"/>
  <c r="F316" i="1"/>
  <c r="F54" i="1"/>
  <c r="G54" i="1" s="1"/>
  <c r="F387" i="1"/>
  <c r="F202" i="1"/>
  <c r="F444" i="1"/>
  <c r="G444" i="1" s="1"/>
  <c r="F43" i="1"/>
  <c r="F612" i="1"/>
  <c r="F484" i="1"/>
  <c r="F467" i="1"/>
  <c r="F187" i="1"/>
  <c r="F237" i="1"/>
  <c r="F42" i="1"/>
  <c r="F631" i="1"/>
  <c r="G631" i="1" s="1"/>
  <c r="F423" i="1"/>
  <c r="F420" i="1"/>
  <c r="F544" i="1"/>
  <c r="G544" i="1" s="1"/>
  <c r="F393" i="1"/>
  <c r="F450" i="1"/>
  <c r="F256" i="1"/>
  <c r="G256" i="1" s="1"/>
  <c r="F10" i="1"/>
  <c r="G10" i="1" s="1"/>
  <c r="F602" i="1"/>
  <c r="F328" i="1"/>
  <c r="G328" i="1" s="1"/>
  <c r="F354" i="1"/>
  <c r="F214" i="1"/>
  <c r="F589" i="1"/>
  <c r="G589" i="1" s="1"/>
  <c r="F285" i="1"/>
  <c r="F473" i="1"/>
  <c r="F383" i="1"/>
  <c r="F86" i="1"/>
  <c r="G86" i="1" s="1"/>
  <c r="F339" i="1"/>
  <c r="F371" i="1"/>
  <c r="F385" i="1"/>
  <c r="F337" i="1"/>
  <c r="F150" i="1"/>
  <c r="F346" i="1"/>
  <c r="F166" i="1"/>
  <c r="F99" i="1"/>
  <c r="G99" i="1" s="1"/>
  <c r="F278" i="1"/>
  <c r="F625" i="1"/>
  <c r="G625" i="1" s="1"/>
  <c r="F24" i="1"/>
  <c r="F249" i="1"/>
  <c r="G249" i="1" s="1"/>
  <c r="F238" i="1"/>
  <c r="F455" i="1"/>
  <c r="F480" i="1"/>
  <c r="G480" i="1" s="1"/>
  <c r="F118" i="1"/>
  <c r="F375" i="1"/>
  <c r="F40" i="1"/>
  <c r="G40" i="1" s="1"/>
  <c r="F69" i="1"/>
  <c r="F422" i="1"/>
  <c r="F360" i="1"/>
  <c r="F601" i="1"/>
  <c r="F79" i="1"/>
  <c r="F419" i="1"/>
  <c r="G419" i="1" s="1"/>
  <c r="F184" i="1"/>
  <c r="G184" i="1" s="1"/>
  <c r="F347" i="1"/>
  <c r="F311" i="1"/>
  <c r="G311" i="1" s="1"/>
  <c r="F179" i="1"/>
  <c r="G179" i="1" s="1"/>
  <c r="F84" i="1"/>
  <c r="F435" i="1"/>
  <c r="F603" i="1"/>
  <c r="F425" i="1"/>
  <c r="F546" i="1"/>
  <c r="G546" i="1" s="1"/>
  <c r="F509" i="1"/>
  <c r="G509" i="1" s="1"/>
  <c r="F157" i="1"/>
  <c r="F485" i="1"/>
  <c r="G485" i="1" s="1"/>
  <c r="F350" i="1"/>
  <c r="F513" i="1"/>
  <c r="G513" i="1" s="1"/>
  <c r="F91" i="1"/>
  <c r="F372" i="1"/>
  <c r="G372" i="1" s="1"/>
  <c r="F98" i="1"/>
  <c r="G98" i="1" s="1"/>
  <c r="F276" i="1"/>
  <c r="G276" i="1" s="1"/>
  <c r="F555" i="1"/>
  <c r="F233" i="1"/>
  <c r="F292" i="1"/>
  <c r="F566" i="1"/>
  <c r="F366" i="1"/>
  <c r="F2" i="1"/>
  <c r="F511" i="1"/>
  <c r="F277" i="1"/>
  <c r="G277" i="1" s="1"/>
  <c r="F264" i="1"/>
  <c r="F600" i="1"/>
  <c r="G600" i="1" s="1"/>
  <c r="F580" i="1"/>
  <c r="F226" i="1"/>
  <c r="F244" i="1"/>
  <c r="F227" i="1"/>
  <c r="F453" i="1"/>
  <c r="G453" i="1" s="1"/>
  <c r="F370" i="1"/>
  <c r="F421" i="1"/>
  <c r="F358" i="1"/>
  <c r="G358" i="1" s="1"/>
  <c r="F315" i="1"/>
  <c r="F85" i="1"/>
  <c r="F614" i="1"/>
  <c r="F119" i="1"/>
  <c r="G119" i="1" s="1"/>
  <c r="F562" i="1"/>
  <c r="G562" i="1" s="1"/>
  <c r="F7" i="1"/>
  <c r="F482" i="1"/>
  <c r="G482" i="1" s="1"/>
  <c r="F212" i="1"/>
  <c r="F194" i="1"/>
  <c r="F76" i="1"/>
  <c r="F410" i="1"/>
  <c r="G410" i="1" s="1"/>
  <c r="F468" i="1"/>
  <c r="G468" i="1" s="1"/>
  <c r="F465" i="1"/>
  <c r="G465" i="1" s="1"/>
  <c r="F541" i="1"/>
  <c r="F361" i="1"/>
  <c r="F218" i="1"/>
  <c r="F248" i="1"/>
  <c r="F38" i="1"/>
  <c r="F564" i="1"/>
  <c r="F604" i="1"/>
  <c r="G604" i="1" s="1"/>
  <c r="F204" i="1"/>
  <c r="G204" i="1" s="1"/>
  <c r="F382" i="1"/>
  <c r="F87" i="1"/>
  <c r="F297" i="1"/>
  <c r="F618" i="1"/>
  <c r="G618" i="1" s="1"/>
  <c r="F224" i="1"/>
  <c r="F120" i="1"/>
  <c r="F121" i="1"/>
  <c r="F228" i="1"/>
  <c r="F470" i="1"/>
  <c r="G470" i="1" s="1"/>
  <c r="F152" i="1"/>
  <c r="F139" i="1"/>
  <c r="G139" i="1" s="1"/>
  <c r="F525" i="1"/>
  <c r="F531" i="1"/>
  <c r="F49" i="1"/>
  <c r="G49" i="1" s="1"/>
  <c r="F78" i="1"/>
  <c r="F369" i="1"/>
  <c r="G369" i="1" s="1"/>
  <c r="F414" i="1"/>
  <c r="F402" i="1"/>
  <c r="F268" i="1"/>
  <c r="G268" i="1" s="1"/>
  <c r="F418" i="1"/>
  <c r="F266" i="1"/>
  <c r="G266" i="1" s="1"/>
  <c r="F107" i="1"/>
  <c r="F293" i="1"/>
  <c r="F17" i="1"/>
  <c r="F550" i="1"/>
  <c r="F32" i="1"/>
  <c r="AH143" i="1"/>
  <c r="AI143" i="1" s="1"/>
  <c r="AH549" i="1"/>
  <c r="AI549" i="1" s="1"/>
  <c r="AH271" i="1"/>
  <c r="AI271" i="1" s="1"/>
  <c r="AH290" i="1"/>
  <c r="AI290" i="1" s="1"/>
  <c r="AH149" i="1"/>
  <c r="AI149" i="1" s="1"/>
  <c r="AH587" i="1"/>
  <c r="AI587" i="1" s="1"/>
  <c r="AH141" i="1"/>
  <c r="AI141" i="1" s="1"/>
  <c r="AI260" i="1"/>
  <c r="AH259" i="1"/>
  <c r="AI259" i="1" s="1"/>
  <c r="AH574" i="1"/>
  <c r="AI574" i="1" s="1"/>
  <c r="AH291" i="1"/>
  <c r="AI291" i="1" s="1"/>
  <c r="AH145" i="1"/>
  <c r="AI145" i="1" s="1"/>
  <c r="AH298" i="1"/>
  <c r="AI298" i="1" s="1"/>
  <c r="AH156" i="1"/>
  <c r="AI156" i="1" s="1"/>
  <c r="AH164" i="1"/>
  <c r="AI164" i="1" s="1"/>
  <c r="F537" i="1"/>
  <c r="F126" i="1"/>
  <c r="F59" i="1"/>
  <c r="F599" i="1"/>
  <c r="F461" i="1"/>
  <c r="G461" i="1" s="1"/>
  <c r="F330" i="1"/>
  <c r="G330" i="1" s="1"/>
  <c r="F557" i="1"/>
  <c r="F521" i="1"/>
  <c r="G521" i="1" s="1"/>
  <c r="F124" i="1"/>
  <c r="F433" i="1"/>
  <c r="G433" i="1" s="1"/>
  <c r="F61" i="1"/>
  <c r="F30" i="1"/>
  <c r="F534" i="1"/>
  <c r="F392" i="1"/>
  <c r="G392" i="1" s="1"/>
  <c r="F269" i="1"/>
  <c r="F617" i="1"/>
  <c r="G617" i="1" s="1"/>
  <c r="F235" i="1"/>
  <c r="F318" i="1"/>
  <c r="F102" i="1"/>
  <c r="G102" i="1" s="1"/>
  <c r="F64" i="1"/>
  <c r="G64" i="1" s="1"/>
  <c r="F231" i="1"/>
  <c r="G231" i="1" s="1"/>
  <c r="F66" i="1"/>
  <c r="F403" i="1"/>
  <c r="F456" i="1"/>
  <c r="G456" i="1" s="1"/>
  <c r="F388" i="1"/>
  <c r="F611" i="1"/>
  <c r="G611" i="1" s="1"/>
  <c r="F11" i="1"/>
  <c r="F474" i="1"/>
  <c r="F408" i="1"/>
  <c r="F143" i="1"/>
  <c r="F14" i="1"/>
  <c r="G14" i="1" s="1"/>
  <c r="F549" i="1"/>
  <c r="F308" i="1"/>
  <c r="G308" i="1" s="1"/>
  <c r="F271" i="1"/>
  <c r="G271" i="1" s="1"/>
  <c r="F176" i="1"/>
  <c r="F290" i="1"/>
  <c r="G290" i="1" s="1"/>
  <c r="F503" i="1"/>
  <c r="F149" i="1"/>
  <c r="G149" i="1" s="1"/>
  <c r="F110" i="1"/>
  <c r="F587" i="1"/>
  <c r="F349" i="1"/>
  <c r="F141" i="1"/>
  <c r="F586" i="1"/>
  <c r="F577" i="1"/>
  <c r="G577" i="1" s="1"/>
  <c r="F229" i="1"/>
  <c r="F263" i="1"/>
  <c r="F52" i="1"/>
  <c r="G52" i="1" s="1"/>
  <c r="F247" i="1"/>
  <c r="G247" i="1" s="1"/>
  <c r="F265" i="1"/>
  <c r="F524" i="1"/>
  <c r="F488" i="1"/>
  <c r="F260" i="1"/>
  <c r="F26" i="1"/>
  <c r="F259" i="1"/>
  <c r="G259" i="1" s="1"/>
  <c r="F211" i="1"/>
  <c r="F574" i="1"/>
  <c r="G574" i="1" s="1"/>
  <c r="F443" i="1"/>
  <c r="F291" i="1"/>
  <c r="G291" i="1" s="1"/>
  <c r="F174" i="1"/>
  <c r="F50" i="1"/>
  <c r="F19" i="1"/>
  <c r="F145" i="1"/>
  <c r="F151" i="1"/>
  <c r="F298" i="1"/>
  <c r="F55" i="1"/>
  <c r="F156" i="1"/>
  <c r="G156" i="1" s="1"/>
  <c r="F407" i="1"/>
  <c r="F252" i="1"/>
  <c r="F82" i="1"/>
  <c r="F90" i="1"/>
  <c r="F133" i="1"/>
  <c r="G133" i="1" s="1"/>
  <c r="F192" i="1"/>
  <c r="G192" i="1" s="1"/>
  <c r="F569" i="1"/>
  <c r="F171" i="1"/>
  <c r="G171" i="1" s="1"/>
  <c r="F199" i="1"/>
  <c r="G199" i="1" s="1"/>
  <c r="F472" i="1"/>
  <c r="F489" i="1"/>
  <c r="F258" i="1"/>
  <c r="F287" i="1"/>
  <c r="G287" i="1" s="1"/>
  <c r="F405" i="1"/>
  <c r="G405" i="1" s="1"/>
  <c r="F377" i="1"/>
  <c r="F495" i="1"/>
  <c r="F523" i="1"/>
  <c r="F159" i="1"/>
  <c r="F528" i="1"/>
  <c r="F170" i="1"/>
  <c r="G170" i="1" s="1"/>
  <c r="F198" i="1"/>
  <c r="G198" i="1" s="1"/>
  <c r="F239" i="1"/>
  <c r="F286" i="1"/>
  <c r="F9" i="1"/>
  <c r="F48" i="1"/>
  <c r="F363" i="1"/>
  <c r="G363" i="1" s="1"/>
  <c r="F33" i="1"/>
  <c r="F213" i="1"/>
  <c r="F220" i="1"/>
  <c r="F134" i="1"/>
  <c r="F504" i="1"/>
  <c r="F164" i="1"/>
  <c r="G164" i="1" s="1"/>
  <c r="F512" i="1"/>
  <c r="F37" i="1"/>
  <c r="G37" i="1" s="1"/>
  <c r="F558" i="1"/>
  <c r="G558" i="1" s="1"/>
  <c r="F243" i="1"/>
  <c r="G243" i="1" s="1"/>
  <c r="F161" i="1"/>
  <c r="F400" i="1"/>
  <c r="F355" i="1"/>
  <c r="F380" i="1"/>
  <c r="G380" i="1" s="1"/>
  <c r="F208" i="1"/>
  <c r="F242" i="1"/>
  <c r="F188" i="1"/>
  <c r="F71" i="1"/>
  <c r="G71" i="1" s="1"/>
  <c r="F47" i="1"/>
  <c r="F125" i="1"/>
  <c r="G125" i="1" s="1"/>
  <c r="F74" i="1"/>
  <c r="F633" i="1"/>
  <c r="G633" i="1" s="1"/>
  <c r="F329" i="1"/>
  <c r="G329" i="1" s="1"/>
  <c r="F630" i="1"/>
  <c r="G630" i="1" s="1"/>
  <c r="F438" i="1"/>
  <c r="F365" i="1"/>
  <c r="F189" i="1"/>
  <c r="G189" i="1" s="1"/>
  <c r="F502" i="1"/>
  <c r="G502" i="1" s="1"/>
  <c r="F396" i="1"/>
  <c r="F299" i="1"/>
  <c r="F165" i="1"/>
  <c r="G165" i="1" s="1"/>
  <c r="F4" i="1"/>
  <c r="G4" i="1" s="1"/>
  <c r="F331" i="1"/>
  <c r="F186" i="1"/>
  <c r="F573" i="1"/>
  <c r="F572" i="1"/>
  <c r="G572" i="1" s="1"/>
  <c r="F128" i="1"/>
  <c r="G128" i="1" s="1"/>
  <c r="F576" i="1"/>
  <c r="G576" i="1" s="1"/>
  <c r="F632" i="1"/>
  <c r="G632" i="1" s="1"/>
  <c r="F596" i="1"/>
  <c r="F378" i="1"/>
  <c r="F93" i="1"/>
  <c r="F627" i="1"/>
  <c r="F404" i="1"/>
  <c r="G404" i="1" s="1"/>
  <c r="AH514" i="1"/>
  <c r="AI514" i="1" s="1"/>
  <c r="AH332" i="1"/>
  <c r="AI332" i="1" s="1"/>
  <c r="AH607" i="1"/>
  <c r="AI607" i="1" s="1"/>
  <c r="AH50" i="1"/>
  <c r="AI50" i="1" s="1"/>
  <c r="AI563" i="1"/>
  <c r="AH81" i="1"/>
  <c r="AI81" i="1" s="1"/>
  <c r="AH70" i="1"/>
  <c r="AI70" i="1" s="1"/>
  <c r="AH317" i="1"/>
  <c r="AI317" i="1" s="1"/>
  <c r="AH595" i="1"/>
  <c r="AI595" i="1" s="1"/>
  <c r="AH478" i="1"/>
  <c r="AI478" i="1" s="1"/>
  <c r="AH626" i="1"/>
  <c r="AI626" i="1" s="1"/>
  <c r="AH442" i="1"/>
  <c r="AI442" i="1" s="1"/>
  <c r="AH83" i="1"/>
  <c r="AI83" i="1" s="1"/>
  <c r="AH203" i="1"/>
  <c r="AI203" i="1" s="1"/>
  <c r="AH532" i="1"/>
  <c r="AI532" i="1" s="1"/>
  <c r="AH304" i="1"/>
  <c r="AI304" i="1" s="1"/>
  <c r="AH334" i="1"/>
  <c r="AI334" i="1" s="1"/>
  <c r="AH579" i="1"/>
  <c r="AI579" i="1" s="1"/>
  <c r="AH389" i="1"/>
  <c r="AI389" i="1" s="1"/>
  <c r="AH577" i="1"/>
  <c r="AI577" i="1" s="1"/>
  <c r="AH263" i="1"/>
  <c r="AI263" i="1" s="1"/>
  <c r="AH247" i="1"/>
  <c r="AI247" i="1" s="1"/>
  <c r="AH524" i="1"/>
  <c r="AI524" i="1" s="1"/>
  <c r="AH192" i="1"/>
  <c r="AI192" i="1" s="1"/>
  <c r="AH171" i="1"/>
  <c r="AI171" i="1" s="1"/>
  <c r="AH489" i="1"/>
  <c r="AI489" i="1" s="1"/>
  <c r="AH495" i="1"/>
  <c r="AI495" i="1" s="1"/>
  <c r="AH9" i="1"/>
  <c r="AI9" i="1" s="1"/>
  <c r="AH380" i="1"/>
  <c r="AI380" i="1" s="1"/>
  <c r="AH379" i="1"/>
  <c r="AI379" i="1" s="1"/>
  <c r="AH344" i="1"/>
  <c r="AI344" i="1" s="1"/>
  <c r="AH327" i="1"/>
  <c r="AI327" i="1" s="1"/>
  <c r="AH517" i="1"/>
  <c r="AI517" i="1" s="1"/>
  <c r="AH486" i="1"/>
  <c r="AI486" i="1" s="1"/>
  <c r="AH180" i="1"/>
  <c r="AI180" i="1" s="1"/>
  <c r="AH289" i="1"/>
  <c r="AI289" i="1" s="1"/>
  <c r="AI158" i="1"/>
  <c r="AH519" i="1"/>
  <c r="AI519" i="1" s="1"/>
  <c r="AH77" i="1"/>
  <c r="AI77" i="1" s="1"/>
  <c r="AH95" i="1"/>
  <c r="AI95" i="1" s="1"/>
  <c r="AH368" i="1"/>
  <c r="AI368" i="1" s="1"/>
  <c r="AH538" i="1"/>
  <c r="AI538" i="1" s="1"/>
  <c r="AH236" i="1"/>
  <c r="AI236" i="1" s="1"/>
  <c r="AH185" i="1"/>
  <c r="AI185" i="1" s="1"/>
  <c r="AH216" i="1"/>
  <c r="AI216" i="1" s="1"/>
  <c r="AH303" i="1"/>
  <c r="AI303" i="1" s="1"/>
  <c r="AH206" i="1"/>
  <c r="AI206" i="1" s="1"/>
  <c r="AH583" i="1"/>
  <c r="AI583" i="1" s="1"/>
  <c r="AH144" i="1"/>
  <c r="AI144" i="1" s="1"/>
  <c r="AH252" i="1"/>
  <c r="AI252" i="1" s="1"/>
  <c r="F430" i="1"/>
  <c r="F127" i="1"/>
  <c r="F21" i="1"/>
  <c r="F135" i="1"/>
  <c r="G135" i="1" s="1"/>
  <c r="F75" i="1"/>
  <c r="F312" i="1"/>
  <c r="G312" i="1" s="1"/>
  <c r="F104" i="1"/>
  <c r="F73" i="1"/>
  <c r="F234" i="1"/>
  <c r="F343" i="1"/>
  <c r="G343" i="1" s="1"/>
  <c r="F97" i="1"/>
  <c r="G97" i="1" s="1"/>
  <c r="F193" i="1"/>
  <c r="G193" i="1" s="1"/>
  <c r="F53" i="1"/>
  <c r="F115" i="1"/>
  <c r="F424" i="1"/>
  <c r="G424" i="1" s="1"/>
  <c r="F560" i="1"/>
  <c r="G560" i="1" s="1"/>
  <c r="F254" i="1"/>
  <c r="F270" i="1"/>
  <c r="F68" i="1"/>
  <c r="G68" i="1" s="1"/>
  <c r="F501" i="1"/>
  <c r="G501" i="1" s="1"/>
  <c r="F348" i="1"/>
  <c r="F284" i="1"/>
  <c r="G284" i="1" s="1"/>
  <c r="AH401" i="1"/>
  <c r="AI401" i="1" s="1"/>
  <c r="AH36" i="1"/>
  <c r="AI36" i="1" s="1"/>
  <c r="AH255" i="1"/>
  <c r="AI255" i="1" s="1"/>
  <c r="AH219" i="1"/>
  <c r="AI219" i="1" s="1"/>
  <c r="AH510" i="1"/>
  <c r="AI510" i="1" s="1"/>
  <c r="AH245" i="1"/>
  <c r="AI245" i="1" s="1"/>
  <c r="AH169" i="1"/>
  <c r="AI169" i="1" s="1"/>
  <c r="AH406" i="1"/>
  <c r="AI406" i="1" s="1"/>
  <c r="AH175" i="1"/>
  <c r="AI175" i="1" s="1"/>
  <c r="AH88" i="1"/>
  <c r="AI88" i="1" s="1"/>
  <c r="AH80" i="1"/>
  <c r="AI80" i="1" s="1"/>
  <c r="AH559" i="1"/>
  <c r="AI559" i="1" s="1"/>
  <c r="AH294" i="1"/>
  <c r="AI294" i="1" s="1"/>
  <c r="AH45" i="1"/>
  <c r="AI45" i="1" s="1"/>
  <c r="AH556" i="1"/>
  <c r="AI556" i="1" s="1"/>
  <c r="AH628" i="1"/>
  <c r="AI628" i="1" s="1"/>
  <c r="AH629" i="1"/>
  <c r="AI629" i="1" s="1"/>
  <c r="AH94" i="1"/>
  <c r="AI94" i="1" s="1"/>
  <c r="AH520" i="1"/>
  <c r="AI520" i="1" s="1"/>
  <c r="AH223" i="1"/>
  <c r="AI223" i="1" s="1"/>
  <c r="AH542" i="1"/>
  <c r="AI542" i="1" s="1"/>
  <c r="AH178" i="1"/>
  <c r="AI178" i="1" s="1"/>
  <c r="AH494" i="1"/>
  <c r="AI494" i="1" s="1"/>
  <c r="AH457" i="1"/>
  <c r="AI457" i="1" s="1"/>
  <c r="AH323" i="1"/>
  <c r="AI323" i="1" s="1"/>
  <c r="AH18" i="1"/>
  <c r="AI18" i="1" s="1"/>
  <c r="AH155" i="1"/>
  <c r="AI155" i="1" s="1"/>
  <c r="AH415" i="1"/>
  <c r="AI415" i="1" s="1"/>
  <c r="AH459" i="1"/>
  <c r="AI459" i="1" s="1"/>
  <c r="AH390" i="1"/>
  <c r="AI390" i="1" s="1"/>
  <c r="AH3" i="1"/>
  <c r="AI3" i="1" s="1"/>
  <c r="AH335" i="1"/>
  <c r="AI335" i="1" s="1"/>
  <c r="AH582" i="1"/>
  <c r="AI582" i="1" s="1"/>
  <c r="G288" i="1" l="1"/>
  <c r="G186" i="1"/>
  <c r="G90" i="1"/>
  <c r="G227" i="1"/>
  <c r="G233" i="1"/>
  <c r="G422" i="1"/>
  <c r="G602" i="1"/>
  <c r="G412" i="1"/>
  <c r="G323" i="1"/>
  <c r="G448" i="1"/>
  <c r="G137" i="1"/>
  <c r="G588" i="1"/>
  <c r="G95" i="1"/>
  <c r="G517" i="1"/>
  <c r="G195" i="1"/>
  <c r="G545" i="1"/>
  <c r="G481" i="1"/>
  <c r="G317" i="1"/>
  <c r="G462" i="1"/>
  <c r="G318" i="1"/>
  <c r="G425" i="1"/>
  <c r="G467" i="1"/>
  <c r="G209" i="1"/>
  <c r="G253" i="1"/>
  <c r="G225" i="1"/>
  <c r="G65" i="1"/>
  <c r="G322" i="1"/>
  <c r="G378" i="1"/>
  <c r="G396" i="1"/>
  <c r="G74" i="1"/>
  <c r="G188" i="1"/>
  <c r="G504" i="1"/>
  <c r="G528" i="1"/>
  <c r="G161" i="1"/>
  <c r="G416" i="1"/>
  <c r="G270" i="1"/>
  <c r="G115" i="1"/>
  <c r="G127" i="1"/>
  <c r="G596" i="1"/>
  <c r="G242" i="1"/>
  <c r="G400" i="1"/>
  <c r="G134" i="1"/>
  <c r="G239" i="1"/>
  <c r="G159" i="1"/>
  <c r="G472" i="1"/>
  <c r="G110" i="1"/>
  <c r="G241" i="1"/>
  <c r="G304" i="1"/>
  <c r="G563" i="1"/>
  <c r="G82" i="1"/>
  <c r="G229" i="1"/>
  <c r="G235" i="1"/>
  <c r="G537" i="1"/>
  <c r="G120" i="1"/>
  <c r="G366" i="1"/>
  <c r="G91" i="1"/>
  <c r="G272" i="1"/>
  <c r="G411" i="1"/>
  <c r="G536" i="1"/>
  <c r="G300" i="1"/>
  <c r="G507" i="1"/>
  <c r="G294" i="1"/>
  <c r="G479" i="1"/>
  <c r="G70" i="1"/>
  <c r="G384" i="1"/>
  <c r="G445" i="1"/>
  <c r="G325" i="1"/>
  <c r="G581" i="1"/>
  <c r="G131" i="1"/>
  <c r="G398" i="1"/>
  <c r="G626" i="1"/>
  <c r="G36" i="1"/>
  <c r="G390" i="1"/>
  <c r="G123" i="1"/>
  <c r="G245" i="1"/>
  <c r="G283" i="1"/>
  <c r="G15" i="1"/>
  <c r="G310" i="1"/>
  <c r="G351" i="1"/>
  <c r="B8" i="17"/>
  <c r="G252" i="1"/>
  <c r="G298" i="1"/>
  <c r="G50" i="1"/>
  <c r="G260" i="1"/>
  <c r="G587" i="1"/>
  <c r="G549" i="1"/>
  <c r="G474" i="1"/>
  <c r="G30" i="1"/>
  <c r="G599" i="1"/>
  <c r="G550" i="1"/>
  <c r="G414" i="1"/>
  <c r="G531" i="1"/>
  <c r="G224" i="1"/>
  <c r="G382" i="1"/>
  <c r="G38" i="1"/>
  <c r="G541" i="1"/>
  <c r="G76" i="1"/>
  <c r="G85" i="1"/>
  <c r="G370" i="1"/>
  <c r="G226" i="1"/>
  <c r="G566" i="1"/>
  <c r="G435" i="1"/>
  <c r="G347" i="1"/>
  <c r="G455" i="1"/>
  <c r="G346" i="1"/>
  <c r="G473" i="1"/>
  <c r="G420" i="1"/>
  <c r="G237" i="1"/>
  <c r="G612" i="1"/>
  <c r="G333" i="1"/>
  <c r="G553" i="1"/>
  <c r="G533" i="1"/>
  <c r="G567" i="1"/>
  <c r="G196" i="1"/>
  <c r="G108" i="1"/>
  <c r="G463" i="1"/>
  <c r="G615" i="1"/>
  <c r="G60" i="1"/>
  <c r="G232" i="1"/>
  <c r="G178" i="1"/>
  <c r="G223" i="1"/>
  <c r="G94" i="1"/>
  <c r="G579" i="1"/>
  <c r="G20" i="1"/>
  <c r="G274" i="1"/>
  <c r="G132" i="1"/>
  <c r="G394" i="1"/>
  <c r="G35" i="1"/>
  <c r="G428" i="1"/>
  <c r="G92" i="1"/>
  <c r="G620" i="1"/>
  <c r="G565" i="1"/>
  <c r="G409" i="1"/>
  <c r="G436" i="1"/>
  <c r="G452" i="1"/>
  <c r="G622" i="1"/>
  <c r="G280" i="1"/>
  <c r="G598" i="1"/>
  <c r="G206" i="1"/>
  <c r="G31" i="1"/>
  <c r="G236" i="1"/>
  <c r="G356" i="1"/>
  <c r="G552" i="1"/>
  <c r="G158" i="1"/>
  <c r="G486" i="1"/>
  <c r="G434" i="1"/>
  <c r="G352" i="1"/>
  <c r="G273" i="1"/>
  <c r="G57" i="1"/>
  <c r="G301" i="1"/>
  <c r="G427" i="1"/>
  <c r="G469" i="1"/>
  <c r="G458" i="1"/>
  <c r="G111" i="1"/>
  <c r="G27" i="1"/>
  <c r="G122" i="1"/>
  <c r="G340" i="1"/>
  <c r="G490" i="1"/>
  <c r="G154" i="1"/>
  <c r="G616" i="1"/>
  <c r="G391" i="1"/>
  <c r="G112" i="1"/>
  <c r="G173" i="1"/>
  <c r="G175" i="1"/>
  <c r="G336" i="1"/>
  <c r="G556" i="1"/>
  <c r="G371" i="1"/>
  <c r="G387" i="1"/>
  <c r="G597" i="1"/>
  <c r="G160" i="1"/>
  <c r="G348" i="1"/>
  <c r="G254" i="1"/>
  <c r="G53" i="1"/>
  <c r="G234" i="1"/>
  <c r="G75" i="1"/>
  <c r="G430" i="1"/>
  <c r="G627" i="1"/>
  <c r="G573" i="1"/>
  <c r="G47" i="1"/>
  <c r="G208" i="1"/>
  <c r="G512" i="1"/>
  <c r="G220" i="1"/>
  <c r="G48" i="1"/>
  <c r="G523" i="1"/>
  <c r="G407" i="1"/>
  <c r="G151" i="1"/>
  <c r="G174" i="1"/>
  <c r="G211" i="1"/>
  <c r="G488" i="1"/>
  <c r="G586" i="1"/>
  <c r="G176" i="1"/>
  <c r="G11" i="1"/>
  <c r="G403" i="1"/>
  <c r="G269" i="1"/>
  <c r="G61" i="1"/>
  <c r="G557" i="1"/>
  <c r="G59" i="1"/>
  <c r="G17" i="1"/>
  <c r="G418" i="1"/>
  <c r="G525" i="1"/>
  <c r="G228" i="1"/>
  <c r="G248" i="1"/>
  <c r="G194" i="1"/>
  <c r="G315" i="1"/>
  <c r="G580" i="1"/>
  <c r="G511" i="1"/>
  <c r="G292" i="1"/>
  <c r="G350" i="1"/>
  <c r="G84" i="1"/>
  <c r="G360" i="1"/>
  <c r="G375" i="1"/>
  <c r="G238" i="1"/>
  <c r="G278" i="1"/>
  <c r="G150" i="1"/>
  <c r="G339" i="1"/>
  <c r="G285" i="1"/>
  <c r="G450" i="1"/>
  <c r="G423" i="1"/>
  <c r="G187" i="1"/>
  <c r="G43" i="1"/>
  <c r="G153" i="1"/>
  <c r="G183" i="1"/>
  <c r="G535" i="1"/>
  <c r="G551" i="1"/>
  <c r="G28" i="1"/>
  <c r="G466" i="1"/>
  <c r="G518" i="1"/>
  <c r="G162" i="1"/>
  <c r="G114" i="1"/>
  <c r="G522" i="1"/>
  <c r="G475" i="1"/>
  <c r="G623" i="1"/>
  <c r="G505" i="1"/>
  <c r="G261" i="1"/>
  <c r="G295" i="1"/>
  <c r="G41" i="1"/>
  <c r="G575" i="1"/>
  <c r="G526" i="1"/>
  <c r="G251" i="1"/>
  <c r="G332" i="1"/>
  <c r="G454" i="1"/>
  <c r="G326" i="1"/>
  <c r="G185" i="1"/>
  <c r="G538" i="1"/>
  <c r="G25" i="1"/>
  <c r="G519" i="1"/>
  <c r="G289" i="1"/>
  <c r="G182" i="1"/>
  <c r="G605" i="1"/>
  <c r="G499" i="1"/>
  <c r="G374" i="1"/>
  <c r="G543" i="1"/>
  <c r="G109" i="1"/>
  <c r="G45" i="1"/>
  <c r="G191" i="1"/>
  <c r="G129" i="1"/>
  <c r="G106" i="1"/>
  <c r="G221" i="1"/>
  <c r="G324" i="1"/>
  <c r="G471" i="1"/>
  <c r="G547" i="1"/>
  <c r="G210" i="1"/>
  <c r="G313" i="1"/>
  <c r="G58" i="1"/>
  <c r="G493" i="1"/>
  <c r="G593" i="1"/>
  <c r="G147" i="1"/>
  <c r="G83" i="1"/>
  <c r="G595" i="1"/>
  <c r="G520" i="1"/>
  <c r="G497" i="1"/>
  <c r="G498" i="1"/>
  <c r="G306" i="1"/>
  <c r="G275" i="1"/>
  <c r="G113" i="1"/>
  <c r="G181" i="1"/>
  <c r="G103" i="1"/>
  <c r="G491" i="1"/>
  <c r="G451" i="1"/>
  <c r="G508" i="1"/>
  <c r="G334" i="1"/>
  <c r="G169" i="1"/>
  <c r="G510" i="1"/>
  <c r="G401" i="1"/>
  <c r="G492" i="1"/>
  <c r="B7" i="17"/>
  <c r="G101" i="1"/>
  <c r="G354" i="1"/>
  <c r="G628" i="1"/>
  <c r="G381" i="1"/>
  <c r="G81" i="1"/>
  <c r="G89" i="1"/>
  <c r="G39" i="1"/>
  <c r="G93" i="1"/>
  <c r="G365" i="1"/>
  <c r="G9" i="1"/>
  <c r="G495" i="1"/>
  <c r="G263" i="1"/>
  <c r="G143" i="1"/>
  <c r="G66" i="1"/>
  <c r="G297" i="1"/>
  <c r="G2" i="1"/>
  <c r="G337" i="1"/>
  <c r="G316" i="1"/>
  <c r="G200" i="1"/>
  <c r="G3" i="1"/>
  <c r="G279" i="1"/>
  <c r="G319" i="1"/>
  <c r="G136" i="1"/>
  <c r="G44" i="1"/>
  <c r="G309" i="1"/>
  <c r="G496" i="1"/>
  <c r="G138" i="1"/>
  <c r="G197" i="1"/>
  <c r="G267" i="1"/>
  <c r="G207" i="1"/>
  <c r="G219" i="1"/>
  <c r="G457" i="1"/>
  <c r="G8" i="1"/>
  <c r="G67" i="1"/>
  <c r="G7" i="1"/>
  <c r="G601" i="1"/>
  <c r="G23" i="1"/>
  <c r="G203" i="1"/>
  <c r="G73" i="1"/>
  <c r="G299" i="1"/>
  <c r="G213" i="1"/>
  <c r="G258" i="1"/>
  <c r="G145" i="1"/>
  <c r="G524" i="1"/>
  <c r="G141" i="1"/>
  <c r="G126" i="1"/>
  <c r="G293" i="1"/>
  <c r="G78" i="1"/>
  <c r="G121" i="1"/>
  <c r="G218" i="1"/>
  <c r="G212" i="1"/>
  <c r="G118" i="1"/>
  <c r="G393" i="1"/>
  <c r="G72" i="1"/>
  <c r="G582" i="1"/>
  <c r="G459" i="1"/>
  <c r="G399" i="1"/>
  <c r="G477" i="1"/>
  <c r="G16" i="1"/>
  <c r="G431" i="1"/>
  <c r="G441" i="1"/>
  <c r="G561" i="1"/>
  <c r="G413" i="1"/>
  <c r="G476" i="1"/>
  <c r="G167" i="1"/>
  <c r="G303" i="1"/>
  <c r="G320" i="1"/>
  <c r="G379" i="1"/>
  <c r="G177" i="1"/>
  <c r="G548" i="1"/>
  <c r="G12" i="1"/>
  <c r="G282" i="1"/>
  <c r="G367" i="1"/>
  <c r="G341" i="1"/>
  <c r="G80" i="1"/>
  <c r="G554" i="1"/>
  <c r="G578" i="1"/>
  <c r="G335" i="1"/>
  <c r="G415" i="1"/>
  <c r="G104" i="1"/>
  <c r="G21" i="1"/>
  <c r="G331" i="1"/>
  <c r="G438" i="1"/>
  <c r="G355" i="1"/>
  <c r="G33" i="1"/>
  <c r="G286" i="1"/>
  <c r="G377" i="1"/>
  <c r="G489" i="1"/>
  <c r="G569" i="1"/>
  <c r="G55" i="1"/>
  <c r="G19" i="1"/>
  <c r="G443" i="1"/>
  <c r="G26" i="1"/>
  <c r="G265" i="1"/>
  <c r="G349" i="1"/>
  <c r="G503" i="1"/>
  <c r="G408" i="1"/>
  <c r="G388" i="1"/>
  <c r="G534" i="1"/>
  <c r="G124" i="1"/>
  <c r="G32" i="1"/>
  <c r="G107" i="1"/>
  <c r="G402" i="1"/>
  <c r="G152" i="1"/>
  <c r="G87" i="1"/>
  <c r="G564" i="1"/>
  <c r="G361" i="1"/>
  <c r="G614" i="1"/>
  <c r="G421" i="1"/>
  <c r="G244" i="1"/>
  <c r="G264" i="1"/>
  <c r="G555" i="1"/>
  <c r="G157" i="1"/>
  <c r="G603" i="1"/>
  <c r="G79" i="1"/>
  <c r="G69" i="1"/>
  <c r="G24" i="1"/>
  <c r="G166" i="1"/>
  <c r="G385" i="1"/>
  <c r="G383" i="1"/>
  <c r="G214" i="1"/>
  <c r="G42" i="1"/>
  <c r="G484" i="1"/>
  <c r="G202" i="1"/>
  <c r="G357" i="1"/>
  <c r="G142" i="1"/>
  <c r="G230" i="1"/>
  <c r="G146" i="1"/>
  <c r="G353" i="1"/>
  <c r="G500" i="1"/>
  <c r="G373" i="1"/>
  <c r="G516" i="1"/>
  <c r="G140" i="1"/>
  <c r="G130" i="1"/>
  <c r="G609" i="1"/>
  <c r="G429" i="1"/>
  <c r="G613" i="1"/>
  <c r="G447" i="1"/>
  <c r="G606" i="1"/>
  <c r="G222" i="1"/>
  <c r="G246" i="1"/>
  <c r="G201" i="1"/>
  <c r="G464" i="1"/>
  <c r="G34" i="1"/>
  <c r="G607" i="1"/>
  <c r="G608" i="1"/>
  <c r="G359" i="1"/>
  <c r="G514" i="1"/>
  <c r="G530" i="1"/>
  <c r="G583" i="1"/>
  <c r="G216" i="1"/>
  <c r="G584" i="1"/>
  <c r="G368" i="1"/>
  <c r="G77" i="1"/>
  <c r="G305" i="1"/>
  <c r="G180" i="1"/>
  <c r="G327" i="1"/>
  <c r="G590" i="1"/>
  <c r="G22" i="1"/>
  <c r="G483" i="1"/>
  <c r="G46" i="1"/>
  <c r="G449" i="1"/>
  <c r="G105" i="1"/>
  <c r="G148" i="1"/>
  <c r="G307" i="1"/>
  <c r="G432" i="1"/>
  <c r="G345" i="1"/>
  <c r="G621" i="1"/>
  <c r="G571" i="1"/>
  <c r="G29" i="1"/>
  <c r="G257" i="1"/>
  <c r="G240" i="1"/>
  <c r="G376" i="1"/>
  <c r="G117" i="1"/>
  <c r="G190" i="1"/>
  <c r="G262" i="1"/>
  <c r="G63" i="1"/>
  <c r="G88" i="1"/>
  <c r="G585" i="1"/>
  <c r="G629" i="1"/>
  <c r="G215" i="1"/>
  <c r="G568" i="1"/>
  <c r="G100" i="1"/>
  <c r="G417" i="1"/>
  <c r="G594" i="1"/>
  <c r="G487" i="1"/>
  <c r="G6" i="1"/>
  <c r="G446" i="1"/>
  <c r="G321" i="1"/>
  <c r="G532" i="1"/>
  <c r="G442" i="1"/>
  <c r="G255" i="1"/>
  <c r="G559" i="1"/>
  <c r="G406" i="1"/>
  <c r="G527" i="1"/>
  <c r="G540" i="1"/>
  <c r="AI476" i="1"/>
  <c r="AI209" i="1"/>
  <c r="AI444" i="1"/>
  <c r="AI413" i="1"/>
  <c r="AI441" i="1"/>
  <c r="AI225" i="1"/>
  <c r="AI132" i="1"/>
  <c r="AI515" i="1"/>
  <c r="AI467" i="1"/>
  <c r="AH15" i="1"/>
  <c r="AI15" i="1" s="1"/>
  <c r="AH2" i="1"/>
  <c r="AI2" i="1" s="1"/>
  <c r="AK2" i="1"/>
  <c r="X2" i="1" s="1"/>
  <c r="AI63" i="1"/>
  <c r="AI386" i="1"/>
  <c r="AI200" i="1"/>
  <c r="AI630" i="1"/>
  <c r="AI412" i="1"/>
  <c r="AI570" i="1"/>
  <c r="AI480" i="1"/>
  <c r="AI280" i="1"/>
  <c r="AI23" i="1"/>
  <c r="AI631" i="1"/>
  <c r="AI472" i="1"/>
  <c r="AI190" i="1"/>
  <c r="AI328" i="1"/>
  <c r="AI167" i="1"/>
  <c r="AH331" i="1"/>
  <c r="AI331" i="1" s="1"/>
  <c r="AI591" i="1"/>
  <c r="AI339" i="1"/>
  <c r="AI450" i="1"/>
  <c r="AH267" i="1"/>
  <c r="AI267" i="1" s="1"/>
  <c r="AI153" i="1"/>
  <c r="AI428" i="1"/>
  <c r="AI565" i="1"/>
  <c r="AI596" i="1"/>
  <c r="AI37" i="1"/>
  <c r="AI253" i="1"/>
  <c r="AI193" i="1"/>
  <c r="AI159" i="1"/>
  <c r="AJ3" i="1" l="1"/>
  <c r="AK3" i="1" l="1"/>
  <c r="X3" i="1" s="1"/>
  <c r="AJ4" i="1" l="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K617" i="1"/>
  <c r="X617" i="1"/>
  <c r="AK616" i="1"/>
  <c r="X616" i="1"/>
  <c r="AK577" i="1"/>
  <c r="X577" i="1"/>
  <c r="AK615" i="1"/>
  <c r="X615" i="1"/>
  <c r="AK544" i="1"/>
  <c r="X544" i="1"/>
  <c r="AK543" i="1"/>
  <c r="X543" i="1"/>
  <c r="AK511" i="1"/>
  <c r="X511" i="1"/>
  <c r="AK510" i="1"/>
  <c r="X510" i="1"/>
  <c r="AK612" i="1"/>
  <c r="X612" i="1"/>
  <c r="AK593" i="1"/>
  <c r="X593" i="1"/>
  <c r="AK568" i="1"/>
  <c r="X568" i="1"/>
  <c r="AK495" i="1"/>
  <c r="X495" i="1"/>
  <c r="AK570" i="1"/>
  <c r="X570" i="1"/>
  <c r="AK569" i="1"/>
  <c r="X569" i="1"/>
  <c r="AK381" i="1"/>
  <c r="X381" i="1"/>
  <c r="AK558" i="1"/>
  <c r="X558" i="1"/>
  <c r="AK551" i="1"/>
  <c r="X551" i="1"/>
  <c r="AK557" i="1"/>
  <c r="X557" i="1"/>
  <c r="AK380" i="1"/>
  <c r="X380" i="1"/>
  <c r="AK565" i="1"/>
  <c r="X565" i="1"/>
  <c r="AK567" i="1"/>
  <c r="X567" i="1"/>
  <c r="AK566" i="1"/>
  <c r="X566" i="1"/>
  <c r="AK472" i="1"/>
  <c r="X472" i="1"/>
  <c r="AK490" i="1"/>
  <c r="X490" i="1"/>
  <c r="AK560" i="1"/>
  <c r="X560" i="1"/>
  <c r="AK559" i="1"/>
  <c r="X559" i="1"/>
  <c r="AK447" i="1"/>
  <c r="X447" i="1"/>
  <c r="AK465" i="1"/>
  <c r="X465" i="1"/>
  <c r="AK464" i="1"/>
  <c r="X464" i="1"/>
  <c r="AK466" i="1"/>
  <c r="X466" i="1"/>
  <c r="AK542" i="1"/>
  <c r="X542" i="1"/>
  <c r="AK541" i="1"/>
  <c r="X541" i="1"/>
  <c r="AK463" i="1"/>
  <c r="X463" i="1"/>
  <c r="AK459" i="1"/>
  <c r="X459" i="1"/>
  <c r="AK431" i="1"/>
  <c r="X431" i="1"/>
  <c r="AK476" i="1"/>
  <c r="X476" i="1"/>
  <c r="AK475" i="1"/>
  <c r="X475" i="1"/>
  <c r="AK458" i="1"/>
  <c r="X458" i="1"/>
  <c r="AK523" i="1"/>
  <c r="X523" i="1"/>
  <c r="AK384" i="1"/>
  <c r="X384" i="1"/>
  <c r="AK471" i="1"/>
  <c r="X471" i="1"/>
  <c r="AK428" i="1"/>
  <c r="X428" i="1"/>
  <c r="AK470" i="1"/>
  <c r="X470" i="1"/>
  <c r="AK444" i="1"/>
  <c r="X444" i="1"/>
  <c r="AK450" i="1"/>
  <c r="X450" i="1"/>
  <c r="AK443" i="1"/>
  <c r="X443" i="1"/>
  <c r="AK334" i="1"/>
  <c r="X334" i="1"/>
  <c r="AK424" i="1"/>
  <c r="X424" i="1"/>
  <c r="AK423" i="1"/>
  <c r="X423" i="1"/>
  <c r="AK379" i="1"/>
  <c r="X379" i="1"/>
  <c r="AK446" i="1"/>
  <c r="X446" i="1"/>
  <c r="AK439" i="1"/>
  <c r="X439" i="1"/>
  <c r="AK445" i="1"/>
  <c r="X445" i="1"/>
  <c r="AK438" i="1"/>
  <c r="X438" i="1"/>
  <c r="AK324" i="1"/>
  <c r="X324" i="1"/>
  <c r="AK460" i="1"/>
  <c r="X460" i="1"/>
  <c r="AK430" i="1"/>
  <c r="X430" i="1"/>
  <c r="AK366" i="1"/>
  <c r="X366" i="1"/>
  <c r="AK323" i="1"/>
  <c r="X323" i="1"/>
  <c r="AK365" i="1"/>
  <c r="X365" i="1"/>
  <c r="AK429" i="1"/>
  <c r="X429" i="1"/>
  <c r="AK369" i="1"/>
  <c r="X369" i="1"/>
  <c r="AK354" i="1"/>
  <c r="X354" i="1"/>
  <c r="AK414" i="1"/>
  <c r="X414" i="1"/>
  <c r="AK353" i="1"/>
  <c r="X353" i="1"/>
  <c r="AK413" i="1"/>
  <c r="X413" i="1"/>
  <c r="AK410" i="1"/>
  <c r="X410" i="1"/>
  <c r="AK409" i="1"/>
  <c r="X409" i="1"/>
  <c r="AK383" i="1"/>
  <c r="X383" i="1"/>
  <c r="AK422" i="1"/>
  <c r="X422" i="1"/>
  <c r="AK378" i="1"/>
  <c r="X378" i="1"/>
  <c r="AK421" i="1"/>
  <c r="X421" i="1"/>
  <c r="AK382" i="1"/>
  <c r="X382" i="1"/>
  <c r="AK391" i="1"/>
  <c r="X391" i="1"/>
  <c r="AK284" i="1"/>
  <c r="X284" i="1"/>
  <c r="AK396" i="1"/>
  <c r="X396" i="1"/>
  <c r="AK400" i="1"/>
  <c r="X400" i="1"/>
  <c r="AK350" i="1"/>
  <c r="X350" i="1"/>
  <c r="AK346" i="1"/>
  <c r="X346" i="1"/>
  <c r="AK223" i="1"/>
  <c r="X223" i="1"/>
  <c r="AK345" i="1"/>
  <c r="X345" i="1"/>
  <c r="AK359" i="1"/>
  <c r="X359" i="1"/>
  <c r="AK347" i="1"/>
  <c r="X347" i="1"/>
  <c r="AK386" i="1"/>
  <c r="X386" i="1"/>
  <c r="AK325" i="1"/>
  <c r="X325" i="1"/>
  <c r="AK218" i="1"/>
  <c r="X218" i="1"/>
  <c r="AK385" i="1"/>
  <c r="X385" i="1"/>
  <c r="AK210" i="1"/>
  <c r="X210" i="1"/>
  <c r="AK289" i="1"/>
  <c r="X289" i="1"/>
  <c r="AK203" i="1"/>
  <c r="X203" i="1"/>
  <c r="AK352" i="1"/>
  <c r="X352" i="1"/>
  <c r="AK337" i="1"/>
  <c r="X337" i="1"/>
  <c r="AK351" i="1"/>
  <c r="X351" i="1"/>
  <c r="AK204" i="1"/>
  <c r="X204" i="1"/>
  <c r="AK344" i="1"/>
  <c r="X344" i="1"/>
  <c r="AK343" i="1"/>
  <c r="X343" i="1"/>
  <c r="AK349" i="1"/>
  <c r="X349" i="1"/>
  <c r="AK338" i="1"/>
  <c r="X338" i="1"/>
  <c r="AK348" i="1"/>
  <c r="X348" i="1"/>
  <c r="AK288" i="1"/>
  <c r="X288" i="1"/>
  <c r="AK336" i="1"/>
  <c r="X336" i="1"/>
  <c r="AK335" i="1"/>
  <c r="X335" i="1"/>
  <c r="AK231" i="1"/>
  <c r="X231" i="1"/>
  <c r="AK219" i="1"/>
  <c r="X219" i="1"/>
  <c r="AK222" i="1"/>
  <c r="X222" i="1"/>
  <c r="AK313" i="1"/>
  <c r="X313" i="1"/>
  <c r="AK312" i="1"/>
  <c r="X312" i="1"/>
  <c r="AK266" i="1"/>
  <c r="X266" i="1"/>
  <c r="AK303" i="1"/>
  <c r="X303" i="1"/>
  <c r="AK265" i="1"/>
  <c r="X265" i="1"/>
  <c r="AK213" i="1"/>
  <c r="X213" i="1"/>
  <c r="AK270" i="1"/>
  <c r="X270" i="1"/>
  <c r="AK144" i="1"/>
  <c r="X144" i="1"/>
  <c r="AK143" i="1"/>
  <c r="X143" i="1"/>
  <c r="AK142" i="1"/>
  <c r="X142" i="1"/>
  <c r="AK117" i="1"/>
  <c r="X117" i="1"/>
  <c r="AK74" i="1"/>
  <c r="X74" i="1"/>
  <c r="AK132" i="1"/>
  <c r="X132" i="1"/>
  <c r="AK212" i="1"/>
  <c r="X212" i="1"/>
  <c r="AK211" i="1"/>
  <c r="X211" i="1"/>
  <c r="AK230" i="1"/>
  <c r="X230" i="1"/>
  <c r="AK198" i="1"/>
  <c r="X198" i="1"/>
  <c r="AK214" i="1"/>
  <c r="X214" i="1"/>
  <c r="AK221" i="1"/>
  <c r="X221" i="1"/>
  <c r="AK194" i="1"/>
  <c r="X194" i="1"/>
  <c r="AK147" i="1"/>
  <c r="X147" i="1"/>
  <c r="AK220" i="1"/>
  <c r="X220" i="1"/>
  <c r="AK24" i="1"/>
  <c r="X24" i="1"/>
  <c r="AK139" i="1"/>
  <c r="X139" i="1"/>
  <c r="AK156" i="1"/>
  <c r="X156" i="1"/>
  <c r="AK118" i="1"/>
  <c r="X118" i="1"/>
  <c r="AK155" i="1"/>
  <c r="X155" i="1"/>
  <c r="AK207" i="1"/>
  <c r="X207" i="1"/>
  <c r="AK189" i="1"/>
  <c r="X189" i="1"/>
  <c r="AK122" i="1"/>
  <c r="X122" i="1"/>
  <c r="AK77" i="1"/>
  <c r="X77" i="1"/>
  <c r="AK202" i="1"/>
  <c r="X202" i="1"/>
  <c r="AK87" i="1"/>
  <c r="X87" i="1"/>
  <c r="AK173" i="1"/>
  <c r="X173" i="1"/>
  <c r="AK103" i="1"/>
  <c r="X103" i="1"/>
  <c r="AK102" i="1"/>
  <c r="X102" i="1"/>
  <c r="AK36" i="1"/>
  <c r="X36" i="1"/>
  <c r="AK107" i="1"/>
  <c r="X107" i="1"/>
  <c r="AK106" i="1"/>
  <c r="X106" i="1"/>
  <c r="AK32" i="1"/>
  <c r="X32" i="1"/>
  <c r="AK31" i="1"/>
  <c r="X31" i="1"/>
  <c r="AK80" i="1"/>
  <c r="X80" i="1"/>
  <c r="AK57" i="1"/>
  <c r="X57" i="1"/>
  <c r="AK110" i="1"/>
  <c r="X110" i="1"/>
  <c r="AK56" i="1"/>
  <c r="X56" i="1"/>
  <c r="AK23" i="1"/>
  <c r="X23" i="1"/>
  <c r="AK86" i="1"/>
  <c r="X86" i="1"/>
  <c r="AK85" i="1"/>
  <c r="X85" i="1"/>
  <c r="AK55" i="1"/>
  <c r="X55" i="1"/>
  <c r="AK22" i="1"/>
  <c r="X22" i="1"/>
  <c r="AK64" i="1"/>
  <c r="X64" i="1"/>
  <c r="AK45" i="1"/>
  <c r="X45" i="1"/>
  <c r="AK21" i="1"/>
  <c r="X21" i="1"/>
  <c r="AK58" i="1"/>
  <c r="X58" i="1"/>
  <c r="AK20" i="1"/>
  <c r="X20" i="1"/>
  <c r="AK28" i="1"/>
  <c r="X28" i="1"/>
  <c r="AK10" i="1"/>
  <c r="X10" i="1"/>
  <c r="AK19" i="1"/>
  <c r="X19" i="1"/>
  <c r="AK25" i="1"/>
  <c r="X25" i="1"/>
  <c r="AJ619" i="1"/>
  <c r="AJ620" i="1"/>
  <c r="AJ621" i="1"/>
  <c r="AJ622" i="1"/>
  <c r="AJ623" i="1"/>
  <c r="AJ624" i="1"/>
  <c r="AJ625" i="1"/>
  <c r="AJ626" i="1"/>
  <c r="AJ627" i="1"/>
  <c r="AJ628" i="1"/>
  <c r="AJ629" i="1"/>
  <c r="AJ630" i="1"/>
  <c r="AJ631" i="1"/>
  <c r="AJ632" i="1"/>
  <c r="AJ633" i="1"/>
  <c r="AK633" i="1"/>
  <c r="X633" i="1"/>
  <c r="AK30" i="1"/>
  <c r="X30" i="1"/>
  <c r="AK632" i="1"/>
  <c r="X632" i="1"/>
  <c r="AK29" i="1"/>
  <c r="X29" i="1"/>
  <c r="AK5" i="1"/>
  <c r="X5" i="1"/>
  <c r="AK627" i="1"/>
  <c r="X627" i="1"/>
  <c r="AK4" i="1"/>
  <c r="X4" i="1"/>
  <c r="AK628" i="1"/>
  <c r="X628" i="1"/>
  <c r="AK631" i="1"/>
  <c r="X631" i="1"/>
  <c r="AK629" i="1"/>
  <c r="X629" i="1"/>
  <c r="AK630" i="1"/>
  <c r="X630" i="1"/>
  <c r="AK624" i="1"/>
  <c r="X624" i="1"/>
  <c r="AK614" i="1"/>
  <c r="X614" i="1"/>
  <c r="AK613" i="1"/>
  <c r="X613" i="1"/>
  <c r="AK626" i="1"/>
  <c r="X626" i="1"/>
  <c r="AK625" i="1"/>
  <c r="X625" i="1"/>
  <c r="AK618" i="1"/>
  <c r="X618" i="1"/>
  <c r="AK623" i="1"/>
  <c r="X623" i="1"/>
  <c r="AK611" i="1"/>
  <c r="X611" i="1"/>
  <c r="AK610" i="1"/>
  <c r="X610" i="1"/>
  <c r="AK620" i="1"/>
  <c r="X620" i="1"/>
  <c r="AK619" i="1"/>
  <c r="X619" i="1"/>
  <c r="AK622" i="1"/>
  <c r="X622" i="1"/>
  <c r="AK605" i="1"/>
  <c r="X605" i="1"/>
  <c r="AK621" i="1"/>
  <c r="X621" i="1"/>
  <c r="AK604" i="1"/>
  <c r="X604" i="1"/>
  <c r="AK607" i="1"/>
  <c r="X607" i="1"/>
  <c r="AK576" i="1"/>
  <c r="X576" i="1"/>
  <c r="AK606" i="1"/>
  <c r="X606" i="1"/>
  <c r="AK99" i="1"/>
  <c r="X99" i="1"/>
  <c r="AK590" i="1"/>
  <c r="X590" i="1"/>
  <c r="AK596" i="1"/>
  <c r="X596" i="1"/>
  <c r="AK599" i="1"/>
  <c r="X599" i="1"/>
  <c r="AK587" i="1"/>
  <c r="X587" i="1"/>
  <c r="AK586" i="1"/>
  <c r="X586" i="1"/>
  <c r="AK595" i="1"/>
  <c r="X595" i="1"/>
  <c r="AK598" i="1"/>
  <c r="X598" i="1"/>
  <c r="AK594" i="1"/>
  <c r="X594" i="1"/>
  <c r="AK601" i="1"/>
  <c r="X601" i="1"/>
  <c r="AK597" i="1"/>
  <c r="X597" i="1"/>
  <c r="AK609" i="1"/>
  <c r="X609" i="1"/>
  <c r="AK600" i="1"/>
  <c r="X600" i="1"/>
  <c r="AK608" i="1"/>
  <c r="X608" i="1"/>
  <c r="AK603" i="1"/>
  <c r="X603" i="1"/>
  <c r="AK602" i="1"/>
  <c r="X602" i="1"/>
  <c r="AK582" i="1"/>
  <c r="X582" i="1"/>
  <c r="AK575" i="1"/>
  <c r="X575" i="1"/>
  <c r="AK585" i="1"/>
  <c r="X585" i="1"/>
  <c r="AK592" i="1"/>
  <c r="X592" i="1"/>
  <c r="AK591" i="1"/>
  <c r="X591" i="1"/>
  <c r="AK589" i="1"/>
  <c r="X589" i="1"/>
  <c r="AK588" i="1"/>
  <c r="X588" i="1"/>
  <c r="AK574" i="1"/>
  <c r="X574" i="1"/>
  <c r="AK571" i="1"/>
  <c r="X571" i="1"/>
  <c r="AK564" i="1"/>
  <c r="X564" i="1"/>
  <c r="AK563" i="1"/>
  <c r="X563" i="1"/>
  <c r="AK562" i="1"/>
  <c r="X562" i="1"/>
  <c r="AK581" i="1"/>
  <c r="X581" i="1"/>
  <c r="AK561" i="1"/>
  <c r="X561" i="1"/>
  <c r="AK580" i="1"/>
  <c r="X580" i="1"/>
  <c r="AK531" i="1"/>
  <c r="X531" i="1"/>
  <c r="AK554" i="1"/>
  <c r="X554" i="1"/>
  <c r="AK584" i="1"/>
  <c r="X584" i="1"/>
  <c r="AK530" i="1"/>
  <c r="X530" i="1"/>
  <c r="AK579" i="1"/>
  <c r="X579" i="1"/>
  <c r="AK583" i="1"/>
  <c r="X583" i="1"/>
  <c r="AK578" i="1"/>
  <c r="X578" i="1"/>
  <c r="AK573" i="1"/>
  <c r="X573" i="1"/>
  <c r="AK487" i="1"/>
  <c r="X487" i="1"/>
  <c r="AK572" i="1"/>
  <c r="X572" i="1"/>
  <c r="AK556" i="1"/>
  <c r="X556" i="1"/>
  <c r="AK555" i="1"/>
  <c r="X555" i="1"/>
  <c r="AK546" i="1"/>
  <c r="X546" i="1"/>
  <c r="AK545" i="1"/>
  <c r="X545" i="1"/>
  <c r="AK529" i="1"/>
  <c r="X529" i="1"/>
  <c r="AK522" i="1"/>
  <c r="X522" i="1"/>
  <c r="AK514" i="1"/>
  <c r="X514" i="1"/>
  <c r="AK515" i="1"/>
  <c r="X515" i="1"/>
  <c r="AK503" i="1"/>
  <c r="X503" i="1"/>
  <c r="AK491" i="1"/>
  <c r="X491" i="1"/>
  <c r="AK455" i="1"/>
  <c r="X455" i="1"/>
  <c r="AK496" i="1"/>
  <c r="X496" i="1"/>
  <c r="AK550" i="1"/>
  <c r="X550" i="1"/>
  <c r="AK393" i="1"/>
  <c r="X393" i="1"/>
  <c r="AK549" i="1"/>
  <c r="X549" i="1"/>
  <c r="AK392" i="1"/>
  <c r="X392" i="1"/>
  <c r="AK553" i="1"/>
  <c r="X553" i="1"/>
  <c r="AK528" i="1"/>
  <c r="X528" i="1"/>
  <c r="AK552" i="1"/>
  <c r="X552" i="1"/>
  <c r="AK527" i="1"/>
  <c r="X527" i="1"/>
  <c r="AK548" i="1"/>
  <c r="X548" i="1"/>
  <c r="AK547" i="1"/>
  <c r="X547" i="1"/>
  <c r="AK536" i="1"/>
  <c r="X536" i="1"/>
  <c r="AK540" i="1"/>
  <c r="X540" i="1"/>
  <c r="AK539" i="1"/>
  <c r="X539" i="1"/>
  <c r="AK375" i="1"/>
  <c r="X375" i="1"/>
  <c r="AK524" i="1"/>
  <c r="X524" i="1"/>
  <c r="AK494" i="1"/>
  <c r="X494" i="1"/>
  <c r="AK498" i="1"/>
  <c r="X498" i="1"/>
  <c r="AK497" i="1"/>
  <c r="X497" i="1"/>
  <c r="AK486" i="1"/>
  <c r="X486" i="1"/>
  <c r="AK485" i="1"/>
  <c r="X485" i="1"/>
  <c r="AK484" i="1"/>
  <c r="X484" i="1"/>
  <c r="AK538" i="1"/>
  <c r="X538" i="1"/>
  <c r="AK537" i="1"/>
  <c r="X537" i="1"/>
  <c r="AK535" i="1"/>
  <c r="X535" i="1"/>
  <c r="AK534" i="1"/>
  <c r="X534" i="1"/>
  <c r="AK521" i="1"/>
  <c r="X521" i="1"/>
  <c r="AK520" i="1"/>
  <c r="X520" i="1"/>
  <c r="AK452" i="1"/>
  <c r="X452" i="1"/>
  <c r="AK451" i="1"/>
  <c r="X451" i="1"/>
  <c r="AK526" i="1"/>
  <c r="X526" i="1"/>
  <c r="AK525" i="1"/>
  <c r="X525" i="1"/>
  <c r="AK519" i="1"/>
  <c r="X519" i="1"/>
  <c r="AK518" i="1"/>
  <c r="X518" i="1"/>
  <c r="AK479" i="1"/>
  <c r="X479" i="1"/>
  <c r="AK504" i="1"/>
  <c r="X504" i="1"/>
  <c r="AK420" i="1"/>
  <c r="X420" i="1"/>
  <c r="AK419" i="1"/>
  <c r="X419" i="1"/>
  <c r="AK513" i="1"/>
  <c r="X513" i="1"/>
  <c r="AK533" i="1"/>
  <c r="X533" i="1"/>
  <c r="AK512" i="1"/>
  <c r="X512" i="1"/>
  <c r="AK532" i="1"/>
  <c r="X532" i="1"/>
  <c r="AK507" i="1"/>
  <c r="X507" i="1"/>
  <c r="AK474" i="1"/>
  <c r="X474" i="1"/>
  <c r="AK473" i="1"/>
  <c r="X473" i="1"/>
  <c r="AK517" i="1"/>
  <c r="X517" i="1"/>
  <c r="AK489" i="1"/>
  <c r="X489" i="1"/>
  <c r="AK516" i="1"/>
  <c r="X516" i="1"/>
  <c r="AK488" i="1"/>
  <c r="X488" i="1"/>
  <c r="AK449" i="1"/>
  <c r="X449" i="1"/>
  <c r="AK448" i="1"/>
  <c r="X448" i="1"/>
  <c r="AK442" i="1"/>
  <c r="X442" i="1"/>
  <c r="AK368" i="1"/>
  <c r="X368" i="1"/>
  <c r="AK367" i="1"/>
  <c r="X367" i="1"/>
  <c r="AK362" i="1"/>
  <c r="X362" i="1"/>
  <c r="AK506" i="1"/>
  <c r="X506" i="1"/>
  <c r="AK505" i="1"/>
  <c r="X505" i="1"/>
  <c r="AK502" i="1"/>
  <c r="X502" i="1"/>
  <c r="AK427" i="1"/>
  <c r="X427" i="1"/>
  <c r="AK501" i="1"/>
  <c r="X501" i="1"/>
  <c r="AK509" i="1"/>
  <c r="X509" i="1"/>
  <c r="AK408" i="1"/>
  <c r="X408" i="1"/>
  <c r="AK508" i="1"/>
  <c r="X508" i="1"/>
  <c r="AK237" i="1"/>
  <c r="X237" i="1"/>
  <c r="AK236" i="1"/>
  <c r="X236" i="1"/>
  <c r="AK302" i="1"/>
  <c r="X302" i="1"/>
  <c r="AK311" i="1"/>
  <c r="X311" i="1"/>
  <c r="AK301" i="1"/>
  <c r="X301" i="1"/>
  <c r="AK493" i="1"/>
  <c r="X493" i="1"/>
  <c r="AK300" i="1"/>
  <c r="X300" i="1"/>
  <c r="AK492" i="1"/>
  <c r="X492" i="1"/>
  <c r="AK500" i="1"/>
  <c r="X500" i="1"/>
  <c r="AK499" i="1"/>
  <c r="X499" i="1"/>
  <c r="AK388" i="1"/>
  <c r="X388" i="1"/>
  <c r="AK387" i="1"/>
  <c r="X387" i="1"/>
  <c r="AK291" i="1"/>
  <c r="X291" i="1"/>
  <c r="AK462" i="1"/>
  <c r="X462" i="1"/>
  <c r="AK290" i="1"/>
  <c r="X290" i="1"/>
  <c r="AK461" i="1"/>
  <c r="X461" i="1"/>
  <c r="AK310" i="1"/>
  <c r="X310" i="1"/>
  <c r="AK433" i="1"/>
  <c r="X433" i="1"/>
  <c r="AK309" i="1"/>
  <c r="X309" i="1"/>
  <c r="AK432" i="1"/>
  <c r="X432" i="1"/>
  <c r="AK426" i="1"/>
  <c r="X426" i="1"/>
  <c r="AK372" i="1"/>
  <c r="X372" i="1"/>
  <c r="AK425" i="1"/>
  <c r="X425" i="1"/>
  <c r="AK467" i="1"/>
  <c r="X467" i="1"/>
  <c r="AK186" i="1"/>
  <c r="X186" i="1"/>
  <c r="AK342" i="1"/>
  <c r="X342" i="1"/>
  <c r="AK478" i="1"/>
  <c r="X478" i="1"/>
  <c r="AK483" i="1"/>
  <c r="X483" i="1"/>
  <c r="AK477" i="1"/>
  <c r="X477" i="1"/>
  <c r="AK482" i="1"/>
  <c r="X482" i="1"/>
  <c r="AK358" i="1"/>
  <c r="X358" i="1"/>
  <c r="AK331" i="1"/>
  <c r="X331" i="1"/>
  <c r="AK418" i="1"/>
  <c r="X418" i="1"/>
  <c r="AK417" i="1"/>
  <c r="X417" i="1"/>
  <c r="AK481" i="1"/>
  <c r="X481" i="1"/>
  <c r="AK480" i="1"/>
  <c r="X480" i="1"/>
  <c r="AK469" i="1"/>
  <c r="X469" i="1"/>
  <c r="AK437" i="1"/>
  <c r="X437" i="1"/>
  <c r="AK468" i="1"/>
  <c r="X468" i="1"/>
  <c r="AK454" i="1"/>
  <c r="X454" i="1"/>
  <c r="AK436" i="1"/>
  <c r="X436" i="1"/>
  <c r="AK453" i="1"/>
  <c r="X453" i="1"/>
  <c r="AK244" i="1"/>
  <c r="X244" i="1"/>
  <c r="AK330" i="1"/>
  <c r="X330" i="1"/>
  <c r="AK355" i="1"/>
  <c r="X355" i="1"/>
  <c r="AK341" i="1"/>
  <c r="X341" i="1"/>
  <c r="AK397" i="1"/>
  <c r="X397" i="1"/>
  <c r="AK435" i="1"/>
  <c r="X435" i="1"/>
  <c r="AK434" i="1"/>
  <c r="X434" i="1"/>
  <c r="AK364" i="1"/>
  <c r="X364" i="1"/>
  <c r="AK371" i="1"/>
  <c r="X371" i="1"/>
  <c r="AK363" i="1"/>
  <c r="X363" i="1"/>
  <c r="AK404" i="1"/>
  <c r="X404" i="1"/>
  <c r="AK370" i="1"/>
  <c r="X370" i="1"/>
  <c r="AK318" i="1"/>
  <c r="X318" i="1"/>
  <c r="AK308" i="1"/>
  <c r="X308" i="1"/>
  <c r="AK317" i="1"/>
  <c r="X317" i="1"/>
  <c r="AK316" i="1"/>
  <c r="X316" i="1"/>
  <c r="AK457" i="1"/>
  <c r="X457" i="1"/>
  <c r="AK315" i="1"/>
  <c r="X315" i="1"/>
  <c r="AK456" i="1"/>
  <c r="X456" i="1"/>
  <c r="AK314" i="1"/>
  <c r="X314" i="1"/>
  <c r="AK374" i="1"/>
  <c r="X374" i="1"/>
  <c r="AK373" i="1"/>
  <c r="X373" i="1"/>
  <c r="AK405" i="1"/>
  <c r="X405" i="1"/>
  <c r="AK340" i="1"/>
  <c r="X340" i="1"/>
  <c r="AK441" i="1"/>
  <c r="X441" i="1"/>
  <c r="AK339" i="1"/>
  <c r="X339" i="1"/>
  <c r="AK440" i="1"/>
  <c r="X440" i="1"/>
  <c r="AK271" i="1"/>
  <c r="X271" i="1"/>
  <c r="AK333" i="1"/>
  <c r="X333" i="1"/>
  <c r="AK332" i="1"/>
  <c r="X332" i="1"/>
  <c r="AK390" i="1"/>
  <c r="X390" i="1"/>
  <c r="AK389" i="1"/>
  <c r="X389" i="1"/>
  <c r="AK377" i="1"/>
  <c r="X377" i="1"/>
  <c r="AK376" i="1"/>
  <c r="X376" i="1"/>
  <c r="AK277" i="1"/>
  <c r="X277" i="1"/>
  <c r="AK297" i="1"/>
  <c r="X297" i="1"/>
  <c r="AK416" i="1"/>
  <c r="X416" i="1"/>
  <c r="AK415" i="1"/>
  <c r="X415" i="1"/>
  <c r="AK283" i="1"/>
  <c r="X283" i="1"/>
  <c r="AK131" i="1"/>
  <c r="X131" i="1"/>
  <c r="AK412" i="1"/>
  <c r="X412" i="1"/>
  <c r="AK411" i="1"/>
  <c r="X411" i="1"/>
  <c r="AK269" i="1"/>
  <c r="X269" i="1"/>
  <c r="AK399" i="1"/>
  <c r="X399" i="1"/>
  <c r="AK398" i="1"/>
  <c r="X398" i="1"/>
  <c r="AK163" i="1"/>
  <c r="X163" i="1"/>
  <c r="AK217" i="1"/>
  <c r="X217" i="1"/>
  <c r="AK98" i="1"/>
  <c r="X98" i="1"/>
  <c r="AK97" i="1"/>
  <c r="X97" i="1"/>
  <c r="AK225" i="1"/>
  <c r="X225" i="1"/>
  <c r="AK252" i="1"/>
  <c r="X252" i="1"/>
  <c r="AK224" i="1"/>
  <c r="X224" i="1"/>
  <c r="AK395" i="1"/>
  <c r="X395" i="1"/>
  <c r="AK394" i="1"/>
  <c r="X394" i="1"/>
  <c r="AK401" i="1"/>
  <c r="X401" i="1"/>
  <c r="AK294" i="1"/>
  <c r="X294" i="1"/>
  <c r="AK260" i="1"/>
  <c r="X260" i="1"/>
  <c r="AK259" i="1"/>
  <c r="X259" i="1"/>
  <c r="AK407" i="1"/>
  <c r="X407" i="1"/>
  <c r="AK406" i="1"/>
  <c r="X406" i="1"/>
  <c r="AK357" i="1"/>
  <c r="X357" i="1"/>
  <c r="AK356" i="1"/>
  <c r="X356" i="1"/>
  <c r="AK403" i="1"/>
  <c r="X403" i="1"/>
  <c r="AK402" i="1"/>
  <c r="X402" i="1"/>
  <c r="AK197" i="1"/>
  <c r="X197" i="1"/>
  <c r="AK304" i="1"/>
  <c r="X304" i="1"/>
  <c r="AK299" i="1"/>
  <c r="X299" i="1"/>
  <c r="AK298" i="1"/>
  <c r="X298" i="1"/>
  <c r="AK249" i="1"/>
  <c r="X249" i="1"/>
  <c r="AK188" i="1"/>
  <c r="X188" i="1"/>
  <c r="AK187" i="1"/>
  <c r="X187" i="1"/>
  <c r="AK322" i="1"/>
  <c r="X322" i="1"/>
  <c r="AK321" i="1"/>
  <c r="X321" i="1"/>
  <c r="AK151" i="1"/>
  <c r="X151" i="1"/>
  <c r="AK150" i="1"/>
  <c r="X150" i="1"/>
  <c r="AK239" i="1"/>
  <c r="X239" i="1"/>
  <c r="AK160" i="1"/>
  <c r="X160" i="1"/>
  <c r="AK238" i="1"/>
  <c r="X238" i="1"/>
  <c r="AK329" i="1"/>
  <c r="X329" i="1"/>
  <c r="AK272" i="1"/>
  <c r="X272" i="1"/>
  <c r="AK328" i="1"/>
  <c r="X328" i="1"/>
  <c r="AK196" i="1"/>
  <c r="X196" i="1"/>
  <c r="AK146" i="1"/>
  <c r="X146" i="1"/>
  <c r="AK195" i="1"/>
  <c r="X195" i="1"/>
  <c r="AK145" i="1"/>
  <c r="X145" i="1"/>
  <c r="AK361" i="1"/>
  <c r="X361" i="1"/>
  <c r="AK360" i="1"/>
  <c r="X360" i="1"/>
  <c r="AK256" i="1"/>
  <c r="X256" i="1"/>
  <c r="AK305" i="1"/>
  <c r="X305" i="1"/>
  <c r="AK191" i="1"/>
  <c r="X191" i="1"/>
  <c r="AK190" i="1"/>
  <c r="X190" i="1"/>
  <c r="AK327" i="1"/>
  <c r="X327" i="1"/>
  <c r="AK243" i="1"/>
  <c r="X243" i="1"/>
  <c r="AK326" i="1"/>
  <c r="X326" i="1"/>
  <c r="AK216" i="1"/>
  <c r="X216" i="1"/>
  <c r="AK162" i="1"/>
  <c r="X162" i="1"/>
  <c r="AK215" i="1"/>
  <c r="X215" i="1"/>
  <c r="AK161" i="1"/>
  <c r="X161" i="1"/>
  <c r="AK166" i="1"/>
  <c r="X166" i="1"/>
  <c r="AK251" i="1"/>
  <c r="X251" i="1"/>
  <c r="AK285" i="1"/>
  <c r="X285" i="1"/>
  <c r="AK250" i="1"/>
  <c r="X250" i="1"/>
  <c r="AK133" i="1"/>
  <c r="X133" i="1"/>
  <c r="AK193" i="1"/>
  <c r="X193" i="1"/>
  <c r="AK192" i="1"/>
  <c r="X192" i="1"/>
  <c r="AK276" i="1"/>
  <c r="X276" i="1"/>
  <c r="AK282" i="1"/>
  <c r="X282" i="1"/>
  <c r="AK275" i="1"/>
  <c r="X275" i="1"/>
  <c r="AK307" i="1"/>
  <c r="X307" i="1"/>
  <c r="AK119" i="1"/>
  <c r="X119" i="1"/>
  <c r="AK255" i="1"/>
  <c r="X255" i="1"/>
  <c r="AK306" i="1"/>
  <c r="X306" i="1"/>
  <c r="AK262" i="1"/>
  <c r="X262" i="1"/>
  <c r="AK199" i="1"/>
  <c r="X199" i="1"/>
  <c r="AK261" i="1"/>
  <c r="X261" i="1"/>
  <c r="AK320" i="1"/>
  <c r="X320" i="1"/>
  <c r="AK319" i="1"/>
  <c r="X319" i="1"/>
  <c r="AK274" i="1"/>
  <c r="X274" i="1"/>
  <c r="AK273" i="1"/>
  <c r="X273" i="1"/>
  <c r="AK268" i="1"/>
  <c r="X268" i="1"/>
  <c r="AK168" i="1"/>
  <c r="X168" i="1"/>
  <c r="AK267" i="1"/>
  <c r="X267" i="1"/>
  <c r="AK167" i="1"/>
  <c r="X167" i="1"/>
  <c r="AK279" i="1"/>
  <c r="X279" i="1"/>
  <c r="AK278" i="1"/>
  <c r="X278" i="1"/>
  <c r="AK296" i="1"/>
  <c r="X296" i="1"/>
  <c r="AK295" i="1"/>
  <c r="X295" i="1"/>
  <c r="AK229" i="1"/>
  <c r="X229" i="1"/>
  <c r="AK228" i="1"/>
  <c r="X228" i="1"/>
  <c r="AK264" i="1"/>
  <c r="X264" i="1"/>
  <c r="AK263" i="1"/>
  <c r="X263" i="1"/>
  <c r="AK293" i="1"/>
  <c r="X293" i="1"/>
  <c r="AK292" i="1"/>
  <c r="X292" i="1"/>
  <c r="AK149" i="1"/>
  <c r="X149" i="1"/>
  <c r="AK148" i="1"/>
  <c r="X148" i="1"/>
  <c r="AK287" i="1"/>
  <c r="X287" i="1"/>
  <c r="AK286" i="1"/>
  <c r="X286" i="1"/>
  <c r="AK248" i="1"/>
  <c r="X248" i="1"/>
  <c r="AK247" i="1"/>
  <c r="X247" i="1"/>
  <c r="AK206" i="1"/>
  <c r="X206" i="1"/>
  <c r="AK240" i="1"/>
  <c r="X240" i="1"/>
  <c r="AK205" i="1"/>
  <c r="X205" i="1"/>
  <c r="AK170" i="1"/>
  <c r="X170" i="1"/>
  <c r="AK169" i="1"/>
  <c r="X169" i="1"/>
  <c r="AK209" i="1"/>
  <c r="X209" i="1"/>
  <c r="AK208" i="1"/>
  <c r="X208" i="1"/>
  <c r="AK281" i="1"/>
  <c r="X281" i="1"/>
  <c r="AK280" i="1"/>
  <c r="X280" i="1"/>
  <c r="AK96" i="1"/>
  <c r="X96" i="1"/>
  <c r="AK95" i="1"/>
  <c r="X95" i="1"/>
  <c r="AK157" i="1"/>
  <c r="X157" i="1"/>
  <c r="AK246" i="1"/>
  <c r="X246" i="1"/>
  <c r="AK46" i="1"/>
  <c r="X46" i="1"/>
  <c r="AK254" i="1"/>
  <c r="X254" i="1"/>
  <c r="AK245" i="1"/>
  <c r="X245" i="1"/>
  <c r="AK235" i="1"/>
  <c r="X235" i="1"/>
  <c r="AK253" i="1"/>
  <c r="X253" i="1"/>
  <c r="AK70" i="1"/>
  <c r="X70" i="1"/>
  <c r="AK42" i="1"/>
  <c r="X42" i="1"/>
  <c r="AK69" i="1"/>
  <c r="X69" i="1"/>
  <c r="AK141" i="1"/>
  <c r="X141" i="1"/>
  <c r="AK41" i="1"/>
  <c r="X41" i="1"/>
  <c r="AK178" i="1"/>
  <c r="X178" i="1"/>
  <c r="AK140" i="1"/>
  <c r="X140" i="1"/>
  <c r="AK177" i="1"/>
  <c r="X177" i="1"/>
  <c r="AK92" i="1"/>
  <c r="X92" i="1"/>
  <c r="AK232" i="1"/>
  <c r="X232" i="1"/>
  <c r="AK242" i="1"/>
  <c r="X242" i="1"/>
  <c r="AK159" i="1"/>
  <c r="X159" i="1"/>
  <c r="AK241" i="1"/>
  <c r="X241" i="1"/>
  <c r="AK165" i="1"/>
  <c r="X165" i="1"/>
  <c r="AK158" i="1"/>
  <c r="X158" i="1"/>
  <c r="AK68" i="1"/>
  <c r="X68" i="1"/>
  <c r="AK164" i="1"/>
  <c r="X164" i="1"/>
  <c r="AK258" i="1"/>
  <c r="X258" i="1"/>
  <c r="AK67" i="1"/>
  <c r="X67" i="1"/>
  <c r="AK257" i="1"/>
  <c r="X257" i="1"/>
  <c r="AK227" i="1"/>
  <c r="X227" i="1"/>
  <c r="AK105" i="1"/>
  <c r="X105" i="1"/>
  <c r="AK226" i="1"/>
  <c r="X226" i="1"/>
  <c r="AK104" i="1"/>
  <c r="X104" i="1"/>
  <c r="AK180" i="1"/>
  <c r="X180" i="1"/>
  <c r="AK179" i="1"/>
  <c r="X179" i="1"/>
  <c r="AK201" i="1"/>
  <c r="X201" i="1"/>
  <c r="AK200" i="1"/>
  <c r="X200" i="1"/>
  <c r="AK183" i="1"/>
  <c r="X183" i="1"/>
  <c r="AK172" i="1"/>
  <c r="X172" i="1"/>
  <c r="AK171" i="1"/>
  <c r="X171" i="1"/>
  <c r="AK182" i="1"/>
  <c r="X182" i="1"/>
  <c r="AK181" i="1"/>
  <c r="X181" i="1"/>
  <c r="AK91" i="1"/>
  <c r="X91" i="1"/>
  <c r="AK234" i="1"/>
  <c r="X234" i="1"/>
  <c r="AK233" i="1"/>
  <c r="X233" i="1"/>
  <c r="AK174" i="1"/>
  <c r="X174" i="1"/>
  <c r="AK101" i="1"/>
  <c r="X101" i="1"/>
  <c r="AK100" i="1"/>
  <c r="X100" i="1"/>
  <c r="AK176" i="1"/>
  <c r="X176" i="1"/>
  <c r="AK154" i="1"/>
  <c r="X154" i="1"/>
  <c r="AK175" i="1"/>
  <c r="X175" i="1"/>
  <c r="AK138" i="1"/>
  <c r="X138" i="1"/>
  <c r="AK137" i="1"/>
  <c r="X137" i="1"/>
  <c r="AK35" i="1"/>
  <c r="X35" i="1"/>
  <c r="AK66" i="1"/>
  <c r="X66" i="1"/>
  <c r="AK44" i="1"/>
  <c r="X44" i="1"/>
  <c r="AK65" i="1"/>
  <c r="X65" i="1"/>
  <c r="AK43" i="1"/>
  <c r="X43" i="1"/>
  <c r="AK126" i="1"/>
  <c r="X126" i="1"/>
  <c r="AK121" i="1"/>
  <c r="X121" i="1"/>
  <c r="AK125" i="1"/>
  <c r="X125" i="1"/>
  <c r="AK120" i="1"/>
  <c r="X120" i="1"/>
  <c r="AK185" i="1"/>
  <c r="X185" i="1"/>
  <c r="AK184" i="1"/>
  <c r="X184" i="1"/>
  <c r="AK73" i="1"/>
  <c r="X73" i="1"/>
  <c r="AK124" i="1"/>
  <c r="X124" i="1"/>
  <c r="AK123" i="1"/>
  <c r="X123" i="1"/>
  <c r="AK153" i="1"/>
  <c r="X153" i="1"/>
  <c r="AK152" i="1"/>
  <c r="X152" i="1"/>
  <c r="AK48" i="1"/>
  <c r="X48" i="1"/>
  <c r="AK63" i="1"/>
  <c r="X63" i="1"/>
  <c r="AK47" i="1"/>
  <c r="X47" i="1"/>
  <c r="AK62" i="1"/>
  <c r="X62" i="1"/>
  <c r="AK82" i="1"/>
  <c r="X82" i="1"/>
  <c r="AK81" i="1"/>
  <c r="X81" i="1"/>
  <c r="AK134" i="1"/>
  <c r="X134" i="1"/>
  <c r="AK59" i="1"/>
  <c r="X59" i="1"/>
  <c r="AK136" i="1"/>
  <c r="X136" i="1"/>
  <c r="AK111" i="1"/>
  <c r="X111" i="1"/>
  <c r="AK135" i="1"/>
  <c r="X135" i="1"/>
  <c r="AK116" i="1"/>
  <c r="X116" i="1"/>
  <c r="AK115" i="1"/>
  <c r="X115" i="1"/>
  <c r="AK79" i="1"/>
  <c r="X79" i="1"/>
  <c r="AK94" i="1"/>
  <c r="X94" i="1"/>
  <c r="AK78" i="1"/>
  <c r="X78" i="1"/>
  <c r="AK114" i="1"/>
  <c r="X114" i="1"/>
  <c r="AK93" i="1"/>
  <c r="X93" i="1"/>
  <c r="AK128" i="1"/>
  <c r="X128" i="1"/>
  <c r="AK130" i="1"/>
  <c r="X130" i="1"/>
  <c r="AK127" i="1"/>
  <c r="X127" i="1"/>
  <c r="AK129" i="1"/>
  <c r="X129" i="1"/>
  <c r="AK84" i="1"/>
  <c r="X84" i="1"/>
  <c r="AK113" i="1"/>
  <c r="X113" i="1"/>
  <c r="AK83" i="1"/>
  <c r="X83" i="1"/>
  <c r="AK112" i="1"/>
  <c r="X112" i="1"/>
  <c r="AK27" i="1"/>
  <c r="X27" i="1"/>
  <c r="AK26" i="1"/>
  <c r="X26" i="1"/>
  <c r="AK88" i="1"/>
  <c r="X88" i="1"/>
  <c r="AK76" i="1"/>
  <c r="X76" i="1"/>
  <c r="AK75" i="1"/>
  <c r="X75" i="1"/>
  <c r="AK109" i="1"/>
  <c r="X109" i="1"/>
  <c r="AK108" i="1"/>
  <c r="X108" i="1"/>
  <c r="AK90" i="1"/>
  <c r="X90" i="1"/>
  <c r="AK89" i="1"/>
  <c r="X89" i="1"/>
  <c r="AK52" i="1"/>
  <c r="X52" i="1"/>
  <c r="AK51" i="1"/>
  <c r="X51" i="1"/>
  <c r="AK12" i="1"/>
  <c r="X12" i="1"/>
  <c r="AK11" i="1"/>
  <c r="X11" i="1"/>
  <c r="AK40" i="1"/>
  <c r="X40" i="1"/>
  <c r="AK39" i="1"/>
  <c r="X39" i="1"/>
  <c r="AK13" i="1"/>
  <c r="X13" i="1"/>
  <c r="AK72" i="1"/>
  <c r="X72" i="1"/>
  <c r="AK71" i="1"/>
  <c r="X71" i="1"/>
  <c r="AK54" i="1"/>
  <c r="X54" i="1"/>
  <c r="AK53" i="1"/>
  <c r="X53" i="1"/>
  <c r="AK61" i="1"/>
  <c r="X61" i="1"/>
  <c r="AK60" i="1"/>
  <c r="X60" i="1"/>
  <c r="AK34" i="1"/>
  <c r="X34" i="1"/>
  <c r="AK50" i="1"/>
  <c r="X50" i="1"/>
  <c r="AK33" i="1"/>
  <c r="X33" i="1"/>
  <c r="AK49" i="1"/>
  <c r="X49" i="1"/>
  <c r="AK18" i="1"/>
  <c r="X18" i="1"/>
  <c r="AK17" i="1"/>
  <c r="X17" i="1"/>
  <c r="AK38" i="1"/>
  <c r="X38" i="1"/>
  <c r="AK37" i="1"/>
  <c r="X37" i="1"/>
  <c r="AK16" i="1"/>
  <c r="X16" i="1"/>
  <c r="AK9" i="1"/>
  <c r="X9" i="1"/>
  <c r="AK6" i="1"/>
  <c r="X6" i="1"/>
  <c r="AK8" i="1"/>
  <c r="X8" i="1"/>
  <c r="AK7" i="1"/>
  <c r="X7" i="1"/>
  <c r="AK15" i="1"/>
  <c r="X15" i="1"/>
  <c r="AK14" i="1"/>
  <c r="X14" i="1"/>
</calcChain>
</file>

<file path=xl/sharedStrings.xml><?xml version="1.0" encoding="utf-8"?>
<sst xmlns="http://schemas.openxmlformats.org/spreadsheetml/2006/main" count="6572" uniqueCount="1479">
  <si>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</si>
  <si>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</si>
  <si>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</si>
  <si>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</si>
  <si>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</si>
  <si>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</si>
  <si>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</si>
  <si>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</si>
  <si>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</si>
  <si>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</si>
  <si>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</si>
  <si>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</si>
  <si>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</si>
  <si>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</si>
  <si>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</si>
  <si>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</si>
  <si>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</si>
  <si>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</si>
  <si>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</si>
  <si>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</si>
  <si>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</si>
  <si>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</si>
  <si>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</si>
  <si>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</si>
  <si>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</si>
  <si>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</si>
  <si>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</si>
  <si>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</si>
  <si>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</si>
  <si>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</si>
  <si>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</si>
  <si>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</si>
  <si>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</si>
  <si>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</si>
  <si>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</si>
  <si>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</si>
  <si>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</si>
  <si>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</si>
  <si>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</si>
  <si>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</si>
  <si>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</si>
  <si>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</si>
  <si>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</si>
  <si>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</si>
  <si>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</si>
  <si>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</si>
  <si>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</si>
  <si>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</si>
  <si>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</si>
  <si>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</si>
  <si>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</si>
  <si>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</si>
  <si>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</si>
  <si>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</si>
  <si>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</si>
  <si>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</si>
  <si>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</si>
  <si>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</si>
  <si>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</si>
  <si>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</si>
  <si>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</si>
  <si>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</si>
  <si>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</si>
  <si>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</si>
  <si>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</si>
  <si>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</si>
  <si>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</si>
  <si>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</si>
  <si>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</si>
  <si>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</si>
  <si>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</si>
  <si>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</si>
  <si>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</si>
  <si>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</si>
  <si>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</si>
  <si>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</si>
  <si>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</si>
  <si>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</si>
  <si>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</si>
  <si>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</si>
  <si>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</si>
  <si>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</si>
  <si>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</si>
  <si>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</si>
  <si>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</si>
  <si>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</si>
  <si>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</si>
  <si>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</si>
  <si>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</si>
  <si>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</si>
  <si>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</si>
  <si>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</si>
  <si>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</si>
  <si>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</si>
  <si>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</si>
  <si>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</si>
  <si>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</si>
  <si>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</si>
  <si>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</si>
  <si>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</si>
  <si>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</si>
  <si>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</si>
  <si>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</si>
  <si>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</si>
  <si>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</si>
  <si>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</si>
  <si>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</si>
  <si>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</si>
  <si>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</si>
  <si>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</si>
  <si>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</si>
  <si>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</si>
  <si>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</si>
  <si>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</si>
  <si>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</si>
  <si>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</si>
  <si>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</si>
  <si>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</si>
  <si>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</si>
  <si>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</si>
  <si>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</si>
  <si>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</si>
  <si>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</si>
  <si>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</si>
  <si>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</si>
  <si>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</si>
  <si>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</si>
  <si>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</si>
  <si>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</si>
  <si>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</si>
  <si>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</si>
  <si>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</si>
  <si>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</si>
  <si>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</si>
  <si>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</si>
  <si>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</si>
  <si>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</si>
  <si>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</si>
  <si>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</si>
  <si>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</si>
  <si>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</si>
  <si>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</si>
  <si>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</si>
  <si>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</si>
  <si>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</si>
  <si>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</si>
  <si>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</si>
  <si>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</si>
  <si>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</si>
  <si>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</si>
  <si>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</si>
  <si>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</si>
  <si>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</si>
  <si>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</si>
  <si>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</si>
  <si>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</si>
  <si>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</si>
  <si>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</si>
  <si>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</si>
  <si>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</si>
  <si>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</si>
  <si>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</si>
  <si>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</si>
  <si>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</si>
  <si>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</si>
  <si>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</si>
  <si>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</si>
  <si>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</si>
  <si>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</si>
  <si>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</si>
  <si>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</si>
  <si>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</si>
  <si>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</si>
  <si>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</si>
  <si>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</si>
  <si>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</si>
  <si>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</si>
  <si>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</si>
  <si>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</si>
  <si>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</si>
  <si>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</si>
  <si>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</si>
  <si>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</si>
  <si>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</si>
  <si>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</si>
  <si>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</si>
  <si>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</si>
  <si>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</si>
  <si>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</si>
  <si>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</si>
  <si>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</si>
  <si>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</si>
  <si>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</si>
  <si>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</si>
  <si>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</si>
  <si>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</si>
  <si>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</si>
  <si>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</si>
  <si>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</si>
  <si>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</si>
  <si>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</si>
  <si>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</si>
  <si>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</si>
  <si>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</si>
  <si>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</si>
  <si>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</si>
  <si>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</si>
  <si>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</si>
  <si>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</si>
  <si>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</si>
  <si>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</si>
  <si>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</si>
  <si>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</si>
  <si>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</si>
  <si>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</si>
  <si>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</si>
  <si>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</si>
  <si>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</si>
  <si>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</si>
  <si>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</si>
  <si>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</si>
  <si>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</si>
  <si>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</si>
  <si>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</si>
  <si>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</si>
  <si>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</si>
  <si>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</si>
  <si>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</si>
  <si>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</si>
  <si>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</si>
  <si>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</si>
  <si>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</si>
  <si>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</si>
  <si>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</si>
  <si>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</si>
  <si>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</si>
  <si>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</si>
  <si>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</si>
  <si>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</si>
  <si>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</si>
  <si>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</si>
  <si>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</si>
  <si>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</si>
  <si>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</si>
  <si>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</si>
  <si>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</si>
  <si>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</si>
  <si>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</si>
  <si>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</si>
  <si>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</si>
  <si>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</si>
  <si>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</si>
  <si>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</si>
  <si>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</si>
  <si>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</si>
  <si>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</si>
  <si>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</si>
  <si>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</si>
  <si>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</si>
  <si>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</si>
  <si>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</si>
  <si>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</si>
  <si>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</si>
  <si>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</si>
  <si>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</si>
  <si>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</si>
  <si>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</si>
  <si>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</si>
  <si>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</si>
  <si>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</si>
  <si>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</si>
  <si>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</si>
  <si>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</si>
  <si>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</si>
  <si>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</si>
  <si>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</si>
  <si>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</si>
  <si>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</si>
  <si>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</si>
  <si>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</si>
  <si>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</si>
  <si>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</si>
  <si>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</si>
  <si>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</si>
  <si>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</si>
  <si>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</si>
  <si>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</si>
  <si>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</si>
  <si>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</si>
  <si>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</si>
  <si>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</si>
  <si>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</si>
  <si>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</si>
  <si>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</si>
  <si>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</si>
  <si>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</si>
  <si>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</si>
  <si>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</si>
  <si>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</si>
  <si>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</si>
  <si>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</si>
  <si>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</si>
  <si>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</si>
  <si>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</si>
  <si>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</si>
  <si>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</si>
  <si>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</si>
  <si>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</si>
  <si>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</si>
  <si>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</si>
  <si>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</si>
  <si>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</si>
  <si>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</si>
  <si>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</si>
  <si>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</si>
  <si>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</si>
  <si>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</si>
  <si>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</si>
  <si>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</si>
  <si>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</si>
  <si>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</si>
  <si>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</si>
  <si>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</si>
  <si>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</si>
  <si>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</si>
  <si>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</si>
  <si>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</si>
  <si>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</si>
  <si>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</si>
  <si>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</si>
  <si>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</si>
  <si>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</si>
  <si>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</si>
  <si>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</si>
  <si>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</si>
  <si>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</si>
  <si>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</si>
  <si>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</si>
  <si>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</si>
  <si>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</si>
  <si>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</si>
  <si>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</si>
  <si>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</si>
  <si>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</si>
  <si>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</si>
  <si>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</si>
  <si>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</si>
  <si>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</si>
  <si>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</si>
  <si>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</si>
  <si>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</si>
  <si>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</si>
  <si>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</si>
  <si>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</si>
  <si>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</si>
  <si>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</si>
  <si>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</si>
  <si>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</si>
  <si>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</si>
  <si>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</si>
  <si>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</si>
  <si>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</si>
  <si>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</si>
  <si>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</si>
  <si>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</si>
  <si>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</si>
  <si>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</si>
  <si>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</si>
  <si>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</si>
  <si>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</si>
  <si>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</si>
  <si>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</si>
  <si>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</si>
  <si>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</si>
  <si>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</si>
  <si>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</si>
  <si>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</si>
  <si>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</si>
  <si>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</si>
  <si>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</si>
  <si>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</si>
  <si>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</si>
  <si>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</si>
  <si>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</si>
  <si>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</si>
  <si>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</si>
  <si>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</si>
  <si>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</si>
  <si>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</si>
  <si>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</si>
  <si>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</si>
  <si>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</si>
  <si>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</si>
  <si>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</si>
  <si>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</si>
  <si>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</si>
  <si>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</si>
  <si>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</si>
  <si>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</si>
  <si>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</si>
  <si>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</si>
  <si>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</si>
  <si>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</si>
  <si>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</si>
  <si>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</si>
  <si>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</si>
  <si>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</si>
  <si>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</si>
  <si>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</si>
  <si>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</si>
  <si>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</si>
  <si>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</si>
  <si>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</si>
  <si>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</si>
  <si>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</si>
  <si>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</si>
  <si>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</si>
  <si>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</si>
  <si>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</si>
  <si>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</si>
  <si>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</si>
  <si>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</si>
  <si>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</si>
  <si>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</si>
  <si>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</si>
  <si>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</si>
  <si>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</si>
  <si>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</si>
  <si>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</si>
  <si>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</si>
  <si>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</si>
  <si>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</si>
  <si>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</si>
  <si>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</si>
  <si>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</si>
  <si>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</si>
  <si>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</si>
  <si>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</si>
  <si>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</si>
  <si>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</si>
  <si>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</si>
  <si>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</si>
  <si>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</si>
  <si>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</si>
  <si>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</si>
  <si>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</si>
  <si>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</si>
  <si>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</si>
  <si>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</si>
  <si>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</si>
  <si>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</si>
  <si>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</si>
  <si>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</si>
  <si>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</si>
  <si>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</si>
  <si>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</si>
  <si>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</si>
  <si>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</si>
  <si>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</si>
  <si>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</si>
  <si>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</si>
  <si>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</si>
  <si>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</si>
  <si>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</si>
  <si>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</si>
  <si>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</si>
  <si>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</si>
  <si>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</si>
  <si>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</si>
  <si>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</si>
  <si>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</si>
  <si>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</si>
  <si>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</si>
  <si>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</si>
  <si>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</si>
  <si>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</si>
  <si>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</si>
  <si>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</si>
  <si>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</si>
  <si>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</si>
  <si>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</si>
  <si>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</si>
  <si>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</si>
  <si>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</si>
  <si>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</si>
  <si>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</si>
  <si>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</si>
  <si>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</si>
  <si>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</si>
  <si>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</si>
  <si>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</si>
  <si>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</si>
  <si>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</si>
  <si>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</si>
  <si>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</si>
  <si>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</si>
  <si>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</si>
  <si>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</si>
  <si>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</si>
  <si>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</si>
  <si>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</si>
  <si>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</si>
  <si>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</si>
  <si>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</si>
  <si>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</si>
  <si>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</si>
  <si>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</si>
  <si>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</si>
  <si>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</si>
  <si>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</si>
  <si>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</si>
  <si>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</si>
  <si>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</si>
  <si>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</si>
  <si>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</si>
  <si>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</si>
  <si>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</si>
  <si>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</si>
  <si>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</si>
  <si>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</si>
  <si>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</si>
  <si>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</si>
  <si>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</si>
  <si>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</si>
  <si>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</si>
  <si>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</si>
  <si>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</si>
  <si>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</si>
  <si>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</si>
  <si>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</si>
  <si>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</si>
  <si>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</si>
  <si>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</si>
  <si>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</si>
  <si>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</si>
  <si>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</si>
  <si>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</si>
  <si>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</si>
  <si>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</si>
  <si>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</si>
  <si>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</si>
  <si>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</si>
  <si>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</si>
  <si>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</si>
  <si>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</si>
  <si>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</si>
  <si>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</si>
  <si>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</si>
  <si>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</si>
  <si>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</si>
  <si>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</si>
  <si>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</si>
  <si>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</si>
  <si>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</si>
  <si>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</si>
  <si>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</si>
  <si>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</si>
  <si>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</si>
  <si>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</si>
  <si>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</si>
  <si>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</si>
  <si>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</si>
  <si>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</si>
  <si>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</si>
  <si>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</si>
  <si>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</si>
  <si>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</si>
  <si>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</si>
  <si>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</si>
  <si>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</si>
  <si>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</si>
  <si>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</si>
  <si>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</si>
  <si>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</si>
  <si>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</si>
  <si>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</si>
  <si>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</si>
  <si>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</si>
  <si>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</si>
  <si>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</si>
  <si>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</si>
  <si>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</si>
  <si>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</si>
  <si>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</si>
  <si>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</si>
  <si>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</si>
  <si>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</si>
  <si>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</si>
  <si>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</si>
  <si>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</si>
  <si>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</si>
  <si>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</si>
  <si>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</si>
  <si>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</si>
  <si>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</si>
  <si>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</si>
  <si>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</si>
  <si>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</si>
  <si>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</si>
  <si>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</si>
  <si>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</si>
  <si>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</si>
  <si>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</si>
  <si>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</si>
  <si>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</si>
  <si>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</si>
  <si>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</si>
  <si>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</si>
  <si>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</si>
  <si>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</si>
  <si>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</si>
  <si>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</si>
  <si>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</si>
  <si>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</si>
  <si>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</si>
  <si>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</si>
  <si>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</si>
  <si>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</si>
  <si>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</si>
  <si>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</si>
  <si>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</si>
  <si>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</si>
  <si>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</si>
  <si>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</si>
  <si>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</si>
  <si>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</si>
  <si>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</si>
  <si>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</si>
  <si>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</si>
  <si>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</si>
  <si>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</si>
  <si>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</si>
  <si>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</si>
  <si>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</si>
  <si>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</si>
  <si>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</si>
  <si>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</si>
  <si>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</si>
  <si>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</si>
  <si>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</si>
  <si>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</si>
  <si>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</si>
  <si>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</si>
  <si>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</si>
  <si>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</si>
  <si>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</si>
  <si>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</si>
  <si>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</si>
  <si>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</si>
  <si>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</si>
  <si>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</si>
  <si>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</si>
  <si>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</si>
  <si>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</si>
  <si>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</si>
  <si>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</si>
  <si>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</si>
  <si>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</si>
  <si>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</si>
  <si>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</si>
  <si>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</si>
  <si>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</si>
  <si>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</si>
  <si>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</si>
  <si>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</si>
  <si>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</si>
  <si>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</si>
  <si>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</si>
  <si>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</si>
  <si>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</si>
  <si>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</si>
  <si>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</si>
  <si>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</si>
  <si>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</si>
  <si>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</si>
  <si>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</si>
  <si>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</si>
  <si>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</si>
  <si>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</si>
  <si>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</si>
  <si>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</si>
  <si>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</si>
  <si>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</si>
  <si>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</si>
  <si>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</si>
  <si>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</si>
  <si>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</si>
  <si>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</si>
  <si>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</si>
  <si>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</si>
  <si>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</si>
  <si>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</si>
  <si>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</si>
  <si>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</si>
  <si>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</si>
  <si>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</si>
  <si>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</si>
  <si>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</si>
  <si>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</si>
  <si>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</si>
  <si>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</si>
  <si>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</si>
  <si>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</si>
  <si>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</si>
  <si>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</si>
  <si>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</si>
  <si>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</si>
  <si>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</si>
  <si>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</si>
  <si>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</si>
  <si>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</si>
  <si>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</si>
  <si>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</si>
  <si>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</si>
  <si>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</si>
  <si>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</si>
  <si>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</si>
  <si>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</si>
  <si>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</si>
  <si>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</si>
  <si>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</si>
  <si>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</si>
  <si>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</si>
  <si>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</si>
  <si>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</si>
  <si>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</si>
  <si>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</si>
  <si>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</si>
  <si>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</si>
  <si>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</si>
  <si>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</si>
  <si>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</si>
  <si>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</si>
  <si>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</si>
  <si>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</si>
  <si>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</si>
  <si>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</si>
  <si>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</si>
  <si>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</si>
  <si>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</si>
  <si>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</si>
  <si>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</si>
  <si>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</si>
  <si>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</si>
  <si>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</si>
  <si>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</si>
  <si>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</si>
  <si>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</si>
  <si>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</si>
  <si>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</si>
  <si>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</si>
  <si>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</si>
  <si>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</si>
  <si>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</si>
  <si>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</si>
  <si>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</si>
  <si>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</si>
  <si>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</si>
  <si>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</si>
  <si>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</si>
  <si>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</si>
  <si>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</si>
  <si>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</si>
  <si>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</si>
  <si>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</si>
  <si>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</si>
  <si>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</si>
  <si>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</si>
  <si>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</si>
  <si>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</si>
  <si>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</si>
  <si>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</si>
  <si>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</si>
  <si>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</si>
  <si>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</si>
  <si>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</si>
  <si>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</si>
  <si>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</si>
  <si>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</si>
  <si>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</si>
  <si>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</si>
  <si>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</si>
  <si>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</si>
  <si>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</si>
  <si>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</si>
  <si>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</si>
  <si>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</si>
  <si>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</si>
  <si>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</si>
  <si>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</si>
  <si>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</si>
  <si>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</si>
  <si>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</si>
  <si>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</si>
  <si>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</si>
  <si>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</si>
  <si>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</si>
  <si>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</si>
  <si>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</si>
  <si>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</si>
  <si>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</si>
  <si>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</si>
  <si>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</si>
  <si>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</si>
  <si>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</si>
  <si>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</si>
  <si>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</si>
  <si>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</si>
  <si>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</si>
  <si>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</si>
  <si>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</si>
  <si>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</si>
  <si>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</si>
  <si>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</si>
  <si>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</si>
  <si>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</si>
  <si>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</si>
  <si>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</si>
  <si>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</si>
  <si>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</si>
  <si>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</si>
  <si>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</si>
  <si>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</si>
  <si>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</si>
  <si>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</si>
  <si>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</si>
  <si>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</si>
  <si>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</si>
  <si>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</si>
  <si>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</si>
  <si>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</si>
  <si>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</si>
  <si>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</si>
  <si>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</si>
  <si>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</si>
  <si>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</si>
  <si>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</si>
  <si>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</si>
  <si>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</si>
  <si>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</si>
  <si>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</si>
  <si>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</si>
  <si>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</si>
  <si>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</si>
  <si>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</si>
  <si>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</si>
  <si>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</si>
  <si>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</si>
  <si>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</si>
  <si>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</si>
  <si>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</si>
  <si>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</si>
  <si>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</si>
  <si>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</si>
  <si>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</si>
  <si>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</si>
  <si>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</si>
  <si>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</si>
  <si>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</si>
  <si>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</si>
  <si>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</si>
  <si>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</si>
  <si>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</si>
  <si>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</si>
  <si>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</si>
  <si>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</si>
  <si>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</si>
  <si>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</si>
  <si>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</si>
  <si>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</si>
  <si>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</si>
  <si>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</si>
  <si>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</si>
  <si>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</si>
  <si>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</si>
  <si>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</si>
  <si>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</si>
  <si>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</si>
  <si>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</si>
  <si>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</si>
  <si>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</si>
  <si>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</si>
  <si>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</si>
  <si>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</si>
  <si>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</si>
  <si>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</si>
  <si>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</si>
  <si>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</si>
  <si>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</si>
  <si>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</si>
  <si>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</si>
  <si>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</si>
  <si>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</si>
  <si>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</si>
  <si>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</si>
  <si>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</si>
  <si>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</si>
  <si>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</si>
  <si>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</si>
  <si>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</si>
  <si>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</si>
  <si>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</si>
  <si>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</si>
  <si>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</si>
  <si>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</si>
  <si>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</si>
  <si>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</si>
  <si>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</si>
  <si>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</si>
  <si>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</si>
  <si>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</si>
  <si>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</si>
  <si>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</si>
  <si>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</si>
  <si>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</si>
  <si>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</si>
  <si>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</si>
  <si>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</si>
  <si>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</si>
  <si>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</si>
  <si>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</si>
  <si>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</si>
  <si>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</si>
  <si>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</si>
  <si>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</si>
  <si>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</si>
  <si>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</si>
  <si>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</si>
  <si>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</si>
  <si>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</si>
  <si>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</si>
  <si>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</si>
  <si>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</si>
  <si>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</si>
  <si>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</si>
  <si>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</si>
  <si>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</si>
  <si>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</si>
  <si>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</si>
  <si>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</si>
  <si>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</si>
  <si>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</si>
  <si>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</si>
  <si>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</si>
  <si>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</si>
  <si>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</si>
  <si>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</si>
  <si>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</si>
  <si>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</si>
  <si>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</si>
  <si>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</si>
  <si>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</si>
  <si>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</si>
  <si>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</si>
  <si>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</si>
  <si>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</si>
  <si>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</si>
  <si>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</si>
  <si>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</si>
  <si>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</si>
  <si>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</si>
  <si>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</si>
  <si>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</si>
  <si>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</si>
  <si>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</si>
  <si>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</si>
  <si>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</si>
  <si>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</si>
  <si>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</si>
  <si>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</si>
  <si>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</si>
  <si>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</si>
  <si>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</si>
  <si>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</si>
  <si>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</si>
  <si>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</si>
  <si>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</si>
  <si>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</si>
  <si>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</si>
  <si>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</si>
  <si>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</si>
  <si>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</si>
  <si>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</si>
  <si>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</si>
  <si>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</si>
  <si>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</si>
  <si>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</si>
  <si>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</si>
  <si>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</si>
  <si>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</si>
  <si>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</si>
  <si>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</si>
  <si>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</si>
  <si>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</si>
  <si>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</si>
  <si>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</si>
  <si>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</si>
  <si>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</si>
  <si>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</si>
  <si>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</si>
  <si>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</si>
  <si>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</si>
  <si>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</si>
  <si>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</si>
  <si>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</si>
  <si>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</si>
  <si>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</si>
  <si>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</si>
  <si>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</si>
  <si>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</si>
  <si>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</si>
  <si>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</si>
  <si>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</si>
  <si>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</si>
  <si>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</si>
  <si>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</si>
  <si>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</si>
  <si>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</si>
  <si>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</si>
  <si>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</si>
  <si>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</si>
  <si>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</si>
  <si>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</si>
  <si>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</si>
  <si>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</si>
  <si>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</si>
  <si>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</si>
  <si>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</si>
  <si>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</si>
  <si>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</si>
  <si>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</si>
  <si>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</si>
  <si>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</si>
  <si>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</si>
  <si>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</si>
  <si>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</si>
  <si>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</si>
  <si>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</si>
  <si>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</si>
  <si>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</si>
  <si>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</si>
  <si>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</si>
  <si>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</si>
  <si>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</si>
  <si>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</si>
  <si>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</si>
  <si>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</si>
  <si>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</si>
  <si>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</si>
  <si>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</si>
  <si>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</si>
  <si>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</si>
  <si>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</si>
  <si>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</si>
  <si>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</si>
  <si>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</si>
  <si>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</si>
  <si>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</si>
  <si>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</si>
  <si>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</si>
  <si>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</si>
  <si>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</si>
  <si>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</si>
  <si>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</si>
  <si>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</si>
  <si>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</si>
  <si>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</si>
  <si>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</si>
  <si>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</si>
  <si>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</si>
  <si>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</si>
  <si>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</si>
  <si>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</si>
  <si>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</si>
  <si>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</si>
  <si>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</si>
  <si>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</si>
  <si>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</si>
  <si>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</si>
  <si>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</si>
  <si>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</si>
  <si>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</si>
  <si>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</si>
  <si>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</si>
  <si>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</si>
  <si>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</si>
  <si>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</si>
  <si>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</si>
  <si>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</si>
  <si>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</si>
  <si>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</si>
  <si>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</si>
  <si>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</si>
  <si>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</si>
  <si>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</si>
  <si>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</si>
  <si>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</si>
  <si>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</si>
  <si>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</si>
  <si>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</si>
  <si>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</si>
  <si>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</si>
  <si>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</si>
  <si>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</si>
  <si>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</si>
  <si>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</si>
  <si>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</si>
  <si>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</si>
  <si>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</si>
  <si>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</si>
  <si>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</si>
  <si>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</si>
  <si>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</si>
  <si>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</si>
  <si>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</si>
  <si>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</si>
  <si>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</si>
  <si>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</si>
  <si>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</si>
  <si>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</si>
  <si>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</si>
  <si>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</si>
  <si>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</si>
  <si>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</si>
  <si>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</si>
  <si>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</si>
  <si>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</si>
  <si>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</si>
  <si>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</si>
  <si>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</si>
  <si>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</si>
  <si>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</si>
  <si>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</si>
  <si>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</si>
  <si>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</si>
  <si>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</si>
  <si>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</si>
  <si>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</si>
  <si>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</si>
  <si>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</si>
  <si>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</si>
  <si>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</si>
  <si>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</si>
  <si>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</si>
  <si>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</si>
  <si>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</si>
  <si>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</si>
  <si>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</si>
  <si>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</si>
  <si>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</si>
  <si>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</si>
  <si>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</si>
  <si>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</si>
  <si>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</si>
  <si>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</si>
  <si>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</si>
  <si>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</si>
  <si>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</si>
  <si>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</si>
  <si>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</si>
  <si>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</si>
  <si>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</si>
  <si>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</si>
  <si>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</si>
  <si>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</si>
  <si>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</si>
  <si>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</si>
  <si>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</si>
  <si>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</si>
  <si>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</si>
  <si>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</si>
  <si>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</si>
  <si>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</si>
  <si>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</si>
  <si>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</si>
  <si>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</si>
  <si>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</si>
  <si>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</si>
  <si>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</si>
  <si>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</si>
  <si>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</si>
  <si>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</si>
  <si>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</si>
  <si>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</si>
  <si>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</si>
  <si>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</si>
  <si>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</si>
  <si>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</si>
  <si>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</si>
  <si>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</si>
  <si>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</si>
  <si>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</si>
  <si>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</si>
  <si>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</si>
  <si>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</si>
  <si>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</si>
  <si>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</si>
  <si>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</si>
  <si>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</si>
  <si>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</si>
  <si>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</si>
  <si>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</si>
  <si>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</si>
  <si>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</si>
  <si>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</si>
  <si>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</si>
  <si>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</si>
  <si>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</si>
  <si>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</si>
  <si>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</si>
  <si>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</si>
  <si>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</si>
  <si>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</si>
  <si>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</si>
  <si>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</si>
  <si>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</si>
  <si>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</si>
  <si>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</si>
  <si>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</si>
  <si>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</si>
  <si>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</si>
  <si>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</si>
  <si>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</si>
  <si>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</si>
  <si>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</si>
  <si>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</si>
  <si>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</si>
  <si>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</si>
  <si>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</si>
  <si>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</si>
  <si>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</si>
  <si>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</si>
  <si>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</si>
  <si>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</si>
  <si>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</si>
  <si>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</si>
  <si>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</si>
  <si>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</si>
  <si>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</si>
  <si>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</si>
  <si>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</si>
  <si>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</si>
  <si>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</si>
  <si>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</si>
  <si>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</si>
  <si>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</si>
  <si>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</si>
  <si>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</si>
  <si>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</si>
  <si>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</si>
  <si>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</si>
  <si>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</si>
  <si>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</si>
  <si>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</si>
  <si>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</si>
  <si>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</si>
  <si>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</si>
  <si>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</si>
  <si>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</si>
  <si>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</si>
  <si>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</si>
  <si>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</si>
  <si>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</si>
  <si>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</si>
  <si>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</si>
  <si>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</si>
  <si>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</si>
  <si>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</si>
  <si>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</si>
  <si>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</si>
  <si>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</si>
  <si>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</si>
  <si>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</si>
  <si>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</si>
  <si>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</si>
  <si>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</si>
  <si>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</si>
  <si>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</si>
  <si>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</si>
  <si>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</si>
  <si>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</si>
  <si>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</si>
  <si>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</si>
  <si>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</si>
  <si>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</si>
  <si>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</si>
  <si>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</si>
  <si>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</si>
  <si>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</si>
  <si>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</si>
  <si>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</si>
  <si>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</si>
  <si>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</si>
  <si>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</si>
  <si>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</si>
  <si>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</si>
  <si>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</si>
  <si>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</si>
  <si>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</si>
  <si>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</si>
  <si>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</si>
  <si>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</si>
  <si>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</si>
  <si>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</si>
  <si>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</si>
  <si>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</si>
  <si>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</si>
  <si>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</si>
  <si>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</si>
  <si>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</si>
  <si>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</si>
  <si>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</si>
  <si>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</si>
  <si>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</si>
  <si>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</si>
  <si>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</si>
  <si>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</si>
  <si>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</si>
  <si>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</si>
  <si>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</si>
  <si>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</si>
  <si>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</si>
  <si>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</si>
  <si>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</si>
  <si>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</si>
  <si>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</si>
  <si>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</si>
  <si>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</si>
  <si>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</si>
  <si>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</si>
  <si>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</si>
  <si>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</si>
  <si>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</si>
  <si>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</si>
  <si>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</si>
  <si>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</si>
  <si>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</si>
  <si>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</si>
  <si>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</si>
  <si>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</si>
  <si>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</si>
  <si>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</si>
  <si>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</si>
  <si>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</si>
  <si>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</si>
  <si>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</si>
  <si>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</si>
  <si>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</si>
  <si>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</si>
  <si>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</si>
  <si>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</si>
  <si>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</si>
  <si>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</si>
  <si>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</si>
  <si>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</si>
  <si>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</si>
  <si>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</si>
  <si>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</si>
  <si>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</si>
  <si>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</si>
  <si>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</si>
  <si>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</si>
  <si>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</si>
  <si>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</si>
  <si>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</si>
  <si>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</si>
  <si>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</si>
  <si>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</si>
  <si>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</si>
  <si>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</si>
  <si>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</si>
  <si>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</si>
  <si>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</si>
  <si>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</si>
  <si>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</si>
  <si>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</si>
  <si>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</si>
  <si>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</si>
  <si>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</si>
  <si>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</si>
  <si>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</si>
  <si>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</si>
  <si>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</si>
  <si>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</si>
  <si>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</si>
  <si>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</si>
  <si>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</si>
  <si>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</si>
  <si>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</si>
  <si>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</si>
  <si>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</si>
  <si>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</si>
  <si>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</si>
  <si>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</si>
  <si>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</si>
  <si>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</si>
  <si>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</si>
  <si>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</si>
  <si>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</si>
  <si>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</si>
  <si>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</si>
  <si>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</si>
  <si>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</si>
  <si>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</si>
  <si>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</si>
  <si>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</si>
  <si>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</si>
  <si>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</si>
  <si>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</si>
  <si>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</si>
  <si>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</si>
  <si>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</si>
  <si>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</si>
  <si>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</si>
  <si>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</si>
  <si>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</si>
  <si>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</si>
  <si>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</si>
  <si>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</si>
  <si>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</si>
  <si>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</si>
  <si>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NewCity</t>
  </si>
  <si>
    <t>NewSalesperson</t>
  </si>
  <si>
    <t>NewChannel</t>
  </si>
  <si>
    <t>NewUnitPrice</t>
  </si>
  <si>
    <t>NewDiscountPct</t>
  </si>
  <si>
    <t>NewOrderDate</t>
  </si>
  <si>
    <t>NewRequiredDate</t>
  </si>
  <si>
    <t>LeadTimedays</t>
  </si>
  <si>
    <t>GrossRevenue</t>
  </si>
  <si>
    <t>CostOfGoods</t>
  </si>
  <si>
    <t>GrossProfit</t>
  </si>
  <si>
    <t>MarginPct</t>
  </si>
  <si>
    <t>Month</t>
  </si>
  <si>
    <t>Quarters</t>
  </si>
  <si>
    <t>PriceBand</t>
  </si>
  <si>
    <t>FirstOrderDate</t>
  </si>
  <si>
    <t>FirstOrderMonth</t>
  </si>
  <si>
    <t>Row Labels</t>
  </si>
  <si>
    <t>01-2023</t>
  </si>
  <si>
    <t>03-2023</t>
  </si>
  <si>
    <t>Grand Total</t>
  </si>
  <si>
    <t>Sum of GrossRevenue</t>
  </si>
  <si>
    <t>Column Labels</t>
  </si>
  <si>
    <t>C.Rev</t>
  </si>
  <si>
    <t>C.Pct</t>
  </si>
  <si>
    <t>SKUcategory</t>
  </si>
  <si>
    <t>A</t>
  </si>
  <si>
    <t>B</t>
  </si>
  <si>
    <t>C</t>
  </si>
  <si>
    <t>Count of OrderID</t>
  </si>
  <si>
    <t>Sum of GrossProfit</t>
  </si>
  <si>
    <t>MetTarget</t>
  </si>
  <si>
    <t>HighestDscnt</t>
  </si>
  <si>
    <t>Jan</t>
  </si>
  <si>
    <t>Feb</t>
  </si>
  <si>
    <t>Mar</t>
  </si>
  <si>
    <t>Apr</t>
  </si>
  <si>
    <t>May</t>
  </si>
  <si>
    <t>Jun</t>
  </si>
  <si>
    <t>Jul</t>
  </si>
  <si>
    <t>Aug</t>
  </si>
  <si>
    <t>Sep</t>
  </si>
  <si>
    <t>Oct</t>
  </si>
  <si>
    <t>Nov</t>
  </si>
  <si>
    <t>Dec</t>
  </si>
  <si>
    <t>Average of MetTarget</t>
  </si>
  <si>
    <t>Total Count of OrderID</t>
  </si>
  <si>
    <t>Total Average of HighestDscnt</t>
  </si>
  <si>
    <t>Average of HighestDscnt</t>
  </si>
  <si>
    <t xml:space="preserve">Global Discount Cap </t>
  </si>
  <si>
    <t xml:space="preserve">UnitCost inflation factor </t>
  </si>
  <si>
    <t>ScenarioRevenue</t>
  </si>
  <si>
    <t>ScenarioDiscount</t>
  </si>
  <si>
    <t>ScenarioQuantity</t>
  </si>
  <si>
    <t>ScenarioUnitCost</t>
  </si>
  <si>
    <t>Quantity Uplift</t>
  </si>
  <si>
    <t>Baseline Revenue</t>
  </si>
  <si>
    <t>Scenario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</si>
</sst>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theme="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10" fontId="1" fillId="0" borderId="1" xfId="0" applyNumberFormat="1" applyFont="1" applyBorder="1" applyAlignment="1">
      <alignment horizontal="center" vertical="top"/>
    </xf>
    <xf numFmtId="10" fontId="0" fillId="0" borderId="0" xfId="0" applyNumberFormat="1"/>
    <xf numFmtId="2" fontId="1" fillId="0" borderId="2" xfId="0" applyNumberFormat="1" applyFont="1" applyBorder="1" applyAlignment="1">
      <alignment horizontal="center" vertical="top"/>
    </xf>
    <xf numFmtId="2" fontId="1" fillId="0" borderId="3"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10" fontId="1" fillId="0" borderId="3" xfId="0" applyNumberFormat="1" applyFont="1" applyBorder="1" applyAlignment="1">
      <alignment horizontal="center" vertical="top"/>
    </xf>
    <xf numFmtId="0" fontId="0" fillId="2" borderId="0" xfId="0" applyFill="1"/>
    <xf numFmtId="1" fontId="1" fillId="0" borderId="1" xfId="0" applyNumberFormat="1" applyFont="1" applyBorder="1" applyAlignment="1">
      <alignment horizontal="center" vertical="top"/>
    </xf>
    <xf numFmtId="1" fontId="0" fillId="0" borderId="0" xfId="0" applyNumberFormat="1"/>
    <xf numFmtId="9" fontId="0" fillId="0" borderId="0" xfId="0" applyNumberFormat="1"/>
    <xf numFmtId="9" fontId="0" fillId="0" borderId="0" xfId="1" applyFont="1"/>
    <xf numFmtId="9" fontId="1" fillId="0" borderId="3" xfId="0" applyNumberFormat="1" applyFont="1" applyBorder="1" applyAlignment="1">
      <alignment horizontal="center" vertical="top"/>
    </xf>
    <xf numFmtId="0" fontId="0" fillId="3" borderId="0" xfId="0" applyFill="1"/>
  </cellXfs>
  <cellStyles count="2">
    <cellStyle name="Normal" xfId="0" builtinId="0"/>
    <cellStyle name="Percent" xfId="1" builtinId="5"/>
  </cellStyles>
  <dxfs count="24">
    <dxf>
      <numFmt numFmtId="13"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4" formatCode="0.00%"/>
    </dxf>
    <dxf>
      <numFmt numFmtId="2" formatCode="0.00"/>
    </dxf>
    <dxf>
      <numFmt numFmtId="2" formatCode="0.00"/>
    </dxf>
    <dxf>
      <numFmt numFmtId="2" formatCode="0.00"/>
    </dxf>
    <dxf>
      <numFmt numFmtId="2" formatCode="0.00"/>
    </dxf>
    <dxf>
      <numFmt numFmtId="19" formatCode="dd/mm/yyyy"/>
    </dxf>
    <dxf>
      <numFmt numFmtId="2" formatCode="0.00"/>
    </dxf>
    <dxf>
      <numFmt numFmtId="2" formatCode="0.00"/>
    </dxf>
    <dxf>
      <numFmt numFmtId="1" formatCode="0"/>
    </dxf>
    <dxf>
      <numFmt numFmtId="1" formatCode="0"/>
    </dxf>
    <dxf>
      <numFmt numFmtId="19" formatCode="dd/mm/yyyy"/>
    </dxf>
    <dxf>
      <numFmt numFmtId="19" formatCode="dd/mm/yyyy"/>
    </dxf>
    <dxf>
      <numFmt numFmtId="19" formatCode="dd/mm/yyyy"/>
    </dxf>
    <dxf>
      <numFmt numFmtId="19" formatCode="dd/mm/yyyy"/>
    </dxf>
    <dxf>
      <font>
        <b/>
        <i val="0"/>
        <strike val="0"/>
        <condense val="0"/>
        <extend val="0"/>
        <outline val="0"/>
        <shadow val="0"/>
        <u val="none"/>
        <vertAlign val="baseline"/>
        <sz val="11"/>
        <color theme="1"/>
        <name val="Calibri"/>
        <family val="2"/>
        <scheme val="minor"/>
      </font>
      <numFmt numFmtId="2" formatCode="0.00"/>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[Clean_Excel_Assignment_and_Brief.xlsx]CohotAnalysis!PivotTable1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CohotAnalysis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CohotAnalysis!$B$3</c:f>
              <c:strCache>
                <c:ptCount val="1"/>
                <c:pt idx="0">
                  <c:v>Total</c:v>
                </c:pt>
              </c:strCache>
            </c:strRef>
          </c:tx>
          <c:spPr>
            <a:ln w="28575" cap="rnd">
              <a:solidFill>
                <a:schemeClr val="accent1"/>
              </a:solidFill>
              <a:round/>
            </a:ln>
            <a:effectLst/>
          </c:spPr>
          <c:marker>
            <c:symbol val="none"/>
          </c:marker>
          <c:cat>
            <c:multiLvlStrRef>
              <c:f>CohotAnalysis!$A$4:$A$18</c:f>
              <c:multiLvlStrCache>
                <c:ptCount val="12"/>
                <c:lvl>
                  <c:pt idx="0">
                    <c:v>Brazil</c:v>
                  </c:pt>
                  <c:pt idx="1">
                    <c:v>Canada</c:v>
                  </c:pt>
                  <c:pt idx="2">
                    <c:v>China</c:v>
                  </c:pt>
                  <c:pt idx="3">
                    <c:v>France</c:v>
                  </c:pt>
                  <c:pt idx="4">
                    <c:v>Germany</c:v>
                  </c:pt>
                  <c:pt idx="5">
                    <c:v>India</c:v>
                  </c:pt>
                  <c:pt idx="6">
                    <c:v>Kenya</c:v>
                  </c:pt>
                  <c:pt idx="7">
                    <c:v>Nigeria</c:v>
                  </c:pt>
                  <c:pt idx="8">
                    <c:v>South Africa</c:v>
                  </c:pt>
                  <c:pt idx="9">
                    <c:v>United Kingdom</c:v>
                  </c:pt>
                  <c:pt idx="10">
                    <c:v>USA</c:v>
                  </c:pt>
                  <c:pt idx="11">
                    <c:v>Japan</c:v>
                  </c:pt>
                </c:lvl>
                <c:lvl>
                  <c:pt idx="0">
                    <c:v>01-2023</c:v>
                  </c:pt>
                  <c:pt idx="11">
                    <c:v>03-2023</c:v>
                  </c:pt>
                </c:lvl>
              </c:multiLvlStrCache>
            </c:multiLvlStrRef>
          </c:cat>
          <c:val>
            <c:numRef>
              <c:f>CohotAnalysis!$B$4:$B$18</c:f>
              <c:numCache>
                <c:formatCode>0.00</c:formatCode>
                <c:ptCount val="12"/>
                <c:pt idx="0">
                  <c:v>1037851.9729800003</c:v>
                </c:pt>
                <c:pt idx="1">
                  <c:v>882622.97854000004</c:v>
                </c:pt>
                <c:pt idx="2">
                  <c:v>899054.11212000018</c:v>
                </c:pt>
                <c:pt idx="3">
                  <c:v>758280.91688999999</c:v>
                </c:pt>
                <c:pt idx="4">
                  <c:v>929424.88821999973</c:v>
                </c:pt>
                <c:pt idx="5">
                  <c:v>1092333.4174999997</c:v>
                </c:pt>
                <c:pt idx="6">
                  <c:v>947364.86621000012</c:v>
                </c:pt>
                <c:pt idx="7">
                  <c:v>881838.67690999992</c:v>
                </c:pt>
                <c:pt idx="8">
                  <c:v>779927.34477999981</c:v>
                </c:pt>
                <c:pt idx="9">
                  <c:v>1113282.1308999998</c:v>
                </c:pt>
                <c:pt idx="10">
                  <c:v>768694.58757999993</c:v>
                </c:pt>
                <c:pt idx="11">
                  <c:v>855073.36047999992</c:v>
                </c:pt>
              </c:numCache>
            </c:numRef>
          </c:val>
          <c:smooth val="0"/>
          <c:extLst>
            <c:ext xmlns:c16="http://schemas.microsoft.com/office/drawing/2014/chart" uri="{C3380CC4-5D6E-409C-BE32-E72D297353CC}">
              <c16:uniqueId val="{00000000-B654-4839-875D-72DC6AC0E61A}"/>
            </c:ext>
          </c:extLst>
        </c:ser>
        <c:dLbls>
          <c:showLegendKey val="0"/>
          <c:showVal val="0"/>
          <c:showCatName val="0"/>
          <c:showSerName val="0"/>
          <c:showPercent val="0"/>
          <c:showBubbleSize val="0"/>
        </c:dLbls>
        <c:smooth val="0"/>
        <c:axId val="374319983"/>
        <c:axId val="374334863"/>
      </c:lineChart>
      <c:catAx>
        <c:axId val="37431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34863"/>
        <c:crosses val="autoZero"/>
        <c:auto val="1"/>
        <c:lblAlgn val="ctr"/>
        <c:lblOffset val="100"/>
        <c:noMultiLvlLbl val="0"/>
      </c:catAx>
      <c:valAx>
        <c:axId val="3743348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1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[Clean_Excel_Assignment_and_Brief.xlsx]Cannibalization!PivotTable3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Canibalization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Cannibalization!$B$3:$B$4</c:f>
              <c:strCache>
                <c:ptCount val="1"/>
                <c:pt idx="0">
                  <c:v>Direct</c:v>
                </c:pt>
              </c:strCache>
            </c:strRef>
          </c:tx>
          <c:spPr>
            <a:solidFill>
              <a:schemeClr val="accent1"/>
            </a:solidFill>
            <a:ln>
              <a:noFill/>
            </a:ln>
            <a:effectLst/>
          </c:spPr>
          <c:invertIfNegative val="0"/>
          <c:cat>
            <c:strRef>
              <c:f>Cannibalization!$A$5:$A$9</c:f>
              <c:strCache>
                <c:ptCount val="4"/>
                <c:pt idx="0">
                  <c:v>Africa</c:v>
                </c:pt>
                <c:pt idx="1">
                  <c:v>Americas</c:v>
                </c:pt>
                <c:pt idx="2">
                  <c:v>Asia</c:v>
                </c:pt>
                <c:pt idx="3">
                  <c:v>Europe</c:v>
                </c:pt>
              </c:strCache>
            </c:strRef>
          </c:cat>
          <c:val>
            <c:numRef>
              <c:f>Cannibalization!$B$5:$B$9</c:f>
              <c:numCache>
                <c:formatCode>0.00%</c:formatCode>
                <c:ptCount val="4"/>
                <c:pt idx="0">
                  <c:v>4.2229771851265946E-2</c:v>
                </c:pt>
                <c:pt idx="1">
                  <c:v>6.9536141242568919E-2</c:v>
                </c:pt>
                <c:pt idx="2">
                  <c:v>5.8721723063167704E-2</c:v>
                </c:pt>
                <c:pt idx="3">
                  <c:v>7.6980975222010431E-2</c:v>
                </c:pt>
              </c:numCache>
            </c:numRef>
          </c:val>
          <c:extLst>
            <c:ext xmlns:c16="http://schemas.microsoft.com/office/drawing/2014/chart" uri="{C3380CC4-5D6E-409C-BE32-E72D297353CC}">
              <c16:uniqueId val="{00000000-BEB2-450F-BF2F-008A6DAE652D}"/>
            </c:ext>
          </c:extLst>
        </c:ser>
        <c:ser>
          <c:idx val="1"/>
          <c:order val="1"/>
          <c:tx>
            <c:strRef>
              <c:f>Cannibalization!$C$3:$C$4</c:f>
              <c:strCache>
                <c:ptCount val="1"/>
                <c:pt idx="0">
                  <c:v>Distributor</c:v>
                </c:pt>
              </c:strCache>
            </c:strRef>
          </c:tx>
          <c:spPr>
            <a:solidFill>
              <a:schemeClr val="accent2"/>
            </a:solidFill>
            <a:ln>
              <a:noFill/>
            </a:ln>
            <a:effectLst/>
          </c:spPr>
          <c:invertIfNegative val="0"/>
          <c:cat>
            <c:strRef>
              <c:f>Cannibalization!$A$5:$A$9</c:f>
              <c:strCache>
                <c:ptCount val="4"/>
                <c:pt idx="0">
                  <c:v>Africa</c:v>
                </c:pt>
                <c:pt idx="1">
                  <c:v>Americas</c:v>
                </c:pt>
                <c:pt idx="2">
                  <c:v>Asia</c:v>
                </c:pt>
                <c:pt idx="3">
                  <c:v>Europe</c:v>
                </c:pt>
              </c:strCache>
            </c:strRef>
          </c:cat>
          <c:val>
            <c:numRef>
              <c:f>Cannibalization!$C$5:$C$9</c:f>
              <c:numCache>
                <c:formatCode>0.00%</c:formatCode>
                <c:ptCount val="4"/>
                <c:pt idx="0">
                  <c:v>6.0964172782452627E-2</c:v>
                </c:pt>
                <c:pt idx="1">
                  <c:v>5.1971171526551257E-2</c:v>
                </c:pt>
                <c:pt idx="2">
                  <c:v>4.6540332160930842E-2</c:v>
                </c:pt>
                <c:pt idx="3">
                  <c:v>2.9561121050536113E-2</c:v>
                </c:pt>
              </c:numCache>
            </c:numRef>
          </c:val>
          <c:extLst>
            <c:ext xmlns:c16="http://schemas.microsoft.com/office/drawing/2014/chart" uri="{C3380CC4-5D6E-409C-BE32-E72D297353CC}">
              <c16:uniqueId val="{00000001-BEB2-450F-BF2F-008A6DAE652D}"/>
            </c:ext>
          </c:extLst>
        </c:ser>
        <c:ser>
          <c:idx val="2"/>
          <c:order val="2"/>
          <c:tx>
            <c:strRef>
              <c:f>Cannibalization!$D$3:$D$4</c:f>
              <c:strCache>
                <c:ptCount val="1"/>
                <c:pt idx="0">
                  <c:v>Marketplace</c:v>
                </c:pt>
              </c:strCache>
            </c:strRef>
          </c:tx>
          <c:spPr>
            <a:solidFill>
              <a:schemeClr val="accent3"/>
            </a:solidFill>
            <a:ln>
              <a:noFill/>
            </a:ln>
            <a:effectLst/>
          </c:spPr>
          <c:invertIfNegative val="0"/>
          <c:cat>
            <c:strRef>
              <c:f>Cannibalization!$A$5:$A$9</c:f>
              <c:strCache>
                <c:ptCount val="4"/>
                <c:pt idx="0">
                  <c:v>Africa</c:v>
                </c:pt>
                <c:pt idx="1">
                  <c:v>Americas</c:v>
                </c:pt>
                <c:pt idx="2">
                  <c:v>Asia</c:v>
                </c:pt>
                <c:pt idx="3">
                  <c:v>Europe</c:v>
                </c:pt>
              </c:strCache>
            </c:strRef>
          </c:cat>
          <c:val>
            <c:numRef>
              <c:f>Cannibalization!$D$5:$D$9</c:f>
              <c:numCache>
                <c:formatCode>0.00%</c:formatCode>
                <c:ptCount val="4"/>
                <c:pt idx="0">
                  <c:v>4.8189289043884448E-2</c:v>
                </c:pt>
                <c:pt idx="1">
                  <c:v>3.3471982506442143E-2</c:v>
                </c:pt>
                <c:pt idx="2">
                  <c:v>5.3672491908498481E-2</c:v>
                </c:pt>
                <c:pt idx="3">
                  <c:v>5.2045457745904293E-2</c:v>
                </c:pt>
              </c:numCache>
            </c:numRef>
          </c:val>
          <c:extLst>
            <c:ext xmlns:c16="http://schemas.microsoft.com/office/drawing/2014/chart" uri="{C3380CC4-5D6E-409C-BE32-E72D297353CC}">
              <c16:uniqueId val="{00000002-BEB2-450F-BF2F-008A6DAE652D}"/>
            </c:ext>
          </c:extLst>
        </c:ser>
        <c:ser>
          <c:idx val="3"/>
          <c:order val="3"/>
          <c:tx>
            <c:strRef>
              <c:f>Cannibalization!$E$3:$E$4</c:f>
              <c:strCache>
                <c:ptCount val="1"/>
                <c:pt idx="0">
                  <c:v>Online</c:v>
                </c:pt>
              </c:strCache>
            </c:strRef>
          </c:tx>
          <c:spPr>
            <a:solidFill>
              <a:schemeClr val="accent4"/>
            </a:solidFill>
            <a:ln>
              <a:noFill/>
            </a:ln>
            <a:effectLst/>
          </c:spPr>
          <c:invertIfNegative val="0"/>
          <c:cat>
            <c:strRef>
              <c:f>Cannibalization!$A$5:$A$9</c:f>
              <c:strCache>
                <c:ptCount val="4"/>
                <c:pt idx="0">
                  <c:v>Africa</c:v>
                </c:pt>
                <c:pt idx="1">
                  <c:v>Americas</c:v>
                </c:pt>
                <c:pt idx="2">
                  <c:v>Asia</c:v>
                </c:pt>
                <c:pt idx="3">
                  <c:v>Europe</c:v>
                </c:pt>
              </c:strCache>
            </c:strRef>
          </c:cat>
          <c:val>
            <c:numRef>
              <c:f>Cannibalization!$E$5:$E$9</c:f>
              <c:numCache>
                <c:formatCode>0.00%</c:formatCode>
                <c:ptCount val="4"/>
                <c:pt idx="0">
                  <c:v>3.959585828689223E-2</c:v>
                </c:pt>
                <c:pt idx="1">
                  <c:v>6.3033734686911938E-2</c:v>
                </c:pt>
                <c:pt idx="2">
                  <c:v>3.779197751789052E-2</c:v>
                </c:pt>
                <c:pt idx="3">
                  <c:v>5.3482562886562487E-2</c:v>
                </c:pt>
              </c:numCache>
            </c:numRef>
          </c:val>
          <c:extLst>
            <c:ext xmlns:c16="http://schemas.microsoft.com/office/drawing/2014/chart" uri="{C3380CC4-5D6E-409C-BE32-E72D297353CC}">
              <c16:uniqueId val="{00000003-BEB2-450F-BF2F-008A6DAE652D}"/>
            </c:ext>
          </c:extLst>
        </c:ser>
        <c:ser>
          <c:idx val="4"/>
          <c:order val="4"/>
          <c:tx>
            <c:strRef>
              <c:f>Cannibalization!$F$3:$F$4</c:f>
              <c:strCache>
                <c:ptCount val="1"/>
                <c:pt idx="0">
                  <c:v>Retail</c:v>
                </c:pt>
              </c:strCache>
            </c:strRef>
          </c:tx>
          <c:spPr>
            <a:solidFill>
              <a:schemeClr val="accent5"/>
            </a:solidFill>
            <a:ln>
              <a:noFill/>
            </a:ln>
            <a:effectLst/>
          </c:spPr>
          <c:invertIfNegative val="0"/>
          <c:cat>
            <c:strRef>
              <c:f>Cannibalization!$A$5:$A$9</c:f>
              <c:strCache>
                <c:ptCount val="4"/>
                <c:pt idx="0">
                  <c:v>Africa</c:v>
                </c:pt>
                <c:pt idx="1">
                  <c:v>Americas</c:v>
                </c:pt>
                <c:pt idx="2">
                  <c:v>Asia</c:v>
                </c:pt>
                <c:pt idx="3">
                  <c:v>Europe</c:v>
                </c:pt>
              </c:strCache>
            </c:strRef>
          </c:cat>
          <c:val>
            <c:numRef>
              <c:f>Cannibalization!$F$5:$F$9</c:f>
              <c:numCache>
                <c:formatCode>0.00%</c:formatCode>
                <c:ptCount val="4"/>
                <c:pt idx="0">
                  <c:v>4.7390235485489172E-2</c:v>
                </c:pt>
                <c:pt idx="1">
                  <c:v>2.7668601958331058E-2</c:v>
                </c:pt>
                <c:pt idx="2">
                  <c:v>6.3325192621515494E-2</c:v>
                </c:pt>
                <c:pt idx="3">
                  <c:v>4.3827206452193984E-2</c:v>
                </c:pt>
              </c:numCache>
            </c:numRef>
          </c:val>
          <c:extLst>
            <c:ext xmlns:c16="http://schemas.microsoft.com/office/drawing/2014/chart" uri="{C3380CC4-5D6E-409C-BE32-E72D297353CC}">
              <c16:uniqueId val="{00000004-BEB2-450F-BF2F-008A6DAE652D}"/>
            </c:ext>
          </c:extLst>
        </c:ser>
        <c:dLbls>
          <c:showLegendKey val="0"/>
          <c:showVal val="0"/>
          <c:showCatName val="0"/>
          <c:showSerName val="0"/>
          <c:showPercent val="0"/>
          <c:showBubbleSize val="0"/>
        </c:dLbls>
        <c:gapWidth val="219"/>
        <c:overlap val="-27"/>
        <c:axId val="374370383"/>
        <c:axId val="374371823"/>
      </c:barChart>
      <c:catAx>
        <c:axId val="37437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71823"/>
        <c:crosses val="autoZero"/>
        <c:auto val="1"/>
        <c:lblAlgn val="ctr"/>
        <c:lblOffset val="100"/>
        <c:noMultiLvlLbl val="0"/>
      </c:catAx>
      <c:valAx>
        <c:axId val="3743718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7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[Clean_Excel_Assignment_and_Brief.xlsx]Top3RevperOrder!PivotTable4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Revenue and Profit by salesperson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Top3RevperOrder!$B$3</c:f>
              <c:strCache>
                <c:ptCount val="1"/>
                <c:pt idx="0">
                  <c:v>Sum of GrossRevenue</c:v>
                </c:pt>
              </c:strCache>
            </c:strRef>
          </c:tx>
          <c:spPr>
            <a:solidFill>
              <a:schemeClr val="accent1"/>
            </a:solidFill>
            <a:ln>
              <a:noFill/>
            </a:ln>
            <a:effectLst/>
          </c:spPr>
          <c:invertIfNegative val="0"/>
          <c:cat>
            <c:strRef>
              <c:f>Top3RevperOrder!$A$4:$A$7</c:f>
              <c:strCache>
                <c:ptCount val="3"/>
                <c:pt idx="0">
                  <c:v>B. Chen</c:v>
                </c:pt>
                <c:pt idx="1">
                  <c:v>K. Singh</c:v>
                </c:pt>
                <c:pt idx="2">
                  <c:v>M. Rossi</c:v>
                </c:pt>
              </c:strCache>
            </c:strRef>
          </c:cat>
          <c:val>
            <c:numRef>
              <c:f>Top3RevperOrder!$B$4:$B$7</c:f>
              <c:numCache>
                <c:formatCode>0.00</c:formatCode>
                <c:ptCount val="3"/>
                <c:pt idx="0">
                  <c:v>893735.6608500001</c:v>
                </c:pt>
                <c:pt idx="1">
                  <c:v>883348.1293599999</c:v>
                </c:pt>
                <c:pt idx="2">
                  <c:v>976696.69714999967</c:v>
                </c:pt>
              </c:numCache>
            </c:numRef>
          </c:val>
          <c:extLst>
            <c:ext xmlns:c16="http://schemas.microsoft.com/office/drawing/2014/chart" uri="{C3380CC4-5D6E-409C-BE32-E72D297353CC}">
              <c16:uniqueId val="{00000000-4ADF-466F-9B52-9B339E9CAF84}"/>
            </c:ext>
          </c:extLst>
        </c:ser>
        <c:ser>
          <c:idx val="1"/>
          <c:order val="1"/>
          <c:tx>
            <c:strRef>
              <c:f>Top3RevperOrder!$C$3</c:f>
              <c:strCache>
                <c:ptCount val="1"/>
                <c:pt idx="0">
                  <c:v>Sum of GrossProfit</c:v>
                </c:pt>
              </c:strCache>
            </c:strRef>
          </c:tx>
          <c:spPr>
            <a:solidFill>
              <a:schemeClr val="accent2"/>
            </a:solidFill>
            <a:ln>
              <a:noFill/>
            </a:ln>
            <a:effectLst/>
          </c:spPr>
          <c:invertIfNegative val="0"/>
          <c:cat>
            <c:strRef>
              <c:f>Top3RevperOrder!$A$4:$A$7</c:f>
              <c:strCache>
                <c:ptCount val="3"/>
                <c:pt idx="0">
                  <c:v>B. Chen</c:v>
                </c:pt>
                <c:pt idx="1">
                  <c:v>K. Singh</c:v>
                </c:pt>
                <c:pt idx="2">
                  <c:v>M. Rossi</c:v>
                </c:pt>
              </c:strCache>
            </c:strRef>
          </c:cat>
          <c:val>
            <c:numRef>
              <c:f>Top3RevperOrder!$C$4:$C$7</c:f>
              <c:numCache>
                <c:formatCode>0.00</c:formatCode>
                <c:ptCount val="3"/>
                <c:pt idx="0">
                  <c:v>359716.92526999983</c:v>
                </c:pt>
                <c:pt idx="1">
                  <c:v>297798.4393599999</c:v>
                </c:pt>
                <c:pt idx="2">
                  <c:v>363428.28563000006</c:v>
                </c:pt>
              </c:numCache>
            </c:numRef>
          </c:val>
          <c:extLst>
            <c:ext xmlns:c16="http://schemas.microsoft.com/office/drawing/2014/chart" uri="{C3380CC4-5D6E-409C-BE32-E72D297353CC}">
              <c16:uniqueId val="{00000001-4ADF-466F-9B52-9B339E9CAF84}"/>
            </c:ext>
          </c:extLst>
        </c:ser>
        <c:dLbls>
          <c:showLegendKey val="0"/>
          <c:showVal val="0"/>
          <c:showCatName val="0"/>
          <c:showSerName val="0"/>
          <c:showPercent val="0"/>
          <c:showBubbleSize val="0"/>
        </c:dLbls>
        <c:gapWidth val="219"/>
        <c:overlap val="-27"/>
        <c:axId val="374366543"/>
        <c:axId val="374367503"/>
      </c:barChart>
      <c:catAx>
        <c:axId val="37436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67503"/>
        <c:crosses val="autoZero"/>
        <c:auto val="1"/>
        <c:lblAlgn val="ctr"/>
        <c:lblOffset val="100"/>
        <c:noMultiLvlLbl val="0"/>
      </c:catAx>
      <c:valAx>
        <c:axId val="3743675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6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[Clean_Excel_Assignment_and_Brief.xlsx]Bottom3RevperOrder!PivotTable5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and Profit by Salesperson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Bottom3RevperOrder!$B$3</c:f>
              <c:strCache>
                <c:ptCount val="1"/>
                <c:pt idx="0">
                  <c:v>Sum of GrossRevenue</c:v>
                </c:pt>
              </c:strCache>
            </c:strRef>
          </c:tx>
          <c:spPr>
            <a:solidFill>
              <a:schemeClr val="accent1"/>
            </a:solidFill>
            <a:ln>
              <a:noFill/>
            </a:ln>
            <a:effectLst/>
          </c:spPr>
          <c:invertIfNegative val="0"/>
          <c:cat>
            <c:strRef>
              <c:f>Bottom3RevperOrder!$A$4:$A$19</c:f>
              <c:strCache>
                <c:ptCount val="15"/>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O. Wang</c:v>
                </c:pt>
              </c:strCache>
            </c:strRef>
          </c:cat>
          <c:val>
            <c:numRef>
              <c:f>Bottom3RevperOrder!$B$4:$B$19</c:f>
              <c:numCache>
                <c:formatCode>0.00</c:formatCode>
                <c:ptCount val="15"/>
                <c:pt idx="0">
                  <c:v>979572.26576999982</c:v>
                </c:pt>
                <c:pt idx="1">
                  <c:v>933252.46524000005</c:v>
                </c:pt>
                <c:pt idx="2">
                  <c:v>689776.36459000036</c:v>
                </c:pt>
                <c:pt idx="3">
                  <c:v>576820.19091000012</c:v>
                </c:pt>
                <c:pt idx="4">
                  <c:v>543846.44053000002</c:v>
                </c:pt>
                <c:pt idx="5">
                  <c:v>812637.17232000036</c:v>
                </c:pt>
                <c:pt idx="6">
                  <c:v>510653.71305000025</c:v>
                </c:pt>
                <c:pt idx="7">
                  <c:v>749851.59891000029</c:v>
                </c:pt>
                <c:pt idx="8">
                  <c:v>541165.67181999981</c:v>
                </c:pt>
                <c:pt idx="9">
                  <c:v>802384.66227999958</c:v>
                </c:pt>
                <c:pt idx="10">
                  <c:v>913477.32183999987</c:v>
                </c:pt>
                <c:pt idx="11">
                  <c:v>853458.04121000017</c:v>
                </c:pt>
                <c:pt idx="12">
                  <c:v>1002803.3111099997</c:v>
                </c:pt>
                <c:pt idx="13">
                  <c:v>388325.13658999995</c:v>
                </c:pt>
                <c:pt idx="14">
                  <c:v>647724.89694000024</c:v>
                </c:pt>
              </c:numCache>
            </c:numRef>
          </c:val>
          <c:extLst>
            <c:ext xmlns:c16="http://schemas.microsoft.com/office/drawing/2014/chart" uri="{C3380CC4-5D6E-409C-BE32-E72D297353CC}">
              <c16:uniqueId val="{00000000-1D98-4F4D-8F0E-BF9677F9EADC}"/>
            </c:ext>
          </c:extLst>
        </c:ser>
        <c:ser>
          <c:idx val="1"/>
          <c:order val="1"/>
          <c:tx>
            <c:strRef>
              <c:f>Bottom3RevperOrder!$C$3</c:f>
              <c:strCache>
                <c:ptCount val="1"/>
                <c:pt idx="0">
                  <c:v>Sum of GrossProfit</c:v>
                </c:pt>
              </c:strCache>
            </c:strRef>
          </c:tx>
          <c:spPr>
            <a:solidFill>
              <a:schemeClr val="accent2"/>
            </a:solidFill>
            <a:ln>
              <a:noFill/>
            </a:ln>
            <a:effectLst/>
          </c:spPr>
          <c:invertIfNegative val="0"/>
          <c:cat>
            <c:strRef>
              <c:f>Bottom3RevperOrder!$A$4:$A$19</c:f>
              <c:strCache>
                <c:ptCount val="15"/>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O. Wang</c:v>
                </c:pt>
              </c:strCache>
            </c:strRef>
          </c:cat>
          <c:val>
            <c:numRef>
              <c:f>Bottom3RevperOrder!$C$4:$C$19</c:f>
              <c:numCache>
                <c:formatCode>0.00</c:formatCode>
                <c:ptCount val="15"/>
                <c:pt idx="0">
                  <c:v>375845.12317000004</c:v>
                </c:pt>
                <c:pt idx="1">
                  <c:v>380805.20965999988</c:v>
                </c:pt>
                <c:pt idx="2">
                  <c:v>237357.21863000005</c:v>
                </c:pt>
                <c:pt idx="3">
                  <c:v>203186.68706999996</c:v>
                </c:pt>
                <c:pt idx="4">
                  <c:v>219222.23483</c:v>
                </c:pt>
                <c:pt idx="5">
                  <c:v>292994.34204000002</c:v>
                </c:pt>
                <c:pt idx="6">
                  <c:v>173517.25717000006</c:v>
                </c:pt>
                <c:pt idx="7">
                  <c:v>336984.24109000002</c:v>
                </c:pt>
                <c:pt idx="8">
                  <c:v>198714.77813999995</c:v>
                </c:pt>
                <c:pt idx="9">
                  <c:v>333460.55155999993</c:v>
                </c:pt>
                <c:pt idx="10">
                  <c:v>305380.9118399999</c:v>
                </c:pt>
                <c:pt idx="11">
                  <c:v>289448.29800999991</c:v>
                </c:pt>
                <c:pt idx="12">
                  <c:v>372154.17958999996</c:v>
                </c:pt>
                <c:pt idx="13">
                  <c:v>139359.34643000001</c:v>
                </c:pt>
                <c:pt idx="14">
                  <c:v>200098.94692000005</c:v>
                </c:pt>
              </c:numCache>
            </c:numRef>
          </c:val>
          <c:extLst>
            <c:ext xmlns:c16="http://schemas.microsoft.com/office/drawing/2014/chart" uri="{C3380CC4-5D6E-409C-BE32-E72D297353CC}">
              <c16:uniqueId val="{00000001-1D98-4F4D-8F0E-BF9677F9EADC}"/>
            </c:ext>
          </c:extLst>
        </c:ser>
        <c:dLbls>
          <c:showLegendKey val="0"/>
          <c:showVal val="0"/>
          <c:showCatName val="0"/>
          <c:showSerName val="0"/>
          <c:showPercent val="0"/>
          <c:showBubbleSize val="0"/>
        </c:dLbls>
        <c:gapWidth val="219"/>
        <c:overlap val="-27"/>
        <c:axId val="374347823"/>
        <c:axId val="374352623"/>
      </c:barChart>
      <c:catAx>
        <c:axId val="37434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52623"/>
        <c:crosses val="autoZero"/>
        <c:auto val="1"/>
        <c:lblAlgn val="ctr"/>
        <c:lblOffset val="100"/>
        <c:noMultiLvlLbl val="0"/>
      </c:catAx>
      <c:valAx>
        <c:axId val="3743526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4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[Clean_Excel_Assignment_and_Brief.xlsx]RevenueByMonth!PivotTable1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RevenueByMonth!$B$3</c:f>
              <c:strCache>
                <c:ptCount val="1"/>
                <c:pt idx="0">
                  <c:v>Total</c:v>
                </c:pt>
              </c:strCache>
            </c:strRef>
          </c:tx>
          <c:spPr>
            <a:ln w="28575" cap="rnd">
              <a:solidFill>
                <a:schemeClr val="accent1"/>
              </a:solidFill>
              <a:round/>
            </a:ln>
            <a:effectLst/>
          </c:spPr>
          <c:marker>
            <c:symbol val="none"/>
          </c:marker>
          <c:cat>
            <c:strRef>
              <c:f>RevenueByMonth!$A$4:$A$16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RevenueByMonth!$B$4:$B$16</c:f>
              <c:numCache>
                <c:formatCode>0.00</c:formatCode>
                <c:ptCount val="12"/>
                <c:pt idx="0">
                  <c:v>701241.31055000005</c:v>
                </c:pt>
                <c:pt idx="1">
                  <c:v>963301.00218000007</c:v>
                </c:pt>
                <c:pt idx="2">
                  <c:v>799192.62353000022</c:v>
                </c:pt>
                <c:pt idx="3">
                  <c:v>947246.5773799998</c:v>
                </c:pt>
                <c:pt idx="4">
                  <c:v>1262901.8977499993</c:v>
                </c:pt>
                <c:pt idx="5">
                  <c:v>1252974.1609099994</c:v>
                </c:pt>
                <c:pt idx="6">
                  <c:v>1323460.0091499998</c:v>
                </c:pt>
                <c:pt idx="7">
                  <c:v>1090009.5832699998</c:v>
                </c:pt>
                <c:pt idx="8">
                  <c:v>661140.76962000015</c:v>
                </c:pt>
                <c:pt idx="9">
                  <c:v>663847.3234600001</c:v>
                </c:pt>
                <c:pt idx="10">
                  <c:v>543953.69134999998</c:v>
                </c:pt>
                <c:pt idx="11">
                  <c:v>736480.30395999982</c:v>
                </c:pt>
              </c:numCache>
            </c:numRef>
          </c:val>
          <c:smooth val="0"/>
          <c:extLst>
            <c:ext xmlns:c16="http://schemas.microsoft.com/office/drawing/2014/chart" uri="{C3380CC4-5D6E-409C-BE32-E72D297353CC}">
              <c16:uniqueId val="{00000000-0224-4F7A-A0E7-91CCB3C3C8F0}"/>
            </c:ext>
          </c:extLst>
        </c:ser>
        <c:dLbls>
          <c:showLegendKey val="0"/>
          <c:showVal val="0"/>
          <c:showCatName val="0"/>
          <c:showSerName val="0"/>
          <c:showPercent val="0"/>
          <c:showBubbleSize val="0"/>
        </c:dLbls>
        <c:smooth val="0"/>
        <c:axId val="688208223"/>
        <c:axId val="688226463"/>
      </c:lineChart>
      <c:catAx>
        <c:axId val="68820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226463"/>
        <c:crosses val="autoZero"/>
        <c:auto val="1"/>
        <c:lblAlgn val="ctr"/>
        <c:lblOffset val="100"/>
        <c:noMultiLvlLbl val="0"/>
      </c:catAx>
      <c:valAx>
        <c:axId val="6882264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20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[Clean_Excel_Assignment_and_Brief.xlsx]ProfitByReg&amp;Chanel!PivotTable2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55314960629921"/>
          <c:y val="0.14712744240303297"/>
          <c:w val="0.64926181102362202"/>
          <c:h val="0.65853091280256637"/>
        </c:manualLayout>
      </c:layout>
      <c:barChart>
        <c:barDir val="col"/>
        <c:grouping val="stacked"/>
        <c:varyColors val="0"/>
        <c:ser>
          <c:idx val="0"/>
          <c:order val="0"/>
          <c:tx>
            <c:strRef>
              <c:f>'ProfitByReg&amp;Chanel'!$B$3:$B$4</c:f>
              <c:strCache>
                <c:ptCount val="1"/>
                <c:pt idx="0">
                  <c:v>Africa</c:v>
                </c:pt>
              </c:strCache>
            </c:strRef>
          </c:tx>
          <c:spPr>
            <a:solidFill>
              <a:schemeClr val="accent1"/>
            </a:solidFill>
            <a:ln>
              <a:noFill/>
            </a:ln>
            <a:effectLst/>
          </c:spPr>
          <c:invertIfNegative val="0"/>
          <c:cat>
            <c:strRef>
              <c:f>'ProfitByReg&amp;Chanel'!$A$5:$A$10</c:f>
              <c:strCache>
                <c:ptCount val="5"/>
                <c:pt idx="0">
                  <c:v>Direct</c:v>
                </c:pt>
                <c:pt idx="1">
                  <c:v>Distributor</c:v>
                </c:pt>
                <c:pt idx="2">
                  <c:v>Marketplace</c:v>
                </c:pt>
                <c:pt idx="3">
                  <c:v>Online</c:v>
                </c:pt>
                <c:pt idx="4">
                  <c:v>Retail</c:v>
                </c:pt>
              </c:strCache>
            </c:strRef>
          </c:cat>
          <c:val>
            <c:numRef>
              <c:f>'ProfitByReg&amp;Chanel'!$B$5:$B$10</c:f>
              <c:numCache>
                <c:formatCode>0.00</c:formatCode>
                <c:ptCount val="5"/>
                <c:pt idx="0">
                  <c:v>187203.70332</c:v>
                </c:pt>
                <c:pt idx="1">
                  <c:v>232409.48563999997</c:v>
                </c:pt>
                <c:pt idx="2">
                  <c:v>186864.80456000005</c:v>
                </c:pt>
                <c:pt idx="3">
                  <c:v>180839.18539</c:v>
                </c:pt>
                <c:pt idx="4">
                  <c:v>190525.56007000001</c:v>
                </c:pt>
              </c:numCache>
            </c:numRef>
          </c:val>
          <c:extLst>
            <c:ext xmlns:c16="http://schemas.microsoft.com/office/drawing/2014/chart" uri="{C3380CC4-5D6E-409C-BE32-E72D297353CC}">
              <c16:uniqueId val="{00000000-219C-46DA-8EB5-680FEB4ECA96}"/>
            </c:ext>
          </c:extLst>
        </c:ser>
        <c:ser>
          <c:idx val="1"/>
          <c:order val="1"/>
          <c:tx>
            <c:strRef>
              <c:f>'ProfitByReg&amp;Chanel'!$C$3:$C$4</c:f>
              <c:strCache>
                <c:ptCount val="1"/>
                <c:pt idx="0">
                  <c:v>Americas</c:v>
                </c:pt>
              </c:strCache>
            </c:strRef>
          </c:tx>
          <c:spPr>
            <a:solidFill>
              <a:schemeClr val="accent2"/>
            </a:solidFill>
            <a:ln>
              <a:noFill/>
            </a:ln>
            <a:effectLst/>
          </c:spPr>
          <c:invertIfNegative val="0"/>
          <c:cat>
            <c:strRef>
              <c:f>'ProfitByReg&amp;Chanel'!$A$5:$A$10</c:f>
              <c:strCache>
                <c:ptCount val="5"/>
                <c:pt idx="0">
                  <c:v>Direct</c:v>
                </c:pt>
                <c:pt idx="1">
                  <c:v>Distributor</c:v>
                </c:pt>
                <c:pt idx="2">
                  <c:v>Marketplace</c:v>
                </c:pt>
                <c:pt idx="3">
                  <c:v>Online</c:v>
                </c:pt>
                <c:pt idx="4">
                  <c:v>Retail</c:v>
                </c:pt>
              </c:strCache>
            </c:strRef>
          </c:cat>
          <c:val>
            <c:numRef>
              <c:f>'ProfitByReg&amp;Chanel'!$C$5:$C$10</c:f>
              <c:numCache>
                <c:formatCode>0.00</c:formatCode>
                <c:ptCount val="5"/>
                <c:pt idx="0">
                  <c:v>260636.7229900001</c:v>
                </c:pt>
                <c:pt idx="1">
                  <c:v>230034.23066000006</c:v>
                </c:pt>
                <c:pt idx="2">
                  <c:v>115566.16675999995</c:v>
                </c:pt>
                <c:pt idx="3">
                  <c:v>265252.12212999992</c:v>
                </c:pt>
                <c:pt idx="4">
                  <c:v>87507.989499999996</c:v>
                </c:pt>
              </c:numCache>
            </c:numRef>
          </c:val>
          <c:extLst>
            <c:ext xmlns:c16="http://schemas.microsoft.com/office/drawing/2014/chart" uri="{C3380CC4-5D6E-409C-BE32-E72D297353CC}">
              <c16:uniqueId val="{00000000-9A0D-40A2-A53A-36D111CC020D}"/>
            </c:ext>
          </c:extLst>
        </c:ser>
        <c:ser>
          <c:idx val="2"/>
          <c:order val="2"/>
          <c:tx>
            <c:strRef>
              <c:f>'ProfitByReg&amp;Chanel'!$D$3:$D$4</c:f>
              <c:strCache>
                <c:ptCount val="1"/>
                <c:pt idx="0">
                  <c:v>Asia</c:v>
                </c:pt>
              </c:strCache>
            </c:strRef>
          </c:tx>
          <c:spPr>
            <a:solidFill>
              <a:schemeClr val="accent3"/>
            </a:solidFill>
            <a:ln>
              <a:noFill/>
            </a:ln>
            <a:effectLst/>
          </c:spPr>
          <c:invertIfNegative val="0"/>
          <c:cat>
            <c:strRef>
              <c:f>'ProfitByReg&amp;Chanel'!$A$5:$A$10</c:f>
              <c:strCache>
                <c:ptCount val="5"/>
                <c:pt idx="0">
                  <c:v>Direct</c:v>
                </c:pt>
                <c:pt idx="1">
                  <c:v>Distributor</c:v>
                </c:pt>
                <c:pt idx="2">
                  <c:v>Marketplace</c:v>
                </c:pt>
                <c:pt idx="3">
                  <c:v>Online</c:v>
                </c:pt>
                <c:pt idx="4">
                  <c:v>Retail</c:v>
                </c:pt>
              </c:strCache>
            </c:strRef>
          </c:cat>
          <c:val>
            <c:numRef>
              <c:f>'ProfitByReg&amp;Chanel'!$D$5:$D$10</c:f>
              <c:numCache>
                <c:formatCode>0.00</c:formatCode>
                <c:ptCount val="5"/>
                <c:pt idx="0">
                  <c:v>256155.81079999998</c:v>
                </c:pt>
                <c:pt idx="1">
                  <c:v>172459.12046999994</c:v>
                </c:pt>
                <c:pt idx="2">
                  <c:v>199689.52956</c:v>
                </c:pt>
                <c:pt idx="3">
                  <c:v>152920.54297000001</c:v>
                </c:pt>
                <c:pt idx="4">
                  <c:v>223965.87474000006</c:v>
                </c:pt>
              </c:numCache>
            </c:numRef>
          </c:val>
          <c:extLst>
            <c:ext xmlns:c16="http://schemas.microsoft.com/office/drawing/2014/chart" uri="{C3380CC4-5D6E-409C-BE32-E72D297353CC}">
              <c16:uniqueId val="{00000001-9A0D-40A2-A53A-36D111CC020D}"/>
            </c:ext>
          </c:extLst>
        </c:ser>
        <c:ser>
          <c:idx val="3"/>
          <c:order val="3"/>
          <c:tx>
            <c:strRef>
              <c:f>'ProfitByReg&amp;Chanel'!$E$3:$E$4</c:f>
              <c:strCache>
                <c:ptCount val="1"/>
                <c:pt idx="0">
                  <c:v>Europe</c:v>
                </c:pt>
              </c:strCache>
            </c:strRef>
          </c:tx>
          <c:spPr>
            <a:solidFill>
              <a:schemeClr val="accent4"/>
            </a:solidFill>
            <a:ln>
              <a:noFill/>
            </a:ln>
            <a:effectLst/>
          </c:spPr>
          <c:invertIfNegative val="0"/>
          <c:cat>
            <c:strRef>
              <c:f>'ProfitByReg&amp;Chanel'!$A$5:$A$10</c:f>
              <c:strCache>
                <c:ptCount val="5"/>
                <c:pt idx="0">
                  <c:v>Direct</c:v>
                </c:pt>
                <c:pt idx="1">
                  <c:v>Distributor</c:v>
                </c:pt>
                <c:pt idx="2">
                  <c:v>Marketplace</c:v>
                </c:pt>
                <c:pt idx="3">
                  <c:v>Online</c:v>
                </c:pt>
                <c:pt idx="4">
                  <c:v>Retail</c:v>
                </c:pt>
              </c:strCache>
            </c:strRef>
          </c:cat>
          <c:val>
            <c:numRef>
              <c:f>'ProfitByReg&amp;Chanel'!$E$5:$E$10</c:f>
              <c:numCache>
                <c:formatCode>0.00</c:formatCode>
                <c:ptCount val="5"/>
                <c:pt idx="0">
                  <c:v>301850.54898000014</c:v>
                </c:pt>
                <c:pt idx="1">
                  <c:v>119311.19769999998</c:v>
                </c:pt>
                <c:pt idx="2">
                  <c:v>270217.14304999996</c:v>
                </c:pt>
                <c:pt idx="3">
                  <c:v>219741.98663000006</c:v>
                </c:pt>
                <c:pt idx="4">
                  <c:v>205377.60022999992</c:v>
                </c:pt>
              </c:numCache>
            </c:numRef>
          </c:val>
          <c:extLst>
            <c:ext xmlns:c16="http://schemas.microsoft.com/office/drawing/2014/chart" uri="{C3380CC4-5D6E-409C-BE32-E72D297353CC}">
              <c16:uniqueId val="{00000002-9A0D-40A2-A53A-36D111CC020D}"/>
            </c:ext>
          </c:extLst>
        </c:ser>
        <c:dLbls>
          <c:showLegendKey val="0"/>
          <c:showVal val="0"/>
          <c:showCatName val="0"/>
          <c:showSerName val="0"/>
          <c:showPercent val="0"/>
          <c:showBubbleSize val="0"/>
        </c:dLbls>
        <c:gapWidth val="150"/>
        <c:overlap val="100"/>
        <c:axId val="688222623"/>
        <c:axId val="688209663"/>
      </c:barChart>
      <c:catAx>
        <c:axId val="68822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209663"/>
        <c:crosses val="autoZero"/>
        <c:auto val="1"/>
        <c:lblAlgn val="ctr"/>
        <c:lblOffset val="100"/>
        <c:noMultiLvlLbl val="0"/>
      </c:catAx>
      <c:valAx>
        <c:axId val="6882096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22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[Clean_Excel_Assignment_and_Brief.xlsx]Top10SKUbyRev!PivotTable3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Top10SKUbyRev!$B$3</c:f>
              <c:strCache>
                <c:ptCount val="1"/>
                <c:pt idx="0">
                  <c:v>Total</c:v>
                </c:pt>
              </c:strCache>
            </c:strRef>
          </c:tx>
          <c:spPr>
            <a:solidFill>
              <a:schemeClr val="accent1"/>
            </a:solidFill>
            <a:ln>
              <a:noFill/>
            </a:ln>
            <a:effectLst/>
          </c:spPr>
          <c:invertIfNegative val="0"/>
          <c:cat>
            <c:strRef>
              <c:f>Top10SKUbyRev!$A$4:$A$14</c:f>
              <c:strCache>
                <c:ptCount val="10"/>
                <c:pt idx="0">
                  <c:v>NET-5987</c:v>
                </c:pt>
                <c:pt idx="1">
                  <c:v>NET-5523</c:v>
                </c:pt>
                <c:pt idx="2">
                  <c:v>NET-2365</c:v>
                </c:pt>
                <c:pt idx="3">
                  <c:v>MON-6962</c:v>
                </c:pt>
                <c:pt idx="4">
                  <c:v>MON-6699</c:v>
                </c:pt>
                <c:pt idx="5">
                  <c:v>MON-2266</c:v>
                </c:pt>
                <c:pt idx="6">
                  <c:v>LAP-8910</c:v>
                </c:pt>
                <c:pt idx="7">
                  <c:v>LAP-3904</c:v>
                </c:pt>
                <c:pt idx="8">
                  <c:v>CMP-8851</c:v>
                </c:pt>
                <c:pt idx="9">
                  <c:v>CMP-3938</c:v>
                </c:pt>
              </c:strCache>
            </c:strRef>
          </c:cat>
          <c:val>
            <c:numRef>
              <c:f>Top10SKUbyRev!$B$4:$B$14</c:f>
              <c:numCache>
                <c:formatCode>0.00</c:formatCode>
                <c:ptCount val="10"/>
                <c:pt idx="0">
                  <c:v>82141.339799999987</c:v>
                </c:pt>
                <c:pt idx="1">
                  <c:v>79548.755999999994</c:v>
                </c:pt>
                <c:pt idx="2">
                  <c:v>109244</c:v>
                </c:pt>
                <c:pt idx="3">
                  <c:v>92715.25</c:v>
                </c:pt>
                <c:pt idx="4">
                  <c:v>85637.740319999997</c:v>
                </c:pt>
                <c:pt idx="5">
                  <c:v>87404.929919999995</c:v>
                </c:pt>
                <c:pt idx="6">
                  <c:v>102122.94203999999</c:v>
                </c:pt>
                <c:pt idx="7">
                  <c:v>82514.711519999997</c:v>
                </c:pt>
                <c:pt idx="8">
                  <c:v>139277.83032000001</c:v>
                </c:pt>
                <c:pt idx="9">
                  <c:v>84136.119600000005</c:v>
                </c:pt>
              </c:numCache>
            </c:numRef>
          </c:val>
          <c:extLst>
            <c:ext xmlns:c16="http://schemas.microsoft.com/office/drawing/2014/chart" uri="{C3380CC4-5D6E-409C-BE32-E72D297353CC}">
              <c16:uniqueId val="{00000000-EB81-4241-AD2B-0F275D9FF29D}"/>
            </c:ext>
          </c:extLst>
        </c:ser>
        <c:dLbls>
          <c:showLegendKey val="0"/>
          <c:showVal val="0"/>
          <c:showCatName val="0"/>
          <c:showSerName val="0"/>
          <c:showPercent val="0"/>
          <c:showBubbleSize val="0"/>
        </c:dLbls>
        <c:gapWidth val="182"/>
        <c:axId val="588390223"/>
        <c:axId val="588407023"/>
      </c:barChart>
      <c:catAx>
        <c:axId val="588390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407023"/>
        <c:crosses val="autoZero"/>
        <c:auto val="1"/>
        <c:lblAlgn val="ctr"/>
        <c:lblOffset val="100"/>
        <c:noMultiLvlLbl val="0"/>
      </c:catAx>
      <c:valAx>
        <c:axId val="588407023"/>
        <c:scaling>
          <c:orientation val="minMax"/>
        </c:scaling>
        <c:delete val="1"/>
        <c:axPos val="b"/>
        <c:numFmt formatCode="0.00" sourceLinked="1"/>
        <c:majorTickMark val="none"/>
        <c:minorTickMark val="none"/>
        <c:tickLblPos val="nextTo"/>
        <c:crossAx val="58839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[Clean_Excel_Assignment_and_Brief.xlsx]Revenue by productcategory!PivotTable1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productcategory'!$B$3</c:f>
              <c:strCache>
                <c:ptCount val="1"/>
                <c:pt idx="0">
                  <c:v>Total</c:v>
                </c:pt>
              </c:strCache>
            </c:strRef>
          </c:tx>
          <c:spPr>
            <a:solidFill>
              <a:schemeClr val="accent1"/>
            </a:solidFill>
            <a:ln>
              <a:noFill/>
            </a:ln>
            <a:effectLst/>
          </c:spPr>
          <c:invertIfNegative val="0"/>
          <c:cat>
            <c:strRef>
              <c:f>'Revenue by productcategory'!$A$4:$A$11</c:f>
              <c:strCache>
                <c:ptCount val="7"/>
                <c:pt idx="0">
                  <c:v>Accessories</c:v>
                </c:pt>
                <c:pt idx="1">
                  <c:v>Components</c:v>
                </c:pt>
                <c:pt idx="2">
                  <c:v>Laptops</c:v>
                </c:pt>
                <c:pt idx="3">
                  <c:v>Monitors</c:v>
                </c:pt>
                <c:pt idx="4">
                  <c:v>Networking</c:v>
                </c:pt>
                <c:pt idx="5">
                  <c:v>Phones</c:v>
                </c:pt>
                <c:pt idx="6">
                  <c:v>Printers</c:v>
                </c:pt>
              </c:strCache>
            </c:strRef>
          </c:cat>
          <c:val>
            <c:numRef>
              <c:f>'Revenue by productcategory'!$B$4:$B$11</c:f>
              <c:numCache>
                <c:formatCode>0.00</c:formatCode>
                <c:ptCount val="7"/>
                <c:pt idx="0">
                  <c:v>1342046.6256700004</c:v>
                </c:pt>
                <c:pt idx="1">
                  <c:v>1550200.534329999</c:v>
                </c:pt>
                <c:pt idx="2">
                  <c:v>1711094.3775999993</c:v>
                </c:pt>
                <c:pt idx="3">
                  <c:v>1551590.8794699993</c:v>
                </c:pt>
                <c:pt idx="4">
                  <c:v>1774683.0832</c:v>
                </c:pt>
                <c:pt idx="5">
                  <c:v>1399242.2240200003</c:v>
                </c:pt>
                <c:pt idx="6">
                  <c:v>1616910.1886599988</c:v>
                </c:pt>
              </c:numCache>
            </c:numRef>
          </c:val>
          <c:extLst>
            <c:ext xmlns:c16="http://schemas.microsoft.com/office/drawing/2014/chart" uri="{C3380CC4-5D6E-409C-BE32-E72D297353CC}">
              <c16:uniqueId val="{00000000-E29F-4016-B601-5AA07ECFCF03}"/>
            </c:ext>
          </c:extLst>
        </c:ser>
        <c:dLbls>
          <c:showLegendKey val="0"/>
          <c:showVal val="0"/>
          <c:showCatName val="0"/>
          <c:showSerName val="0"/>
          <c:showPercent val="0"/>
          <c:showBubbleSize val="0"/>
        </c:dLbls>
        <c:gapWidth val="219"/>
        <c:overlap val="-27"/>
        <c:axId val="256122639"/>
        <c:axId val="256128879"/>
      </c:barChart>
      <c:catAx>
        <c:axId val="25612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28879"/>
        <c:crosses val="autoZero"/>
        <c:auto val="1"/>
        <c:lblAlgn val="ctr"/>
        <c:lblOffset val="100"/>
        <c:noMultiLvlLbl val="0"/>
      </c:catAx>
      <c:valAx>
        <c:axId val="256128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2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[Clean_Excel_Assignment_and_Brief.xlsx]RevenueByMonth!PivotTable1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a:t>
            </a:r>
            <a:r>
              <a:rPr lang="en-US" sz="1600" b="1" baseline="0">
                <a:solidFill>
                  <a:schemeClr val="tx1"/>
                </a:solidFill>
              </a:rPr>
              <a:t> By Month</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33092738407698"/>
          <c:y val="0.16708333333333336"/>
          <c:w val="0.80789129483814526"/>
          <c:h val="0.72088764946048411"/>
        </c:manualLayout>
      </c:layout>
      <c:lineChart>
        <c:grouping val="standard"/>
        <c:varyColors val="0"/>
        <c:ser>
          <c:idx val="0"/>
          <c:order val="0"/>
          <c:tx>
            <c:strRef>
              <c:f>RevenueByMonth!$B$3</c:f>
              <c:strCache>
                <c:ptCount val="1"/>
                <c:pt idx="0">
                  <c:v>Total</c:v>
                </c:pt>
              </c:strCache>
            </c:strRef>
          </c:tx>
          <c:spPr>
            <a:ln w="28575" cap="rnd">
              <a:solidFill>
                <a:schemeClr val="accent1"/>
              </a:solidFill>
              <a:round/>
            </a:ln>
            <a:effectLst/>
          </c:spPr>
          <c:marker>
            <c:symbol val="none"/>
          </c:marker>
          <c:cat>
            <c:strRef>
              <c:f>RevenueByMonth!$A$4:$A$16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RevenueByMonth!$B$4:$B$16</c:f>
              <c:numCache>
                <c:formatCode>0.00</c:formatCode>
                <c:ptCount val="12"/>
                <c:pt idx="0">
                  <c:v>701241.31055000005</c:v>
                </c:pt>
                <c:pt idx="1">
                  <c:v>963301.00218000007</c:v>
                </c:pt>
                <c:pt idx="2">
                  <c:v>799192.62353000022</c:v>
                </c:pt>
                <c:pt idx="3">
                  <c:v>947246.5773799998</c:v>
                </c:pt>
                <c:pt idx="4">
                  <c:v>1262901.8977499993</c:v>
                </c:pt>
                <c:pt idx="5">
                  <c:v>1252974.1609099994</c:v>
                </c:pt>
                <c:pt idx="6">
                  <c:v>1323460.0091499998</c:v>
                </c:pt>
                <c:pt idx="7">
                  <c:v>1090009.5832699998</c:v>
                </c:pt>
                <c:pt idx="8">
                  <c:v>661140.76962000015</c:v>
                </c:pt>
                <c:pt idx="9">
                  <c:v>663847.3234600001</c:v>
                </c:pt>
                <c:pt idx="10">
                  <c:v>543953.69134999998</c:v>
                </c:pt>
                <c:pt idx="11">
                  <c:v>736480.30395999982</c:v>
                </c:pt>
              </c:numCache>
            </c:numRef>
          </c:val>
          <c:smooth val="0"/>
          <c:extLst>
            <c:ext xmlns:c16="http://schemas.microsoft.com/office/drawing/2014/chart" uri="{C3380CC4-5D6E-409C-BE32-E72D297353CC}">
              <c16:uniqueId val="{00000000-8B37-45DB-A2C1-8A1BE714E6B8}"/>
            </c:ext>
          </c:extLst>
        </c:ser>
        <c:dLbls>
          <c:showLegendKey val="0"/>
          <c:showVal val="0"/>
          <c:showCatName val="0"/>
          <c:showSerName val="0"/>
          <c:showPercent val="0"/>
          <c:showBubbleSize val="0"/>
        </c:dLbls>
        <c:smooth val="0"/>
        <c:axId val="688208223"/>
        <c:axId val="688226463"/>
      </c:lineChart>
      <c:catAx>
        <c:axId val="68820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226463"/>
        <c:crosses val="autoZero"/>
        <c:auto val="1"/>
        <c:lblAlgn val="ctr"/>
        <c:lblOffset val="100"/>
        <c:noMultiLvlLbl val="0"/>
      </c:catAx>
      <c:valAx>
        <c:axId val="6882264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20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[Clean_Excel_Assignment_and_Brief.xlsx]ProfitByReg&amp;Chanel!PivotTable2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Profit</a:t>
            </a:r>
            <a:r>
              <a:rPr lang="en-US" sz="1600" b="1" baseline="0">
                <a:solidFill>
                  <a:schemeClr val="tx1"/>
                </a:solidFill>
              </a:rPr>
              <a:t> By Region and Channel</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55314960629921"/>
          <c:y val="0.13786818314377369"/>
          <c:w val="0.64926181102362202"/>
          <c:h val="0.65853091280256637"/>
        </c:manualLayout>
      </c:layout>
      <c:barChart>
        <c:barDir val="col"/>
        <c:grouping val="stacked"/>
        <c:varyColors val="0"/>
        <c:ser>
          <c:idx val="0"/>
          <c:order val="0"/>
          <c:tx>
            <c:strRef>
              <c:f>'ProfitByReg&amp;Chanel'!$B$3:$B$4</c:f>
              <c:strCache>
                <c:ptCount val="1"/>
                <c:pt idx="0">
                  <c:v>Africa</c:v>
                </c:pt>
              </c:strCache>
            </c:strRef>
          </c:tx>
          <c:spPr>
            <a:solidFill>
              <a:schemeClr val="accent1"/>
            </a:solidFill>
            <a:ln>
              <a:noFill/>
            </a:ln>
            <a:effectLst/>
          </c:spPr>
          <c:invertIfNegative val="0"/>
          <c:cat>
            <c:strRef>
              <c:f>'ProfitByReg&amp;Chanel'!$A$5:$A$10</c:f>
              <c:strCache>
                <c:ptCount val="5"/>
                <c:pt idx="0">
                  <c:v>Direct</c:v>
                </c:pt>
                <c:pt idx="1">
                  <c:v>Distributor</c:v>
                </c:pt>
                <c:pt idx="2">
                  <c:v>Marketplace</c:v>
                </c:pt>
                <c:pt idx="3">
                  <c:v>Online</c:v>
                </c:pt>
                <c:pt idx="4">
                  <c:v>Retail</c:v>
                </c:pt>
              </c:strCache>
            </c:strRef>
          </c:cat>
          <c:val>
            <c:numRef>
              <c:f>'ProfitByReg&amp;Chanel'!$B$5:$B$10</c:f>
              <c:numCache>
                <c:formatCode>0.00</c:formatCode>
                <c:ptCount val="5"/>
                <c:pt idx="0">
                  <c:v>187203.70332</c:v>
                </c:pt>
                <c:pt idx="1">
                  <c:v>232409.48563999997</c:v>
                </c:pt>
                <c:pt idx="2">
                  <c:v>186864.80456000005</c:v>
                </c:pt>
                <c:pt idx="3">
                  <c:v>180839.18539</c:v>
                </c:pt>
                <c:pt idx="4">
                  <c:v>190525.56007000001</c:v>
                </c:pt>
              </c:numCache>
            </c:numRef>
          </c:val>
          <c:extLst>
            <c:ext xmlns:c16="http://schemas.microsoft.com/office/drawing/2014/chart" uri="{C3380CC4-5D6E-409C-BE32-E72D297353CC}">
              <c16:uniqueId val="{00000000-C002-4E1B-ABFA-25C007BE65E2}"/>
            </c:ext>
          </c:extLst>
        </c:ser>
        <c:ser>
          <c:idx val="1"/>
          <c:order val="1"/>
          <c:tx>
            <c:strRef>
              <c:f>'ProfitByReg&amp;Chanel'!$C$3:$C$4</c:f>
              <c:strCache>
                <c:ptCount val="1"/>
                <c:pt idx="0">
                  <c:v>Americas</c:v>
                </c:pt>
              </c:strCache>
            </c:strRef>
          </c:tx>
          <c:spPr>
            <a:solidFill>
              <a:schemeClr val="accent2"/>
            </a:solidFill>
            <a:ln>
              <a:noFill/>
            </a:ln>
            <a:effectLst/>
          </c:spPr>
          <c:invertIfNegative val="0"/>
          <c:cat>
            <c:strRef>
              <c:f>'ProfitByReg&amp;Chanel'!$A$5:$A$10</c:f>
              <c:strCache>
                <c:ptCount val="5"/>
                <c:pt idx="0">
                  <c:v>Direct</c:v>
                </c:pt>
                <c:pt idx="1">
                  <c:v>Distributor</c:v>
                </c:pt>
                <c:pt idx="2">
                  <c:v>Marketplace</c:v>
                </c:pt>
                <c:pt idx="3">
                  <c:v>Online</c:v>
                </c:pt>
                <c:pt idx="4">
                  <c:v>Retail</c:v>
                </c:pt>
              </c:strCache>
            </c:strRef>
          </c:cat>
          <c:val>
            <c:numRef>
              <c:f>'ProfitByReg&amp;Chanel'!$C$5:$C$10</c:f>
              <c:numCache>
                <c:formatCode>0.00</c:formatCode>
                <c:ptCount val="5"/>
                <c:pt idx="0">
                  <c:v>260636.7229900001</c:v>
                </c:pt>
                <c:pt idx="1">
                  <c:v>230034.23066000006</c:v>
                </c:pt>
                <c:pt idx="2">
                  <c:v>115566.16675999995</c:v>
                </c:pt>
                <c:pt idx="3">
                  <c:v>265252.12212999992</c:v>
                </c:pt>
                <c:pt idx="4">
                  <c:v>87507.989499999996</c:v>
                </c:pt>
              </c:numCache>
            </c:numRef>
          </c:val>
          <c:extLst>
            <c:ext xmlns:c16="http://schemas.microsoft.com/office/drawing/2014/chart" uri="{C3380CC4-5D6E-409C-BE32-E72D297353CC}">
              <c16:uniqueId val="{00000001-9A7A-4E38-9B8D-5D8553D530ED}"/>
            </c:ext>
          </c:extLst>
        </c:ser>
        <c:ser>
          <c:idx val="2"/>
          <c:order val="2"/>
          <c:tx>
            <c:strRef>
              <c:f>'ProfitByReg&amp;Chanel'!$D$3:$D$4</c:f>
              <c:strCache>
                <c:ptCount val="1"/>
                <c:pt idx="0">
                  <c:v>Asia</c:v>
                </c:pt>
              </c:strCache>
            </c:strRef>
          </c:tx>
          <c:spPr>
            <a:solidFill>
              <a:schemeClr val="accent3"/>
            </a:solidFill>
            <a:ln>
              <a:noFill/>
            </a:ln>
            <a:effectLst/>
          </c:spPr>
          <c:invertIfNegative val="0"/>
          <c:cat>
            <c:strRef>
              <c:f>'ProfitByReg&amp;Chanel'!$A$5:$A$10</c:f>
              <c:strCache>
                <c:ptCount val="5"/>
                <c:pt idx="0">
                  <c:v>Direct</c:v>
                </c:pt>
                <c:pt idx="1">
                  <c:v>Distributor</c:v>
                </c:pt>
                <c:pt idx="2">
                  <c:v>Marketplace</c:v>
                </c:pt>
                <c:pt idx="3">
                  <c:v>Online</c:v>
                </c:pt>
                <c:pt idx="4">
                  <c:v>Retail</c:v>
                </c:pt>
              </c:strCache>
            </c:strRef>
          </c:cat>
          <c:val>
            <c:numRef>
              <c:f>'ProfitByReg&amp;Chanel'!$D$5:$D$10</c:f>
              <c:numCache>
                <c:formatCode>0.00</c:formatCode>
                <c:ptCount val="5"/>
                <c:pt idx="0">
                  <c:v>256155.81079999998</c:v>
                </c:pt>
                <c:pt idx="1">
                  <c:v>172459.12046999994</c:v>
                </c:pt>
                <c:pt idx="2">
                  <c:v>199689.52956</c:v>
                </c:pt>
                <c:pt idx="3">
                  <c:v>152920.54297000001</c:v>
                </c:pt>
                <c:pt idx="4">
                  <c:v>223965.87474000006</c:v>
                </c:pt>
              </c:numCache>
            </c:numRef>
          </c:val>
          <c:extLst>
            <c:ext xmlns:c16="http://schemas.microsoft.com/office/drawing/2014/chart" uri="{C3380CC4-5D6E-409C-BE32-E72D297353CC}">
              <c16:uniqueId val="{00000002-9A7A-4E38-9B8D-5D8553D530ED}"/>
            </c:ext>
          </c:extLst>
        </c:ser>
        <c:ser>
          <c:idx val="3"/>
          <c:order val="3"/>
          <c:tx>
            <c:strRef>
              <c:f>'ProfitByReg&amp;Chanel'!$E$3:$E$4</c:f>
              <c:strCache>
                <c:ptCount val="1"/>
                <c:pt idx="0">
                  <c:v>Europe</c:v>
                </c:pt>
              </c:strCache>
            </c:strRef>
          </c:tx>
          <c:spPr>
            <a:solidFill>
              <a:schemeClr val="accent4"/>
            </a:solidFill>
            <a:ln>
              <a:noFill/>
            </a:ln>
            <a:effectLst/>
          </c:spPr>
          <c:invertIfNegative val="0"/>
          <c:cat>
            <c:strRef>
              <c:f>'ProfitByReg&amp;Chanel'!$A$5:$A$10</c:f>
              <c:strCache>
                <c:ptCount val="5"/>
                <c:pt idx="0">
                  <c:v>Direct</c:v>
                </c:pt>
                <c:pt idx="1">
                  <c:v>Distributor</c:v>
                </c:pt>
                <c:pt idx="2">
                  <c:v>Marketplace</c:v>
                </c:pt>
                <c:pt idx="3">
                  <c:v>Online</c:v>
                </c:pt>
                <c:pt idx="4">
                  <c:v>Retail</c:v>
                </c:pt>
              </c:strCache>
            </c:strRef>
          </c:cat>
          <c:val>
            <c:numRef>
              <c:f>'ProfitByReg&amp;Chanel'!$E$5:$E$10</c:f>
              <c:numCache>
                <c:formatCode>0.00</c:formatCode>
                <c:ptCount val="5"/>
                <c:pt idx="0">
                  <c:v>301850.54898000014</c:v>
                </c:pt>
                <c:pt idx="1">
                  <c:v>119311.19769999998</c:v>
                </c:pt>
                <c:pt idx="2">
                  <c:v>270217.14304999996</c:v>
                </c:pt>
                <c:pt idx="3">
                  <c:v>219741.98663000006</c:v>
                </c:pt>
                <c:pt idx="4">
                  <c:v>205377.60022999992</c:v>
                </c:pt>
              </c:numCache>
            </c:numRef>
          </c:val>
          <c:extLst>
            <c:ext xmlns:c16="http://schemas.microsoft.com/office/drawing/2014/chart" uri="{C3380CC4-5D6E-409C-BE32-E72D297353CC}">
              <c16:uniqueId val="{00000003-9A7A-4E38-9B8D-5D8553D530ED}"/>
            </c:ext>
          </c:extLst>
        </c:ser>
        <c:dLbls>
          <c:showLegendKey val="0"/>
          <c:showVal val="0"/>
          <c:showCatName val="0"/>
          <c:showSerName val="0"/>
          <c:showPercent val="0"/>
          <c:showBubbleSize val="0"/>
        </c:dLbls>
        <c:gapWidth val="150"/>
        <c:overlap val="100"/>
        <c:axId val="688222623"/>
        <c:axId val="688209663"/>
      </c:barChart>
      <c:catAx>
        <c:axId val="68822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209663"/>
        <c:crosses val="autoZero"/>
        <c:auto val="1"/>
        <c:lblAlgn val="ctr"/>
        <c:lblOffset val="100"/>
        <c:noMultiLvlLbl val="0"/>
      </c:catAx>
      <c:valAx>
        <c:axId val="6882096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22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[Clean_Excel_Assignment_and_Brief.xlsx]Top10SKUbyRev!PivotTable3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Top</a:t>
            </a:r>
            <a:r>
              <a:rPr lang="en-US" sz="1600" b="1" baseline="0">
                <a:solidFill>
                  <a:schemeClr val="tx1"/>
                </a:solidFill>
              </a:rPr>
              <a:t> 10 SKU by Revenue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Top10SKUbyRev!$B$3</c:f>
              <c:strCache>
                <c:ptCount val="1"/>
                <c:pt idx="0">
                  <c:v>Total</c:v>
                </c:pt>
              </c:strCache>
            </c:strRef>
          </c:tx>
          <c:spPr>
            <a:solidFill>
              <a:schemeClr val="accent1"/>
            </a:solidFill>
            <a:ln>
              <a:noFill/>
            </a:ln>
            <a:effectLst/>
          </c:spPr>
          <c:invertIfNegative val="0"/>
          <c:cat>
            <c:strRef>
              <c:f>Top10SKUbyRev!$A$4:$A$14</c:f>
              <c:strCache>
                <c:ptCount val="10"/>
                <c:pt idx="0">
                  <c:v>NET-5987</c:v>
                </c:pt>
                <c:pt idx="1">
                  <c:v>NET-5523</c:v>
                </c:pt>
                <c:pt idx="2">
                  <c:v>NET-2365</c:v>
                </c:pt>
                <c:pt idx="3">
                  <c:v>MON-6962</c:v>
                </c:pt>
                <c:pt idx="4">
                  <c:v>MON-6699</c:v>
                </c:pt>
                <c:pt idx="5">
                  <c:v>MON-2266</c:v>
                </c:pt>
                <c:pt idx="6">
                  <c:v>LAP-8910</c:v>
                </c:pt>
                <c:pt idx="7">
                  <c:v>LAP-3904</c:v>
                </c:pt>
                <c:pt idx="8">
                  <c:v>CMP-8851</c:v>
                </c:pt>
                <c:pt idx="9">
                  <c:v>CMP-3938</c:v>
                </c:pt>
              </c:strCache>
            </c:strRef>
          </c:cat>
          <c:val>
            <c:numRef>
              <c:f>Top10SKUbyRev!$B$4:$B$14</c:f>
              <c:numCache>
                <c:formatCode>0.00</c:formatCode>
                <c:ptCount val="10"/>
                <c:pt idx="0">
                  <c:v>82141.339799999987</c:v>
                </c:pt>
                <c:pt idx="1">
                  <c:v>79548.755999999994</c:v>
                </c:pt>
                <c:pt idx="2">
                  <c:v>109244</c:v>
                </c:pt>
                <c:pt idx="3">
                  <c:v>92715.25</c:v>
                </c:pt>
                <c:pt idx="4">
                  <c:v>85637.740319999997</c:v>
                </c:pt>
                <c:pt idx="5">
                  <c:v>87404.929919999995</c:v>
                </c:pt>
                <c:pt idx="6">
                  <c:v>102122.94203999999</c:v>
                </c:pt>
                <c:pt idx="7">
                  <c:v>82514.711519999997</c:v>
                </c:pt>
                <c:pt idx="8">
                  <c:v>139277.83032000001</c:v>
                </c:pt>
                <c:pt idx="9">
                  <c:v>84136.119600000005</c:v>
                </c:pt>
              </c:numCache>
            </c:numRef>
          </c:val>
          <c:extLst>
            <c:ext xmlns:c16="http://schemas.microsoft.com/office/drawing/2014/chart" uri="{C3380CC4-5D6E-409C-BE32-E72D297353CC}">
              <c16:uniqueId val="{00000000-A27A-47E4-9B61-7227F5FFD913}"/>
            </c:ext>
          </c:extLst>
        </c:ser>
        <c:dLbls>
          <c:showLegendKey val="0"/>
          <c:showVal val="0"/>
          <c:showCatName val="0"/>
          <c:showSerName val="0"/>
          <c:showPercent val="0"/>
          <c:showBubbleSize val="0"/>
        </c:dLbls>
        <c:gapWidth val="182"/>
        <c:axId val="588390223"/>
        <c:axId val="588407023"/>
      </c:barChart>
      <c:catAx>
        <c:axId val="588390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407023"/>
        <c:crosses val="autoZero"/>
        <c:auto val="1"/>
        <c:lblAlgn val="ctr"/>
        <c:lblOffset val="100"/>
        <c:noMultiLvlLbl val="0"/>
      </c:catAx>
      <c:valAx>
        <c:axId val="588407023"/>
        <c:scaling>
          <c:orientation val="minMax"/>
        </c:scaling>
        <c:delete val="1"/>
        <c:axPos val="b"/>
        <c:numFmt formatCode="0.00" sourceLinked="1"/>
        <c:majorTickMark val="none"/>
        <c:minorTickMark val="none"/>
        <c:tickLblPos val="nextTo"/>
        <c:crossAx val="58839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Discount</a:t>
            </a:r>
            <a:r>
              <a:rPr lang="en-US" sz="1600" b="1" baseline="0">
                <a:solidFill>
                  <a:schemeClr val="tx1"/>
                </a:solidFill>
              </a:rPr>
              <a:t> Outliers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Data!$AC$1</c:f>
              <c:strCache>
                <c:ptCount val="1"/>
                <c:pt idx="0">
                  <c:v>NewDiscountPct</c:v>
                </c:pt>
              </c:strCache>
            </c:strRef>
          </c:tx>
          <c:spPr>
            <a:ln w="25400" cap="rnd">
              <a:noFill/>
              <a:round/>
            </a:ln>
            <a:effectLst/>
          </c:spPr>
          <c:marker>
            <c:symbol val="circle"/>
            <c:size val="5"/>
            <c:spPr>
              <a:solidFill>
                <a:schemeClr val="accent1"/>
              </a:solidFill>
              <a:ln w="9525">
                <a:solidFill>
                  <a:schemeClr val="accent1"/>
                </a:solidFill>
              </a:ln>
              <a:effectLst/>
            </c:spPr>
          </c:marker>
          <c:yVal>
            <c:numRef>
              <c:f>Data!$AC$2:$AC$632</c:f>
              <c:numCache>
                <c:formatCode>0.00%</c:formatCode>
                <c:ptCount val="631"/>
                <c:pt idx="0">
                  <c:v>0.17199999999999999</c:v>
                </c:pt>
                <c:pt idx="1">
                  <c:v>7.4999999999999997E-2</c:v>
                </c:pt>
                <c:pt idx="2">
                  <c:v>0.11799999999999999</c:v>
                </c:pt>
                <c:pt idx="3">
                  <c:v>0.255</c:v>
                </c:pt>
                <c:pt idx="4">
                  <c:v>0.157</c:v>
                </c:pt>
                <c:pt idx="5">
                  <c:v>5.2999999999999999E-2</c:v>
                </c:pt>
                <c:pt idx="6">
                  <c:v>0.255</c:v>
                </c:pt>
                <c:pt idx="7">
                  <c:v>0.115</c:v>
                </c:pt>
                <c:pt idx="8">
                  <c:v>0.21099999999999999</c:v>
                </c:pt>
                <c:pt idx="9">
                  <c:v>5.8999999999999997E-2</c:v>
                </c:pt>
                <c:pt idx="10">
                  <c:v>0.09</c:v>
                </c:pt>
                <c:pt idx="11">
                  <c:v>0.151</c:v>
                </c:pt>
                <c:pt idx="12">
                  <c:v>0.14599999999999999</c:v>
                </c:pt>
                <c:pt idx="13">
                  <c:v>0</c:v>
                </c:pt>
                <c:pt idx="14">
                  <c:v>0.10299999999999999</c:v>
                </c:pt>
                <c:pt idx="15">
                  <c:v>0.14899999999999999</c:v>
                </c:pt>
                <c:pt idx="16">
                  <c:v>7.2999999999999995E-2</c:v>
                </c:pt>
                <c:pt idx="17">
                  <c:v>0.3</c:v>
                </c:pt>
                <c:pt idx="18">
                  <c:v>1.4E-2</c:v>
                </c:pt>
                <c:pt idx="19">
                  <c:v>0.161</c:v>
                </c:pt>
                <c:pt idx="20">
                  <c:v>0.107</c:v>
                </c:pt>
                <c:pt idx="21">
                  <c:v>0.24299999999999999</c:v>
                </c:pt>
                <c:pt idx="22">
                  <c:v>0.19</c:v>
                </c:pt>
                <c:pt idx="23">
                  <c:v>0.16800000000000001</c:v>
                </c:pt>
                <c:pt idx="24">
                  <c:v>0.24299999999999999</c:v>
                </c:pt>
                <c:pt idx="25">
                  <c:v>4.7E-2</c:v>
                </c:pt>
                <c:pt idx="26">
                  <c:v>0.1</c:v>
                </c:pt>
                <c:pt idx="27">
                  <c:v>2.1999999999999999E-2</c:v>
                </c:pt>
                <c:pt idx="28">
                  <c:v>0.10299999999999999</c:v>
                </c:pt>
                <c:pt idx="29">
                  <c:v>6.3E-2</c:v>
                </c:pt>
                <c:pt idx="30">
                  <c:v>0.23699999999999999</c:v>
                </c:pt>
                <c:pt idx="31">
                  <c:v>0.126</c:v>
                </c:pt>
                <c:pt idx="32">
                  <c:v>0.155</c:v>
                </c:pt>
                <c:pt idx="33">
                  <c:v>0.14699999999999999</c:v>
                </c:pt>
                <c:pt idx="34">
                  <c:v>0.192</c:v>
                </c:pt>
                <c:pt idx="35">
                  <c:v>0.126</c:v>
                </c:pt>
                <c:pt idx="36">
                  <c:v>0.184</c:v>
                </c:pt>
                <c:pt idx="37">
                  <c:v>7.8E-2</c:v>
                </c:pt>
                <c:pt idx="38">
                  <c:v>0.17</c:v>
                </c:pt>
                <c:pt idx="39">
                  <c:v>0.23300000000000001</c:v>
                </c:pt>
                <c:pt idx="40">
                  <c:v>4.2000000000000003E-2</c:v>
                </c:pt>
                <c:pt idx="41">
                  <c:v>0.1</c:v>
                </c:pt>
                <c:pt idx="42">
                  <c:v>0.151</c:v>
                </c:pt>
                <c:pt idx="43">
                  <c:v>5.0999999999999997E-2</c:v>
                </c:pt>
                <c:pt idx="44">
                  <c:v>0.16300000000000001</c:v>
                </c:pt>
                <c:pt idx="45">
                  <c:v>0.23599999999999999</c:v>
                </c:pt>
                <c:pt idx="46">
                  <c:v>0.13900000000000001</c:v>
                </c:pt>
                <c:pt idx="47">
                  <c:v>0.126</c:v>
                </c:pt>
                <c:pt idx="48">
                  <c:v>0.10299999999999999</c:v>
                </c:pt>
                <c:pt idx="49">
                  <c:v>0.129</c:v>
                </c:pt>
                <c:pt idx="50">
                  <c:v>0.104</c:v>
                </c:pt>
                <c:pt idx="51">
                  <c:v>3.6999999999999998E-2</c:v>
                </c:pt>
                <c:pt idx="52">
                  <c:v>8.6999999999999994E-2</c:v>
                </c:pt>
                <c:pt idx="53">
                  <c:v>9.9000000000000005E-2</c:v>
                </c:pt>
                <c:pt idx="54">
                  <c:v>0.13600000000000001</c:v>
                </c:pt>
                <c:pt idx="55">
                  <c:v>9.1999999999999998E-2</c:v>
                </c:pt>
                <c:pt idx="56">
                  <c:v>0.25</c:v>
                </c:pt>
                <c:pt idx="57">
                  <c:v>0.161</c:v>
                </c:pt>
                <c:pt idx="58">
                  <c:v>0.129</c:v>
                </c:pt>
                <c:pt idx="59">
                  <c:v>0.14599999999999999</c:v>
                </c:pt>
                <c:pt idx="60">
                  <c:v>0.159</c:v>
                </c:pt>
                <c:pt idx="61">
                  <c:v>0.23499999999999999</c:v>
                </c:pt>
                <c:pt idx="62">
                  <c:v>0</c:v>
                </c:pt>
                <c:pt idx="63">
                  <c:v>0.13800000000000001</c:v>
                </c:pt>
                <c:pt idx="64">
                  <c:v>0.123</c:v>
                </c:pt>
                <c:pt idx="65">
                  <c:v>0</c:v>
                </c:pt>
                <c:pt idx="66">
                  <c:v>0.109</c:v>
                </c:pt>
                <c:pt idx="67">
                  <c:v>0.17899999999999999</c:v>
                </c:pt>
                <c:pt idx="68">
                  <c:v>0.109</c:v>
                </c:pt>
                <c:pt idx="69">
                  <c:v>0.185</c:v>
                </c:pt>
                <c:pt idx="70">
                  <c:v>5.3999999999999999E-2</c:v>
                </c:pt>
                <c:pt idx="71">
                  <c:v>0.11899999999999999</c:v>
                </c:pt>
                <c:pt idx="72">
                  <c:v>0.153</c:v>
                </c:pt>
                <c:pt idx="73">
                  <c:v>0.185</c:v>
                </c:pt>
                <c:pt idx="74">
                  <c:v>2.1000000000000001E-2</c:v>
                </c:pt>
                <c:pt idx="75">
                  <c:v>0</c:v>
                </c:pt>
                <c:pt idx="76">
                  <c:v>0.16900000000000001</c:v>
                </c:pt>
                <c:pt idx="77">
                  <c:v>0.21</c:v>
                </c:pt>
                <c:pt idx="78">
                  <c:v>0.248</c:v>
                </c:pt>
                <c:pt idx="79">
                  <c:v>0.159</c:v>
                </c:pt>
                <c:pt idx="80">
                  <c:v>0.11</c:v>
                </c:pt>
                <c:pt idx="81">
                  <c:v>5.5E-2</c:v>
                </c:pt>
                <c:pt idx="82">
                  <c:v>0</c:v>
                </c:pt>
                <c:pt idx="83">
                  <c:v>6.3E-2</c:v>
                </c:pt>
                <c:pt idx="84">
                  <c:v>0.17499999999999999</c:v>
                </c:pt>
                <c:pt idx="85">
                  <c:v>0</c:v>
                </c:pt>
                <c:pt idx="86">
                  <c:v>0.13300000000000001</c:v>
                </c:pt>
                <c:pt idx="87">
                  <c:v>0.216</c:v>
                </c:pt>
                <c:pt idx="88">
                  <c:v>0</c:v>
                </c:pt>
                <c:pt idx="89">
                  <c:v>0.16400000000000001</c:v>
                </c:pt>
                <c:pt idx="90">
                  <c:v>0.29199999999999998</c:v>
                </c:pt>
                <c:pt idx="91">
                  <c:v>0</c:v>
                </c:pt>
                <c:pt idx="92">
                  <c:v>0.184</c:v>
                </c:pt>
                <c:pt idx="93">
                  <c:v>0.3</c:v>
                </c:pt>
                <c:pt idx="94">
                  <c:v>0.17399999999999999</c:v>
                </c:pt>
                <c:pt idx="95">
                  <c:v>0.187</c:v>
                </c:pt>
                <c:pt idx="96">
                  <c:v>0.19600000000000001</c:v>
                </c:pt>
                <c:pt idx="97">
                  <c:v>0.24099999999999999</c:v>
                </c:pt>
                <c:pt idx="98">
                  <c:v>0.10199999999999999</c:v>
                </c:pt>
                <c:pt idx="99">
                  <c:v>1.2E-2</c:v>
                </c:pt>
                <c:pt idx="100">
                  <c:v>0.12</c:v>
                </c:pt>
                <c:pt idx="101">
                  <c:v>0.12</c:v>
                </c:pt>
                <c:pt idx="102">
                  <c:v>0.13</c:v>
                </c:pt>
                <c:pt idx="103">
                  <c:v>8.8999999999999996E-2</c:v>
                </c:pt>
                <c:pt idx="104">
                  <c:v>9.2999999999999999E-2</c:v>
                </c:pt>
                <c:pt idx="105">
                  <c:v>0.183</c:v>
                </c:pt>
                <c:pt idx="106">
                  <c:v>0.3</c:v>
                </c:pt>
                <c:pt idx="107">
                  <c:v>3.4000000000000002E-2</c:v>
                </c:pt>
                <c:pt idx="108">
                  <c:v>7.5999999999999998E-2</c:v>
                </c:pt>
                <c:pt idx="109">
                  <c:v>0.15</c:v>
                </c:pt>
                <c:pt idx="110">
                  <c:v>0.13200000000000001</c:v>
                </c:pt>
                <c:pt idx="111">
                  <c:v>6.2E-2</c:v>
                </c:pt>
                <c:pt idx="112">
                  <c:v>3.7999999999999999E-2</c:v>
                </c:pt>
                <c:pt idx="113">
                  <c:v>0.24299999999999999</c:v>
                </c:pt>
                <c:pt idx="114">
                  <c:v>0.109</c:v>
                </c:pt>
                <c:pt idx="115">
                  <c:v>7.6999999999999999E-2</c:v>
                </c:pt>
                <c:pt idx="116">
                  <c:v>8.9999999999999993E-3</c:v>
                </c:pt>
                <c:pt idx="117">
                  <c:v>7.8E-2</c:v>
                </c:pt>
                <c:pt idx="118">
                  <c:v>0.24099999999999999</c:v>
                </c:pt>
                <c:pt idx="119">
                  <c:v>7.1999999999999995E-2</c:v>
                </c:pt>
                <c:pt idx="120">
                  <c:v>0.114</c:v>
                </c:pt>
                <c:pt idx="121">
                  <c:v>0.215</c:v>
                </c:pt>
                <c:pt idx="122">
                  <c:v>8.9999999999999993E-3</c:v>
                </c:pt>
                <c:pt idx="123">
                  <c:v>0.11799999999999999</c:v>
                </c:pt>
                <c:pt idx="124">
                  <c:v>0</c:v>
                </c:pt>
                <c:pt idx="125">
                  <c:v>0.104</c:v>
                </c:pt>
                <c:pt idx="126">
                  <c:v>0.123</c:v>
                </c:pt>
                <c:pt idx="127">
                  <c:v>0.02</c:v>
                </c:pt>
                <c:pt idx="128">
                  <c:v>0.10299999999999999</c:v>
                </c:pt>
                <c:pt idx="129">
                  <c:v>0.192</c:v>
                </c:pt>
                <c:pt idx="130">
                  <c:v>0.25</c:v>
                </c:pt>
                <c:pt idx="131">
                  <c:v>3.9E-2</c:v>
                </c:pt>
                <c:pt idx="132">
                  <c:v>0.22500000000000001</c:v>
                </c:pt>
                <c:pt idx="133">
                  <c:v>0.13400000000000001</c:v>
                </c:pt>
                <c:pt idx="134">
                  <c:v>0.13800000000000001</c:v>
                </c:pt>
                <c:pt idx="135">
                  <c:v>4.4999999999999998E-2</c:v>
                </c:pt>
                <c:pt idx="136">
                  <c:v>0.25600000000000001</c:v>
                </c:pt>
                <c:pt idx="137">
                  <c:v>0.11</c:v>
                </c:pt>
                <c:pt idx="138">
                  <c:v>0.13100000000000001</c:v>
                </c:pt>
                <c:pt idx="139">
                  <c:v>0.23</c:v>
                </c:pt>
                <c:pt idx="140">
                  <c:v>0.13100000000000001</c:v>
                </c:pt>
                <c:pt idx="141">
                  <c:v>0.157</c:v>
                </c:pt>
                <c:pt idx="142">
                  <c:v>0.29899999999999999</c:v>
                </c:pt>
                <c:pt idx="143">
                  <c:v>0.14699999999999999</c:v>
                </c:pt>
                <c:pt idx="144">
                  <c:v>0.189</c:v>
                </c:pt>
                <c:pt idx="145">
                  <c:v>0</c:v>
                </c:pt>
                <c:pt idx="146">
                  <c:v>0.18099999999999999</c:v>
                </c:pt>
                <c:pt idx="147">
                  <c:v>0.123</c:v>
                </c:pt>
                <c:pt idx="148">
                  <c:v>0</c:v>
                </c:pt>
                <c:pt idx="149">
                  <c:v>5.8000000000000003E-2</c:v>
                </c:pt>
                <c:pt idx="150">
                  <c:v>0.184</c:v>
                </c:pt>
                <c:pt idx="151">
                  <c:v>0</c:v>
                </c:pt>
                <c:pt idx="152">
                  <c:v>0.185</c:v>
                </c:pt>
                <c:pt idx="153">
                  <c:v>0.20300000000000001</c:v>
                </c:pt>
                <c:pt idx="154">
                  <c:v>0.107</c:v>
                </c:pt>
                <c:pt idx="155">
                  <c:v>0.192</c:v>
                </c:pt>
                <c:pt idx="156">
                  <c:v>0</c:v>
                </c:pt>
                <c:pt idx="157">
                  <c:v>5.6000000000000001E-2</c:v>
                </c:pt>
                <c:pt idx="158">
                  <c:v>8.9999999999999993E-3</c:v>
                </c:pt>
                <c:pt idx="159">
                  <c:v>5.0999999999999997E-2</c:v>
                </c:pt>
                <c:pt idx="160">
                  <c:v>0.106</c:v>
                </c:pt>
                <c:pt idx="161">
                  <c:v>0.127</c:v>
                </c:pt>
                <c:pt idx="162">
                  <c:v>0.17499999999999999</c:v>
                </c:pt>
                <c:pt idx="163">
                  <c:v>8.2000000000000003E-2</c:v>
                </c:pt>
                <c:pt idx="164">
                  <c:v>0.18</c:v>
                </c:pt>
                <c:pt idx="165">
                  <c:v>6.8000000000000005E-2</c:v>
                </c:pt>
                <c:pt idx="166">
                  <c:v>4.2000000000000003E-2</c:v>
                </c:pt>
                <c:pt idx="167">
                  <c:v>0.126</c:v>
                </c:pt>
                <c:pt idx="168">
                  <c:v>0.20699999999999999</c:v>
                </c:pt>
                <c:pt idx="169">
                  <c:v>0.3</c:v>
                </c:pt>
                <c:pt idx="170">
                  <c:v>0.26600000000000001</c:v>
                </c:pt>
                <c:pt idx="171">
                  <c:v>0</c:v>
                </c:pt>
                <c:pt idx="172">
                  <c:v>2.5000000000000001E-2</c:v>
                </c:pt>
                <c:pt idx="173">
                  <c:v>0.17</c:v>
                </c:pt>
                <c:pt idx="174">
                  <c:v>0.14199999999999999</c:v>
                </c:pt>
                <c:pt idx="175">
                  <c:v>0.125</c:v>
                </c:pt>
                <c:pt idx="176">
                  <c:v>0</c:v>
                </c:pt>
                <c:pt idx="177">
                  <c:v>7.4999999999999997E-2</c:v>
                </c:pt>
                <c:pt idx="178">
                  <c:v>4.2000000000000003E-2</c:v>
                </c:pt>
                <c:pt idx="179">
                  <c:v>0.19700000000000001</c:v>
                </c:pt>
                <c:pt idx="180">
                  <c:v>7.3999999999999996E-2</c:v>
                </c:pt>
                <c:pt idx="181">
                  <c:v>4.1000000000000002E-2</c:v>
                </c:pt>
                <c:pt idx="182">
                  <c:v>0.2</c:v>
                </c:pt>
                <c:pt idx="183">
                  <c:v>3.2000000000000001E-2</c:v>
                </c:pt>
                <c:pt idx="184">
                  <c:v>0.22</c:v>
                </c:pt>
                <c:pt idx="185">
                  <c:v>0.123</c:v>
                </c:pt>
                <c:pt idx="186">
                  <c:v>5.7000000000000002E-2</c:v>
                </c:pt>
                <c:pt idx="187">
                  <c:v>0.157</c:v>
                </c:pt>
                <c:pt idx="188">
                  <c:v>0.157</c:v>
                </c:pt>
                <c:pt idx="189">
                  <c:v>0.113</c:v>
                </c:pt>
                <c:pt idx="190">
                  <c:v>0.14399999999999999</c:v>
                </c:pt>
                <c:pt idx="191">
                  <c:v>0.182</c:v>
                </c:pt>
                <c:pt idx="192">
                  <c:v>0.13600000000000001</c:v>
                </c:pt>
                <c:pt idx="193">
                  <c:v>0</c:v>
                </c:pt>
                <c:pt idx="194">
                  <c:v>6.0000000000000001E-3</c:v>
                </c:pt>
                <c:pt idx="195">
                  <c:v>5.6000000000000001E-2</c:v>
                </c:pt>
                <c:pt idx="196">
                  <c:v>6.6000000000000003E-2</c:v>
                </c:pt>
                <c:pt idx="197">
                  <c:v>6.6000000000000003E-2</c:v>
                </c:pt>
                <c:pt idx="198">
                  <c:v>0.20699999999999999</c:v>
                </c:pt>
                <c:pt idx="199">
                  <c:v>9.4E-2</c:v>
                </c:pt>
                <c:pt idx="200">
                  <c:v>0</c:v>
                </c:pt>
                <c:pt idx="201">
                  <c:v>8.6999999999999994E-2</c:v>
                </c:pt>
                <c:pt idx="202">
                  <c:v>0.27800000000000002</c:v>
                </c:pt>
                <c:pt idx="203">
                  <c:v>0.20100000000000001</c:v>
                </c:pt>
                <c:pt idx="204">
                  <c:v>0.16700000000000001</c:v>
                </c:pt>
                <c:pt idx="205">
                  <c:v>7.1999999999999995E-2</c:v>
                </c:pt>
                <c:pt idx="206">
                  <c:v>0.20300000000000001</c:v>
                </c:pt>
                <c:pt idx="207">
                  <c:v>0.123</c:v>
                </c:pt>
                <c:pt idx="208">
                  <c:v>0.154</c:v>
                </c:pt>
                <c:pt idx="209">
                  <c:v>0.245</c:v>
                </c:pt>
                <c:pt idx="210">
                  <c:v>2.5000000000000001E-2</c:v>
                </c:pt>
                <c:pt idx="211">
                  <c:v>7.8E-2</c:v>
                </c:pt>
                <c:pt idx="212">
                  <c:v>0.216</c:v>
                </c:pt>
                <c:pt idx="213">
                  <c:v>0.14799999999999999</c:v>
                </c:pt>
                <c:pt idx="214">
                  <c:v>0</c:v>
                </c:pt>
                <c:pt idx="215">
                  <c:v>0.254</c:v>
                </c:pt>
                <c:pt idx="216">
                  <c:v>8.4000000000000005E-2</c:v>
                </c:pt>
                <c:pt idx="217">
                  <c:v>0.10299999999999999</c:v>
                </c:pt>
                <c:pt idx="218">
                  <c:v>0.17299999999999999</c:v>
                </c:pt>
                <c:pt idx="219">
                  <c:v>9.7000000000000003E-2</c:v>
                </c:pt>
                <c:pt idx="220">
                  <c:v>0.14399999999999999</c:v>
                </c:pt>
                <c:pt idx="221">
                  <c:v>0.10199999999999999</c:v>
                </c:pt>
                <c:pt idx="222">
                  <c:v>7.0000000000000007E-2</c:v>
                </c:pt>
                <c:pt idx="223">
                  <c:v>0</c:v>
                </c:pt>
                <c:pt idx="224">
                  <c:v>0</c:v>
                </c:pt>
                <c:pt idx="225">
                  <c:v>2.9000000000000001E-2</c:v>
                </c:pt>
                <c:pt idx="226">
                  <c:v>4.7E-2</c:v>
                </c:pt>
                <c:pt idx="227">
                  <c:v>0</c:v>
                </c:pt>
                <c:pt idx="228">
                  <c:v>0</c:v>
                </c:pt>
                <c:pt idx="229">
                  <c:v>0.157</c:v>
                </c:pt>
                <c:pt idx="230">
                  <c:v>0.254</c:v>
                </c:pt>
                <c:pt idx="231">
                  <c:v>0.122</c:v>
                </c:pt>
                <c:pt idx="232">
                  <c:v>3.5000000000000003E-2</c:v>
                </c:pt>
                <c:pt idx="233">
                  <c:v>0.19700000000000001</c:v>
                </c:pt>
                <c:pt idx="234">
                  <c:v>9.8000000000000004E-2</c:v>
                </c:pt>
                <c:pt idx="235">
                  <c:v>0.16700000000000001</c:v>
                </c:pt>
                <c:pt idx="236">
                  <c:v>0.13900000000000001</c:v>
                </c:pt>
                <c:pt idx="237">
                  <c:v>0.155</c:v>
                </c:pt>
                <c:pt idx="238">
                  <c:v>0.13100000000000001</c:v>
                </c:pt>
                <c:pt idx="239">
                  <c:v>1.7000000000000001E-2</c:v>
                </c:pt>
                <c:pt idx="240">
                  <c:v>5.5E-2</c:v>
                </c:pt>
                <c:pt idx="241">
                  <c:v>0.123</c:v>
                </c:pt>
                <c:pt idx="242">
                  <c:v>0.13600000000000001</c:v>
                </c:pt>
                <c:pt idx="243">
                  <c:v>0</c:v>
                </c:pt>
                <c:pt idx="244">
                  <c:v>0.108</c:v>
                </c:pt>
                <c:pt idx="245">
                  <c:v>0</c:v>
                </c:pt>
                <c:pt idx="246">
                  <c:v>6.9000000000000006E-2</c:v>
                </c:pt>
                <c:pt idx="247">
                  <c:v>0.17599999999999999</c:v>
                </c:pt>
                <c:pt idx="248">
                  <c:v>0.29199999999999998</c:v>
                </c:pt>
                <c:pt idx="249">
                  <c:v>0.20300000000000001</c:v>
                </c:pt>
                <c:pt idx="250">
                  <c:v>0.13200000000000001</c:v>
                </c:pt>
                <c:pt idx="251">
                  <c:v>0.14000000000000001</c:v>
                </c:pt>
                <c:pt idx="252">
                  <c:v>7.0000000000000001E-3</c:v>
                </c:pt>
                <c:pt idx="253">
                  <c:v>0.17100000000000001</c:v>
                </c:pt>
                <c:pt idx="254">
                  <c:v>4.5999999999999999E-2</c:v>
                </c:pt>
                <c:pt idx="255">
                  <c:v>0.17499999999999999</c:v>
                </c:pt>
                <c:pt idx="256">
                  <c:v>5.0999999999999997E-2</c:v>
                </c:pt>
                <c:pt idx="257">
                  <c:v>0.151</c:v>
                </c:pt>
                <c:pt idx="258">
                  <c:v>0</c:v>
                </c:pt>
                <c:pt idx="259">
                  <c:v>5.7000000000000002E-2</c:v>
                </c:pt>
                <c:pt idx="260">
                  <c:v>0.20499999999999999</c:v>
                </c:pt>
                <c:pt idx="261">
                  <c:v>7.0999999999999994E-2</c:v>
                </c:pt>
                <c:pt idx="262">
                  <c:v>0.14699999999999999</c:v>
                </c:pt>
                <c:pt idx="263">
                  <c:v>0.15</c:v>
                </c:pt>
                <c:pt idx="264">
                  <c:v>0.14299999999999999</c:v>
                </c:pt>
                <c:pt idx="265">
                  <c:v>0.122</c:v>
                </c:pt>
                <c:pt idx="266">
                  <c:v>0.13900000000000001</c:v>
                </c:pt>
                <c:pt idx="267">
                  <c:v>7.1999999999999995E-2</c:v>
                </c:pt>
                <c:pt idx="268">
                  <c:v>7.1999999999999995E-2</c:v>
                </c:pt>
                <c:pt idx="269">
                  <c:v>4.1000000000000002E-2</c:v>
                </c:pt>
                <c:pt idx="270">
                  <c:v>0.21199999999999999</c:v>
                </c:pt>
                <c:pt idx="271">
                  <c:v>0.20799999999999999</c:v>
                </c:pt>
                <c:pt idx="272">
                  <c:v>0.14799999999999999</c:v>
                </c:pt>
                <c:pt idx="273">
                  <c:v>0.192</c:v>
                </c:pt>
                <c:pt idx="274">
                  <c:v>4.0000000000000001E-3</c:v>
                </c:pt>
                <c:pt idx="275">
                  <c:v>0.189</c:v>
                </c:pt>
                <c:pt idx="276">
                  <c:v>0.254</c:v>
                </c:pt>
                <c:pt idx="277">
                  <c:v>0.01</c:v>
                </c:pt>
                <c:pt idx="278">
                  <c:v>0.107</c:v>
                </c:pt>
                <c:pt idx="279">
                  <c:v>3.4000000000000002E-2</c:v>
                </c:pt>
                <c:pt idx="280">
                  <c:v>0.19400000000000001</c:v>
                </c:pt>
                <c:pt idx="281">
                  <c:v>0.17399999999999999</c:v>
                </c:pt>
                <c:pt idx="282">
                  <c:v>0.10199999999999999</c:v>
                </c:pt>
                <c:pt idx="283">
                  <c:v>0.14799999999999999</c:v>
                </c:pt>
                <c:pt idx="284">
                  <c:v>0.112</c:v>
                </c:pt>
                <c:pt idx="285">
                  <c:v>7.5999999999999998E-2</c:v>
                </c:pt>
                <c:pt idx="286">
                  <c:v>0.152</c:v>
                </c:pt>
                <c:pt idx="287">
                  <c:v>7.0999999999999994E-2</c:v>
                </c:pt>
                <c:pt idx="288">
                  <c:v>8.3000000000000004E-2</c:v>
                </c:pt>
                <c:pt idx="289">
                  <c:v>0.111</c:v>
                </c:pt>
                <c:pt idx="290">
                  <c:v>0.107</c:v>
                </c:pt>
                <c:pt idx="291">
                  <c:v>0</c:v>
                </c:pt>
                <c:pt idx="292">
                  <c:v>0.13400000000000001</c:v>
                </c:pt>
                <c:pt idx="293">
                  <c:v>0</c:v>
                </c:pt>
                <c:pt idx="294">
                  <c:v>0.113</c:v>
                </c:pt>
                <c:pt idx="295">
                  <c:v>9.9000000000000005E-2</c:v>
                </c:pt>
                <c:pt idx="296">
                  <c:v>0.16300000000000001</c:v>
                </c:pt>
                <c:pt idx="297">
                  <c:v>0.188</c:v>
                </c:pt>
                <c:pt idx="298">
                  <c:v>0.14599999999999999</c:v>
                </c:pt>
                <c:pt idx="299">
                  <c:v>0</c:v>
                </c:pt>
                <c:pt idx="300">
                  <c:v>0.16</c:v>
                </c:pt>
                <c:pt idx="301">
                  <c:v>0.27200000000000002</c:v>
                </c:pt>
                <c:pt idx="302">
                  <c:v>4.3999999999999997E-2</c:v>
                </c:pt>
                <c:pt idx="303">
                  <c:v>0.111</c:v>
                </c:pt>
                <c:pt idx="304">
                  <c:v>0.158</c:v>
                </c:pt>
                <c:pt idx="305">
                  <c:v>3.2000000000000001E-2</c:v>
                </c:pt>
                <c:pt idx="306">
                  <c:v>7.0000000000000007E-2</c:v>
                </c:pt>
                <c:pt idx="307">
                  <c:v>0.186</c:v>
                </c:pt>
                <c:pt idx="308">
                  <c:v>0.17399999999999999</c:v>
                </c:pt>
                <c:pt idx="309">
                  <c:v>0.215</c:v>
                </c:pt>
                <c:pt idx="310">
                  <c:v>0.20399999999999999</c:v>
                </c:pt>
                <c:pt idx="311">
                  <c:v>0</c:v>
                </c:pt>
                <c:pt idx="312">
                  <c:v>4.2000000000000003E-2</c:v>
                </c:pt>
                <c:pt idx="313">
                  <c:v>2.5000000000000001E-2</c:v>
                </c:pt>
                <c:pt idx="314">
                  <c:v>0</c:v>
                </c:pt>
                <c:pt idx="315">
                  <c:v>0.104</c:v>
                </c:pt>
                <c:pt idx="316">
                  <c:v>6.8000000000000005E-2</c:v>
                </c:pt>
                <c:pt idx="317">
                  <c:v>0.105</c:v>
                </c:pt>
                <c:pt idx="318">
                  <c:v>6.6000000000000003E-2</c:v>
                </c:pt>
                <c:pt idx="319">
                  <c:v>0.20899999999999999</c:v>
                </c:pt>
                <c:pt idx="320">
                  <c:v>0.19</c:v>
                </c:pt>
                <c:pt idx="321">
                  <c:v>0.184</c:v>
                </c:pt>
                <c:pt idx="322">
                  <c:v>0.113</c:v>
                </c:pt>
                <c:pt idx="323">
                  <c:v>0</c:v>
                </c:pt>
                <c:pt idx="324">
                  <c:v>0.17599999999999999</c:v>
                </c:pt>
                <c:pt idx="325">
                  <c:v>0.218</c:v>
                </c:pt>
                <c:pt idx="326">
                  <c:v>0.13600000000000001</c:v>
                </c:pt>
                <c:pt idx="327">
                  <c:v>9.0999999999999998E-2</c:v>
                </c:pt>
                <c:pt idx="328">
                  <c:v>0</c:v>
                </c:pt>
                <c:pt idx="329">
                  <c:v>8.9999999999999993E-3</c:v>
                </c:pt>
                <c:pt idx="330">
                  <c:v>0.13500000000000001</c:v>
                </c:pt>
                <c:pt idx="331">
                  <c:v>0.17499999999999999</c:v>
                </c:pt>
                <c:pt idx="332">
                  <c:v>3.7999999999999999E-2</c:v>
                </c:pt>
                <c:pt idx="333">
                  <c:v>8.6999999999999994E-2</c:v>
                </c:pt>
                <c:pt idx="334">
                  <c:v>0.105</c:v>
                </c:pt>
                <c:pt idx="335">
                  <c:v>8.3000000000000004E-2</c:v>
                </c:pt>
                <c:pt idx="336">
                  <c:v>0.111</c:v>
                </c:pt>
                <c:pt idx="337">
                  <c:v>0.17299999999999999</c:v>
                </c:pt>
                <c:pt idx="338">
                  <c:v>6.8000000000000005E-2</c:v>
                </c:pt>
                <c:pt idx="339">
                  <c:v>0.26300000000000001</c:v>
                </c:pt>
                <c:pt idx="340">
                  <c:v>0.186</c:v>
                </c:pt>
                <c:pt idx="341">
                  <c:v>0</c:v>
                </c:pt>
                <c:pt idx="342">
                  <c:v>0.02</c:v>
                </c:pt>
                <c:pt idx="343">
                  <c:v>8.1000000000000003E-2</c:v>
                </c:pt>
                <c:pt idx="344">
                  <c:v>6.4000000000000001E-2</c:v>
                </c:pt>
                <c:pt idx="345">
                  <c:v>0.121</c:v>
                </c:pt>
                <c:pt idx="346">
                  <c:v>3.1E-2</c:v>
                </c:pt>
                <c:pt idx="347">
                  <c:v>7.3999999999999996E-2</c:v>
                </c:pt>
                <c:pt idx="348">
                  <c:v>0.3</c:v>
                </c:pt>
                <c:pt idx="349">
                  <c:v>0.122</c:v>
                </c:pt>
                <c:pt idx="350">
                  <c:v>9.4E-2</c:v>
                </c:pt>
                <c:pt idx="351">
                  <c:v>9.1999999999999998E-2</c:v>
                </c:pt>
                <c:pt idx="352">
                  <c:v>0.115</c:v>
                </c:pt>
                <c:pt idx="353">
                  <c:v>0.113</c:v>
                </c:pt>
                <c:pt idx="354">
                  <c:v>0.22600000000000001</c:v>
                </c:pt>
                <c:pt idx="355">
                  <c:v>7.1999999999999995E-2</c:v>
                </c:pt>
                <c:pt idx="356">
                  <c:v>1.2E-2</c:v>
                </c:pt>
                <c:pt idx="357">
                  <c:v>0.114</c:v>
                </c:pt>
                <c:pt idx="358">
                  <c:v>0.02</c:v>
                </c:pt>
                <c:pt idx="359">
                  <c:v>0.111</c:v>
                </c:pt>
                <c:pt idx="360">
                  <c:v>0.26100000000000001</c:v>
                </c:pt>
                <c:pt idx="361">
                  <c:v>0</c:v>
                </c:pt>
                <c:pt idx="362">
                  <c:v>0.245</c:v>
                </c:pt>
                <c:pt idx="363">
                  <c:v>0.02</c:v>
                </c:pt>
                <c:pt idx="364">
                  <c:v>9.5000000000000001E-2</c:v>
                </c:pt>
                <c:pt idx="365">
                  <c:v>0.12</c:v>
                </c:pt>
                <c:pt idx="366">
                  <c:v>0.23899999999999999</c:v>
                </c:pt>
                <c:pt idx="367">
                  <c:v>0</c:v>
                </c:pt>
                <c:pt idx="368">
                  <c:v>5.0999999999999997E-2</c:v>
                </c:pt>
                <c:pt idx="369">
                  <c:v>1.9E-2</c:v>
                </c:pt>
                <c:pt idx="370">
                  <c:v>0.154</c:v>
                </c:pt>
                <c:pt idx="371">
                  <c:v>0.13300000000000001</c:v>
                </c:pt>
                <c:pt idx="372">
                  <c:v>0.25700000000000001</c:v>
                </c:pt>
                <c:pt idx="373">
                  <c:v>7.8E-2</c:v>
                </c:pt>
                <c:pt idx="374">
                  <c:v>0.08</c:v>
                </c:pt>
                <c:pt idx="375">
                  <c:v>8.7999999999999995E-2</c:v>
                </c:pt>
                <c:pt idx="376">
                  <c:v>0.16900000000000001</c:v>
                </c:pt>
                <c:pt idx="377">
                  <c:v>0</c:v>
                </c:pt>
                <c:pt idx="378">
                  <c:v>0.128</c:v>
                </c:pt>
                <c:pt idx="379">
                  <c:v>0.23499999999999999</c:v>
                </c:pt>
                <c:pt idx="380">
                  <c:v>0.14000000000000001</c:v>
                </c:pt>
                <c:pt idx="381">
                  <c:v>5.8999999999999997E-2</c:v>
                </c:pt>
                <c:pt idx="382">
                  <c:v>7.3999999999999996E-2</c:v>
                </c:pt>
                <c:pt idx="383">
                  <c:v>0.09</c:v>
                </c:pt>
                <c:pt idx="384">
                  <c:v>7.2999999999999995E-2</c:v>
                </c:pt>
                <c:pt idx="385">
                  <c:v>6.6000000000000003E-2</c:v>
                </c:pt>
                <c:pt idx="386">
                  <c:v>0.14899999999999999</c:v>
                </c:pt>
                <c:pt idx="387">
                  <c:v>0.14499999999999999</c:v>
                </c:pt>
                <c:pt idx="388">
                  <c:v>0.2</c:v>
                </c:pt>
                <c:pt idx="389">
                  <c:v>0.16500000000000001</c:v>
                </c:pt>
                <c:pt idx="390">
                  <c:v>0.13200000000000001</c:v>
                </c:pt>
                <c:pt idx="391">
                  <c:v>0.16500000000000001</c:v>
                </c:pt>
                <c:pt idx="392">
                  <c:v>0.10100000000000001</c:v>
                </c:pt>
                <c:pt idx="393">
                  <c:v>0.115</c:v>
                </c:pt>
                <c:pt idx="394">
                  <c:v>0.184</c:v>
                </c:pt>
                <c:pt idx="395">
                  <c:v>8.3000000000000004E-2</c:v>
                </c:pt>
                <c:pt idx="396">
                  <c:v>0.13800000000000001</c:v>
                </c:pt>
                <c:pt idx="397">
                  <c:v>0.14299999999999999</c:v>
                </c:pt>
                <c:pt idx="398">
                  <c:v>5.5E-2</c:v>
                </c:pt>
                <c:pt idx="399">
                  <c:v>0.13900000000000001</c:v>
                </c:pt>
                <c:pt idx="400">
                  <c:v>0</c:v>
                </c:pt>
                <c:pt idx="401">
                  <c:v>0.115</c:v>
                </c:pt>
                <c:pt idx="402">
                  <c:v>9.6000000000000002E-2</c:v>
                </c:pt>
                <c:pt idx="403">
                  <c:v>0.14099999999999999</c:v>
                </c:pt>
                <c:pt idx="404">
                  <c:v>0.21099999999999999</c:v>
                </c:pt>
                <c:pt idx="405">
                  <c:v>0.106</c:v>
                </c:pt>
                <c:pt idx="406">
                  <c:v>0.18</c:v>
                </c:pt>
                <c:pt idx="407">
                  <c:v>0.14000000000000001</c:v>
                </c:pt>
                <c:pt idx="408">
                  <c:v>0.107</c:v>
                </c:pt>
                <c:pt idx="409">
                  <c:v>0.192</c:v>
                </c:pt>
                <c:pt idx="410">
                  <c:v>8.7999999999999995E-2</c:v>
                </c:pt>
                <c:pt idx="411">
                  <c:v>0.14199999999999999</c:v>
                </c:pt>
                <c:pt idx="412">
                  <c:v>0.13600000000000001</c:v>
                </c:pt>
                <c:pt idx="413">
                  <c:v>0.16</c:v>
                </c:pt>
                <c:pt idx="414">
                  <c:v>0.13500000000000001</c:v>
                </c:pt>
                <c:pt idx="415">
                  <c:v>0</c:v>
                </c:pt>
                <c:pt idx="416">
                  <c:v>0.16800000000000001</c:v>
                </c:pt>
                <c:pt idx="417">
                  <c:v>2.8000000000000001E-2</c:v>
                </c:pt>
                <c:pt idx="418">
                  <c:v>9.1999999999999998E-2</c:v>
                </c:pt>
                <c:pt idx="419">
                  <c:v>7.1999999999999995E-2</c:v>
                </c:pt>
                <c:pt idx="420">
                  <c:v>0.113</c:v>
                </c:pt>
                <c:pt idx="421">
                  <c:v>0.13500000000000001</c:v>
                </c:pt>
                <c:pt idx="422">
                  <c:v>8.4000000000000005E-2</c:v>
                </c:pt>
                <c:pt idx="423">
                  <c:v>0.19400000000000001</c:v>
                </c:pt>
                <c:pt idx="424">
                  <c:v>0.216</c:v>
                </c:pt>
                <c:pt idx="425">
                  <c:v>0.13400000000000001</c:v>
                </c:pt>
                <c:pt idx="426">
                  <c:v>0.114</c:v>
                </c:pt>
                <c:pt idx="427">
                  <c:v>0.104</c:v>
                </c:pt>
                <c:pt idx="428">
                  <c:v>0.03</c:v>
                </c:pt>
                <c:pt idx="429">
                  <c:v>7.1999999999999995E-2</c:v>
                </c:pt>
                <c:pt idx="430">
                  <c:v>5.8999999999999997E-2</c:v>
                </c:pt>
                <c:pt idx="431">
                  <c:v>4.2999999999999997E-2</c:v>
                </c:pt>
                <c:pt idx="432">
                  <c:v>0.10100000000000001</c:v>
                </c:pt>
                <c:pt idx="433">
                  <c:v>8.8999999999999996E-2</c:v>
                </c:pt>
                <c:pt idx="434">
                  <c:v>0.10100000000000001</c:v>
                </c:pt>
                <c:pt idx="435">
                  <c:v>0.23899999999999999</c:v>
                </c:pt>
                <c:pt idx="436">
                  <c:v>0.185</c:v>
                </c:pt>
                <c:pt idx="437">
                  <c:v>6.9000000000000006E-2</c:v>
                </c:pt>
                <c:pt idx="438">
                  <c:v>0.185</c:v>
                </c:pt>
                <c:pt idx="439">
                  <c:v>0.14599999999999999</c:v>
                </c:pt>
                <c:pt idx="440">
                  <c:v>0.13500000000000001</c:v>
                </c:pt>
                <c:pt idx="441">
                  <c:v>0.19600000000000001</c:v>
                </c:pt>
                <c:pt idx="442">
                  <c:v>0.22500000000000001</c:v>
                </c:pt>
                <c:pt idx="443">
                  <c:v>0.17399999999999999</c:v>
                </c:pt>
                <c:pt idx="444">
                  <c:v>4.9000000000000002E-2</c:v>
                </c:pt>
                <c:pt idx="445">
                  <c:v>0.125</c:v>
                </c:pt>
                <c:pt idx="446">
                  <c:v>4.0000000000000001E-3</c:v>
                </c:pt>
                <c:pt idx="447">
                  <c:v>3.7999999999999999E-2</c:v>
                </c:pt>
                <c:pt idx="448">
                  <c:v>0.126</c:v>
                </c:pt>
                <c:pt idx="449">
                  <c:v>7.3999999999999996E-2</c:v>
                </c:pt>
                <c:pt idx="450">
                  <c:v>6.7000000000000004E-2</c:v>
                </c:pt>
                <c:pt idx="451">
                  <c:v>0.25800000000000001</c:v>
                </c:pt>
                <c:pt idx="452">
                  <c:v>0.09</c:v>
                </c:pt>
                <c:pt idx="453">
                  <c:v>3.4000000000000002E-2</c:v>
                </c:pt>
                <c:pt idx="454">
                  <c:v>8.8999999999999996E-2</c:v>
                </c:pt>
                <c:pt idx="455">
                  <c:v>0.127</c:v>
                </c:pt>
                <c:pt idx="456">
                  <c:v>0.29299999999999998</c:v>
                </c:pt>
                <c:pt idx="457">
                  <c:v>7.3999999999999996E-2</c:v>
                </c:pt>
                <c:pt idx="458">
                  <c:v>0.13800000000000001</c:v>
                </c:pt>
                <c:pt idx="459">
                  <c:v>4.0000000000000001E-3</c:v>
                </c:pt>
                <c:pt idx="460">
                  <c:v>0.157</c:v>
                </c:pt>
                <c:pt idx="461">
                  <c:v>0.3</c:v>
                </c:pt>
                <c:pt idx="462">
                  <c:v>0.17299999999999999</c:v>
                </c:pt>
                <c:pt idx="463">
                  <c:v>0.26500000000000001</c:v>
                </c:pt>
                <c:pt idx="464">
                  <c:v>0.24</c:v>
                </c:pt>
                <c:pt idx="465">
                  <c:v>0.108</c:v>
                </c:pt>
                <c:pt idx="466">
                  <c:v>0.01</c:v>
                </c:pt>
                <c:pt idx="467">
                  <c:v>9.4E-2</c:v>
                </c:pt>
                <c:pt idx="468">
                  <c:v>0.05</c:v>
                </c:pt>
                <c:pt idx="469">
                  <c:v>0</c:v>
                </c:pt>
                <c:pt idx="470">
                  <c:v>0.27</c:v>
                </c:pt>
                <c:pt idx="471">
                  <c:v>0.14699999999999999</c:v>
                </c:pt>
                <c:pt idx="472">
                  <c:v>0.17</c:v>
                </c:pt>
                <c:pt idx="473">
                  <c:v>0.20499999999999999</c:v>
                </c:pt>
                <c:pt idx="474">
                  <c:v>0.13400000000000001</c:v>
                </c:pt>
                <c:pt idx="475">
                  <c:v>3.1E-2</c:v>
                </c:pt>
                <c:pt idx="476">
                  <c:v>0.08</c:v>
                </c:pt>
                <c:pt idx="477">
                  <c:v>0.13300000000000001</c:v>
                </c:pt>
                <c:pt idx="478">
                  <c:v>0.115</c:v>
                </c:pt>
                <c:pt idx="479">
                  <c:v>5.7000000000000002E-2</c:v>
                </c:pt>
                <c:pt idx="480">
                  <c:v>7.1999999999999995E-2</c:v>
                </c:pt>
                <c:pt idx="481">
                  <c:v>0.13700000000000001</c:v>
                </c:pt>
                <c:pt idx="482">
                  <c:v>3.2000000000000001E-2</c:v>
                </c:pt>
                <c:pt idx="483">
                  <c:v>0.22</c:v>
                </c:pt>
                <c:pt idx="484">
                  <c:v>5.2999999999999999E-2</c:v>
                </c:pt>
                <c:pt idx="485">
                  <c:v>0</c:v>
                </c:pt>
                <c:pt idx="486">
                  <c:v>5.6000000000000001E-2</c:v>
                </c:pt>
                <c:pt idx="487">
                  <c:v>0.3</c:v>
                </c:pt>
                <c:pt idx="488">
                  <c:v>0.19600000000000001</c:v>
                </c:pt>
                <c:pt idx="489">
                  <c:v>0.24099999999999999</c:v>
                </c:pt>
                <c:pt idx="490">
                  <c:v>0.152</c:v>
                </c:pt>
                <c:pt idx="491">
                  <c:v>0.125</c:v>
                </c:pt>
                <c:pt idx="492">
                  <c:v>0.21099999999999999</c:v>
                </c:pt>
                <c:pt idx="493">
                  <c:v>0.153</c:v>
                </c:pt>
                <c:pt idx="494">
                  <c:v>7.0999999999999994E-2</c:v>
                </c:pt>
                <c:pt idx="495">
                  <c:v>0.188</c:v>
                </c:pt>
                <c:pt idx="496">
                  <c:v>0.186</c:v>
                </c:pt>
                <c:pt idx="497">
                  <c:v>8.2000000000000003E-2</c:v>
                </c:pt>
                <c:pt idx="498">
                  <c:v>6.3E-2</c:v>
                </c:pt>
                <c:pt idx="499">
                  <c:v>9.4E-2</c:v>
                </c:pt>
                <c:pt idx="500">
                  <c:v>1.7999999999999999E-2</c:v>
                </c:pt>
                <c:pt idx="501">
                  <c:v>0.19700000000000001</c:v>
                </c:pt>
                <c:pt idx="502">
                  <c:v>0.11</c:v>
                </c:pt>
                <c:pt idx="503">
                  <c:v>0.18</c:v>
                </c:pt>
                <c:pt idx="504">
                  <c:v>5.6000000000000001E-2</c:v>
                </c:pt>
                <c:pt idx="505">
                  <c:v>0.14199999999999999</c:v>
                </c:pt>
                <c:pt idx="506">
                  <c:v>0.222</c:v>
                </c:pt>
                <c:pt idx="507">
                  <c:v>5.8999999999999997E-2</c:v>
                </c:pt>
                <c:pt idx="508">
                  <c:v>0.187</c:v>
                </c:pt>
                <c:pt idx="509">
                  <c:v>0.187</c:v>
                </c:pt>
                <c:pt idx="510">
                  <c:v>8.5999999999999993E-2</c:v>
                </c:pt>
                <c:pt idx="511">
                  <c:v>0.151</c:v>
                </c:pt>
                <c:pt idx="512">
                  <c:v>0.17599999999999999</c:v>
                </c:pt>
                <c:pt idx="513">
                  <c:v>9.1999999999999998E-2</c:v>
                </c:pt>
                <c:pt idx="514">
                  <c:v>9.4E-2</c:v>
                </c:pt>
                <c:pt idx="515">
                  <c:v>0</c:v>
                </c:pt>
                <c:pt idx="516">
                  <c:v>5.8000000000000003E-2</c:v>
                </c:pt>
                <c:pt idx="517">
                  <c:v>4.2999999999999997E-2</c:v>
                </c:pt>
                <c:pt idx="518">
                  <c:v>5.2999999999999999E-2</c:v>
                </c:pt>
                <c:pt idx="519">
                  <c:v>0.19</c:v>
                </c:pt>
                <c:pt idx="520">
                  <c:v>0.129</c:v>
                </c:pt>
                <c:pt idx="521">
                  <c:v>0.08</c:v>
                </c:pt>
                <c:pt idx="522">
                  <c:v>0.113</c:v>
                </c:pt>
                <c:pt idx="523">
                  <c:v>0.14699999999999999</c:v>
                </c:pt>
                <c:pt idx="524">
                  <c:v>0.109</c:v>
                </c:pt>
                <c:pt idx="525">
                  <c:v>0.13</c:v>
                </c:pt>
                <c:pt idx="526">
                  <c:v>0.16900000000000001</c:v>
                </c:pt>
                <c:pt idx="527">
                  <c:v>0.11899999999999999</c:v>
                </c:pt>
                <c:pt idx="528">
                  <c:v>0.109</c:v>
                </c:pt>
                <c:pt idx="529">
                  <c:v>0.182</c:v>
                </c:pt>
                <c:pt idx="530">
                  <c:v>0.23699999999999999</c:v>
                </c:pt>
                <c:pt idx="531">
                  <c:v>0.01</c:v>
                </c:pt>
                <c:pt idx="532">
                  <c:v>0.14099999999999999</c:v>
                </c:pt>
                <c:pt idx="533">
                  <c:v>8.4000000000000005E-2</c:v>
                </c:pt>
                <c:pt idx="534">
                  <c:v>0.20499999999999999</c:v>
                </c:pt>
                <c:pt idx="535">
                  <c:v>0.112</c:v>
                </c:pt>
                <c:pt idx="536">
                  <c:v>0.126</c:v>
                </c:pt>
                <c:pt idx="537">
                  <c:v>0.151</c:v>
                </c:pt>
                <c:pt idx="538">
                  <c:v>0.113</c:v>
                </c:pt>
                <c:pt idx="539">
                  <c:v>0.187</c:v>
                </c:pt>
                <c:pt idx="540">
                  <c:v>9.2999999999999999E-2</c:v>
                </c:pt>
                <c:pt idx="541">
                  <c:v>0.14499999999999999</c:v>
                </c:pt>
                <c:pt idx="542">
                  <c:v>9.0999999999999998E-2</c:v>
                </c:pt>
                <c:pt idx="543">
                  <c:v>0.214</c:v>
                </c:pt>
                <c:pt idx="544">
                  <c:v>0.108</c:v>
                </c:pt>
                <c:pt idx="545">
                  <c:v>0.14699999999999999</c:v>
                </c:pt>
                <c:pt idx="546">
                  <c:v>6.7000000000000004E-2</c:v>
                </c:pt>
                <c:pt idx="547">
                  <c:v>9.8000000000000004E-2</c:v>
                </c:pt>
                <c:pt idx="548">
                  <c:v>0</c:v>
                </c:pt>
                <c:pt idx="549">
                  <c:v>0</c:v>
                </c:pt>
                <c:pt idx="550">
                  <c:v>4.1000000000000002E-2</c:v>
                </c:pt>
                <c:pt idx="551">
                  <c:v>0.14299999999999999</c:v>
                </c:pt>
                <c:pt idx="552">
                  <c:v>0.12</c:v>
                </c:pt>
                <c:pt idx="553">
                  <c:v>0.19700000000000001</c:v>
                </c:pt>
                <c:pt idx="554">
                  <c:v>1.4E-2</c:v>
                </c:pt>
                <c:pt idx="555">
                  <c:v>0.16300000000000001</c:v>
                </c:pt>
                <c:pt idx="556">
                  <c:v>0.11600000000000001</c:v>
                </c:pt>
                <c:pt idx="557">
                  <c:v>0.13500000000000001</c:v>
                </c:pt>
                <c:pt idx="558">
                  <c:v>0</c:v>
                </c:pt>
                <c:pt idx="559">
                  <c:v>0.188</c:v>
                </c:pt>
                <c:pt idx="560">
                  <c:v>0.13900000000000001</c:v>
                </c:pt>
                <c:pt idx="561">
                  <c:v>2.9000000000000001E-2</c:v>
                </c:pt>
                <c:pt idx="562">
                  <c:v>0.11899999999999999</c:v>
                </c:pt>
                <c:pt idx="563">
                  <c:v>0.25900000000000001</c:v>
                </c:pt>
                <c:pt idx="564">
                  <c:v>0.16700000000000001</c:v>
                </c:pt>
                <c:pt idx="565">
                  <c:v>0.14000000000000001</c:v>
                </c:pt>
                <c:pt idx="566">
                  <c:v>0.124</c:v>
                </c:pt>
                <c:pt idx="567">
                  <c:v>7.0999999999999994E-2</c:v>
                </c:pt>
                <c:pt idx="568">
                  <c:v>0.22900000000000001</c:v>
                </c:pt>
                <c:pt idx="569">
                  <c:v>2.1999999999999999E-2</c:v>
                </c:pt>
                <c:pt idx="570">
                  <c:v>8.8999999999999996E-2</c:v>
                </c:pt>
                <c:pt idx="571">
                  <c:v>0.187</c:v>
                </c:pt>
                <c:pt idx="572">
                  <c:v>0.112</c:v>
                </c:pt>
                <c:pt idx="573">
                  <c:v>0.10199999999999999</c:v>
                </c:pt>
                <c:pt idx="574">
                  <c:v>0.157</c:v>
                </c:pt>
                <c:pt idx="575">
                  <c:v>0.107</c:v>
                </c:pt>
                <c:pt idx="576">
                  <c:v>4.2000000000000003E-2</c:v>
                </c:pt>
                <c:pt idx="577">
                  <c:v>6.5000000000000002E-2</c:v>
                </c:pt>
                <c:pt idx="578">
                  <c:v>0.19600000000000001</c:v>
                </c:pt>
                <c:pt idx="579">
                  <c:v>0.186</c:v>
                </c:pt>
                <c:pt idx="580">
                  <c:v>0</c:v>
                </c:pt>
                <c:pt idx="581">
                  <c:v>0</c:v>
                </c:pt>
                <c:pt idx="582">
                  <c:v>0.105</c:v>
                </c:pt>
                <c:pt idx="583">
                  <c:v>0.22600000000000001</c:v>
                </c:pt>
                <c:pt idx="584">
                  <c:v>0.25700000000000001</c:v>
                </c:pt>
                <c:pt idx="585">
                  <c:v>8.8999999999999996E-2</c:v>
                </c:pt>
                <c:pt idx="586">
                  <c:v>0.17599999999999999</c:v>
                </c:pt>
                <c:pt idx="587">
                  <c:v>2.8000000000000001E-2</c:v>
                </c:pt>
                <c:pt idx="588">
                  <c:v>4.9000000000000002E-2</c:v>
                </c:pt>
                <c:pt idx="589">
                  <c:v>0.17899999999999999</c:v>
                </c:pt>
                <c:pt idx="590">
                  <c:v>0.21199999999999999</c:v>
                </c:pt>
                <c:pt idx="591">
                  <c:v>0</c:v>
                </c:pt>
                <c:pt idx="592">
                  <c:v>0.14799999999999999</c:v>
                </c:pt>
                <c:pt idx="593">
                  <c:v>7.0999999999999994E-2</c:v>
                </c:pt>
                <c:pt idx="594">
                  <c:v>0</c:v>
                </c:pt>
                <c:pt idx="595">
                  <c:v>4.4999999999999998E-2</c:v>
                </c:pt>
                <c:pt idx="596">
                  <c:v>0.156</c:v>
                </c:pt>
                <c:pt idx="597">
                  <c:v>0.16500000000000001</c:v>
                </c:pt>
                <c:pt idx="598">
                  <c:v>0.20399999999999999</c:v>
                </c:pt>
                <c:pt idx="599">
                  <c:v>0.28199999999999997</c:v>
                </c:pt>
                <c:pt idx="600">
                  <c:v>0.129</c:v>
                </c:pt>
                <c:pt idx="601">
                  <c:v>3.7999999999999999E-2</c:v>
                </c:pt>
                <c:pt idx="602">
                  <c:v>0.22900000000000001</c:v>
                </c:pt>
                <c:pt idx="603">
                  <c:v>0.122</c:v>
                </c:pt>
                <c:pt idx="604">
                  <c:v>0.29499999999999998</c:v>
                </c:pt>
                <c:pt idx="605">
                  <c:v>0.23799999999999999</c:v>
                </c:pt>
                <c:pt idx="606">
                  <c:v>5.7000000000000002E-2</c:v>
                </c:pt>
                <c:pt idx="607">
                  <c:v>0.128</c:v>
                </c:pt>
                <c:pt idx="608">
                  <c:v>0</c:v>
                </c:pt>
                <c:pt idx="609">
                  <c:v>0.114</c:v>
                </c:pt>
                <c:pt idx="610">
                  <c:v>0.107</c:v>
                </c:pt>
                <c:pt idx="611">
                  <c:v>0.19400000000000001</c:v>
                </c:pt>
                <c:pt idx="612">
                  <c:v>0.17699999999999999</c:v>
                </c:pt>
                <c:pt idx="613">
                  <c:v>0.13700000000000001</c:v>
                </c:pt>
                <c:pt idx="614">
                  <c:v>0.217</c:v>
                </c:pt>
                <c:pt idx="615">
                  <c:v>6.4000000000000001E-2</c:v>
                </c:pt>
                <c:pt idx="616">
                  <c:v>6.6000000000000003E-2</c:v>
                </c:pt>
                <c:pt idx="617">
                  <c:v>0.121</c:v>
                </c:pt>
                <c:pt idx="618">
                  <c:v>4.2999999999999997E-2</c:v>
                </c:pt>
                <c:pt idx="619">
                  <c:v>0.17299999999999999</c:v>
                </c:pt>
                <c:pt idx="620">
                  <c:v>0.151</c:v>
                </c:pt>
                <c:pt idx="621">
                  <c:v>0.215</c:v>
                </c:pt>
                <c:pt idx="622">
                  <c:v>0.14399999999999999</c:v>
                </c:pt>
                <c:pt idx="623">
                  <c:v>7.1999999999999995E-2</c:v>
                </c:pt>
                <c:pt idx="624">
                  <c:v>0</c:v>
                </c:pt>
                <c:pt idx="625">
                  <c:v>0.14599999999999999</c:v>
                </c:pt>
                <c:pt idx="626">
                  <c:v>0.11899999999999999</c:v>
                </c:pt>
                <c:pt idx="627">
                  <c:v>0.13400000000000001</c:v>
                </c:pt>
                <c:pt idx="628">
                  <c:v>4.7E-2</c:v>
                </c:pt>
                <c:pt idx="629">
                  <c:v>0.13200000000000001</c:v>
                </c:pt>
                <c:pt idx="630">
                  <c:v>0.11799999999999999</c:v>
                </c:pt>
              </c:numCache>
            </c:numRef>
          </c:yVal>
          <c:smooth val="0"/>
          <c:extLst>
            <c:ext xmlns:c16="http://schemas.microsoft.com/office/drawing/2014/chart" uri="{C3380CC4-5D6E-409C-BE32-E72D297353CC}">
              <c16:uniqueId val="{00000000-F78F-4CDB-9ABB-290077293DC6}"/>
            </c:ext>
          </c:extLst>
        </c:ser>
        <c:dLbls>
          <c:showLegendKey val="0"/>
          <c:showVal val="0"/>
          <c:showCatName val="0"/>
          <c:showSerName val="0"/>
          <c:showPercent val="0"/>
          <c:showBubbleSize val="0"/>
        </c:dLbls>
        <c:axId val="846663135"/>
        <c:axId val="846653535"/>
      </c:scatterChart>
      <c:valAx>
        <c:axId val="84666313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653535"/>
        <c:crosses val="autoZero"/>
        <c:crossBetween val="midCat"/>
      </c:valAx>
      <c:valAx>
        <c:axId val="846653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6631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99060</xdr:colOff>
      <xdr:row>2</xdr:row>
      <xdr:rowOff>15240</xdr:rowOff>
    </xdr:from>
    <xdr:to>
      <xdr:col>10</xdr:col>
      <xdr:colOff>15240</xdr:colOff>
      <xdr:row>17</xdr:row>
      <xdr:rowOff>15240</xdr:rowOff>
    </xdr:to>
    <xdr:graphicFrame macro="">
      <xdr:nvGraphicFramePr>
        <xdr:cNvPr id="2" name="Chart 1">
          <a:extLst>
            <a:ext uri="{FF2B5EF4-FFF2-40B4-BE49-F238E27FC236}">
              <a16:creationId xmlns:a16="http://schemas.microsoft.com/office/drawing/2014/main" id="{0869EA82-7524-4478-605B-842E1A48C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205740</xdr:colOff>
      <xdr:row>2</xdr:row>
      <xdr:rowOff>60960</xdr:rowOff>
    </xdr:from>
    <xdr:to>
      <xdr:col>14</xdr:col>
      <xdr:colOff>510540</xdr:colOff>
      <xdr:row>17</xdr:row>
      <xdr:rowOff>60960</xdr:rowOff>
    </xdr:to>
    <xdr:graphicFrame macro="">
      <xdr:nvGraphicFramePr>
        <xdr:cNvPr id="2" name="Chart 1">
          <a:extLst>
            <a:ext uri="{FF2B5EF4-FFF2-40B4-BE49-F238E27FC236}">
              <a16:creationId xmlns:a16="http://schemas.microsoft.com/office/drawing/2014/main" id="{3C209320-78FE-4F20-DD54-3B3EA15E6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563880</xdr:colOff>
      <xdr:row>2</xdr:row>
      <xdr:rowOff>45720</xdr:rowOff>
    </xdr:from>
    <xdr:to>
      <xdr:col>12</xdr:col>
      <xdr:colOff>259080</xdr:colOff>
      <xdr:row>17</xdr:row>
      <xdr:rowOff>45720</xdr:rowOff>
    </xdr:to>
    <xdr:graphicFrame macro="">
      <xdr:nvGraphicFramePr>
        <xdr:cNvPr id="2" name="Chart 1">
          <a:extLst>
            <a:ext uri="{FF2B5EF4-FFF2-40B4-BE49-F238E27FC236}">
              <a16:creationId xmlns:a16="http://schemas.microsoft.com/office/drawing/2014/main" id="{10A70B11-E8BA-EC2A-2F34-443456D7A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182880</xdr:colOff>
      <xdr:row>2</xdr:row>
      <xdr:rowOff>45720</xdr:rowOff>
    </xdr:from>
    <xdr:to>
      <xdr:col>12</xdr:col>
      <xdr:colOff>487680</xdr:colOff>
      <xdr:row>17</xdr:row>
      <xdr:rowOff>45720</xdr:rowOff>
    </xdr:to>
    <xdr:graphicFrame macro="">
      <xdr:nvGraphicFramePr>
        <xdr:cNvPr id="2" name="Chart 1">
          <a:extLst>
            <a:ext uri="{FF2B5EF4-FFF2-40B4-BE49-F238E27FC236}">
              <a16:creationId xmlns:a16="http://schemas.microsoft.com/office/drawing/2014/main" id="{C568E9EA-B4CF-A27F-7D4E-B489E7B97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167640</xdr:colOff>
      <xdr:row>3</xdr:row>
      <xdr:rowOff>11430</xdr:rowOff>
    </xdr:from>
    <xdr:to>
      <xdr:col>10</xdr:col>
      <xdr:colOff>472440</xdr:colOff>
      <xdr:row>18</xdr:row>
      <xdr:rowOff>11430</xdr:rowOff>
    </xdr:to>
    <xdr:graphicFrame macro="">
      <xdr:nvGraphicFramePr>
        <xdr:cNvPr id="2" name="Chart 1">
          <a:extLst>
            <a:ext uri="{FF2B5EF4-FFF2-40B4-BE49-F238E27FC236}">
              <a16:creationId xmlns:a16="http://schemas.microsoft.com/office/drawing/2014/main" id="{7DF2ED62-A651-84A0-EF6B-9D6B32CDA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571500</xdr:colOff>
      <xdr:row>1</xdr:row>
      <xdr:rowOff>72390</xdr:rowOff>
    </xdr:from>
    <xdr:to>
      <xdr:col>14</xdr:col>
      <xdr:colOff>266700</xdr:colOff>
      <xdr:row>16</xdr:row>
      <xdr:rowOff>72390</xdr:rowOff>
    </xdr:to>
    <xdr:graphicFrame macro="">
      <xdr:nvGraphicFramePr>
        <xdr:cNvPr id="2" name="Chart 1">
          <a:extLst>
            <a:ext uri="{FF2B5EF4-FFF2-40B4-BE49-F238E27FC236}">
              <a16:creationId xmlns:a16="http://schemas.microsoft.com/office/drawing/2014/main" id="{F4AF731C-A768-5F3E-9AA1-D716528EB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335280</xdr:colOff>
      <xdr:row>1</xdr:row>
      <xdr:rowOff>72390</xdr:rowOff>
    </xdr:from>
    <xdr:to>
      <xdr:col>11</xdr:col>
      <xdr:colOff>30480</xdr:colOff>
      <xdr:row>16</xdr:row>
      <xdr:rowOff>72390</xdr:rowOff>
    </xdr:to>
    <xdr:graphicFrame macro="">
      <xdr:nvGraphicFramePr>
        <xdr:cNvPr id="2" name="Chart 1">
          <a:extLst>
            <a:ext uri="{FF2B5EF4-FFF2-40B4-BE49-F238E27FC236}">
              <a16:creationId xmlns:a16="http://schemas.microsoft.com/office/drawing/2014/main" id="{C510C885-2E2F-FE8F-051B-ED17FE566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304800</xdr:colOff>
      <xdr:row>2</xdr:row>
      <xdr:rowOff>15240</xdr:rowOff>
    </xdr:from>
    <xdr:to>
      <xdr:col>11</xdr:col>
      <xdr:colOff>0</xdr:colOff>
      <xdr:row>17</xdr:row>
      <xdr:rowOff>15240</xdr:rowOff>
    </xdr:to>
    <xdr:graphicFrame macro="">
      <xdr:nvGraphicFramePr>
        <xdr:cNvPr id="2" name="Chart 1">
          <a:extLst>
            <a:ext uri="{FF2B5EF4-FFF2-40B4-BE49-F238E27FC236}">
              <a16:creationId xmlns:a16="http://schemas.microsoft.com/office/drawing/2014/main" id="{8D8C2C51-1F67-9831-8DA3-0D2FA82F4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83820</xdr:colOff>
      <xdr:row>0</xdr:row>
      <xdr:rowOff>53340</xdr:rowOff>
    </xdr:from>
    <xdr:to>
      <xdr:col>20</xdr:col>
      <xdr:colOff>320040</xdr:colOff>
      <xdr:row>3</xdr:row>
      <xdr:rowOff>15240</xdr:rowOff>
    </xdr:to>
    <xdr:sp macro="" textlink="">
      <xdr:nvSpPr>
        <xdr:cNvPr id="2" name="Rectangle: Rounded Corners 1">
          <a:extLst>
            <a:ext uri="{FF2B5EF4-FFF2-40B4-BE49-F238E27FC236}">
              <a16:creationId xmlns:a16="http://schemas.microsoft.com/office/drawing/2014/main" id="{12973705-FB1C-448E-AB3C-4058F171BCCB}"/>
            </a:ext>
          </a:extLst>
        </xdr:cNvPr>
        <xdr:cNvSpPr/>
      </xdr:nvSpPr>
      <xdr:spPr>
        <a:xfrm>
          <a:off x="1912620" y="53340"/>
          <a:ext cx="10599420" cy="5105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3000" b="1"/>
            <a:t>SALES PERFORMANCE &amp; BUSINESS INTELLIGENCE DASHBOARD </a:t>
          </a:r>
          <a:r>
            <a:rPr lang="en-US" sz="2800"/>
            <a:t>DASHBOARD</a:t>
          </a:r>
          <a:endParaRPr lang="en-US" sz="2800" b="1">
            <a:solidFill>
              <a:srgbClr val="FF0000"/>
            </a:solidFill>
          </a:endParaRPr>
        </a:p>
      </xdr:txBody>
    </xdr:sp>
    <xdr:clientData/>
  </xdr:twoCellAnchor>
  <xdr:twoCellAnchor>
    <xdr:from>
      <xdr:col>3</xdr:col>
      <xdr:colOff>434340</xdr:colOff>
      <xdr:row>3</xdr:row>
      <xdr:rowOff>121920</xdr:rowOff>
    </xdr:from>
    <xdr:to>
      <xdr:col>6</xdr:col>
      <xdr:colOff>190500</xdr:colOff>
      <xdr:row>7</xdr:row>
      <xdr:rowOff>60960</xdr:rowOff>
    </xdr:to>
    <xdr:sp macro="" textlink="">
      <xdr:nvSpPr>
        <xdr:cNvPr id="3" name="Rectangle: Rounded Corners 2">
          <a:extLst>
            <a:ext uri="{FF2B5EF4-FFF2-40B4-BE49-F238E27FC236}">
              <a16:creationId xmlns:a16="http://schemas.microsoft.com/office/drawing/2014/main" id="{9CCCB95D-5D73-069D-9DC3-86DD66A5E041}"/>
            </a:ext>
          </a:extLst>
        </xdr:cNvPr>
        <xdr:cNvSpPr/>
      </xdr:nvSpPr>
      <xdr:spPr>
        <a:xfrm>
          <a:off x="2263140" y="670560"/>
          <a:ext cx="1584960" cy="6705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a:t>Total Revenue </a:t>
          </a:r>
          <a:r>
            <a:rPr lang="en-US" sz="1600" b="1" i="0" u="none" strike="noStrike">
              <a:solidFill>
                <a:schemeClr val="dk1"/>
              </a:solidFill>
              <a:effectLst/>
              <a:latin typeface="+mn-lt"/>
              <a:ea typeface="+mn-ea"/>
              <a:cs typeface="+mn-cs"/>
            </a:rPr>
            <a:t>10945767.91</a:t>
          </a:r>
          <a:r>
            <a:rPr lang="en-US" sz="1400">
              <a:effectLst/>
            </a:rPr>
            <a:t> </a:t>
          </a:r>
          <a:endParaRPr lang="en-US" sz="1400"/>
        </a:p>
      </xdr:txBody>
    </xdr:sp>
    <xdr:clientData/>
  </xdr:twoCellAnchor>
  <xdr:twoCellAnchor>
    <xdr:from>
      <xdr:col>6</xdr:col>
      <xdr:colOff>266700</xdr:colOff>
      <xdr:row>3</xdr:row>
      <xdr:rowOff>121920</xdr:rowOff>
    </xdr:from>
    <xdr:to>
      <xdr:col>9</xdr:col>
      <xdr:colOff>21900</xdr:colOff>
      <xdr:row>7</xdr:row>
      <xdr:rowOff>74400</xdr:rowOff>
    </xdr:to>
    <xdr:sp macro="" textlink="">
      <xdr:nvSpPr>
        <xdr:cNvPr id="4" name="Rectangle: Rounded Corners 3">
          <a:extLst>
            <a:ext uri="{FF2B5EF4-FFF2-40B4-BE49-F238E27FC236}">
              <a16:creationId xmlns:a16="http://schemas.microsoft.com/office/drawing/2014/main" id="{6DFAEFB5-F48D-ADC4-D907-834F0735E49A}"/>
            </a:ext>
          </a:extLst>
        </xdr:cNvPr>
        <xdr:cNvSpPr/>
      </xdr:nvSpPr>
      <xdr:spPr>
        <a:xfrm>
          <a:off x="3924300" y="670560"/>
          <a:ext cx="1584000" cy="6840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a:t>Gross Profit </a:t>
          </a:r>
          <a:r>
            <a:rPr lang="en-US" sz="1600" b="1" i="0" u="none" strike="noStrike">
              <a:solidFill>
                <a:schemeClr val="dk1"/>
              </a:solidFill>
              <a:effectLst/>
              <a:latin typeface="+mn-lt"/>
              <a:ea typeface="+mn-ea"/>
              <a:cs typeface="+mn-cs"/>
            </a:rPr>
            <a:t>4058532.67</a:t>
          </a:r>
          <a:r>
            <a:rPr lang="en-US" sz="1600" b="1">
              <a:effectLst/>
            </a:rPr>
            <a:t> </a:t>
          </a:r>
          <a:endParaRPr lang="en-US" sz="1100" b="1"/>
        </a:p>
      </xdr:txBody>
    </xdr:sp>
    <xdr:clientData/>
  </xdr:twoCellAnchor>
  <xdr:twoCellAnchor>
    <xdr:from>
      <xdr:col>9</xdr:col>
      <xdr:colOff>114300</xdr:colOff>
      <xdr:row>3</xdr:row>
      <xdr:rowOff>144780</xdr:rowOff>
    </xdr:from>
    <xdr:to>
      <xdr:col>12</xdr:col>
      <xdr:colOff>91440</xdr:colOff>
      <xdr:row>7</xdr:row>
      <xdr:rowOff>97260</xdr:rowOff>
    </xdr:to>
    <xdr:sp macro="" textlink="">
      <xdr:nvSpPr>
        <xdr:cNvPr id="5" name="Rectangle: Rounded Corners 4">
          <a:extLst>
            <a:ext uri="{FF2B5EF4-FFF2-40B4-BE49-F238E27FC236}">
              <a16:creationId xmlns:a16="http://schemas.microsoft.com/office/drawing/2014/main" id="{BC2A5CC8-5E3B-AE29-B5EC-A59061583C9A}"/>
            </a:ext>
          </a:extLst>
        </xdr:cNvPr>
        <xdr:cNvSpPr/>
      </xdr:nvSpPr>
      <xdr:spPr>
        <a:xfrm>
          <a:off x="5600700" y="693420"/>
          <a:ext cx="1805940" cy="6840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500" b="1"/>
            <a:t>Margin Percentage </a:t>
          </a:r>
          <a:r>
            <a:rPr lang="en-US" sz="1600" b="1" i="0" u="none" strike="noStrike">
              <a:solidFill>
                <a:schemeClr val="dk1"/>
              </a:solidFill>
              <a:effectLst/>
              <a:latin typeface="+mn-lt"/>
              <a:ea typeface="+mn-ea"/>
              <a:cs typeface="+mn-cs"/>
            </a:rPr>
            <a:t>0.85</a:t>
          </a:r>
          <a:r>
            <a:rPr lang="en-US" sz="1600" b="1">
              <a:effectLst/>
            </a:rPr>
            <a:t> </a:t>
          </a:r>
          <a:r>
            <a:rPr lang="en-US" sz="1100"/>
            <a:t> </a:t>
          </a:r>
        </a:p>
      </xdr:txBody>
    </xdr:sp>
    <xdr:clientData/>
  </xdr:twoCellAnchor>
  <xdr:twoCellAnchor>
    <xdr:from>
      <xdr:col>12</xdr:col>
      <xdr:colOff>190500</xdr:colOff>
      <xdr:row>3</xdr:row>
      <xdr:rowOff>144780</xdr:rowOff>
    </xdr:from>
    <xdr:to>
      <xdr:col>15</xdr:col>
      <xdr:colOff>22860</xdr:colOff>
      <xdr:row>7</xdr:row>
      <xdr:rowOff>97260</xdr:rowOff>
    </xdr:to>
    <xdr:sp macro="" textlink="">
      <xdr:nvSpPr>
        <xdr:cNvPr id="6" name="Rectangle: Rounded Corners 5">
          <a:extLst>
            <a:ext uri="{FF2B5EF4-FFF2-40B4-BE49-F238E27FC236}">
              <a16:creationId xmlns:a16="http://schemas.microsoft.com/office/drawing/2014/main" id="{7C15D6B6-A878-E2DF-5702-BA1F7B23A7DC}"/>
            </a:ext>
          </a:extLst>
        </xdr:cNvPr>
        <xdr:cNvSpPr/>
      </xdr:nvSpPr>
      <xdr:spPr>
        <a:xfrm>
          <a:off x="7505700" y="693420"/>
          <a:ext cx="1661160" cy="6840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1"/>
            <a:t>Avg Order</a:t>
          </a:r>
          <a:r>
            <a:rPr lang="en-US" sz="1600" b="1" baseline="0"/>
            <a:t> Value</a:t>
          </a:r>
        </a:p>
        <a:p>
          <a:pPr algn="ctr"/>
          <a:r>
            <a:rPr lang="en-US" sz="1400" b="1" baseline="0"/>
            <a:t>17297.89</a:t>
          </a:r>
          <a:endParaRPr lang="en-US" sz="1400" b="1"/>
        </a:p>
      </xdr:txBody>
    </xdr:sp>
    <xdr:clientData/>
  </xdr:twoCellAnchor>
  <xdr:twoCellAnchor>
    <xdr:from>
      <xdr:col>15</xdr:col>
      <xdr:colOff>129540</xdr:colOff>
      <xdr:row>3</xdr:row>
      <xdr:rowOff>144780</xdr:rowOff>
    </xdr:from>
    <xdr:to>
      <xdr:col>18</xdr:col>
      <xdr:colOff>281940</xdr:colOff>
      <xdr:row>7</xdr:row>
      <xdr:rowOff>97260</xdr:rowOff>
    </xdr:to>
    <xdr:sp macro="" textlink="">
      <xdr:nvSpPr>
        <xdr:cNvPr id="7" name="Rectangle: Rounded Corners 6">
          <a:extLst>
            <a:ext uri="{FF2B5EF4-FFF2-40B4-BE49-F238E27FC236}">
              <a16:creationId xmlns:a16="http://schemas.microsoft.com/office/drawing/2014/main" id="{4C060DD8-FE56-C568-9DA1-D1D73C5ECB8D}"/>
            </a:ext>
          </a:extLst>
        </xdr:cNvPr>
        <xdr:cNvSpPr/>
      </xdr:nvSpPr>
      <xdr:spPr>
        <a:xfrm>
          <a:off x="9273540" y="693420"/>
          <a:ext cx="1981200" cy="6840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1"/>
            <a:t>On-Time Percentage</a:t>
          </a:r>
        </a:p>
        <a:p>
          <a:pPr algn="ctr"/>
          <a:r>
            <a:rPr lang="en-US" sz="1400" b="1" i="0" u="none" strike="noStrike">
              <a:solidFill>
                <a:schemeClr val="dk1"/>
              </a:solidFill>
              <a:effectLst/>
              <a:latin typeface="+mn-lt"/>
              <a:ea typeface="+mn-ea"/>
              <a:cs typeface="+mn-cs"/>
            </a:rPr>
            <a:t>27.22%</a:t>
          </a:r>
          <a:r>
            <a:rPr lang="en-US" sz="1400" b="1">
              <a:effectLst/>
            </a:rPr>
            <a:t> </a:t>
          </a:r>
          <a:endParaRPr lang="en-US" sz="1400" b="1"/>
        </a:p>
      </xdr:txBody>
    </xdr:sp>
    <xdr:clientData/>
  </xdr:twoCellAnchor>
  <xdr:twoCellAnchor>
    <xdr:from>
      <xdr:col>3</xdr:col>
      <xdr:colOff>495300</xdr:colOff>
      <xdr:row>7</xdr:row>
      <xdr:rowOff>121920</xdr:rowOff>
    </xdr:from>
    <xdr:to>
      <xdr:col>10</xdr:col>
      <xdr:colOff>512100</xdr:colOff>
      <xdr:row>21</xdr:row>
      <xdr:rowOff>9600</xdr:rowOff>
    </xdr:to>
    <xdr:graphicFrame macro="">
      <xdr:nvGraphicFramePr>
        <xdr:cNvPr id="8" name="Chart 7">
          <a:extLst>
            <a:ext uri="{FF2B5EF4-FFF2-40B4-BE49-F238E27FC236}">
              <a16:creationId xmlns:a16="http://schemas.microsoft.com/office/drawing/2014/main" id="{F6E1448B-6E05-44FF-8657-3F4D8D1B1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91440</xdr:colOff>
      <xdr:row>7</xdr:row>
      <xdr:rowOff>152400</xdr:rowOff>
    </xdr:from>
    <xdr:to>
      <xdr:col>18</xdr:col>
      <xdr:colOff>108240</xdr:colOff>
      <xdr:row>21</xdr:row>
      <xdr:rowOff>40080</xdr:rowOff>
    </xdr:to>
    <xdr:graphicFrame macro="">
      <xdr:nvGraphicFramePr>
        <xdr:cNvPr id="9" name="Chart 8">
          <a:extLst>
            <a:ext uri="{FF2B5EF4-FFF2-40B4-BE49-F238E27FC236}">
              <a16:creationId xmlns:a16="http://schemas.microsoft.com/office/drawing/2014/main" id="{9171ED3A-5306-440A-B2A2-B451753DC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480060</xdr:colOff>
      <xdr:row>21</xdr:row>
      <xdr:rowOff>114300</xdr:rowOff>
    </xdr:from>
    <xdr:to>
      <xdr:col>10</xdr:col>
      <xdr:colOff>496860</xdr:colOff>
      <xdr:row>35</xdr:row>
      <xdr:rowOff>1980</xdr:rowOff>
    </xdr:to>
    <xdr:graphicFrame macro="">
      <xdr:nvGraphicFramePr>
        <xdr:cNvPr id="10" name="Chart 9">
          <a:extLst>
            <a:ext uri="{FF2B5EF4-FFF2-40B4-BE49-F238E27FC236}">
              <a16:creationId xmlns:a16="http://schemas.microsoft.com/office/drawing/2014/main" id="{B2F031AD-FC3C-4A7E-BDFC-DF6C74B5E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121920</xdr:colOff>
      <xdr:row>21</xdr:row>
      <xdr:rowOff>129540</xdr:rowOff>
    </xdr:from>
    <xdr:to>
      <xdr:col>18</xdr:col>
      <xdr:colOff>138720</xdr:colOff>
      <xdr:row>35</xdr:row>
      <xdr:rowOff>17220</xdr:rowOff>
    </xdr:to>
    <xdr:graphicFrame macro="">
      <xdr:nvGraphicFramePr>
        <xdr:cNvPr id="11" name="Chart 10">
          <a:extLst>
            <a:ext uri="{FF2B5EF4-FFF2-40B4-BE49-F238E27FC236}">
              <a16:creationId xmlns:a16="http://schemas.microsoft.com/office/drawing/2014/main" id="{FBD3D8BD-A3A0-49E7-A6D9-A6CC6628C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99060</xdr:colOff>
      <xdr:row>3</xdr:row>
      <xdr:rowOff>1</xdr:rowOff>
    </xdr:from>
    <xdr:to>
      <xdr:col>3</xdr:col>
      <xdr:colOff>106260</xdr:colOff>
      <xdr:row>8</xdr:row>
      <xdr:rowOff>90001</xdr:rowOff>
    </xdr:to>
    <mc:AlternateContent xmlns:mc="http://schemas.openxmlformats.org/markup-compatibility/2006" xmlns:a14="http://schemas.microsoft.com/office/drawing/2010/main">
      <mc:Choice Requires="a14">
        <xdr:graphicFrame macro="">
          <xdr:nvGraphicFramePr>
            <xdr:cNvPr id="12" name="ProductCategory 1">
              <a:extLst>
                <a:ext uri="{FF2B5EF4-FFF2-40B4-BE49-F238E27FC236}">
                  <a16:creationId xmlns:a16="http://schemas.microsoft.com/office/drawing/2014/main" id="{0A671794-1DC4-4B7E-887A-88159E091F60}"/>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99060" y="548641"/>
              <a:ext cx="1836000" cy="100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8</xdr:row>
      <xdr:rowOff>137161</xdr:rowOff>
    </xdr:from>
    <xdr:to>
      <xdr:col>3</xdr:col>
      <xdr:colOff>83400</xdr:colOff>
      <xdr:row>14</xdr:row>
      <xdr:rowOff>44281</xdr:rowOff>
    </xdr:to>
    <mc:AlternateContent xmlns:mc="http://schemas.openxmlformats.org/markup-compatibility/2006" xmlns:a14="http://schemas.microsoft.com/office/drawing/2010/main">
      <mc:Choice Requires="a14">
        <xdr:graphicFrame macro="">
          <xdr:nvGraphicFramePr>
            <xdr:cNvPr id="14" name="NewSalesperson 1">
              <a:extLst>
                <a:ext uri="{FF2B5EF4-FFF2-40B4-BE49-F238E27FC236}">
                  <a16:creationId xmlns:a16="http://schemas.microsoft.com/office/drawing/2014/main" id="{BA22D041-22A3-4CFB-97F2-960291990DE0}"/>
                </a:ext>
              </a:extLst>
            </xdr:cNvPr>
            <xdr:cNvGraphicFramePr/>
          </xdr:nvGraphicFramePr>
          <xdr:xfrm>
            <a:off x="0" y="0"/>
            <a:ext cx="0" cy="0"/>
          </xdr:xfrm>
          <a:graphic>
            <a:graphicData uri="http://schemas.microsoft.com/office/drawing/2010/slicer">
              <sle:slicer xmlns:sle="http://schemas.microsoft.com/office/drawing/2010/slicer" name="NewSalesperson 1"/>
            </a:graphicData>
          </a:graphic>
        </xdr:graphicFrame>
      </mc:Choice>
      <mc:Fallback xmlns="">
        <xdr:sp macro="" textlink="">
          <xdr:nvSpPr>
            <xdr:cNvPr id="0" name=""/>
            <xdr:cNvSpPr>
              <a:spLocks noTextEdit="1"/>
            </xdr:cNvSpPr>
          </xdr:nvSpPr>
          <xdr:spPr>
            <a:xfrm>
              <a:off x="76200" y="1600201"/>
              <a:ext cx="1836000" cy="100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14</xdr:row>
      <xdr:rowOff>91440</xdr:rowOff>
    </xdr:from>
    <xdr:to>
      <xdr:col>3</xdr:col>
      <xdr:colOff>83400</xdr:colOff>
      <xdr:row>19</xdr:row>
      <xdr:rowOff>181440</xdr:rowOff>
    </xdr:to>
    <mc:AlternateContent xmlns:mc="http://schemas.openxmlformats.org/markup-compatibility/2006" xmlns:a14="http://schemas.microsoft.com/office/drawing/2010/main">
      <mc:Choice Requires="a14">
        <xdr:graphicFrame macro="">
          <xdr:nvGraphicFramePr>
            <xdr:cNvPr id="15" name="NewChannel 1">
              <a:extLst>
                <a:ext uri="{FF2B5EF4-FFF2-40B4-BE49-F238E27FC236}">
                  <a16:creationId xmlns:a16="http://schemas.microsoft.com/office/drawing/2014/main" id="{C371C2F1-7B70-4E46-B3DA-E5B2B65FA3EF}"/>
                </a:ext>
              </a:extLst>
            </xdr:cNvPr>
            <xdr:cNvGraphicFramePr/>
          </xdr:nvGraphicFramePr>
          <xdr:xfrm>
            <a:off x="0" y="0"/>
            <a:ext cx="0" cy="0"/>
          </xdr:xfrm>
          <a:graphic>
            <a:graphicData uri="http://schemas.microsoft.com/office/drawing/2010/slicer">
              <sle:slicer xmlns:sle="http://schemas.microsoft.com/office/drawing/2010/slicer" name="NewChannel 1"/>
            </a:graphicData>
          </a:graphic>
        </xdr:graphicFrame>
      </mc:Choice>
      <mc:Fallback xmlns="">
        <xdr:sp macro="" textlink="">
          <xdr:nvSpPr>
            <xdr:cNvPr id="0" name=""/>
            <xdr:cNvSpPr>
              <a:spLocks noTextEdit="1"/>
            </xdr:cNvSpPr>
          </xdr:nvSpPr>
          <xdr:spPr>
            <a:xfrm>
              <a:off x="76200" y="2651760"/>
              <a:ext cx="1836000" cy="100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20</xdr:row>
      <xdr:rowOff>22861</xdr:rowOff>
    </xdr:from>
    <xdr:to>
      <xdr:col>3</xdr:col>
      <xdr:colOff>83400</xdr:colOff>
      <xdr:row>25</xdr:row>
      <xdr:rowOff>112861</xdr:rowOff>
    </xdr:to>
    <mc:AlternateContent xmlns:mc="http://schemas.openxmlformats.org/markup-compatibility/2006" xmlns:a14="http://schemas.microsoft.com/office/drawing/2010/main">
      <mc:Choice Requires="a14">
        <xdr:graphicFrame macro="">
          <xdr:nvGraphicFramePr>
            <xdr:cNvPr id="16" name="Country 1">
              <a:extLst>
                <a:ext uri="{FF2B5EF4-FFF2-40B4-BE49-F238E27FC236}">
                  <a16:creationId xmlns:a16="http://schemas.microsoft.com/office/drawing/2014/main" id="{F516BFAE-13EA-42D0-B611-14EC771F157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6200" y="3680461"/>
              <a:ext cx="1836000" cy="100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26</xdr:row>
      <xdr:rowOff>7621</xdr:rowOff>
    </xdr:from>
    <xdr:to>
      <xdr:col>3</xdr:col>
      <xdr:colOff>83400</xdr:colOff>
      <xdr:row>31</xdr:row>
      <xdr:rowOff>97621</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13F7AFAB-59AB-4D6E-817B-FCD613BF721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200" y="4762501"/>
              <a:ext cx="1836000" cy="100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31</xdr:row>
      <xdr:rowOff>160021</xdr:rowOff>
    </xdr:from>
    <xdr:to>
      <xdr:col>3</xdr:col>
      <xdr:colOff>83400</xdr:colOff>
      <xdr:row>37</xdr:row>
      <xdr:rowOff>67141</xdr:rowOff>
    </xdr:to>
    <mc:AlternateContent xmlns:mc="http://schemas.openxmlformats.org/markup-compatibility/2006" xmlns:a14="http://schemas.microsoft.com/office/drawing/2010/main">
      <mc:Choice Requires="a14">
        <xdr:graphicFrame macro="">
          <xdr:nvGraphicFramePr>
            <xdr:cNvPr id="18" name="Month 1">
              <a:extLst>
                <a:ext uri="{FF2B5EF4-FFF2-40B4-BE49-F238E27FC236}">
                  <a16:creationId xmlns:a16="http://schemas.microsoft.com/office/drawing/2014/main" id="{9C8B286F-FDF1-4DA1-B9A7-A9AD273F8C7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6200" y="5829301"/>
              <a:ext cx="1836000" cy="100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45720</xdr:colOff>
      <xdr:row>0</xdr:row>
      <xdr:rowOff>38100</xdr:rowOff>
    </xdr:from>
    <xdr:to>
      <xdr:col>23</xdr:col>
      <xdr:colOff>121920</xdr:colOff>
      <xdr:row>25</xdr:row>
      <xdr:rowOff>76200</xdr:rowOff>
    </xdr:to>
    <xdr:sp macro="" textlink="">
      <xdr:nvSpPr>
        <xdr:cNvPr id="3" name="Rectangle 2">
          <a:extLst>
            <a:ext uri="{FF2B5EF4-FFF2-40B4-BE49-F238E27FC236}">
              <a16:creationId xmlns:a16="http://schemas.microsoft.com/office/drawing/2014/main" id="{F74E658C-3CE2-30C7-ADBA-F4A149C4A206}"/>
            </a:ext>
          </a:extLst>
        </xdr:cNvPr>
        <xdr:cNvSpPr/>
      </xdr:nvSpPr>
      <xdr:spPr>
        <a:xfrm>
          <a:off x="45720" y="38100"/>
          <a:ext cx="14097000" cy="46101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3200" b="1">
              <a:solidFill>
                <a:srgbClr val="FF0000"/>
              </a:solidFill>
            </a:rPr>
            <a:t>DASHBOARD ANALYSIS</a:t>
          </a:r>
        </a:p>
        <a:p>
          <a:pPr algn="l"/>
          <a:endParaRPr lang="en-US" b="1"/>
        </a:p>
        <a:p>
          <a:pPr algn="l"/>
          <a:endParaRPr lang="en-US" b="1"/>
        </a:p>
        <a:p>
          <a:pPr algn="l"/>
          <a:r>
            <a:rPr lang="en-US" sz="1700" b="1"/>
            <a:t>1. Europe generated the highest gross profit of</a:t>
          </a:r>
          <a:r>
            <a:rPr lang="en-US" sz="1700" b="1" baseline="0">
              <a:solidFill>
                <a:schemeClr val="tx2"/>
              </a:solidFill>
            </a:rPr>
            <a:t> </a:t>
          </a:r>
          <a:r>
            <a:rPr lang="en-US" sz="1700" b="1">
              <a:solidFill>
                <a:srgbClr val="0070C0"/>
              </a:solidFill>
            </a:rPr>
            <a:t>1.12M</a:t>
          </a:r>
          <a:r>
            <a:rPr lang="en-US" sz="1700" b="1"/>
            <a:t>, making it the most profitable region. </a:t>
          </a:r>
        </a:p>
        <a:p>
          <a:pPr algn="l"/>
          <a:endParaRPr lang="en-US" sz="1700" b="1"/>
        </a:p>
        <a:p>
          <a:pPr algn="l"/>
          <a:r>
            <a:rPr lang="en-US" sz="1700" b="1"/>
            <a:t>2. Asia recorded the highest gross revenue of</a:t>
          </a:r>
          <a:r>
            <a:rPr lang="en-US" sz="1700" b="1" baseline="0"/>
            <a:t> </a:t>
          </a:r>
          <a:r>
            <a:rPr lang="en-US" sz="1700" b="1">
              <a:solidFill>
                <a:srgbClr val="0070C0"/>
              </a:solidFill>
            </a:rPr>
            <a:t>2.85M</a:t>
          </a:r>
          <a:r>
            <a:rPr lang="en-US" sz="1700" b="1"/>
            <a:t>, indicating strong sales performance and market demand.</a:t>
          </a:r>
        </a:p>
        <a:p>
          <a:pPr algn="l"/>
          <a:endParaRPr lang="en-US" sz="1700" b="1"/>
        </a:p>
        <a:p>
          <a:pPr algn="l"/>
          <a:r>
            <a:rPr lang="en-US" sz="1700" b="1"/>
            <a:t>3. Americas delivered revenue comparable to other regions but produced the lowest total profit of</a:t>
          </a:r>
          <a:r>
            <a:rPr lang="en-US" sz="1700" b="1" baseline="0"/>
            <a:t> </a:t>
          </a:r>
          <a:r>
            <a:rPr lang="en-US" sz="1700" b="1">
              <a:solidFill>
                <a:srgbClr val="0070C0"/>
              </a:solidFill>
            </a:rPr>
            <a:t>0.96M</a:t>
          </a:r>
          <a:r>
            <a:rPr lang="en-US" sz="1700" b="1"/>
            <a:t>, suggesting lower margins or higher discounting.</a:t>
          </a:r>
        </a:p>
        <a:p>
          <a:pPr algn="l"/>
          <a:endParaRPr lang="en-US" sz="1700" b="1"/>
        </a:p>
        <a:p>
          <a:pPr algn="l"/>
          <a:r>
            <a:rPr lang="en-US" sz="1700" b="1"/>
            <a:t>4. Africa achieved a profit level close to the Americas with fewer orders, indicating relatively efficient sales performance.</a:t>
          </a:r>
        </a:p>
        <a:p>
          <a:pPr algn="l"/>
          <a:endParaRPr lang="en-US" sz="1700" b="1"/>
        </a:p>
        <a:p>
          <a:pPr algn="l"/>
          <a:r>
            <a:rPr lang="en-US" sz="1700" b="1"/>
            <a:t>5. Service-level performance (orders delivered within the 7-day target) was strongest in Africa with</a:t>
          </a:r>
          <a:r>
            <a:rPr lang="en-US" sz="1700" b="1" baseline="0"/>
            <a:t> </a:t>
          </a:r>
          <a:r>
            <a:rPr lang="en-US" sz="1700" b="1">
              <a:solidFill>
                <a:srgbClr val="0070C0"/>
              </a:solidFill>
            </a:rPr>
            <a:t>35%, </a:t>
          </a:r>
          <a:r>
            <a:rPr lang="en-US" sz="1700" b="1"/>
            <a:t>while Asia had the lowest on-time performance with</a:t>
          </a:r>
          <a:r>
            <a:rPr lang="en-US" sz="1700" b="1" baseline="0"/>
            <a:t> </a:t>
          </a:r>
          <a:r>
            <a:rPr lang="en-US" sz="1700" b="1">
              <a:solidFill>
                <a:srgbClr val="0070C0"/>
              </a:solidFill>
            </a:rPr>
            <a:t>21%</a:t>
          </a:r>
          <a:r>
            <a:rPr lang="en-US" sz="1700" b="1"/>
            <a:t>.</a:t>
          </a:r>
        </a:p>
        <a:p>
          <a:pPr algn="l"/>
          <a:endParaRPr lang="en-US" sz="1700" b="1"/>
        </a:p>
        <a:p>
          <a:pPr algn="l"/>
          <a:r>
            <a:rPr lang="en-US" sz="1700" b="1"/>
            <a:t>6. Revenue trends show that </a:t>
          </a:r>
          <a:r>
            <a:rPr lang="en-US" sz="1700" b="1">
              <a:solidFill>
                <a:srgbClr val="0070C0"/>
              </a:solidFill>
            </a:rPr>
            <a:t>June 2024 </a:t>
          </a:r>
          <a:r>
            <a:rPr lang="en-US" sz="1700" b="1"/>
            <a:t>was the strongest sales month in the dataset, generating the highest monthly revenue.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dhiambo Sungurah" refreshedDate="46188.69216273148" createdVersion="8" refreshedVersion="8" minRefreshableVersion="3" recordCount="631" xr:uid="{EFEA5F78-3564-419F-9E3E-1387254071C8}">
  <cacheSource type="worksheet">
    <worksheetSource ref="A1:AI632" sheet="Data"/>
  </cacheSource>
  <cacheFields count="35">
    <cacheField name="OrderID" numFmtId="0">
      <sharedItems/>
    </cacheField>
    <cacheField name="OrderDate" numFmtId="14">
      <sharedItems containsSemiMixedTypes="0" containsNonDate="0" containsDate="1" containsString="0" minDate="2023-01-02T00:00:00" maxDate="2025-09-16T00:00:00"/>
    </cacheField>
    <cacheField name="NewOrderDate" numFmtId="14">
      <sharedItems containsSemiMixedTypes="0" containsNonDate="0" containsDate="1" containsString="0" minDate="2023-01-02T00:00:00" maxDate="2025-09-16T00:00:00"/>
    </cacheField>
    <cacheField name="RequiredDate" numFmtId="14">
      <sharedItems containsSemiMixedTypes="0" containsNonDate="0" containsDate="1" containsString="0" minDate="2023-01-05T00:00:00" maxDate="2025-10-06T00:00:00"/>
    </cacheField>
    <cacheField name="NewRequiredDate" numFmtId="14">
      <sharedItems containsSemiMixedTypes="0" containsNonDate="0" containsDate="1" containsString="0" minDate="2023-01-05T00:00:00" maxDate="2025-10-06T00:00:00"/>
    </cacheField>
    <cacheField name="LeadTimedays" numFmtId="2">
      <sharedItems containsSemiMixedTypes="0" containsString="0" containsNumber="1" containsInteger="1" minValue="0" maxValue="30"/>
    </cacheField>
    <cacheField name="MetTarget" numFmtId="2">
      <sharedItems/>
    </cacheField>
    <cacheField name="Month" numFmtId="2">
      <sharedItems/>
    </cacheField>
    <cacheField name="Quarters" numFmtId="2">
      <sharedItems/>
    </cacheField>
    <cacheField name="FirstOrderDate" numFmtId="14">
      <sharedItems containsSemiMixedTypes="0" containsNonDate="0" containsDate="1" containsString="0" minDate="2023-01-02T00:00:00" maxDate="2023-03-04T00:00:00"/>
    </cacheField>
    <cacheField name="FirstOrderMonth" numFmtId="2">
      <sharedItems count="2">
        <s v="01-2023"/>
        <s v="03-2023"/>
      </sharedItems>
    </cacheField>
    <cacheField name="Region" numFmtId="0">
      <sharedItems/>
    </cacheField>
    <cacheField name="Country" numFmtId="0">
      <sharedItems count="12">
        <s v="Canada"/>
        <s v="United Kingdom"/>
        <s v="Nigeria"/>
        <s v="India"/>
        <s v="Germany"/>
        <s v="Kenya"/>
        <s v="USA"/>
        <s v="Japan"/>
        <s v="South Africa"/>
        <s v="Brazil"/>
        <s v="China"/>
        <s v="France"/>
      </sharedItems>
    </cacheField>
    <cacheField name="City" numFmtId="0">
      <sharedItems containsBlank="1"/>
    </cacheField>
    <cacheField name="NewCity" numFmtId="0">
      <sharedItems/>
    </cacheField>
    <cacheField name="CustomerSegment" numFmtId="0">
      <sharedItems/>
    </cacheField>
    <cacheField name="Channel" numFmtId="0">
      <sharedItems containsBlank="1"/>
    </cacheField>
    <cacheField name="NewChannel" numFmtId="0">
      <sharedItems/>
    </cacheField>
    <cacheField name="Salesperson" numFmtId="0">
      <sharedItems containsBlank="1"/>
    </cacheField>
    <cacheField name="NewSalesperson" numFmtId="0">
      <sharedItems/>
    </cacheField>
    <cacheField name="ProductCategory" numFmtId="0">
      <sharedItems/>
    </cacheField>
    <cacheField name="PriceBand" numFmtId="0">
      <sharedItems/>
    </cacheField>
    <cacheField name="SKU" numFmtId="0">
      <sharedItems/>
    </cacheField>
    <cacheField name="SKUcategory" numFmtId="0">
      <sharedItems/>
    </cacheField>
    <cacheField name="UnitCost" numFmtId="2">
      <sharedItems containsSemiMixedTypes="0" containsString="0" containsNumber="1" minValue="5.34" maxValue="1495.79"/>
    </cacheField>
    <cacheField name="UnitPrice" numFmtId="2">
      <sharedItems containsSemiMixedTypes="0" containsString="0" containsNumber="1" minValue="-33.659999999999997" maxValue="3661.07"/>
    </cacheField>
    <cacheField name="NewUnitPrice" numFmtId="2">
      <sharedItems containsSemiMixedTypes="0" containsString="0" containsNumber="1" minValue="4.22" maxValue="3661.07"/>
    </cacheField>
    <cacheField name="DiscountPct" numFmtId="10">
      <sharedItems containsSemiMixedTypes="0" containsString="0" containsNumber="1" minValue="0" maxValue="0.56499999999999995"/>
    </cacheField>
    <cacheField name="NewDiscountPct" numFmtId="10">
      <sharedItems containsSemiMixedTypes="0" containsString="0" containsNumber="1" minValue="0" maxValue="0.3"/>
    </cacheField>
    <cacheField name="HighestDscnt" numFmtId="10">
      <sharedItems/>
    </cacheField>
    <cacheField name="Quantity" numFmtId="2">
      <sharedItems containsSemiMixedTypes="0" containsString="0" containsNumber="1" containsInteger="1" minValue="2" maxValue="61"/>
    </cacheField>
    <cacheField name="GrossRevenue" numFmtId="2">
      <sharedItems containsSemiMixedTypes="0" containsString="0" containsNumber="1" minValue="34.689059999999998" maxValue="139277.83032000001"/>
    </cacheField>
    <cacheField name="CostOfGoods" numFmtId="0">
      <sharedItems containsSemiMixedTypes="0" containsString="0" containsNumber="1" minValue="48.24" maxValue="83258.290000000008"/>
    </cacheField>
    <cacheField name="GrossProfit" numFmtId="2">
      <sharedItems containsSemiMixedTypes="0" containsString="0" containsNumber="1" minValue="0.36755999999999744" maxValue="68355.013999999996"/>
    </cacheField>
    <cacheField name="MarginPct" numFmtId="2">
      <sharedItems containsSemiMixedTypes="0" containsString="0" containsNumber="1" minValue="1.7545694604582242E-3" maxValue="250.3975075644904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dhiambo Sungurah" refreshedDate="46188.811549768521" createdVersion="8" refreshedVersion="8" minRefreshableVersion="3" recordCount="631" xr:uid="{6DD2AA68-B1CE-4098-83D8-963D98C50CA7}">
  <cacheSource type="worksheet">
    <worksheetSource ref="A1:AK632" sheet="Data"/>
  </cacheSource>
  <cacheFields count="40">
    <cacheField name="OrderID" numFmtId="0">
      <sharedItems/>
    </cacheField>
    <cacheField name="OrderDate" numFmtId="14">
      <sharedItems containsSemiMixedTypes="0" containsNonDate="0" containsDate="1" containsString="0" minDate="2023-01-02T00:00:00" maxDate="2025-09-16T00:00:00"/>
    </cacheField>
    <cacheField name="NewOrderDate" numFmtId="14">
      <sharedItems containsSemiMixedTypes="0" containsNonDate="0" containsDate="1" containsString="0" minDate="2023-01-02T00:00:00" maxDate="2025-09-16T00:00:00" count="474">
        <d v="2025-07-17T00:00:00"/>
        <d v="2024-05-14T00:00:00"/>
        <d v="2025-07-03T00:00:00"/>
        <d v="2025-04-14T00:00:00"/>
        <d v="2023-05-02T00:00:00"/>
        <d v="2023-02-19T00:00:00"/>
        <d v="2024-11-22T00:00:00"/>
        <d v="2023-07-01T00:00:00"/>
        <d v="2024-06-25T00:00:00"/>
        <d v="2024-03-27T00:00:00"/>
        <d v="2024-07-25T00:00:00"/>
        <d v="2024-11-02T00:00:00"/>
        <d v="2024-06-16T00:00:00"/>
        <d v="2025-07-16T00:00:00"/>
        <d v="2023-12-28T00:00:00"/>
        <d v="2024-12-27T00:00:00"/>
        <d v="2024-06-07T00:00:00"/>
        <d v="2023-05-10T00:00:00"/>
        <d v="2025-05-21T00:00:00"/>
        <d v="2023-02-08T00:00:00"/>
        <d v="2024-06-05T00:00:00"/>
        <d v="2024-02-19T00:00:00"/>
        <d v="2024-12-28T00:00:00"/>
        <d v="2025-08-21T00:00:00"/>
        <d v="2023-04-14T00:00:00"/>
        <d v="2023-03-23T00:00:00"/>
        <d v="2025-01-27T00:00:00"/>
        <d v="2023-10-09T00:00:00"/>
        <d v="2023-02-26T00:00:00"/>
        <d v="2024-08-16T00:00:00"/>
        <d v="2025-05-12T00:00:00"/>
        <d v="2024-10-10T00:00:00"/>
        <d v="2023-08-02T00:00:00"/>
        <d v="2024-04-03T00:00:00"/>
        <d v="2023-01-20T00:00:00"/>
        <d v="2023-06-20T00:00:00"/>
        <d v="2023-05-07T00:00:00"/>
        <d v="2024-06-03T00:00:00"/>
        <d v="2025-06-26T00:00:00"/>
        <d v="2025-08-14T00:00:00"/>
        <d v="2025-06-27T00:00:00"/>
        <d v="2023-04-06T00:00:00"/>
        <d v="2025-03-25T00:00:00"/>
        <d v="2024-09-23T00:00:00"/>
        <d v="2025-06-24T00:00:00"/>
        <d v="2023-07-16T00:00:00"/>
        <d v="2024-10-13T00:00:00"/>
        <d v="2024-10-03T00:00:00"/>
        <d v="2025-05-07T00:00:00"/>
        <d v="2024-08-27T00:00:00"/>
        <d v="2024-09-04T00:00:00"/>
        <d v="2024-01-02T00:00:00"/>
        <d v="2023-12-07T00:00:00"/>
        <d v="2024-11-04T00:00:00"/>
        <d v="2025-04-16T00:00:00"/>
        <d v="2025-05-16T00:00:00"/>
        <d v="2023-07-18T00:00:00"/>
        <d v="2023-02-27T00:00:00"/>
        <d v="2025-06-19T00:00:00"/>
        <d v="2025-05-19T00:00:00"/>
        <d v="2024-10-08T00:00:00"/>
        <d v="2024-02-18T00:00:00"/>
        <d v="2024-03-03T00:00:00"/>
        <d v="2025-07-20T00:00:00"/>
        <d v="2025-07-23T00:00:00"/>
        <d v="2024-09-13T00:00:00"/>
        <d v="2023-08-29T00:00:00"/>
        <d v="2025-08-30T00:00:00"/>
        <d v="2024-10-14T00:00:00"/>
        <d v="2024-11-20T00:00:00"/>
        <d v="2024-08-28T00:00:00"/>
        <d v="2025-09-08T00:00:00"/>
        <d v="2024-06-23T00:00:00"/>
        <d v="2024-08-08T00:00:00"/>
        <d v="2025-04-27T00:00:00"/>
        <d v="2024-03-31T00:00:00"/>
        <d v="2023-07-10T00:00:00"/>
        <d v="2024-02-20T00:00:00"/>
        <d v="2024-05-26T00:00:00"/>
        <d v="2025-08-02T00:00:00"/>
        <d v="2024-03-09T00:00:00"/>
        <d v="2024-03-10T00:00:00"/>
        <d v="2024-08-31T00:00:00"/>
        <d v="2023-08-24T00:00:00"/>
        <d v="2025-01-04T00:00:00"/>
        <d v="2025-02-06T00:00:00"/>
        <d v="2024-11-30T00:00:00"/>
        <d v="2024-06-28T00:00:00"/>
        <d v="2023-06-23T00:00:00"/>
        <d v="2023-11-19T00:00:00"/>
        <d v="2023-04-19T00:00:00"/>
        <d v="2024-04-05T00:00:00"/>
        <d v="2023-07-26T00:00:00"/>
        <d v="2023-02-28T00:00:00"/>
        <d v="2025-04-06T00:00:00"/>
        <d v="2024-06-06T00:00:00"/>
        <d v="2023-09-20T00:00:00"/>
        <d v="2024-10-25T00:00:00"/>
        <d v="2024-09-22T00:00:00"/>
        <d v="2024-05-17T00:00:00"/>
        <d v="2024-12-29T00:00:00"/>
        <d v="2023-07-30T00:00:00"/>
        <d v="2025-08-28T00:00:00"/>
        <d v="2024-07-28T00:00:00"/>
        <d v="2024-06-10T00:00:00"/>
        <d v="2024-12-07T00:00:00"/>
        <d v="2025-02-09T00:00:00"/>
        <d v="2025-09-15T00:00:00"/>
        <d v="2023-07-24T00:00:00"/>
        <d v="2025-08-01T00:00:00"/>
        <d v="2024-11-17T00:00:00"/>
        <d v="2025-01-21T00:00:00"/>
        <d v="2024-07-11T00:00:00"/>
        <d v="2024-09-19T00:00:00"/>
        <d v="2023-07-19T00:00:00"/>
        <d v="2023-10-22T00:00:00"/>
        <d v="2025-09-10T00:00:00"/>
        <d v="2024-06-09T00:00:00"/>
        <d v="2023-04-12T00:00:00"/>
        <d v="2024-08-21T00:00:00"/>
        <d v="2023-10-18T00:00:00"/>
        <d v="2023-05-23T00:00:00"/>
        <d v="2023-12-21T00:00:00"/>
        <d v="2024-01-28T00:00:00"/>
        <d v="2023-01-29T00:00:00"/>
        <d v="2023-07-14T00:00:00"/>
        <d v="2024-10-22T00:00:00"/>
        <d v="2023-02-15T00:00:00"/>
        <d v="2023-02-23T00:00:00"/>
        <d v="2024-09-09T00:00:00"/>
        <d v="2024-12-10T00:00:00"/>
        <d v="2023-07-05T00:00:00"/>
        <d v="2025-05-10T00:00:00"/>
        <d v="2025-02-04T00:00:00"/>
        <d v="2024-07-29T00:00:00"/>
        <d v="2023-08-15T00:00:00"/>
        <d v="2025-06-01T00:00:00"/>
        <d v="2025-07-11T00:00:00"/>
        <d v="2024-03-13T00:00:00"/>
        <d v="2023-02-07T00:00:00"/>
        <d v="2023-03-02T00:00:00"/>
        <d v="2024-08-12T00:00:00"/>
        <d v="2024-05-05T00:00:00"/>
        <d v="2023-12-30T00:00:00"/>
        <d v="2025-01-29T00:00:00"/>
        <d v="2024-04-29T00:00:00"/>
        <d v="2024-07-24T00:00:00"/>
        <d v="2024-05-01T00:00:00"/>
        <d v="2024-08-14T00:00:00"/>
        <d v="2023-12-16T00:00:00"/>
        <d v="2023-10-21T00:00:00"/>
        <d v="2024-01-01T00:00:00"/>
        <d v="2023-05-24T00:00:00"/>
        <d v="2023-05-20T00:00:00"/>
        <d v="2025-04-17T00:00:00"/>
        <d v="2023-04-16T00:00:00"/>
        <d v="2024-07-09T00:00:00"/>
        <d v="2024-12-20T00:00:00"/>
        <d v="2024-05-28T00:00:00"/>
        <d v="2023-09-30T00:00:00"/>
        <d v="2023-02-20T00:00:00"/>
        <d v="2023-08-10T00:00:00"/>
        <d v="2024-10-23T00:00:00"/>
        <d v="2024-09-25T00:00:00"/>
        <d v="2024-01-20T00:00:00"/>
        <d v="2025-03-21T00:00:00"/>
        <d v="2023-12-19T00:00:00"/>
        <d v="2023-07-03T00:00:00"/>
        <d v="2025-02-21T00:00:00"/>
        <d v="2023-12-05T00:00:00"/>
        <d v="2023-05-17T00:00:00"/>
        <d v="2023-07-07T00:00:00"/>
        <d v="2024-05-18T00:00:00"/>
        <d v="2024-04-12T00:00:00"/>
        <d v="2025-02-16T00:00:00"/>
        <d v="2025-04-07T00:00:00"/>
        <d v="2024-10-04T00:00:00"/>
        <d v="2024-10-29T00:00:00"/>
        <d v="2024-08-18T00:00:00"/>
        <d v="2024-09-07T00:00:00"/>
        <d v="2023-05-11T00:00:00"/>
        <d v="2023-05-29T00:00:00"/>
        <d v="2024-05-07T00:00:00"/>
        <d v="2023-01-19T00:00:00"/>
        <d v="2023-07-08T00:00:00"/>
        <d v="2024-06-02T00:00:00"/>
        <d v="2024-02-03T00:00:00"/>
        <d v="2025-06-09T00:00:00"/>
        <d v="2025-08-13T00:00:00"/>
        <d v="2023-10-05T00:00:00"/>
        <d v="2025-08-26T00:00:00"/>
        <d v="2024-03-07T00:00:00"/>
        <d v="2023-03-03T00:00:00"/>
        <d v="2024-12-12T00:00:00"/>
        <d v="2025-03-15T00:00:00"/>
        <d v="2023-08-19T00:00:00"/>
        <d v="2024-10-02T00:00:00"/>
        <d v="2024-02-01T00:00:00"/>
        <d v="2023-05-27T00:00:00"/>
        <d v="2024-05-20T00:00:00"/>
        <d v="2025-07-21T00:00:00"/>
        <d v="2025-04-12T00:00:00"/>
        <d v="2024-03-15T00:00:00"/>
        <d v="2023-05-05T00:00:00"/>
        <d v="2024-02-08T00:00:00"/>
        <d v="2023-03-04T00:00:00"/>
        <d v="2023-06-15T00:00:00"/>
        <d v="2024-01-11T00:00:00"/>
        <d v="2024-11-05T00:00:00"/>
        <d v="2023-02-05T00:00:00"/>
        <d v="2025-08-10T00:00:00"/>
        <d v="2023-12-02T00:00:00"/>
        <d v="2023-11-14T00:00:00"/>
        <d v="2025-03-23T00:00:00"/>
        <d v="2024-04-09T00:00:00"/>
        <d v="2025-06-15T00:00:00"/>
        <d v="2023-08-25T00:00:00"/>
        <d v="2024-04-24T00:00:00"/>
        <d v="2023-01-22T00:00:00"/>
        <d v="2023-12-29T00:00:00"/>
        <d v="2023-03-19T00:00:00"/>
        <d v="2025-02-15T00:00:00"/>
        <d v="2024-09-10T00:00:00"/>
        <d v="2023-08-27T00:00:00"/>
        <d v="2023-09-08T00:00:00"/>
        <d v="2024-01-13T00:00:00"/>
        <d v="2024-02-27T00:00:00"/>
        <d v="2023-03-13T00:00:00"/>
        <d v="2024-10-24T00:00:00"/>
        <d v="2024-07-18T00:00:00"/>
        <d v="2024-02-29T00:00:00"/>
        <d v="2025-01-10T00:00:00"/>
        <d v="2024-04-19T00:00:00"/>
        <d v="2023-01-13T00:00:00"/>
        <d v="2024-06-30T00:00:00"/>
        <d v="2024-11-06T00:00:00"/>
        <d v="2023-09-14T00:00:00"/>
        <d v="2024-01-18T00:00:00"/>
        <d v="2024-05-04T00:00:00"/>
        <d v="2024-07-15T00:00:00"/>
        <d v="2023-10-12T00:00:00"/>
        <d v="2023-04-18T00:00:00"/>
        <d v="2025-05-27T00:00:00"/>
        <d v="2024-05-22T00:00:00"/>
        <d v="2023-03-14T00:00:00"/>
        <d v="2023-12-18T00:00:00"/>
        <d v="2024-04-06T00:00:00"/>
        <d v="2023-12-22T00:00:00"/>
        <d v="2023-04-22T00:00:00"/>
        <d v="2023-09-25T00:00:00"/>
        <d v="2025-03-31T00:00:00"/>
        <d v="2023-12-01T00:00:00"/>
        <d v="2025-08-25T00:00:00"/>
        <d v="2024-02-25T00:00:00"/>
        <d v="2023-03-06T00:00:00"/>
        <d v="2025-03-14T00:00:00"/>
        <d v="2024-04-04T00:00:00"/>
        <d v="2024-01-08T00:00:00"/>
        <d v="2024-04-18T00:00:00"/>
        <d v="2025-09-14T00:00:00"/>
        <d v="2024-09-06T00:00:00"/>
        <d v="2024-11-01T00:00:00"/>
        <d v="2023-11-29T00:00:00"/>
        <d v="2025-08-07T00:00:00"/>
        <d v="2023-06-05T00:00:00"/>
        <d v="2025-01-22T00:00:00"/>
        <d v="2024-03-23T00:00:00"/>
        <d v="2025-09-02T00:00:00"/>
        <d v="2023-07-21T00:00:00"/>
        <d v="2024-05-23T00:00:00"/>
        <d v="2024-09-14T00:00:00"/>
        <d v="2024-06-11T00:00:00"/>
        <d v="2025-06-17T00:00:00"/>
        <d v="2023-03-25T00:00:00"/>
        <d v="2024-09-02T00:00:00"/>
        <d v="2023-12-03T00:00:00"/>
        <d v="2025-08-03T00:00:00"/>
        <d v="2024-05-21T00:00:00"/>
        <d v="2024-12-21T00:00:00"/>
        <d v="2023-08-17T00:00:00"/>
        <d v="2024-05-27T00:00:00"/>
        <d v="2024-06-04T00:00:00"/>
        <d v="2024-01-21T00:00:00"/>
        <d v="2025-09-12T00:00:00"/>
        <d v="2025-05-17T00:00:00"/>
        <d v="2024-03-16T00:00:00"/>
        <d v="2023-01-12T00:00:00"/>
        <d v="2025-01-31T00:00:00"/>
        <d v="2024-02-11T00:00:00"/>
        <d v="2023-06-22T00:00:00"/>
        <d v="2023-10-31T00:00:00"/>
        <d v="2023-12-06T00:00:00"/>
        <d v="2024-07-13T00:00:00"/>
        <d v="2025-06-14T00:00:00"/>
        <d v="2025-08-05T00:00:00"/>
        <d v="2025-08-20T00:00:00"/>
        <d v="2025-07-19T00:00:00"/>
        <d v="2025-05-29T00:00:00"/>
        <d v="2024-03-18T00:00:00"/>
        <d v="2024-03-11T00:00:00"/>
        <d v="2025-03-11T00:00:00"/>
        <d v="2023-06-14T00:00:00"/>
        <d v="2023-05-14T00:00:00"/>
        <d v="2025-01-03T00:00:00"/>
        <d v="2025-03-10T00:00:00"/>
        <d v="2025-02-25T00:00:00"/>
        <d v="2024-06-15T00:00:00"/>
        <d v="2023-01-10T00:00:00"/>
        <d v="2024-02-16T00:00:00"/>
        <d v="2023-12-24T00:00:00"/>
        <d v="2024-12-14T00:00:00"/>
        <d v="2025-07-24T00:00:00"/>
        <d v="2025-05-15T00:00:00"/>
        <d v="2024-01-16T00:00:00"/>
        <d v="2024-12-15T00:00:00"/>
        <d v="2024-01-25T00:00:00"/>
        <d v="2024-10-19T00:00:00"/>
        <d v="2023-05-06T00:00:00"/>
        <d v="2023-04-03T00:00:00"/>
        <d v="2024-02-17T00:00:00"/>
        <d v="2023-04-21T00:00:00"/>
        <d v="2023-09-21T00:00:00"/>
        <d v="2023-08-12T00:00:00"/>
        <d v="2024-08-07T00:00:00"/>
        <d v="2023-10-30T00:00:00"/>
        <d v="2025-04-11T00:00:00"/>
        <d v="2023-08-08T00:00:00"/>
        <d v="2023-10-25T00:00:00"/>
        <d v="2025-03-24T00:00:00"/>
        <d v="2024-05-19T00:00:00"/>
        <d v="2023-04-13T00:00:00"/>
        <d v="2023-01-30T00:00:00"/>
        <d v="2023-01-27T00:00:00"/>
        <d v="2024-02-06T00:00:00"/>
        <d v="2024-04-16T00:00:00"/>
        <d v="2025-04-28T00:00:00"/>
        <d v="2024-11-12T00:00:00"/>
        <d v="2024-12-23T00:00:00"/>
        <d v="2023-08-04T00:00:00"/>
        <d v="2025-06-22T00:00:00"/>
        <d v="2025-06-05T00:00:00"/>
        <d v="2023-11-10T00:00:00"/>
        <d v="2025-01-20T00:00:00"/>
        <d v="2023-12-20T00:00:00"/>
        <d v="2025-02-12T00:00:00"/>
        <d v="2025-02-02T00:00:00"/>
        <d v="2024-01-10T00:00:00"/>
        <d v="2023-11-30T00:00:00"/>
        <d v="2025-09-01T00:00:00"/>
        <d v="2023-10-11T00:00:00"/>
        <d v="2024-08-19T00:00:00"/>
        <d v="2023-03-07T00:00:00"/>
        <d v="2023-08-23T00:00:00"/>
        <d v="2023-08-03T00:00:00"/>
        <d v="2025-02-19T00:00:00"/>
        <d v="2023-08-30T00:00:00"/>
        <d v="2023-04-05T00:00:00"/>
        <d v="2023-09-17T00:00:00"/>
        <d v="2023-09-18T00:00:00"/>
        <d v="2023-10-07T00:00:00"/>
        <d v="2023-07-02T00:00:00"/>
        <d v="2023-11-28T00:00:00"/>
        <d v="2023-03-27T00:00:00"/>
        <d v="2025-01-07T00:00:00"/>
        <d v="2024-10-11T00:00:00"/>
        <d v="2024-10-27T00:00:00"/>
        <d v="2025-04-09T00:00:00"/>
        <d v="2023-06-03T00:00:00"/>
        <d v="2024-12-08T00:00:00"/>
        <d v="2024-08-15T00:00:00"/>
        <d v="2024-12-05T00:00:00"/>
        <d v="2024-08-22T00:00:00"/>
        <d v="2024-06-19T00:00:00"/>
        <d v="2025-04-24T00:00:00"/>
        <d v="2023-03-31T00:00:00"/>
        <d v="2023-06-09T00:00:00"/>
        <d v="2024-07-31T00:00:00"/>
        <d v="2024-10-30T00:00:00"/>
        <d v="2023-11-15T00:00:00"/>
        <d v="2025-03-30T00:00:00"/>
        <d v="2024-12-24T00:00:00"/>
        <d v="2023-10-04T00:00:00"/>
        <d v="2023-04-10T00:00:00"/>
        <d v="2025-05-14T00:00:00"/>
        <d v="2025-07-22T00:00:00"/>
        <d v="2024-08-30T00:00:00"/>
        <d v="2024-09-05T00:00:00"/>
        <d v="2025-03-29T00:00:00"/>
        <d v="2023-06-01T00:00:00"/>
        <d v="2024-06-08T00:00:00"/>
        <d v="2025-03-06T00:00:00"/>
        <d v="2024-11-21T00:00:00"/>
        <d v="2025-01-13T00:00:00"/>
        <d v="2024-03-04T00:00:00"/>
        <d v="2025-06-25T00:00:00"/>
        <d v="2024-12-17T00:00:00"/>
        <d v="2024-09-03T00:00:00"/>
        <d v="2023-02-11T00:00:00"/>
        <d v="2023-05-18T00:00:00"/>
        <d v="2024-08-04T00:00:00"/>
        <d v="2025-03-08T00:00:00"/>
        <d v="2024-01-12T00:00:00"/>
        <d v="2025-05-02T00:00:00"/>
        <d v="2023-08-26T00:00:00"/>
        <d v="2023-09-19T00:00:00"/>
        <d v="2025-03-03T00:00:00"/>
        <d v="2023-10-15T00:00:00"/>
        <d v="2024-11-11T00:00:00"/>
        <d v="2024-03-02T00:00:00"/>
        <d v="2024-01-24T00:00:00"/>
        <d v="2023-01-02T00:00:00"/>
        <d v="2023-12-26T00:00:00"/>
        <d v="2025-04-04T00:00:00"/>
        <d v="2024-11-25T00:00:00"/>
        <d v="2024-05-12T00:00:00"/>
        <d v="2024-07-19T00:00:00"/>
        <d v="2023-06-24T00:00:00"/>
        <d v="2023-05-04T00:00:00"/>
        <d v="2024-08-03T00:00:00"/>
        <d v="2024-03-30T00:00:00"/>
        <d v="2023-06-10T00:00:00"/>
        <d v="2025-05-18T00:00:00"/>
        <d v="2024-11-08T00:00:00"/>
        <d v="2025-09-11T00:00:00"/>
        <d v="2023-06-17T00:00:00"/>
        <d v="2025-01-09T00:00:00"/>
        <d v="2025-04-13T00:00:00"/>
        <d v="2023-01-26T00:00:00"/>
        <d v="2024-07-12T00:00:00"/>
        <d v="2023-01-07T00:00:00"/>
        <d v="2023-07-25T00:00:00"/>
        <d v="2025-04-01T00:00:00"/>
        <d v="2024-03-06T00:00:00"/>
        <d v="2023-02-21T00:00:00"/>
        <d v="2024-11-27T00:00:00"/>
        <d v="2024-05-30T00:00:00"/>
        <d v="2025-01-11T00:00:00"/>
        <d v="2024-08-10T00:00:00"/>
        <d v="2024-10-09T00:00:00"/>
        <d v="2023-01-21T00:00:00"/>
        <d v="2025-02-07T00:00:00"/>
        <d v="2025-01-17T00:00:00"/>
        <d v="2024-01-27T00:00:00"/>
        <d v="2023-08-21T00:00:00"/>
        <d v="2023-03-17T00:00:00"/>
        <d v="2023-06-13T00:00:00"/>
        <d v="2025-04-10T00:00:00"/>
        <d v="2025-08-06T00:00:00"/>
        <d v="2025-07-27T00:00:00"/>
        <d v="2025-07-14T00:00:00"/>
        <d v="2023-07-09T00:00:00"/>
        <d v="2024-10-16T00:00:00"/>
        <d v="2024-04-21T00:00:00"/>
        <d v="2023-11-20T00:00:00"/>
        <d v="2024-02-14T00:00:00"/>
        <d v="2024-11-07T00:00:00"/>
        <d v="2023-04-11T00:00:00"/>
        <d v="2025-08-11T00:00:00"/>
        <d v="2024-05-10T00:00:00"/>
        <d v="2023-05-01T00:00:00"/>
        <d v="2025-06-03T00:00:00"/>
        <d v="2024-12-04T00:00:00"/>
        <d v="2023-06-29T00:00:00"/>
        <d v="2025-04-22T00:00:00"/>
        <d v="2024-10-17T00:00:00"/>
        <d v="2025-07-09T00:00:00"/>
        <d v="2025-06-21T00:00:00"/>
        <d v="2023-04-26T00:00:00"/>
        <d v="2023-10-26T00:00:00"/>
        <d v="2023-05-03T00:00:00"/>
        <d v="2025-02-28T00:00:00"/>
        <d v="2023-02-24T00:00:00"/>
        <d v="2024-03-26T00:00:00"/>
        <d v="2024-06-29T00:00:00"/>
      </sharedItems>
      <fieldGroup par="39"/>
    </cacheField>
    <cacheField name="RequiredDate" numFmtId="14">
      <sharedItems containsSemiMixedTypes="0" containsNonDate="0" containsDate="1" containsString="0" minDate="2023-01-05T00:00:00" maxDate="2025-10-06T00:00:00"/>
    </cacheField>
    <cacheField name="NewRequiredDate" numFmtId="14">
      <sharedItems containsSemiMixedTypes="0" containsNonDate="0" containsDate="1" containsString="0" minDate="2023-01-05T00:00:00" maxDate="2025-10-06T00:00:00"/>
    </cacheField>
    <cacheField name="LeadTimedays" numFmtId="2">
      <sharedItems containsSemiMixedTypes="0" containsString="0" containsNumber="1" containsInteger="1" minValue="0" maxValue="30"/>
    </cacheField>
    <cacheField name="MetTarget" numFmtId="1">
      <sharedItems containsSemiMixedTypes="0" containsString="0" containsNumber="1" containsInteger="1" minValue="0" maxValue="1"/>
    </cacheField>
    <cacheField name="Month" numFmtId="2">
      <sharedItems count="33">
        <s v="07-2025"/>
        <s v="05-2024"/>
        <s v="04-2025"/>
        <s v="05-2023"/>
        <s v="02-2023"/>
        <s v="11-2024"/>
        <s v="07-2023"/>
        <s v="06-2024"/>
        <s v="03-2024"/>
        <s v="07-2024"/>
        <s v="12-2023"/>
        <s v="12-2024"/>
        <s v="05-2025"/>
        <s v="02-2024"/>
        <s v="08-2025"/>
        <s v="04-2023"/>
        <s v="03-2023"/>
        <s v="01-2025"/>
        <s v="10-2023"/>
        <s v="08-2024"/>
        <s v="10-2024"/>
        <s v="08-2023"/>
        <s v="04-2024"/>
        <s v="01-2023"/>
        <s v="06-2023"/>
        <s v="06-2025"/>
        <s v="03-2025"/>
        <s v="09-2024"/>
        <s v="01-2024"/>
        <s v="09-2025"/>
        <s v="02-2025"/>
        <s v="11-2023"/>
        <s v="09-2023"/>
      </sharedItems>
    </cacheField>
    <cacheField name="Quarters" numFmtId="2">
      <sharedItems/>
    </cacheField>
    <cacheField name="FirstOrderDate" numFmtId="14">
      <sharedItems containsSemiMixedTypes="0" containsNonDate="0" containsDate="1" containsString="0" minDate="2023-01-02T00:00:00" maxDate="2023-03-04T00:00:00"/>
    </cacheField>
    <cacheField name="FirstOrderMonth" numFmtId="2">
      <sharedItems/>
    </cacheField>
    <cacheField name="Region" numFmtId="0">
      <sharedItems count="4">
        <s v="Americas"/>
        <s v="Europe"/>
        <s v="Africa"/>
        <s v="Asia"/>
      </sharedItems>
    </cacheField>
    <cacheField name="Country" numFmtId="0">
      <sharedItems count="12">
        <s v="Canada"/>
        <s v="United Kingdom"/>
        <s v="Nigeria"/>
        <s v="India"/>
        <s v="Germany"/>
        <s v="Kenya"/>
        <s v="USA"/>
        <s v="Japan"/>
        <s v="South Africa"/>
        <s v="Brazil"/>
        <s v="China"/>
        <s v="France"/>
      </sharedItems>
    </cacheField>
    <cacheField name="City" numFmtId="0">
      <sharedItems containsBlank="1"/>
    </cacheField>
    <cacheField name="NewCity" numFmtId="0">
      <sharedItems/>
    </cacheField>
    <cacheField name="CustomerSegment" numFmtId="0">
      <sharedItems/>
    </cacheField>
    <cacheField name="Channel" numFmtId="0">
      <sharedItems containsBlank="1"/>
    </cacheField>
    <cacheField name="NewChannel" numFmtId="0">
      <sharedItems count="5">
        <s v="Online"/>
        <s v="Retail"/>
        <s v="Marketplace"/>
        <s v="Direct"/>
        <s v="Distributor"/>
      </sharedItems>
    </cacheField>
    <cacheField name="Salesperson" numFmtId="0">
      <sharedItems containsBlank="1" count="16">
        <s v="H. Kim"/>
        <s v="B. Chen"/>
        <m/>
        <s v="K. Singh"/>
        <s v="L. Okafor"/>
        <s v="C. Otieno"/>
        <s v="A. Patel"/>
        <s v="M. Rossi"/>
        <s v="O. Wang"/>
        <s v="J. Njeri"/>
        <s v="F. Müller"/>
        <s v="D. Smith"/>
        <s v="G. Dubois"/>
        <s v="I. Johnson"/>
        <s v="N. Brown"/>
        <s v="E. Garcia"/>
      </sharedItems>
    </cacheField>
    <cacheField name="NewSalesperson" numFmtId="0">
      <sharedItems count="15">
        <s v="H. Kim"/>
        <s v="B. Chen"/>
        <s v="A. Patel"/>
        <s v="K. Singh"/>
        <s v="L. Okafor"/>
        <s v="C. Otieno"/>
        <s v="M. Rossi"/>
        <s v="O. Wang"/>
        <s v="J. Njeri"/>
        <s v="F. Müller"/>
        <s v="D. Smith"/>
        <s v="G. Dubois"/>
        <s v="I. Johnson"/>
        <s v="N. Brown"/>
        <s v="E. Garcia"/>
      </sharedItems>
    </cacheField>
    <cacheField name="ProductCategory" numFmtId="0">
      <sharedItems count="7">
        <s v="Components"/>
        <s v="Networking"/>
        <s v="Laptops"/>
        <s v="Monitors"/>
        <s v="Accessories"/>
        <s v="Phones"/>
        <s v="Printers"/>
      </sharedItems>
    </cacheField>
    <cacheField name="PriceBand" numFmtId="0">
      <sharedItems/>
    </cacheField>
    <cacheField name="SKU" numFmtId="0">
      <sharedItems count="630">
        <s v="CMP-8851"/>
        <s v="NET-2365"/>
        <s v="LAP-8910"/>
        <s v="MON-6962"/>
        <s v="MON-2266"/>
        <s v="MON-6699"/>
        <s v="CMP-3938"/>
        <s v="LAP-3904"/>
        <s v="NET-5987"/>
        <s v="NET-5523"/>
        <s v="ACC-6626"/>
        <s v="MON-5188"/>
        <s v="PHN-9677"/>
        <s v="NET-1612"/>
        <s v="PRN-1654"/>
        <s v="LAP-8214"/>
        <s v="CMP-2040"/>
        <s v="LAP-6499"/>
        <s v="CMP-3731"/>
        <s v="NET-5018"/>
        <s v="LAP-1739"/>
        <s v="PRN-6308"/>
        <s v="LAP-8825"/>
        <s v="MON-9662"/>
        <s v="PRN-7019"/>
        <s v="ACC-2988"/>
        <s v="PHN-8368"/>
        <s v="CMP-2096"/>
        <s v="NET-1282"/>
        <s v="LAP-5763"/>
        <s v="PRN-2407"/>
        <s v="CMP-8127"/>
        <s v="NET-4735"/>
        <s v="NET-3850"/>
        <s v="NET-6036"/>
        <s v="NET-3828"/>
        <s v="ACC-9283"/>
        <s v="MON-5386"/>
        <s v="LAP-7523"/>
        <s v="PRN-9490"/>
        <s v="NET-3535"/>
        <s v="PRN-8970"/>
        <s v="ACC-9533"/>
        <s v="PHN-4568"/>
        <s v="LAP-1308"/>
        <s v="LAP-1178"/>
        <s v="CMP-5006"/>
        <s v="PHN-7488"/>
        <s v="PHN-5683"/>
        <s v="MON-9967"/>
        <s v="LAP-4483"/>
        <s v="NET-1893"/>
        <s v="CMP-1940"/>
        <s v="PRN-2293"/>
        <s v="LAP-3490"/>
        <s v="PRN-6131"/>
        <s v="NET-1699"/>
        <s v="NET-5195"/>
        <s v="NET-6370"/>
        <s v="LAP-3385"/>
        <s v="MON-9733"/>
        <s v="PRN-5384"/>
        <s v="PHN-4915"/>
        <s v="ACC-8098"/>
        <s v="PRN-5876"/>
        <s v="PHN-8804"/>
        <s v="PRN-7079"/>
        <s v="LAP-3220"/>
        <s v="NET-5268"/>
        <s v="PRN-4911"/>
        <s v="ACC-4490"/>
        <s v="PHN-1197"/>
        <s v="ACC-7838"/>
        <s v="PHN-6832"/>
        <s v="NET-8957"/>
        <s v="PHN-8776"/>
        <s v="MON-8651"/>
        <s v="PRN-1504"/>
        <s v="NET-9177"/>
        <s v="ACC-5177"/>
        <s v="LAP-4828"/>
        <s v="LAP-8633"/>
        <s v="CMP-8002"/>
        <s v="PHN-6111"/>
        <s v="PRN-4732"/>
        <s v="CMP-1156"/>
        <s v="NET-5482"/>
        <s v="PHN-1919"/>
        <s v="ACC-9162"/>
        <s v="PHN-4677"/>
        <s v="NET-2460"/>
        <s v="NET-2062"/>
        <s v="CMP-6529"/>
        <s v="MON-4373"/>
        <s v="ACC-7078"/>
        <s v="PRN-9624"/>
        <s v="MON-4925"/>
        <s v="LAP-7099"/>
        <s v="NET-6578"/>
        <s v="ACC-1375"/>
        <s v="PRN-3143"/>
        <s v="MON-6341"/>
        <s v="PHN-7974"/>
        <s v="MON-6310"/>
        <s v="NET-1228"/>
        <s v="MON-8688"/>
        <s v="NET-1645"/>
        <s v="LAP-7553"/>
        <s v="NET-4675"/>
        <s v="LAP-9230"/>
        <s v="NET-4491"/>
        <s v="LAP-6989"/>
        <s v="PRN-7089"/>
        <s v="PHN-2859"/>
        <s v="MON-3307"/>
        <s v="PHN-9234"/>
        <s v="PHN-7379"/>
        <s v="PRN-1371"/>
        <s v="ACC-1659"/>
        <s v="PHN-7815"/>
        <s v="PRN-2749"/>
        <s v="MON-7869"/>
        <s v="LAP-9024"/>
        <s v="CMP-6971"/>
        <s v="CMP-6392"/>
        <s v="ACC-1238"/>
        <s v="MON-3043"/>
        <s v="CMP-1559"/>
        <s v="PHN-8891"/>
        <s v="PRN-1271"/>
        <s v="CMP-4792"/>
        <s v="ACC-6223"/>
        <s v="ACC-4631"/>
        <s v="ACC-5334"/>
        <s v="MON-8758"/>
        <s v="LAP-3393"/>
        <s v="PHN-4854"/>
        <s v="MON-1663"/>
        <s v="MON-1018"/>
        <s v="CMP-3093"/>
        <s v="PRN-6791"/>
        <s v="NET-2394"/>
        <s v="CMP-9307"/>
        <s v="MON-4959"/>
        <s v="LAP-3679"/>
        <s v="PRN-2829"/>
        <s v="PHN-2013"/>
        <s v="CMP-4159"/>
        <s v="NET-1145"/>
        <s v="PRN-5753"/>
        <s v="CMP-9001"/>
        <s v="MON-1118"/>
        <s v="CMP-2693"/>
        <s v="MON-2828"/>
        <s v="LAP-7979"/>
        <s v="CMP-3313"/>
        <s v="ACC-6594"/>
        <s v="PHN-1671"/>
        <s v="LAP-5009"/>
        <s v="CMP-3875"/>
        <s v="LAP-9815"/>
        <s v="CMP-6811"/>
        <s v="PHN-2341"/>
        <s v="ACC-9644"/>
        <s v="ACC-8557"/>
        <s v="ACC-3103"/>
        <s v="MON-6882"/>
        <s v="MON-3745"/>
        <s v="CMP-4630"/>
        <s v="PHN-4566"/>
        <s v="ACC-1731"/>
        <s v="ACC-3721"/>
        <s v="PRN-9378"/>
        <s v="PHN-9399"/>
        <s v="PRN-1786"/>
        <s v="LAP-2806"/>
        <s v="MON-9906"/>
        <s v="NET-2894"/>
        <s v="PHN-9789"/>
        <s v="PRN-9557"/>
        <s v="PRN-8392"/>
        <s v="CMP-7055"/>
        <s v="PHN-7274"/>
        <s v="LAP-6342"/>
        <s v="PHN-5887"/>
        <s v="NET-7166"/>
        <s v="PHN-6506"/>
        <s v="PRN-1923"/>
        <s v="LAP-1619"/>
        <s v="ACC-9445"/>
        <s v="MON-4830"/>
        <s v="LAP-4987"/>
        <s v="LAP-8489"/>
        <s v="ACC-5150"/>
        <s v="NET-9716"/>
        <s v="ACC-9038"/>
        <s v="PRN-4893"/>
        <s v="PHN-3077"/>
        <s v="NET-9835"/>
        <s v="NET-3255"/>
        <s v="CMP-8545"/>
        <s v="LAP-9100"/>
        <s v="ACC-3645"/>
        <s v="LAP-1989"/>
        <s v="PHN-6866"/>
        <s v="LAP-5531"/>
        <s v="PHN-3482"/>
        <s v="PHN-9465"/>
        <s v="LAP-3581"/>
        <s v="CMP-4807"/>
        <s v="ACC-4483"/>
        <s v="CMP-7617"/>
        <s v="NET-7349"/>
        <s v="LAP-8347"/>
        <s v="CMP-3259"/>
        <s v="NET-5423"/>
        <s v="PRN-9975"/>
        <s v="PRN-9669"/>
        <s v="CMP-3978"/>
        <s v="PRN-4906"/>
        <s v="ACC-1882"/>
        <s v="PRN-9322"/>
        <s v="CMP-5946"/>
        <s v="ACC-8999"/>
        <s v="NET-3432"/>
        <s v="MON-4361"/>
        <s v="CMP-9392"/>
        <s v="CMP-5911"/>
        <s v="LAP-6160"/>
        <s v="MON-5424"/>
        <s v="PRN-5591"/>
        <s v="PRN-7816"/>
        <s v="CMP-2015"/>
        <s v="PHN-2036"/>
        <s v="PRN-2098"/>
        <s v="MON-9274"/>
        <s v="MON-4278"/>
        <s v="NET-4104"/>
        <s v="PRN-3159"/>
        <s v="PRN-1086"/>
        <s v="MON-5891"/>
        <s v="PHN-3971"/>
        <s v="MON-6190"/>
        <s v="NET-4155"/>
        <s v="PHN-7924"/>
        <s v="ACC-9150"/>
        <s v="ACC-7938"/>
        <s v="ACC-5144"/>
        <s v="PRN-6068"/>
        <s v="PRN-5107"/>
        <s v="ACC-3415"/>
        <s v="LAP-9931"/>
        <s v="LAP-9766"/>
        <s v="CMP-1220"/>
        <s v="LAP-8469"/>
        <s v="CMP-2574"/>
        <s v="NET-3728"/>
        <s v="MON-7622"/>
        <s v="NET-7588"/>
        <s v="LAP-7353"/>
        <s v="PRN-7303"/>
        <s v="PHN-3159"/>
        <s v="LAP-6577"/>
        <s v="ACC-6348"/>
        <s v="PRN-4432"/>
        <s v="PRN-6660"/>
        <s v="ACC-8620"/>
        <s v="MON-6892"/>
        <s v="ACC-2735"/>
        <s v="PHN-8478"/>
        <s v="MON-6065"/>
        <s v="LAP-1482"/>
        <s v="ACC-1249"/>
        <s v="MON-6870"/>
        <s v="CMP-8230"/>
        <s v="NET-6014"/>
        <s v="CMP-8196"/>
        <s v="LAP-4666"/>
        <s v="CMP-1555"/>
        <s v="NET-3689"/>
        <s v="ACC-7713"/>
        <s v="LAP-6750"/>
        <s v="LAP-7136"/>
        <s v="LAP-3604"/>
        <s v="CMP-4970"/>
        <s v="MON-3350"/>
        <s v="MON-2073"/>
        <s v="NET-8430"/>
        <s v="ACC-6543"/>
        <s v="PRN-6585"/>
        <s v="LAP-9932"/>
        <s v="CMP-6898"/>
        <s v="CMP-4531"/>
        <s v="ACC-7354"/>
        <s v="MON-3504"/>
        <s v="MON-4789"/>
        <s v="PRN-2409"/>
        <s v="LAP-1525"/>
        <s v="NET-1336"/>
        <s v="PHN-9184"/>
        <s v="PRN-3690"/>
        <s v="ACC-5422"/>
        <s v="PHN-4346"/>
        <s v="PRN-1276"/>
        <s v="PRN-2301"/>
        <s v="MON-2100"/>
        <s v="LAP-5150"/>
        <s v="PHN-2436"/>
        <s v="PHN-7132"/>
        <s v="LAP-1990"/>
        <s v="MON-9227"/>
        <s v="CMP-7563"/>
        <s v="PHN-4644"/>
        <s v="NET-3785"/>
        <s v="CMP-8101"/>
        <s v="ACC-1604"/>
        <s v="PRN-4788"/>
        <s v="CMP-8390"/>
        <s v="PHN-5675"/>
        <s v="PHN-8072"/>
        <s v="ACC-7240"/>
        <s v="PRN-4097"/>
        <s v="MON-8973"/>
        <s v="MON-2998"/>
        <s v="CMP-5311"/>
        <s v="LAP-9016"/>
        <s v="PRN-8758"/>
        <s v="PRN-1641"/>
        <s v="CMP-5820"/>
        <s v="PHN-5082"/>
        <s v="PHN-3398"/>
        <s v="ACC-2903"/>
        <s v="ACC-4124"/>
        <s v="PRN-8041"/>
        <s v="PHN-8350"/>
        <s v="MON-6287"/>
        <s v="ACC-3961"/>
        <s v="ACC-1075"/>
        <s v="PRN-1060"/>
        <s v="LAP-3905"/>
        <s v="NET-8561"/>
        <s v="NET-5196"/>
        <s v="NET-8856"/>
        <s v="ACC-1028"/>
        <s v="PRN-9787"/>
        <s v="ACC-2761"/>
        <s v="NET-1412"/>
        <s v="MON-7099"/>
        <s v="PRN-5264"/>
        <s v="CMP-8659"/>
        <s v="PRN-9488"/>
        <s v="ACC-3385"/>
        <s v="ACC-3989"/>
        <s v="PHN-7019"/>
        <s v="PRN-9249"/>
        <s v="NET-6269"/>
        <s v="NET-2502"/>
        <s v="PRN-6490"/>
        <s v="PHN-1044"/>
        <s v="PRN-4453"/>
        <s v="PRN-6520"/>
        <s v="LAP-4551"/>
        <s v="ACC-2364"/>
        <s v="NET-4228"/>
        <s v="CMP-6919"/>
        <s v="LAP-2774"/>
        <s v="LAP-1946"/>
        <s v="CMP-3720"/>
        <s v="PHN-3800"/>
        <s v="NET-7966"/>
        <s v="PHN-6480"/>
        <s v="PRN-8850"/>
        <s v="MON-4195"/>
        <s v="NET-1846"/>
        <s v="NET-9569"/>
        <s v="MON-8129"/>
        <s v="MON-2465"/>
        <s v="PHN-6131"/>
        <s v="ACC-4815"/>
        <s v="PHN-1717"/>
        <s v="CMP-7371"/>
        <s v="CMP-5211"/>
        <s v="CMP-6352"/>
        <s v="NET-7924"/>
        <s v="LAP-2378"/>
        <s v="CMP-3743"/>
        <s v="CMP-4093"/>
        <s v="NET-9003"/>
        <s v="MON-7511"/>
        <s v="MON-5517"/>
        <s v="MON-2296"/>
        <s v="ACC-2867"/>
        <s v="NET-8329"/>
        <s v="ACC-8683"/>
        <s v="MON-4271"/>
        <s v="LAP-7056"/>
        <s v="MON-6053"/>
        <s v="ACC-7906"/>
        <s v="NET-3460"/>
        <s v="LAP-9782"/>
        <s v="MON-2462"/>
        <s v="PRN-2641"/>
        <s v="NET-1966"/>
        <s v="LAP-5078"/>
        <s v="PHN-8057"/>
        <s v="NET-9125"/>
        <s v="PHN-5445"/>
        <s v="CMP-5065"/>
        <s v="PHN-5316"/>
        <s v="ACC-2902"/>
        <s v="PRN-6178"/>
        <s v="MON-5086"/>
        <s v="ACC-5260"/>
        <s v="CMP-8658"/>
        <s v="NET-6533"/>
        <s v="MON-1572"/>
        <s v="MON-5179"/>
        <s v="ACC-9591"/>
        <s v="PRN-6776"/>
        <s v="LAP-4899"/>
        <s v="ACC-1663"/>
        <s v="ACC-3567"/>
        <s v="ACC-1596"/>
        <s v="NET-4554"/>
        <s v="PRN-9793"/>
        <s v="PRN-7049"/>
        <s v="PHN-9107"/>
        <s v="CMP-5825"/>
        <s v="ACC-1492"/>
        <s v="CMP-8604"/>
        <s v="MON-5749"/>
        <s v="ACC-3951"/>
        <s v="NET-8761"/>
        <s v="PHN-7636"/>
        <s v="PRN-2542"/>
        <s v="MON-1436"/>
        <s v="ACC-3068"/>
        <s v="MON-5259"/>
        <s v="LAP-1698"/>
        <s v="LAP-4932"/>
        <s v="PRN-3014"/>
        <s v="PHN-3014"/>
        <s v="PRN-1725"/>
        <s v="CMP-1009"/>
        <s v="MON-7602"/>
        <s v="CMP-9498"/>
        <s v="ACC-3833"/>
        <s v="CMP-7256"/>
        <s v="PHN-2447"/>
        <s v="MON-2993"/>
        <s v="CMP-5435"/>
        <s v="PRN-4506"/>
        <s v="NET-7901"/>
        <s v="PRN-5666"/>
        <s v="MON-8939"/>
        <s v="CMP-2410"/>
        <s v="LAP-4517"/>
        <s v="CMP-8141"/>
        <s v="CMP-1223"/>
        <s v="ACC-8094"/>
        <s v="CMP-2335"/>
        <s v="MON-2849"/>
        <s v="ACC-2386"/>
        <s v="PRN-4892"/>
        <s v="LAP-4607"/>
        <s v="PHN-2787"/>
        <s v="LAP-7819"/>
        <s v="MON-9194"/>
        <s v="MON-1564"/>
        <s v="CMP-4610"/>
        <s v="ACC-1060"/>
        <s v="MON-7106"/>
        <s v="NET-9832"/>
        <s v="ACC-5079"/>
        <s v="PHN-6954"/>
        <s v="PRN-5067"/>
        <s v="PRN-2991"/>
        <s v="CMP-2865"/>
        <s v="NET-1804"/>
        <s v="LAP-7009"/>
        <s v="MON-5249"/>
        <s v="LAP-9901"/>
        <s v="PHN-4556"/>
        <s v="PHN-1924"/>
        <s v="PHN-5938"/>
        <s v="PHN-2462"/>
        <s v="MON-3773"/>
        <s v="MON-1389"/>
        <s v="CMP-3693"/>
        <s v="MON-7943"/>
        <s v="CMP-8270"/>
        <s v="PHN-3854"/>
        <s v="MON-1593"/>
        <s v="MON-8422"/>
        <s v="PHN-5383"/>
        <s v="ACC-5780"/>
        <s v="PRN-3917"/>
        <s v="ACC-8242"/>
        <s v="CMP-5208"/>
        <s v="MON-8867"/>
        <s v="LAP-8119"/>
        <s v="PRN-8604"/>
        <s v="ACC-4587"/>
        <s v="ACC-2252"/>
        <s v="PRN-3775"/>
        <s v="CMP-7063"/>
        <s v="PRN-5005"/>
        <s v="PRN-8137"/>
        <s v="ACC-4056"/>
        <s v="PRN-9867"/>
        <s v="PRN-4983"/>
        <s v="MON-7626"/>
        <s v="PHN-8014"/>
        <s v="NET-2932"/>
        <s v="PRN-7976"/>
        <s v="LAP-5689"/>
        <s v="CMP-8675"/>
        <s v="LAP-8555"/>
        <s v="PRN-8175"/>
        <s v="LAP-2942"/>
        <s v="PRN-7410"/>
        <s v="PRN-8657"/>
        <s v="ACC-7047"/>
        <s v="PRN-6911"/>
        <s v="PRN-5813"/>
        <s v="PHN-6854"/>
        <s v="PHN-6818"/>
        <s v="NET-5941"/>
        <s v="LAP-3565"/>
        <s v="PHN-1784"/>
        <s v="LAP-1969"/>
        <s v="LAP-2846"/>
        <s v="PHN-2337"/>
        <s v="NET-3749"/>
        <s v="NET-2628"/>
        <s v="LAP-3278"/>
        <s v="PRN-6536"/>
        <s v="CMP-3223"/>
        <s v="PHN-2875"/>
        <s v="CMP-6495"/>
        <s v="NET-8787"/>
        <s v="MON-4326"/>
        <s v="NET-9575"/>
        <s v="PRN-4787"/>
        <s v="ACC-8178"/>
        <s v="MON-9319"/>
        <s v="PHN-4741"/>
        <s v="MON-8629"/>
        <s v="PRN-1141"/>
        <s v="NET-2499"/>
        <s v="PRN-5569"/>
        <s v="ACC-7671"/>
        <s v="PHN-4356"/>
        <s v="MON-8697"/>
        <s v="PHN-6307"/>
        <s v="PRN-1183"/>
        <s v="LAP-3779"/>
        <s v="NET-2439"/>
        <s v="CMP-5138"/>
        <s v="NET-8610"/>
        <s v="CMP-1072"/>
        <s v="MON-2537"/>
        <s v="PHN-1670"/>
        <s v="PRN-1882"/>
        <s v="ACC-4511"/>
        <s v="CMP-1470"/>
        <s v="CMP-2136"/>
        <s v="PHN-8483"/>
        <s v="PRN-3785"/>
        <s v="NET-7998"/>
        <s v="PRN-8008"/>
        <s v="NET-5270"/>
        <s v="MON-4317"/>
        <s v="CMP-5658"/>
        <s v="MON-7207"/>
        <s v="MON-7868"/>
        <s v="PRN-4170"/>
        <s v="CMP-6649"/>
        <s v="NET-6387"/>
        <s v="CMP-2854"/>
        <s v="MON-5276"/>
        <s v="ACC-2990"/>
        <s v="NET-3033"/>
        <s v="ACC-1021"/>
        <s v="PRN-9960"/>
        <s v="NET-1816"/>
        <s v="PRN-8763"/>
        <s v="NET-6218"/>
        <s v="ACC-4766"/>
        <s v="ACC-3349"/>
        <s v="LAP-1066"/>
        <s v="ACC-5206"/>
        <s v="ACC-3551"/>
        <s v="NET-1166"/>
        <s v="CMP-5633"/>
        <s v="CMP-6346"/>
        <s v="MON-4215"/>
        <s v="PHN-4395"/>
        <s v="PRN-6429"/>
        <s v="PRN-5492"/>
        <s v="PRN-5815"/>
        <s v="CMP-9801"/>
        <s v="PRN-6276"/>
        <s v="PHN-1234"/>
        <s v="CMP-6925"/>
        <s v="MON-2990"/>
        <s v="PHN-3007"/>
        <s v="MON-2842"/>
        <s v="MON-4330"/>
        <s v="LAP-2218"/>
        <s v="PHN-3819"/>
        <s v="ACC-9820"/>
        <s v="MON-9216"/>
        <s v="MON-3371"/>
        <s v="PHN-8970"/>
        <s v="CMP-4945"/>
        <s v="LAP-7320"/>
        <s v="PHN-5366"/>
        <s v="CMP-9264"/>
        <s v="NET-9666"/>
        <s v="ACC-1770"/>
        <s v="LAP-3017"/>
        <s v="NET-9989"/>
        <s v="MON-1822"/>
        <s v="PHN-7852"/>
        <s v="CMP-1632"/>
        <s v="PHN-3803"/>
        <s v="MON-5444"/>
        <s v="NET-4241"/>
        <s v="ACC-6777" u="1"/>
      </sharedItems>
    </cacheField>
    <cacheField name="SKUcategory" numFmtId="0">
      <sharedItems count="3">
        <s v="A"/>
        <s v="B"/>
        <s v="C"/>
      </sharedItems>
    </cacheField>
    <cacheField name="UnitCost" numFmtId="2">
      <sharedItems containsSemiMixedTypes="0" containsString="0" containsNumber="1" minValue="5.34" maxValue="1495.79"/>
    </cacheField>
    <cacheField name="UnitPrice" numFmtId="2">
      <sharedItems containsSemiMixedTypes="0" containsString="0" containsNumber="1" minValue="-33.659999999999997" maxValue="3661.07"/>
    </cacheField>
    <cacheField name="NewUnitPrice" numFmtId="2">
      <sharedItems containsSemiMixedTypes="0" containsString="0" containsNumber="1" minValue="4.22" maxValue="3661.07"/>
    </cacheField>
    <cacheField name="DiscountPct" numFmtId="10">
      <sharedItems containsSemiMixedTypes="0" containsString="0" containsNumber="1" minValue="0" maxValue="0.56499999999999995"/>
    </cacheField>
    <cacheField name="NewDiscountPct" numFmtId="10">
      <sharedItems containsSemiMixedTypes="0" containsString="0" containsNumber="1" minValue="0" maxValue="0.3"/>
    </cacheField>
    <cacheField name="HighestDscnt" numFmtId="10">
      <sharedItems count="2">
        <s v="Low"/>
        <s v="High"/>
      </sharedItems>
    </cacheField>
    <cacheField name="Quantity" numFmtId="2">
      <sharedItems containsSemiMixedTypes="0" containsString="0" containsNumber="1" containsInteger="1" minValue="2" maxValue="61"/>
    </cacheField>
    <cacheField name="GrossRevenue" numFmtId="2">
      <sharedItems containsSemiMixedTypes="0" containsString="0" containsNumber="1" minValue="34.689059999999998" maxValue="139277.83032000001"/>
    </cacheField>
    <cacheField name="CostOfGoods" numFmtId="0">
      <sharedItems containsSemiMixedTypes="0" containsString="0" containsNumber="1" minValue="48.24" maxValue="83258.290000000008"/>
    </cacheField>
    <cacheField name="GrossProfit" numFmtId="2">
      <sharedItems containsSemiMixedTypes="0" containsString="0" containsNumber="1" minValue="0.36755999999999744" maxValue="68355.013999999996"/>
    </cacheField>
    <cacheField name="MarginPct" numFmtId="2">
      <sharedItems containsSemiMixedTypes="0" containsString="0" containsNumber="1" minValue="1.7545694604582242E-3" maxValue="250.39750756449047"/>
    </cacheField>
    <cacheField name="C.Rev" numFmtId="0">
      <sharedItems containsSemiMixedTypes="0" containsString="0" containsNumber="1" minValue="139277.82999999999" maxValue="10945749.252790002"/>
    </cacheField>
    <cacheField name="C.Pct" numFmtId="10">
      <sharedItems containsSemiMixedTypes="0" containsString="0" containsNumber="1" minValue="1.2724354390450722E-2" maxValue="0.99999829521691419"/>
    </cacheField>
    <cacheField name="Months (NewOrderDate)" numFmtId="0" databaseField="0">
      <fieldGroup base="2">
        <rangePr groupBy="months" startDate="2023-01-02T00:00:00" endDate="2025-09-16T00:00:00"/>
        <groupItems count="14">
          <s v="&lt;02/01/2023"/>
          <s v="Jan"/>
          <s v="Feb"/>
          <s v="Mar"/>
          <s v="Apr"/>
          <s v="May"/>
          <s v="Jun"/>
          <s v="Jul"/>
          <s v="Aug"/>
          <s v="Sep"/>
          <s v="Oct"/>
          <s v="Nov"/>
          <s v="Dec"/>
          <s v="&gt;16/09/2025"/>
        </groupItems>
      </fieldGroup>
    </cacheField>
    <cacheField name="Quarters (NewOrderDate)" numFmtId="0" databaseField="0">
      <fieldGroup base="2">
        <rangePr groupBy="quarters" startDate="2023-01-02T00:00:00" endDate="2025-09-16T00:00:00"/>
        <groupItems count="6">
          <s v="&lt;02/01/2023"/>
          <s v="Qtr1"/>
          <s v="Qtr2"/>
          <s v="Qtr3"/>
          <s v="Qtr4"/>
          <s v="&gt;16/09/2025"/>
        </groupItems>
      </fieldGroup>
    </cacheField>
    <cacheField name="Years (NewOrderDate)" numFmtId="0" databaseField="0">
      <fieldGroup base="2">
        <rangePr groupBy="years" startDate="2023-01-02T00:00:00" endDate="2025-09-16T00:00:00"/>
        <groupItems count="5">
          <s v="&lt;02/01/2023"/>
          <s v="2023"/>
          <s v="2024"/>
          <s v="2025"/>
          <s v="&gt;16/09/2025"/>
        </groupItems>
      </fieldGroup>
    </cacheField>
  </cacheFields>
  <extLst>
    <ext xmlns:x14="http://schemas.microsoft.com/office/spreadsheetml/2009/9/main" uri="{725AE2AE-9491-48be-B2B4-4EB974FC3084}">
      <x14:pivotCacheDefinition pivotCacheId="195790886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dhiambo Sungurah" refreshedDate="46190.7107412037" createdVersion="8" refreshedVersion="8" minRefreshableVersion="3" recordCount="632" xr:uid="{47F4026F-2FB6-424F-8752-19A8E3B3A6D3}">
  <cacheSource type="worksheet">
    <worksheetSource ref="A1:AK633" sheet="Data"/>
  </cacheSource>
  <cacheFields count="37">
    <cacheField name="OrderID" numFmtId="0">
      <sharedItems/>
    </cacheField>
    <cacheField name="OrderDate" numFmtId="14">
      <sharedItems containsSemiMixedTypes="0" containsNonDate="0" containsDate="1" containsString="0" minDate="2023-01-02T00:00:00" maxDate="2025-09-16T00:00:00"/>
    </cacheField>
    <cacheField name="NewOrderDate" numFmtId="14">
      <sharedItems containsSemiMixedTypes="0" containsNonDate="0" containsDate="1" containsString="0" minDate="2023-01-02T00:00:00" maxDate="2025-09-16T00:00:00"/>
    </cacheField>
    <cacheField name="RequiredDate" numFmtId="14">
      <sharedItems containsSemiMixedTypes="0" containsNonDate="0" containsDate="1" containsString="0" minDate="2023-01-05T00:00:00" maxDate="2025-10-06T00:00:00"/>
    </cacheField>
    <cacheField name="NewRequiredDate" numFmtId="14">
      <sharedItems containsSemiMixedTypes="0" containsNonDate="0" containsDate="1" containsString="0" minDate="2023-01-05T00:00:00" maxDate="2025-10-06T00:00:00"/>
    </cacheField>
    <cacheField name="LeadTimedays" numFmtId="2">
      <sharedItems containsSemiMixedTypes="0" containsString="0" containsNumber="1" containsInteger="1" minValue="0" maxValue="30"/>
    </cacheField>
    <cacheField name="MetTarget" numFmtId="1">
      <sharedItems containsSemiMixedTypes="0" containsString="0" containsNumber="1" containsInteger="1" minValue="0" maxValue="1"/>
    </cacheField>
    <cacheField name="Month" numFmtId="2">
      <sharedItems/>
    </cacheField>
    <cacheField name="Quarters" numFmtId="2">
      <sharedItems/>
    </cacheField>
    <cacheField name="FirstOrderDate" numFmtId="14">
      <sharedItems containsSemiMixedTypes="0" containsNonDate="0" containsDate="1" containsString="0" minDate="2023-01-02T00:00:00" maxDate="2023-03-04T00:00:00"/>
    </cacheField>
    <cacheField name="FirstOrderMonth" numFmtId="2">
      <sharedItems/>
    </cacheField>
    <cacheField name="Region" numFmtId="0">
      <sharedItems count="4">
        <s v="Americas"/>
        <s v="Europe"/>
        <s v="Africa"/>
        <s v="Asia"/>
      </sharedItems>
    </cacheField>
    <cacheField name="Country" numFmtId="0">
      <sharedItems count="12">
        <s v="Canada"/>
        <s v="United Kingdom"/>
        <s v="Nigeria"/>
        <s v="India"/>
        <s v="Germany"/>
        <s v="Kenya"/>
        <s v="USA"/>
        <s v="Japan"/>
        <s v="South Africa"/>
        <s v="Brazil"/>
        <s v="China"/>
        <s v="France"/>
      </sharedItems>
    </cacheField>
    <cacheField name="City" numFmtId="0">
      <sharedItems containsBlank="1"/>
    </cacheField>
    <cacheField name="NewCity" numFmtId="0">
      <sharedItems/>
    </cacheField>
    <cacheField name="CustomerSegment" numFmtId="0">
      <sharedItems/>
    </cacheField>
    <cacheField name="Channel" numFmtId="0">
      <sharedItems containsBlank="1"/>
    </cacheField>
    <cacheField name="NewChannel" numFmtId="0">
      <sharedItems/>
    </cacheField>
    <cacheField name="Salesperson" numFmtId="0">
      <sharedItems containsBlank="1"/>
    </cacheField>
    <cacheField name="NewSalesperson" numFmtId="0">
      <sharedItems count="15">
        <s v="H. Kim"/>
        <s v="B. Chen"/>
        <s v="A. Patel"/>
        <s v="K. Singh"/>
        <s v="L. Okafor"/>
        <s v="C. Otieno"/>
        <s v="M. Rossi"/>
        <s v="O. Wang"/>
        <s v="J. Njeri"/>
        <s v="F. Müller"/>
        <s v="D. Smith"/>
        <s v="G. Dubois"/>
        <s v="I. Johnson"/>
        <s v="N. Brown"/>
        <s v="E. Garcia"/>
      </sharedItems>
    </cacheField>
    <cacheField name="ProductCategory" numFmtId="0">
      <sharedItems count="7">
        <s v="Components"/>
        <s v="Networking"/>
        <s v="Laptops"/>
        <s v="Monitors"/>
        <s v="Accessories"/>
        <s v="Phones"/>
        <s v="Printers"/>
      </sharedItems>
    </cacheField>
    <cacheField name="PriceBand" numFmtId="0">
      <sharedItems/>
    </cacheField>
    <cacheField name="SKU" numFmtId="0">
      <sharedItems/>
    </cacheField>
    <cacheField name="SKUcategory" numFmtId="0">
      <sharedItems/>
    </cacheField>
    <cacheField name="UnitCost" numFmtId="2">
      <sharedItems containsSemiMixedTypes="0" containsString="0" containsNumber="1" minValue="5.34" maxValue="1495.79"/>
    </cacheField>
    <cacheField name="UnitPrice" numFmtId="2">
      <sharedItems containsSemiMixedTypes="0" containsString="0" containsNumber="1" minValue="-33.659999999999997" maxValue="3661.07"/>
    </cacheField>
    <cacheField name="NewUnitPrice" numFmtId="2">
      <sharedItems containsSemiMixedTypes="0" containsString="0" containsNumber="1" minValue="4.22" maxValue="3661.07"/>
    </cacheField>
    <cacheField name="DiscountPct" numFmtId="10">
      <sharedItems containsSemiMixedTypes="0" containsString="0" containsNumber="1" minValue="0" maxValue="0.56499999999999995"/>
    </cacheField>
    <cacheField name="NewDiscountPct" numFmtId="10">
      <sharedItems containsSemiMixedTypes="0" containsString="0" containsNumber="1" minValue="0" maxValue="0.3"/>
    </cacheField>
    <cacheField name="HighestDscnt" numFmtId="1">
      <sharedItems containsSemiMixedTypes="0" containsString="0" containsNumber="1" containsInteger="1" minValue="0" maxValue="1"/>
    </cacheField>
    <cacheField name="Quantity" numFmtId="2">
      <sharedItems containsSemiMixedTypes="0" containsString="0" containsNumber="1" containsInteger="1" minValue="2" maxValue="61"/>
    </cacheField>
    <cacheField name="GrossRevenue" numFmtId="2">
      <sharedItems containsSemiMixedTypes="0" containsString="0" containsNumber="1" minValue="18.659839999999999" maxValue="139277.83032000001"/>
    </cacheField>
    <cacheField name="CostOfGoods" numFmtId="0">
      <sharedItems containsSemiMixedTypes="0" containsString="0" containsNumber="1" minValue="22" maxValue="83258.290000000008"/>
    </cacheField>
    <cacheField name="GrossProfit" numFmtId="2">
      <sharedItems containsSemiMixedTypes="0" containsString="0" containsNumber="1" minValue="0.36755999999999744" maxValue="68355.013999999996"/>
    </cacheField>
    <cacheField name="MarginPct" numFmtId="2">
      <sharedItems containsSemiMixedTypes="0" containsString="0" containsNumber="1" minValue="1.7545694604582242E-3" maxValue="250.39750756449047"/>
    </cacheField>
    <cacheField name="C.Rev" numFmtId="0">
      <sharedItems containsSemiMixedTypes="0" containsString="0" containsNumber="1" minValue="139277.82999999999" maxValue="10945767.912630003"/>
    </cacheField>
    <cacheField name="C.Pct" numFmtId="10">
      <sharedItems containsSemiMixedTypes="0" containsString="0" containsNumber="1" minValue="1.2724354390450722E-2" maxValue="0.9999999999707650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dhiambo Sungurah" refreshedDate="46192.637957754632" createdVersion="8" refreshedVersion="8" minRefreshableVersion="3" recordCount="632" xr:uid="{7EC9FDD2-99D0-42A7-AF94-9CCC87C87F48}">
  <cacheSource type="worksheet">
    <worksheetSource name="Table1"/>
  </cacheSource>
  <cacheFields count="41">
    <cacheField name="OrderID" numFmtId="0">
      <sharedItems/>
    </cacheField>
    <cacheField name="OrderDate" numFmtId="14">
      <sharedItems containsSemiMixedTypes="0" containsNonDate="0" containsDate="1" containsString="0" minDate="2023-01-02T00:00:00" maxDate="2025-09-16T00:00:00"/>
    </cacheField>
    <cacheField name="NewOrderDate" numFmtId="14">
      <sharedItems containsSemiMixedTypes="0" containsNonDate="0" containsDate="1" containsString="0" minDate="2023-01-02T00:00:00" maxDate="2025-09-16T00:00:00"/>
    </cacheField>
    <cacheField name="RequiredDate" numFmtId="14">
      <sharedItems containsSemiMixedTypes="0" containsNonDate="0" containsDate="1" containsString="0" minDate="2023-01-05T00:00:00" maxDate="2025-10-06T00:00:00"/>
    </cacheField>
    <cacheField name="NewRequiredDate"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MetTarget" numFmtId="1">
      <sharedItems containsSemiMixedTypes="0" containsString="0" containsNumber="1" containsInteger="1" minValue="0" maxValue="1"/>
    </cacheField>
    <cacheField name="Month" numFmtId="2">
      <sharedItems/>
    </cacheField>
    <cacheField name="Quarters" numFmtId="2">
      <sharedItems/>
    </cacheField>
    <cacheField name="FirstOrderDate" numFmtId="14">
      <sharedItems containsSemiMixedTypes="0" containsNonDate="0" containsDate="1" containsString="0" minDate="2023-01-02T00:00:00" maxDate="2023-03-04T00:00:00"/>
    </cacheField>
    <cacheField name="FirstOrderMonth" numFmtId="2">
      <sharedItems/>
    </cacheField>
    <cacheField name="Region" numFmtId="0">
      <sharedItems/>
    </cacheField>
    <cacheField name="Country" numFmtId="0">
      <sharedItems/>
    </cacheField>
    <cacheField name="City" numFmtId="0">
      <sharedItems containsBlank="1"/>
    </cacheField>
    <cacheField name="NewCity" numFmtId="0">
      <sharedItems/>
    </cacheField>
    <cacheField name="CustomerSegment" numFmtId="0">
      <sharedItems/>
    </cacheField>
    <cacheField name="Channel" numFmtId="0">
      <sharedItems containsBlank="1"/>
    </cacheField>
    <cacheField name="NewChannel" numFmtId="0">
      <sharedItems/>
    </cacheField>
    <cacheField name="Salesperson" numFmtId="0">
      <sharedItems containsBlank="1"/>
    </cacheField>
    <cacheField name="NewSalesperson" numFmtId="0">
      <sharedItems/>
    </cacheField>
    <cacheField name="ProductCategory" numFmtId="0">
      <sharedItems count="7">
        <s v="Components"/>
        <s v="Accessories"/>
        <s v="Monitors"/>
        <s v="Laptops"/>
        <s v="Networking"/>
        <s v="Printers"/>
        <s v="Phones"/>
      </sharedItems>
    </cacheField>
    <cacheField name="PriceBand" numFmtId="0">
      <sharedItems/>
    </cacheField>
    <cacheField name="SKU" numFmtId="0">
      <sharedItems/>
    </cacheField>
    <cacheField name="SKUcategory" numFmtId="0">
      <sharedItems/>
    </cacheField>
    <cacheField name="UnitCost" numFmtId="2">
      <sharedItems containsSemiMixedTypes="0" containsString="0" containsNumber="1" minValue="5.34" maxValue="1495.79"/>
    </cacheField>
    <cacheField name="UnitPrice" numFmtId="2">
      <sharedItems containsSemiMixedTypes="0" containsString="0" containsNumber="1" minValue="-33.659999999999997" maxValue="3661.07"/>
    </cacheField>
    <cacheField name="NewUnitPrice" numFmtId="2">
      <sharedItems containsSemiMixedTypes="0" containsString="0" containsNumber="1" minValue="4.22" maxValue="3661.07"/>
    </cacheField>
    <cacheField name="DiscountPct" numFmtId="10">
      <sharedItems containsSemiMixedTypes="0" containsString="0" containsNumber="1" minValue="0" maxValue="0.56499999999999995"/>
    </cacheField>
    <cacheField name="NewDiscountPct" numFmtId="10">
      <sharedItems containsSemiMixedTypes="0" containsString="0" containsNumber="1" minValue="0" maxValue="0.3"/>
    </cacheField>
    <cacheField name="HighestDscnt" numFmtId="1">
      <sharedItems containsSemiMixedTypes="0" containsString="0" containsNumber="1" containsInteger="1" minValue="0" maxValue="1"/>
    </cacheField>
    <cacheField name="Quantity" numFmtId="1">
      <sharedItems containsSemiMixedTypes="0" containsString="0" containsNumber="1" containsInteger="1" minValue="2" maxValue="61"/>
    </cacheField>
    <cacheField name="GrossRevenue" numFmtId="2">
      <sharedItems containsSemiMixedTypes="0" containsString="0" containsNumber="1" minValue="18.659839999999999" maxValue="139277.83032000001"/>
    </cacheField>
    <cacheField name="CostOfGoods" numFmtId="0">
      <sharedItems containsSemiMixedTypes="0" containsString="0" containsNumber="1" minValue="22" maxValue="83258.290000000008"/>
    </cacheField>
    <cacheField name="GrossProfit" numFmtId="2">
      <sharedItems containsSemiMixedTypes="0" containsString="0" containsNumber="1" minValue="0.36755999999999744" maxValue="68355.013999999996"/>
    </cacheField>
    <cacheField name="MarginPct" numFmtId="2">
      <sharedItems containsSemiMixedTypes="0" containsString="0" containsNumber="1" minValue="1.7545694604582242E-3" maxValue="250.39750756449047"/>
    </cacheField>
    <cacheField name="C.Rev" numFmtId="0">
      <sharedItems containsSemiMixedTypes="0" containsString="0" containsNumber="1" minValue="139277.82999999999" maxValue="10945767.912630012"/>
    </cacheField>
    <cacheField name="C.Pct" numFmtId="10">
      <sharedItems containsSemiMixedTypes="0" containsString="0" containsNumber="1" minValue="1.2724354390450708E-2" maxValue="0.99999999997076494"/>
    </cacheField>
    <cacheField name="ScenarioDiscount" numFmtId="9">
      <sharedItems containsSemiMixedTypes="0" containsString="0" containsNumber="1" minValue="0" maxValue="0.2"/>
    </cacheField>
    <cacheField name="ScenarioQuantity" numFmtId="0">
      <sharedItems containsSemiMixedTypes="0" containsString="0" containsNumber="1" minValue="2.6" maxValue="79.3"/>
    </cacheField>
    <cacheField name="ScenarioUnitCost" numFmtId="0">
      <sharedItems containsSemiMixedTypes="0" containsString="0" containsNumber="1" minValue="5.8740000000000006" maxValue="1645.3690000000001"/>
    </cacheField>
    <cacheField name="ScenarioRevenue" numFmtId="0">
      <sharedItems containsSemiMixedTypes="0" containsString="0" containsNumber="1" minValue="24.627200000000002" maxValue="181061.17941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
  <r>
    <s v="ORD-2025-132174"/>
    <d v="2025-07-17T00:00:00"/>
    <d v="2025-07-17T00:00:00"/>
    <d v="2025-07-23T00:00:00"/>
    <d v="2025-07-23T00:00:00"/>
    <n v="6"/>
    <s v="Met"/>
    <s v="07-2025"/>
    <s v="Q3-2025"/>
    <d v="2023-01-02T00:00:00"/>
    <x v="0"/>
    <s v="Americas"/>
    <x v="0"/>
    <s v="Vancouver"/>
    <s v="Vancouver"/>
    <s v="Consumer"/>
    <s v="Online"/>
    <s v="Online"/>
    <s v="H. Kim"/>
    <s v="H. Kim"/>
    <s v="Components"/>
    <s v="High"/>
    <s v="CMP-8851"/>
    <s v="A"/>
    <n v="1364.89"/>
    <n v="2757.54"/>
    <n v="2757.54"/>
    <n v="0.17199999999999999"/>
    <n v="0.17199999999999999"/>
    <s v="Low"/>
    <n v="61"/>
    <n v="139277.83032000001"/>
    <n v="83258.290000000008"/>
    <n v="56019.54032"/>
    <n v="0.4022143379983118"/>
  </r>
  <r>
    <s v="ORD-2024-548345"/>
    <d v="2024-05-14T00:00:00"/>
    <d v="2024-05-14T00:00:00"/>
    <d v="2024-05-28T00:00:00"/>
    <d v="2024-05-28T00:00:00"/>
    <n v="14"/>
    <s v="Not Met"/>
    <s v="05-2024"/>
    <s v="Q2-2024"/>
    <d v="2023-01-19T00:00:00"/>
    <x v="0"/>
    <s v="Europe"/>
    <x v="1"/>
    <s v="Birmingham"/>
    <s v="Birmingham"/>
    <s v="Consumer"/>
    <s v="Retail"/>
    <s v="Retail"/>
    <s v="B. Chen"/>
    <s v="B. Chen"/>
    <s v="Networking"/>
    <s v="High"/>
    <s v="NET-2365"/>
    <s v="A"/>
    <n v="1421.14"/>
    <n v="3524"/>
    <n v="3524"/>
    <n v="0"/>
    <n v="0"/>
    <s v="Low"/>
    <n v="31"/>
    <n v="109244"/>
    <n v="44055.340000000004"/>
    <n v="65188.659999999996"/>
    <n v="0.59672531214528945"/>
  </r>
  <r>
    <s v="ORD-2025-650841"/>
    <d v="2025-07-03T00:00:00"/>
    <d v="2025-07-03T00:00:00"/>
    <d v="2025-07-06T00:00:00"/>
    <d v="2025-07-06T00:00:00"/>
    <n v="3"/>
    <s v="Met"/>
    <s v="07-2025"/>
    <s v="Q3-2025"/>
    <d v="2023-01-13T00:00:00"/>
    <x v="0"/>
    <s v="Africa"/>
    <x v="2"/>
    <s v="Lagos"/>
    <s v="Lagos"/>
    <s v="Consumer"/>
    <s v="Online"/>
    <s v="Online"/>
    <m/>
    <s v="A. Patel"/>
    <s v="Laptops"/>
    <s v="High"/>
    <s v="LAP-8910"/>
    <s v="A"/>
    <n v="1313.3"/>
    <n v="2884.34"/>
    <n v="2884.34"/>
    <n v="0.157"/>
    <n v="0.157"/>
    <s v="Low"/>
    <n v="42"/>
    <n v="102122.94203999999"/>
    <n v="55158.6"/>
    <n v="46964.342039999996"/>
    <n v="0.45988042551305253"/>
  </r>
  <r>
    <s v="ORD-2025-845715"/>
    <d v="2025-04-14T00:00:00"/>
    <d v="2025-04-14T00:00:00"/>
    <d v="2025-05-04T00:00:00"/>
    <d v="2025-05-04T00:00:00"/>
    <n v="20"/>
    <s v="Not Met"/>
    <s v="04-2025"/>
    <s v="Q2-2025"/>
    <d v="2023-01-19T00:00:00"/>
    <x v="0"/>
    <s v="Europe"/>
    <x v="1"/>
    <s v="Birmingham"/>
    <s v="Birmingham"/>
    <s v="Enterprise"/>
    <s v="Marketplace"/>
    <s v="Marketplace"/>
    <s v="K. Singh"/>
    <s v="K. Singh"/>
    <s v="Monitors"/>
    <s v="High"/>
    <s v="MON-6962"/>
    <s v="A"/>
    <n v="1413.87"/>
    <n v="3275"/>
    <n v="3275"/>
    <n v="0.255"/>
    <n v="0.255"/>
    <s v="High"/>
    <n v="38"/>
    <n v="92715.25"/>
    <n v="53727.06"/>
    <n v="38988.19"/>
    <n v="0.42051539525590453"/>
  </r>
  <r>
    <s v="ORD-2023-906481"/>
    <d v="2023-05-02T00:00:00"/>
    <d v="2023-05-02T00:00:00"/>
    <d v="2023-05-18T00:00:00"/>
    <d v="2023-05-18T00:00:00"/>
    <n v="16"/>
    <s v="Not Met"/>
    <s v="05-2023"/>
    <s v="Q2-2023"/>
    <d v="2023-01-29T00:00:00"/>
    <x v="0"/>
    <s v="Asia"/>
    <x v="3"/>
    <s v="Delhi"/>
    <s v="Delhi"/>
    <s v="Small Business"/>
    <s v="Marketplace"/>
    <s v="Marketplace"/>
    <s v="K. Singh"/>
    <s v="K. Singh"/>
    <s v="Monitors"/>
    <s v="High"/>
    <s v="MON-2266"/>
    <s v="A"/>
    <n v="1463.92"/>
    <n v="2252.2399999999998"/>
    <n v="2252.2399999999998"/>
    <n v="0.11799999999999999"/>
    <n v="0.11799999999999999"/>
    <s v="Low"/>
    <n v="44"/>
    <n v="87404.929919999995"/>
    <n v="64412.480000000003"/>
    <n v="22992.449919999992"/>
    <n v="0.26305667130040061"/>
  </r>
  <r>
    <s v="ORD-2023-884625"/>
    <d v="2023-02-19T00:00:00"/>
    <d v="2023-02-19T00:00:00"/>
    <d v="2023-03-12T00:00:00"/>
    <d v="2023-03-12T00:00:00"/>
    <n v="21"/>
    <s v="Not Met"/>
    <s v="02-2023"/>
    <s v="Q1-2023"/>
    <d v="2023-01-21T00:00:00"/>
    <x v="0"/>
    <s v="Europe"/>
    <x v="4"/>
    <s v="Berlin"/>
    <s v="Berlin"/>
    <s v="Small Business"/>
    <s v="Direct"/>
    <s v="Direct"/>
    <s v="L. Okafor"/>
    <s v="L. Okafor"/>
    <s v="Monitors"/>
    <s v="High"/>
    <s v="MON-6699"/>
    <s v="A"/>
    <n v="1234.81"/>
    <n v="2055.2399999999998"/>
    <n v="2055.2399999999998"/>
    <n v="5.2999999999999999E-2"/>
    <n v="5.2999999999999999E-2"/>
    <s v="Low"/>
    <n v="44"/>
    <n v="85637.740319999997"/>
    <n v="54331.64"/>
    <n v="31306.100319999998"/>
    <n v="0.36556429680441616"/>
  </r>
  <r>
    <s v="ORD-2024-508213"/>
    <d v="2024-11-22T00:00:00"/>
    <d v="2024-11-22T00:00:00"/>
    <d v="2024-12-15T00:00:00"/>
    <d v="2024-12-15T00:00:00"/>
    <n v="23"/>
    <s v="Not Met"/>
    <s v="11-2024"/>
    <s v="Q4-2024"/>
    <d v="2023-01-20T00:00:00"/>
    <x v="0"/>
    <s v="Africa"/>
    <x v="5"/>
    <s v="Mombasa"/>
    <s v="Mombasa"/>
    <s v="Non-Profit"/>
    <s v="Distributor"/>
    <s v="Distributor"/>
    <s v="C. Otieno"/>
    <s v="C. Otieno"/>
    <s v="Components"/>
    <s v="High"/>
    <s v="CMP-3938"/>
    <s v="A"/>
    <n v="1335.76"/>
    <n v="2665.91"/>
    <n v="2665.91"/>
    <n v="0.21099999999999999"/>
    <n v="0.21099999999999999"/>
    <s v="High"/>
    <n v="40"/>
    <n v="84136.119600000005"/>
    <n v="53430.400000000001"/>
    <n v="30705.719600000004"/>
    <n v="0.36495288522909253"/>
  </r>
  <r>
    <s v="ORD-2023-159821"/>
    <d v="2023-07-01T00:00:00"/>
    <d v="2023-07-01T00:00:00"/>
    <d v="2023-07-08T00:00:00"/>
    <d v="2023-07-08T00:00:00"/>
    <n v="7"/>
    <s v="Met"/>
    <s v="07-2023"/>
    <s v="Q3-2023"/>
    <d v="2023-01-13T00:00:00"/>
    <x v="0"/>
    <s v="Africa"/>
    <x v="2"/>
    <s v="Port Harcourt"/>
    <s v="Port Harcourt"/>
    <s v="Corporate"/>
    <s v="Retail"/>
    <s v="Retail"/>
    <s v="A. Patel"/>
    <s v="A. Patel"/>
    <s v="Laptops"/>
    <s v="High"/>
    <s v="LAP-3904"/>
    <s v="A"/>
    <n v="834.26"/>
    <n v="1780.56"/>
    <n v="1780.56"/>
    <n v="1.4E-2"/>
    <n v="1.4E-2"/>
    <s v="Low"/>
    <n v="47"/>
    <n v="82514.711519999997"/>
    <n v="39210.22"/>
    <n v="43304.491519999996"/>
    <n v="0.5248093427497933"/>
  </r>
  <r>
    <s v="ORD-2024-341535"/>
    <d v="2024-06-25T00:00:00"/>
    <d v="2024-06-25T00:00:00"/>
    <d v="2024-06-30T00:00:00"/>
    <d v="2024-06-30T00:00:00"/>
    <n v="5"/>
    <s v="Met"/>
    <s v="06-2024"/>
    <s v="Q2-2024"/>
    <d v="2023-01-20T00:00:00"/>
    <x v="0"/>
    <s v="Africa"/>
    <x v="5"/>
    <s v="Kisumu"/>
    <s v="Kisumu"/>
    <s v="Education"/>
    <s v="Direct"/>
    <s v="Direct"/>
    <s v="M. Rossi"/>
    <s v="M. Rossi"/>
    <s v="Networking"/>
    <s v="High"/>
    <s v="NET-5987"/>
    <s v="A"/>
    <n v="1323.55"/>
    <n v="3230.35"/>
    <n v="3230.35"/>
    <n v="2.1999999999999999E-2"/>
    <n v="2.1999999999999999E-2"/>
    <s v="Low"/>
    <n v="26"/>
    <n v="82141.339799999987"/>
    <n v="34412.299999999996"/>
    <n v="47729.039799999991"/>
    <n v="0.58105991351263542"/>
  </r>
  <r>
    <s v="ORD-2024-948800"/>
    <d v="2024-03-27T00:00:00"/>
    <d v="2024-03-27T00:00:00"/>
    <d v="2024-04-11T00:00:00"/>
    <d v="2024-04-11T00:00:00"/>
    <n v="15"/>
    <s v="Not Met"/>
    <s v="03-2024"/>
    <s v="Q1-2024"/>
    <d v="2023-01-13T00:00:00"/>
    <x v="0"/>
    <s v="Americas"/>
    <x v="6"/>
    <s v="San Francisco"/>
    <s v="San Francisco"/>
    <s v="Small Business"/>
    <s v="Direct"/>
    <s v="Direct"/>
    <s v="O. Wang"/>
    <s v="O. Wang"/>
    <s v="Networking"/>
    <s v="High"/>
    <s v="NET-5523"/>
    <s v="A"/>
    <n v="1338.35"/>
    <n v="2247.14"/>
    <n v="2247.14"/>
    <n v="0.115"/>
    <n v="0.115"/>
    <s v="Low"/>
    <n v="40"/>
    <n v="79548.755999999994"/>
    <n v="53534"/>
    <n v="26014.755999999994"/>
    <n v="0.32702907384246205"/>
  </r>
  <r>
    <s v="ORD-2024-901115"/>
    <d v="2024-07-25T00:00:00"/>
    <d v="2024-07-25T00:00:00"/>
    <d v="2024-08-02T00:00:00"/>
    <d v="2024-08-02T00:00:00"/>
    <n v="8"/>
    <s v="Not Met"/>
    <s v="07-2024"/>
    <s v="Q3-2024"/>
    <d v="2023-01-02T00:00:00"/>
    <x v="0"/>
    <s v="Americas"/>
    <x v="0"/>
    <s v="Montreal"/>
    <s v="Montreal"/>
    <s v="Consumer"/>
    <s v="Direct"/>
    <s v="Direct"/>
    <s v="J. Njeri"/>
    <s v="J. Njeri"/>
    <s v="Accessories"/>
    <s v="High"/>
    <s v="ACC-6626"/>
    <s v="A"/>
    <n v="986.81"/>
    <n v="2050.31"/>
    <n v="2050.31"/>
    <n v="0.10299999999999999"/>
    <n v="0.10299999999999999"/>
    <s v="Low"/>
    <n v="43"/>
    <n v="79082.507010000001"/>
    <n v="42432.829999999994"/>
    <n v="36649.677010000007"/>
    <n v="0.46343595310358138"/>
  </r>
  <r>
    <s v="ORD-2024-247979"/>
    <d v="2024-11-02T00:00:00"/>
    <d v="2024-11-02T00:00:00"/>
    <d v="2024-11-18T00:00:00"/>
    <d v="2024-11-18T00:00:00"/>
    <n v="16"/>
    <s v="Not Met"/>
    <s v="11-2024"/>
    <s v="Q4-2024"/>
    <d v="2023-01-29T00:00:00"/>
    <x v="0"/>
    <s v="Asia"/>
    <x v="3"/>
    <s v="Mumbai"/>
    <s v="Mumbai"/>
    <s v="Small Business"/>
    <s v="Distributor"/>
    <s v="Distributor"/>
    <s v="O. Wang"/>
    <s v="O. Wang"/>
    <s v="Monitors"/>
    <s v="High"/>
    <s v="MON-5188"/>
    <s v="A"/>
    <n v="1233.58"/>
    <n v="1912.51"/>
    <n v="1912.51"/>
    <n v="0.255"/>
    <n v="0.255"/>
    <s v="High"/>
    <n v="51"/>
    <n v="72665.817450000002"/>
    <n v="62912.579999999994"/>
    <n v="9753.2374500000078"/>
    <n v="0.134220432553601"/>
  </r>
  <r>
    <s v="ORD-2024-572312"/>
    <d v="2024-06-16T00:00:00"/>
    <d v="2024-06-16T00:00:00"/>
    <d v="2024-06-21T00:00:00"/>
    <d v="2024-06-21T00:00:00"/>
    <n v="5"/>
    <s v="Met"/>
    <s v="06-2024"/>
    <s v="Q2-2024"/>
    <d v="2023-03-03T00:00:00"/>
    <x v="1"/>
    <s v="Asia"/>
    <x v="7"/>
    <s v="Tokyo"/>
    <s v="Tokyo"/>
    <s v="Small Business"/>
    <s v="Distributor"/>
    <s v="Distributor"/>
    <s v="F. Müller"/>
    <s v="F. Müller"/>
    <s v="Phones"/>
    <s v="High"/>
    <s v="PHN-9677"/>
    <s v="A"/>
    <n v="1367.13"/>
    <n v="3062.01"/>
    <n v="3062.01"/>
    <n v="0.10299999999999999"/>
    <n v="0.10299999999999999"/>
    <s v="Low"/>
    <n v="25"/>
    <n v="68665.574250000005"/>
    <n v="34178.25"/>
    <n v="34487.324250000005"/>
    <n v="0.50225057645971705"/>
  </r>
  <r>
    <s v="ORD-2025-678688"/>
    <d v="2025-07-16T00:00:00"/>
    <d v="2025-07-16T00:00:00"/>
    <d v="2025-07-17T00:00:00"/>
    <d v="2025-07-17T00:00:00"/>
    <n v="1"/>
    <s v="Met"/>
    <s v="07-2025"/>
    <s v="Q3-2025"/>
    <d v="2023-01-07T00:00:00"/>
    <x v="0"/>
    <s v="Africa"/>
    <x v="8"/>
    <s v="Durban"/>
    <s v="Durban"/>
    <s v="Small Business"/>
    <s v="Distributor"/>
    <s v="Distributor"/>
    <s v="B. Chen"/>
    <s v="B. Chen"/>
    <s v="Networking"/>
    <s v="High"/>
    <s v="NET-1612"/>
    <s v="A"/>
    <n v="1198.9000000000001"/>
    <n v="2941.2"/>
    <n v="2941.2"/>
    <n v="5.0999999999999997E-2"/>
    <n v="5.0999999999999997E-2"/>
    <s v="Low"/>
    <n v="24"/>
    <n v="66988.771199999988"/>
    <n v="28773.600000000002"/>
    <n v="38215.171199999982"/>
    <n v="0.57047129713583977"/>
  </r>
  <r>
    <s v="ORD-2023-974506"/>
    <d v="2023-12-28T00:00:00"/>
    <d v="2023-12-28T00:00:00"/>
    <d v="2024-01-01T00:00:00"/>
    <d v="2024-01-01T00:00:00"/>
    <n v="4"/>
    <s v="Met"/>
    <s v="12-2023"/>
    <s v="Q4-2023"/>
    <d v="2023-01-07T00:00:00"/>
    <x v="0"/>
    <s v="Africa"/>
    <x v="8"/>
    <s v="Cape Town"/>
    <s v="Cape Town"/>
    <s v="Education"/>
    <s v="Distributor"/>
    <s v="Distributor"/>
    <s v="A. Patel"/>
    <s v="A. Patel"/>
    <s v="Printers"/>
    <s v="High"/>
    <s v="PRN-1654"/>
    <s v="A"/>
    <n v="1141.8"/>
    <n v="2318.7399999999998"/>
    <n v="2318.7399999999998"/>
    <n v="0.107"/>
    <n v="0.107"/>
    <s v="Low"/>
    <n v="32"/>
    <n v="66260.314239999992"/>
    <n v="36537.599999999999"/>
    <n v="29722.714239999994"/>
    <n v="0.44857490612468304"/>
  </r>
  <r>
    <s v="ORD-2024-474999"/>
    <d v="2024-12-27T00:00:00"/>
    <d v="2024-12-27T00:00:00"/>
    <d v="2025-01-02T00:00:00"/>
    <d v="2025-01-02T00:00:00"/>
    <n v="6"/>
    <s v="Met"/>
    <s v="12-2024"/>
    <s v="Q4-2024"/>
    <d v="2023-01-21T00:00:00"/>
    <x v="0"/>
    <s v="Europe"/>
    <x v="4"/>
    <s v="Frankfurt"/>
    <s v="Frankfurt"/>
    <s v="Education"/>
    <s v="Direct"/>
    <s v="Direct"/>
    <s v="F. Müller"/>
    <s v="F. Müller"/>
    <s v="Laptops"/>
    <s v="High"/>
    <s v="LAP-8214"/>
    <s v="A"/>
    <n v="1391.99"/>
    <n v="3469.7"/>
    <n v="3469.7"/>
    <n v="0.184"/>
    <n v="0.184"/>
    <s v="Low"/>
    <n v="23"/>
    <n v="65119.329599999997"/>
    <n v="32015.77"/>
    <n v="33103.559599999993"/>
    <n v="0.50835227886006973"/>
  </r>
  <r>
    <s v="ORD-2024-584090"/>
    <d v="2024-06-07T00:00:00"/>
    <d v="2024-06-07T00:00:00"/>
    <d v="2024-06-26T00:00:00"/>
    <d v="2024-06-26T00:00:00"/>
    <n v="19"/>
    <s v="Not Met"/>
    <s v="06-2024"/>
    <s v="Q2-2024"/>
    <d v="2023-01-21T00:00:00"/>
    <x v="0"/>
    <s v="Europe"/>
    <x v="4"/>
    <s v="Berlin"/>
    <s v="Berlin"/>
    <s v="Non-Profit"/>
    <s v="Marketplace"/>
    <s v="Marketplace"/>
    <s v="M. Rossi"/>
    <s v="M. Rossi"/>
    <s v="Components"/>
    <s v="High"/>
    <s v="CMP-2040"/>
    <s v="A"/>
    <n v="1064.32"/>
    <n v="1848.39"/>
    <n v="1848.39"/>
    <n v="7.2999999999999995E-2"/>
    <n v="7.2999999999999995E-2"/>
    <s v="Low"/>
    <n v="38"/>
    <n v="65111.38614000001"/>
    <n v="40444.159999999996"/>
    <n v="24667.226140000013"/>
    <n v="0.3788465827921631"/>
  </r>
  <r>
    <s v="ORD-2023-472050"/>
    <d v="2023-05-10T00:00:00"/>
    <d v="2023-05-10T00:00:00"/>
    <d v="2023-05-27T00:00:00"/>
    <d v="2023-05-27T00:00:00"/>
    <n v="17"/>
    <s v="Not Met"/>
    <s v="05-2023"/>
    <s v="Q2-2023"/>
    <d v="2023-01-29T00:00:00"/>
    <x v="0"/>
    <s v="Asia"/>
    <x v="3"/>
    <s v="Mumbai"/>
    <s v="Mumbai"/>
    <s v="Consumer"/>
    <s v="Retail"/>
    <s v="Retail"/>
    <s v="M. Rossi"/>
    <s v="M. Rossi"/>
    <s v="Laptops"/>
    <s v="High"/>
    <s v="LAP-6499"/>
    <s v="A"/>
    <n v="1286.1600000000001"/>
    <n v="3101.11"/>
    <n v="3101.11"/>
    <n v="0.1"/>
    <n v="0.1"/>
    <s v="Low"/>
    <n v="23"/>
    <n v="64192.976999999999"/>
    <n v="29581.68"/>
    <n v="34611.296999999999"/>
    <n v="0.53917575749758417"/>
  </r>
  <r>
    <s v="ORD-2025-997421"/>
    <d v="2025-05-21T00:00:00"/>
    <d v="2025-05-21T00:00:00"/>
    <d v="2025-06-09T00:00:00"/>
    <d v="2025-06-09T00:00:00"/>
    <n v="19"/>
    <s v="Not Met"/>
    <s v="05-2025"/>
    <s v="Q2-2025"/>
    <d v="2023-01-29T00:00:00"/>
    <x v="0"/>
    <s v="Americas"/>
    <x v="9"/>
    <s v="São Paulo"/>
    <s v="São Paulo"/>
    <s v="Non-Profit"/>
    <s v="Online"/>
    <s v="Online"/>
    <s v="A. Patel"/>
    <s v="A. Patel"/>
    <s v="Components"/>
    <s v="High"/>
    <s v="CMP-3731"/>
    <s v="A"/>
    <n v="1331.38"/>
    <n v="2309.56"/>
    <n v="2309.56"/>
    <n v="0.14899999999999999"/>
    <n v="0.14899999999999999"/>
    <s v="Low"/>
    <n v="31"/>
    <n v="60928.502359999999"/>
    <n v="41272.780000000006"/>
    <n v="19655.722359999992"/>
    <n v="0.32260307735553528"/>
  </r>
  <r>
    <s v="ORD-2023-159379"/>
    <d v="2023-02-08T00:00:00"/>
    <d v="2023-02-08T00:00:00"/>
    <d v="2023-02-11T00:00:00"/>
    <d v="2023-02-11T00:00:00"/>
    <n v="3"/>
    <s v="Met"/>
    <s v="02-2023"/>
    <s v="Q1-2023"/>
    <d v="2023-01-07T00:00:00"/>
    <x v="0"/>
    <s v="Africa"/>
    <x v="8"/>
    <s v="Cape Town"/>
    <s v="Cape Town"/>
    <s v="Corporate"/>
    <s v="Direct"/>
    <s v="Direct"/>
    <s v="M. Rossi"/>
    <s v="M. Rossi"/>
    <s v="Networking"/>
    <s v="High"/>
    <s v="NET-5018"/>
    <s v="A"/>
    <n v="1410.05"/>
    <n v="2763.95"/>
    <n v="2763.95"/>
    <n v="0.161"/>
    <n v="0.161"/>
    <s v="Low"/>
    <n v="26"/>
    <n v="60292.805299999993"/>
    <n v="36661.299999999996"/>
    <n v="23631.505299999997"/>
    <n v="0.39194569206750779"/>
  </r>
  <r>
    <s v="ORD-2024-713332"/>
    <d v="2024-06-05T00:00:00"/>
    <d v="2024-06-05T00:00:00"/>
    <d v="2024-06-23T00:00:00"/>
    <d v="2024-06-23T00:00:00"/>
    <n v="18"/>
    <s v="Not Met"/>
    <s v="06-2024"/>
    <s v="Q2-2024"/>
    <d v="2023-01-20T00:00:00"/>
    <x v="0"/>
    <s v="Africa"/>
    <x v="5"/>
    <s v="Nairobi"/>
    <s v="Nairobi"/>
    <s v="Consumer"/>
    <s v="Distributor"/>
    <s v="Distributor"/>
    <s v="D. Smith"/>
    <s v="D. Smith"/>
    <s v="Laptops"/>
    <s v="Medium"/>
    <s v="LAP-1739"/>
    <s v="A"/>
    <n v="1208.74"/>
    <n v="1594.78"/>
    <n v="1594.78"/>
    <n v="5.8999999999999997E-2"/>
    <n v="5.8999999999999997E-2"/>
    <s v="Low"/>
    <n v="39"/>
    <n v="58526.83122"/>
    <n v="47140.86"/>
    <n v="11385.971219999999"/>
    <n v="0.1945427589817838"/>
  </r>
  <r>
    <s v="ORD-2024-468655"/>
    <d v="2024-02-19T00:00:00"/>
    <d v="2024-02-19T00:00:00"/>
    <d v="2024-03-06T00:00:00"/>
    <d v="2024-03-06T00:00:00"/>
    <n v="16"/>
    <s v="Not Met"/>
    <s v="02-2024"/>
    <s v="Q1-2024"/>
    <d v="2023-01-12T00:00:00"/>
    <x v="0"/>
    <s v="Asia"/>
    <x v="10"/>
    <s v="Beijing"/>
    <s v="Beijing"/>
    <s v="Education"/>
    <s v="Marketplace"/>
    <s v="Marketplace"/>
    <s v="O. Wang"/>
    <s v="O. Wang"/>
    <s v="Printers"/>
    <s v="High"/>
    <s v="PRN-6308"/>
    <s v="A"/>
    <n v="1477.84"/>
    <n v="3197.47"/>
    <n v="3197.47"/>
    <n v="0.24299999999999999"/>
    <n v="0.24299999999999999"/>
    <s v="High"/>
    <n v="24"/>
    <n v="58091.634960000003"/>
    <n v="35468.159999999996"/>
    <n v="22623.474960000007"/>
    <n v="0.38944462443823091"/>
  </r>
  <r>
    <s v="ORD-2024-651852"/>
    <d v="2024-12-28T00:00:00"/>
    <d v="2024-12-28T00:00:00"/>
    <d v="2025-01-08T00:00:00"/>
    <d v="2025-01-08T00:00:00"/>
    <n v="11"/>
    <s v="Not Met"/>
    <s v="12-2024"/>
    <s v="Q4-2024"/>
    <d v="2023-01-12T00:00:00"/>
    <x v="0"/>
    <s v="Asia"/>
    <x v="10"/>
    <s v="Shenzhen"/>
    <s v="Shenzhen"/>
    <s v="Enterprise"/>
    <s v="Online"/>
    <s v="Online"/>
    <s v="K. Singh"/>
    <s v="K. Singh"/>
    <s v="Laptops"/>
    <s v="High"/>
    <s v="LAP-8825"/>
    <s v="A"/>
    <n v="1201.31"/>
    <n v="2764.65"/>
    <n v="2764.65"/>
    <n v="0"/>
    <n v="0"/>
    <s v="Low"/>
    <n v="21"/>
    <n v="58057.65"/>
    <n v="25227.51"/>
    <n v="32830.14"/>
    <n v="0.56547483406579491"/>
  </r>
  <r>
    <s v="ORD-2025-677880"/>
    <d v="2025-08-21T00:00:00"/>
    <d v="2025-08-21T00:00:00"/>
    <d v="2025-09-14T00:00:00"/>
    <d v="2025-09-14T00:00:00"/>
    <n v="24"/>
    <s v="Not Met"/>
    <s v="08-2025"/>
    <s v="Q3-2025"/>
    <d v="2023-01-21T00:00:00"/>
    <x v="0"/>
    <s v="Europe"/>
    <x v="4"/>
    <s v="Berlin"/>
    <s v="Berlin"/>
    <s v="Non-Profit"/>
    <s v="Online"/>
    <s v="Online"/>
    <s v="A. Patel"/>
    <s v="A. Patel"/>
    <s v="Monitors"/>
    <s v="High"/>
    <s v="MON-9662"/>
    <s v="A"/>
    <n v="1397.67"/>
    <n v="3131.37"/>
    <n v="3131.37"/>
    <n v="0.10299999999999999"/>
    <n v="0.10299999999999999"/>
    <s v="Low"/>
    <n v="20"/>
    <n v="56176.777799999996"/>
    <n v="27953.4"/>
    <n v="28223.377799999995"/>
    <n v="0.50240293062874808"/>
  </r>
  <r>
    <s v="ORD-2023-701153"/>
    <d v="2023-04-14T00:00:00"/>
    <d v="2023-04-14T00:00:00"/>
    <d v="2023-05-13T00:00:00"/>
    <d v="2023-05-13T00:00:00"/>
    <n v="29"/>
    <s v="Not Met"/>
    <s v="04-2023"/>
    <s v="Q2-2023"/>
    <d v="2023-01-21T00:00:00"/>
    <x v="0"/>
    <s v="Europe"/>
    <x v="4"/>
    <s v="Frankfurt"/>
    <s v="Frankfurt"/>
    <s v="Consumer"/>
    <s v="Direct"/>
    <s v="Direct"/>
    <s v="J. Njeri"/>
    <s v="J. Njeri"/>
    <s v="Printers"/>
    <s v="High"/>
    <s v="PRN-7019"/>
    <s v="A"/>
    <n v="1320.33"/>
    <n v="2645.23"/>
    <n v="2645.23"/>
    <n v="0.155"/>
    <n v="0.155"/>
    <s v="Low"/>
    <n v="25"/>
    <n v="55880.483749999999"/>
    <n v="33008.25"/>
    <n v="22872.233749999999"/>
    <n v="0.40930629470436536"/>
  </r>
  <r>
    <s v="ORD-2023-835010"/>
    <d v="2023-03-23T00:00:00"/>
    <d v="2023-03-23T00:00:00"/>
    <d v="2023-04-15T00:00:00"/>
    <d v="2023-04-15T00:00:00"/>
    <n v="23"/>
    <s v="Not Met"/>
    <s v="03-2023"/>
    <s v="Q1-2023"/>
    <d v="2023-01-20T00:00:00"/>
    <x v="0"/>
    <s v="Africa"/>
    <x v="5"/>
    <s v="Mombasa"/>
    <s v="Mombasa"/>
    <s v="Small Business"/>
    <s v="Retail"/>
    <s v="Retail"/>
    <s v="C. Otieno"/>
    <s v="C. Otieno"/>
    <s v="Accessories"/>
    <s v="Medium"/>
    <s v="ACC-2988"/>
    <s v="A"/>
    <n v="875.36"/>
    <n v="1178.6199999999999"/>
    <n v="1178.6199999999999"/>
    <n v="0.151"/>
    <n v="0.151"/>
    <s v="Low"/>
    <n v="53"/>
    <n v="53034.364139999991"/>
    <n v="46394.080000000002"/>
    <n v="6640.2841399999888"/>
    <n v="0.12520719815685888"/>
  </r>
  <r>
    <s v="ORD-2025-328504"/>
    <d v="2025-01-27T00:00:00"/>
    <d v="2025-01-27T00:00:00"/>
    <d v="2025-02-15T00:00:00"/>
    <d v="2025-02-15T00:00:00"/>
    <n v="19"/>
    <s v="Not Met"/>
    <s v="01-2025"/>
    <s v="Q1-2025"/>
    <d v="2023-01-12T00:00:00"/>
    <x v="0"/>
    <s v="Asia"/>
    <x v="10"/>
    <s v="Shenzhen"/>
    <s v="Shenzhen"/>
    <s v="Non-Profit"/>
    <s v="Direct"/>
    <s v="Direct"/>
    <s v="L. Okafor"/>
    <s v="L. Okafor"/>
    <s v="Phones"/>
    <s v="High"/>
    <s v="PHN-8368"/>
    <s v="A"/>
    <n v="1253.22"/>
    <n v="3104.71"/>
    <n v="3104.71"/>
    <n v="0"/>
    <n v="0"/>
    <s v="Low"/>
    <n v="17"/>
    <n v="52780.07"/>
    <n v="21304.74"/>
    <n v="31475.329999999998"/>
    <n v="0.59634877331538205"/>
  </r>
  <r>
    <s v="ORD-2023-368449"/>
    <d v="2023-10-09T00:00:00"/>
    <d v="2023-10-09T00:00:00"/>
    <d v="2023-10-26T00:00:00"/>
    <d v="2023-10-26T00:00:00"/>
    <n v="17"/>
    <s v="Not Met"/>
    <s v="10-2023"/>
    <s v="Q4-2023"/>
    <d v="2023-01-12T00:00:00"/>
    <x v="0"/>
    <s v="Asia"/>
    <x v="10"/>
    <s v="Shanghai"/>
    <s v="Shanghai"/>
    <s v="Consumer"/>
    <s v="Marketplace"/>
    <s v="Marketplace"/>
    <s v="C. Otieno"/>
    <s v="C. Otieno"/>
    <s v="Components"/>
    <s v="High"/>
    <s v="CMP-2096"/>
    <s v="A"/>
    <n v="1132.03"/>
    <n v="2137.21"/>
    <n v="2137.21"/>
    <n v="0.35699999999999998"/>
    <n v="0.3"/>
    <s v="High"/>
    <n v="35"/>
    <n v="52361.645000000004"/>
    <n v="39621.049999999996"/>
    <n v="12740.595000000008"/>
    <n v="0.24331922727026639"/>
  </r>
  <r>
    <s v="ORD-2023-619493"/>
    <d v="2023-02-27T00:00:00"/>
    <d v="2023-02-26T00:00:00"/>
    <d v="2023-02-26T00:00:00"/>
    <d v="2023-02-27T00:00:00"/>
    <n v="1"/>
    <s v="Met"/>
    <s v="02-2023"/>
    <s v="Q1-2023"/>
    <d v="2023-01-13T00:00:00"/>
    <x v="0"/>
    <s v="Americas"/>
    <x v="6"/>
    <s v="San Francisco"/>
    <s v="San Francisco"/>
    <s v="Non-Profit"/>
    <s v="Online"/>
    <s v="Online"/>
    <s v="L. Okafor"/>
    <s v="L. Okafor"/>
    <s v="Networking"/>
    <s v="High"/>
    <s v="NET-1282"/>
    <s v="A"/>
    <n v="1015.91"/>
    <n v="2331.48"/>
    <n v="2331.48"/>
    <n v="0.14599999999999999"/>
    <n v="0.14599999999999999"/>
    <s v="Low"/>
    <n v="26"/>
    <n v="51768.181920000003"/>
    <n v="26413.66"/>
    <n v="25354.521920000003"/>
    <n v="0.48977037592669626"/>
  </r>
  <r>
    <s v="ORD-2024-353078"/>
    <d v="2024-08-16T00:00:00"/>
    <d v="2024-08-16T00:00:00"/>
    <d v="2024-08-26T00:00:00"/>
    <d v="2024-08-26T00:00:00"/>
    <n v="10"/>
    <s v="Not Met"/>
    <s v="08-2024"/>
    <s v="Q3-2024"/>
    <d v="2023-01-13T00:00:00"/>
    <x v="0"/>
    <s v="Americas"/>
    <x v="6"/>
    <s v="Chicago"/>
    <s v="Chicago"/>
    <s v="Corporate"/>
    <s v="Distributor"/>
    <s v="Distributor"/>
    <s v="L. Okafor"/>
    <s v="L. Okafor"/>
    <s v="Laptops"/>
    <s v="High"/>
    <s v="LAP-5763"/>
    <s v="A"/>
    <n v="1291.7"/>
    <n v="2657.84"/>
    <n v="2657.84"/>
    <n v="8.6999999999999994E-2"/>
    <n v="8.6999999999999994E-2"/>
    <s v="Low"/>
    <n v="21"/>
    <n v="50958.766320000002"/>
    <n v="27125.7"/>
    <n v="23833.066320000002"/>
    <n v="0.46769315745083367"/>
  </r>
  <r>
    <s v="ORD-2025-874124"/>
    <d v="2025-05-14T00:00:00"/>
    <d v="2025-05-12T00:00:00"/>
    <d v="2025-05-12T00:00:00"/>
    <d v="2025-05-14T00:00:00"/>
    <n v="2"/>
    <s v="Met"/>
    <s v="05-2025"/>
    <s v="Q2-2025"/>
    <d v="2023-01-02T00:00:00"/>
    <x v="0"/>
    <s v="Americas"/>
    <x v="0"/>
    <s v="Vancouver"/>
    <s v="Vancouver"/>
    <s v="Non-Profit"/>
    <s v="Distributor"/>
    <s v="Distributor"/>
    <s v="F. Müller"/>
    <s v="F. Müller"/>
    <s v="Printers"/>
    <s v="High"/>
    <s v="PRN-2407"/>
    <s v="A"/>
    <n v="883.5"/>
    <n v="1978.91"/>
    <n v="1978.91"/>
    <n v="5.3999999999999999E-2"/>
    <n v="5.3999999999999999E-2"/>
    <s v="Low"/>
    <n v="27"/>
    <n v="50545.319219999998"/>
    <n v="23854.5"/>
    <n v="26690.819219999998"/>
    <n v="0.52805718970390547"/>
  </r>
  <r>
    <s v="ORD-2024-964950"/>
    <d v="2024-10-10T00:00:00"/>
    <d v="2024-10-10T00:00:00"/>
    <d v="2024-10-11T00:00:00"/>
    <d v="2024-10-11T00:00:00"/>
    <n v="1"/>
    <s v="Met"/>
    <s v="10-2024"/>
    <s v="Q4-2024"/>
    <d v="2023-01-19T00:00:00"/>
    <x v="0"/>
    <s v="Europe"/>
    <x v="1"/>
    <s v="Manchester"/>
    <s v="Manchester"/>
    <s v="Non-Profit"/>
    <s v="Distributor"/>
    <s v="Distributor"/>
    <s v="L. Okafor"/>
    <s v="L. Okafor"/>
    <s v="Components"/>
    <s v="High"/>
    <s v="CMP-8127"/>
    <s v="A"/>
    <n v="1389.46"/>
    <n v="1784.7"/>
    <n v="1784.7"/>
    <n v="0.14599999999999999"/>
    <n v="0.14599999999999999"/>
    <s v="Low"/>
    <n v="33"/>
    <n v="50296.415399999998"/>
    <n v="45852.18"/>
    <n v="4444.2353999999978"/>
    <n v="8.8360877503011831E-2"/>
  </r>
  <r>
    <s v="ORD-2023-885216"/>
    <d v="2023-08-03T00:00:00"/>
    <d v="2023-08-02T00:00:00"/>
    <d v="2023-08-02T00:00:00"/>
    <d v="2023-08-03T00:00:00"/>
    <n v="1"/>
    <s v="Met"/>
    <s v="08-2023"/>
    <s v="Q3-2023"/>
    <d v="2023-01-12T00:00:00"/>
    <x v="0"/>
    <s v="Asia"/>
    <x v="10"/>
    <s v="Shanghai"/>
    <s v="Shanghai"/>
    <s v="Non-Profit"/>
    <s v="Direct"/>
    <s v="Direct"/>
    <s v="J. Njeri"/>
    <s v="J. Njeri"/>
    <s v="Networking"/>
    <s v="High"/>
    <s v="NET-4735"/>
    <s v="A"/>
    <n v="1021.97"/>
    <n v="2296.25"/>
    <n v="2296.25"/>
    <n v="0.161"/>
    <n v="0.161"/>
    <s v="Low"/>
    <n v="26"/>
    <n v="50090.397499999999"/>
    <n v="26571.22"/>
    <n v="23519.177499999998"/>
    <n v="0.46953465482081669"/>
  </r>
  <r>
    <s v="ORD-2024-510591"/>
    <d v="2024-04-03T00:00:00"/>
    <d v="2024-04-03T00:00:00"/>
    <d v="2024-04-21T00:00:00"/>
    <d v="2024-04-21T00:00:00"/>
    <n v="18"/>
    <s v="Not Met"/>
    <s v="04-2024"/>
    <s v="Q2-2024"/>
    <d v="2023-01-29T00:00:00"/>
    <x v="0"/>
    <s v="Americas"/>
    <x v="9"/>
    <s v="Brasília"/>
    <s v="Brasília"/>
    <s v="Small Business"/>
    <s v="Distributor"/>
    <s v="Distributor"/>
    <s v="B. Chen"/>
    <s v="B. Chen"/>
    <s v="Networking"/>
    <s v="High"/>
    <s v="NET-3850"/>
    <s v="A"/>
    <n v="1176.69"/>
    <n v="2201.54"/>
    <n v="2201.54"/>
    <n v="0.17"/>
    <n v="0.17"/>
    <s v="Low"/>
    <n v="27"/>
    <n v="49336.511399999996"/>
    <n v="31770.63"/>
    <n v="17565.881399999995"/>
    <n v="0.35604222717701106"/>
  </r>
  <r>
    <s v="ORD-2023-586275"/>
    <d v="2023-01-20T00:00:00"/>
    <d v="2023-01-20T00:00:00"/>
    <d v="2023-02-03T00:00:00"/>
    <d v="2023-02-03T00:00:00"/>
    <n v="14"/>
    <s v="Not Met"/>
    <s v="01-2023"/>
    <s v="Q1-2023"/>
    <d v="2023-01-20T00:00:00"/>
    <x v="0"/>
    <s v="Africa"/>
    <x v="5"/>
    <s v="Kisumu"/>
    <s v="Kisumu"/>
    <s v="Corporate"/>
    <s v="Retail"/>
    <s v="Retail"/>
    <s v="M. Rossi"/>
    <s v="M. Rossi"/>
    <s v="Networking"/>
    <s v="Medium"/>
    <s v="NET-6036"/>
    <s v="A"/>
    <n v="884.36"/>
    <n v="1545.34"/>
    <n v="1545.34"/>
    <n v="0.24299999999999999"/>
    <n v="0.24299999999999999"/>
    <s v="High"/>
    <n v="41"/>
    <n v="47962.717579999997"/>
    <n v="36258.76"/>
    <n v="11703.957579999995"/>
    <n v="0.24402198562827965"/>
  </r>
  <r>
    <s v="ORD-2023-594955"/>
    <d v="2023-06-20T00:00:00"/>
    <d v="2023-06-20T00:00:00"/>
    <d v="2023-07-08T00:00:00"/>
    <d v="2023-07-08T00:00:00"/>
    <n v="18"/>
    <s v="Not Met"/>
    <s v="06-2023"/>
    <s v="Q2-2023"/>
    <d v="2023-01-13T00:00:00"/>
    <x v="0"/>
    <s v="Americas"/>
    <x v="6"/>
    <s v="New York"/>
    <s v="New York"/>
    <s v="Consumer"/>
    <s v="Marketplace"/>
    <s v="Marketplace"/>
    <s v="O. Wang"/>
    <s v="O. Wang"/>
    <s v="Networking"/>
    <s v="Medium"/>
    <s v="NET-3828"/>
    <s v="A"/>
    <n v="1145.53"/>
    <n v="1278.3"/>
    <n v="1278.3"/>
    <n v="0.09"/>
    <n v="0.09"/>
    <s v="Low"/>
    <n v="41"/>
    <n v="47693.373"/>
    <n v="46966.729999999996"/>
    <n v="726.64300000000367"/>
    <n v="1.5235722581416158E-2"/>
  </r>
  <r>
    <s v="ORD-2023-957692"/>
    <d v="2023-05-07T00:00:00"/>
    <d v="2023-05-07T00:00:00"/>
    <d v="2023-05-20T00:00:00"/>
    <d v="2023-05-20T00:00:00"/>
    <n v="13"/>
    <s v="Not Met"/>
    <s v="05-2023"/>
    <s v="Q2-2023"/>
    <d v="2023-01-29T00:00:00"/>
    <x v="0"/>
    <s v="Asia"/>
    <x v="3"/>
    <s v="Mumbai"/>
    <s v="Mumbai"/>
    <s v="Enterprise"/>
    <s v="Retail"/>
    <s v="Retail"/>
    <s v="D. Smith"/>
    <s v="D. Smith"/>
    <s v="Accessories"/>
    <s v="High"/>
    <s v="ACC-9283"/>
    <s v="A"/>
    <n v="1443.28"/>
    <n v="2580.5700000000002"/>
    <n v="2580.5700000000002"/>
    <n v="0"/>
    <n v="0"/>
    <s v="Low"/>
    <n v="18"/>
    <n v="46450.26"/>
    <n v="25979.040000000001"/>
    <n v="20471.22"/>
    <n v="0.4407127107577008"/>
  </r>
  <r>
    <s v="ORD-2024-886939"/>
    <d v="2024-06-03T00:00:00"/>
    <d v="2024-06-03T00:00:00"/>
    <d v="2024-06-24T00:00:00"/>
    <d v="2024-06-24T00:00:00"/>
    <n v="21"/>
    <s v="Not Met"/>
    <s v="06-2024"/>
    <s v="Q2-2024"/>
    <d v="2023-01-02T00:00:00"/>
    <x v="0"/>
    <s v="Americas"/>
    <x v="0"/>
    <s v="Toronto"/>
    <s v="Toronto"/>
    <s v="Small Business"/>
    <s v="Direct"/>
    <s v="Direct"/>
    <s v="G. Dubois"/>
    <s v="G. Dubois"/>
    <s v="Monitors"/>
    <s v="High"/>
    <s v="MON-5386"/>
    <s v="A"/>
    <n v="1205.5"/>
    <n v="2210.17"/>
    <n v="2210.17"/>
    <n v="0.104"/>
    <n v="0.104"/>
    <s v="Low"/>
    <n v="23"/>
    <n v="45547.183360000003"/>
    <n v="27726.5"/>
    <n v="17820.683360000003"/>
    <n v="0.39125763758314652"/>
  </r>
  <r>
    <s v="ORD-2025-929414"/>
    <d v="2025-06-26T00:00:00"/>
    <d v="2025-06-26T00:00:00"/>
    <d v="2025-07-11T00:00:00"/>
    <d v="2025-07-11T00:00:00"/>
    <n v="15"/>
    <s v="Not Met"/>
    <s v="06-2025"/>
    <s v="Q2-2025"/>
    <d v="2023-01-13T00:00:00"/>
    <x v="0"/>
    <s v="Africa"/>
    <x v="2"/>
    <s v="Port Harcourt"/>
    <s v="Port Harcourt"/>
    <s v="Small Business"/>
    <s v="Online"/>
    <s v="Online"/>
    <s v="A. Patel"/>
    <s v="A. Patel"/>
    <s v="Laptops"/>
    <s v="High"/>
    <s v="LAP-7523"/>
    <s v="A"/>
    <n v="1170.1500000000001"/>
    <n v="2115.19"/>
    <n v="2115.19"/>
    <n v="9.1999999999999998E-2"/>
    <n v="9.1999999999999998E-2"/>
    <s v="Low"/>
    <n v="23"/>
    <n v="44173.627960000005"/>
    <n v="26913.45"/>
    <n v="17260.177960000005"/>
    <n v="0.39073489674946776"/>
  </r>
  <r>
    <s v="ORD-2025-949776"/>
    <d v="2025-08-14T00:00:00"/>
    <d v="2025-08-14T00:00:00"/>
    <d v="2025-09-11T00:00:00"/>
    <d v="2025-09-11T00:00:00"/>
    <n v="28"/>
    <s v="Not Met"/>
    <s v="08-2025"/>
    <s v="Q3-2025"/>
    <d v="2023-01-29T00:00:00"/>
    <x v="0"/>
    <s v="Americas"/>
    <x v="9"/>
    <s v="São Paulo"/>
    <s v="São Paulo"/>
    <s v="Non-Profit"/>
    <s v="Direct"/>
    <s v="Direct"/>
    <s v="F. Müller"/>
    <s v="F. Müller"/>
    <s v="Printers"/>
    <s v="High"/>
    <s v="PRN-9490"/>
    <s v="A"/>
    <n v="1203.02"/>
    <n v="2439.33"/>
    <n v="2439.33"/>
    <n v="0"/>
    <n v="0"/>
    <s v="Low"/>
    <n v="18"/>
    <n v="43907.94"/>
    <n v="21654.36"/>
    <n v="22253.58"/>
    <n v="0.50682359500354612"/>
  </r>
  <r>
    <s v="ORD-2025-188059"/>
    <d v="2025-06-27T00:00:00"/>
    <d v="2025-06-27T00:00:00"/>
    <d v="2025-07-11T00:00:00"/>
    <d v="2025-07-11T00:00:00"/>
    <n v="14"/>
    <s v="Not Met"/>
    <s v="06-2025"/>
    <s v="Q2-2025"/>
    <d v="2023-01-12T00:00:00"/>
    <x v="0"/>
    <s v="Asia"/>
    <x v="10"/>
    <s v="Shanghai"/>
    <s v="Shanghai"/>
    <s v="Small Business"/>
    <s v="Marketplace"/>
    <s v="Marketplace"/>
    <s v="L. Okafor"/>
    <s v="L. Okafor"/>
    <s v="Networking"/>
    <s v="High"/>
    <s v="NET-3535"/>
    <s v="A"/>
    <n v="1227.7"/>
    <n v="2197.23"/>
    <n v="2197.23"/>
    <n v="9.9000000000000005E-2"/>
    <n v="9.9000000000000005E-2"/>
    <s v="Low"/>
    <n v="22"/>
    <n v="43553.493060000001"/>
    <n v="27009.4"/>
    <n v="16544.093059999999"/>
    <n v="0.37985685871873898"/>
  </r>
  <r>
    <s v="ORD-2023-868734"/>
    <d v="2023-04-06T00:00:00"/>
    <d v="2023-04-06T00:00:00"/>
    <d v="2023-04-27T00:00:00"/>
    <d v="2023-04-27T00:00:00"/>
    <n v="21"/>
    <s v="Not Met"/>
    <s v="04-2023"/>
    <s v="Q2-2023"/>
    <d v="2023-01-19T00:00:00"/>
    <x v="0"/>
    <s v="Europe"/>
    <x v="1"/>
    <s v="Manchester"/>
    <s v="Manchester"/>
    <s v="Enterprise"/>
    <s v="Distributor"/>
    <s v="Distributor"/>
    <s v="I. Johnson"/>
    <s v="I. Johnson"/>
    <s v="Printers"/>
    <s v="High"/>
    <s v="PRN-8970"/>
    <s v="A"/>
    <n v="1084.79"/>
    <n v="2484.9899999999998"/>
    <n v="2484.9899999999998"/>
    <n v="3.4000000000000002E-2"/>
    <n v="3.4000000000000002E-2"/>
    <s v="Low"/>
    <n v="18"/>
    <n v="43209.006119999991"/>
    <n v="19526.22"/>
    <n v="23682.78611999999"/>
    <n v="0.54809837685755114"/>
  </r>
  <r>
    <s v="ORD-2025-944081"/>
    <d v="2025-03-25T00:00:00"/>
    <d v="2025-03-25T00:00:00"/>
    <d v="2025-03-26T00:00:00"/>
    <d v="2025-03-26T00:00:00"/>
    <n v="1"/>
    <s v="Met"/>
    <s v="03-2025"/>
    <s v="Q1-2025"/>
    <d v="2023-01-13T00:00:00"/>
    <x v="0"/>
    <s v="Africa"/>
    <x v="2"/>
    <s v="Lagos"/>
    <s v="Lagos"/>
    <s v="Education"/>
    <s v="Distributor"/>
    <s v="Distributor"/>
    <s v="G. Dubois"/>
    <s v="G. Dubois"/>
    <s v="Accessories"/>
    <s v="High"/>
    <s v="ACC-9533"/>
    <s v="A"/>
    <n v="1450.43"/>
    <n v="1994.67"/>
    <n v="1994.67"/>
    <n v="0.1"/>
    <n v="0.1"/>
    <s v="Low"/>
    <n v="24"/>
    <n v="43084.872000000003"/>
    <n v="34810.32"/>
    <n v="8274.5520000000033"/>
    <n v="0.19205237513529116"/>
  </r>
  <r>
    <s v="ORD-2024-438404"/>
    <d v="2024-09-23T00:00:00"/>
    <d v="2024-09-23T00:00:00"/>
    <d v="2024-10-18T00:00:00"/>
    <d v="2024-10-18T00:00:00"/>
    <n v="25"/>
    <s v="Not Met"/>
    <s v="09-2024"/>
    <s v="Q3-2024"/>
    <d v="2023-01-02T00:00:00"/>
    <x v="0"/>
    <s v="Americas"/>
    <x v="0"/>
    <s v="Vancouver"/>
    <s v="Vancouver"/>
    <s v="Small Business"/>
    <s v="Online"/>
    <s v="Online"/>
    <s v="N. Brown"/>
    <s v="N. Brown"/>
    <s v="Phones"/>
    <s v="High"/>
    <s v="PHN-4568"/>
    <s v="A"/>
    <n v="1297"/>
    <n v="2411.52"/>
    <n v="2411.52"/>
    <n v="2.1000000000000001E-2"/>
    <n v="2.1000000000000001E-2"/>
    <s v="Low"/>
    <n v="18"/>
    <n v="42495.805439999996"/>
    <n v="23346"/>
    <n v="19149.805439999996"/>
    <n v="0.45062813239385913"/>
  </r>
  <r>
    <s v="ORD-2025-312803"/>
    <d v="2025-06-24T00:00:00"/>
    <d v="2025-06-24T00:00:00"/>
    <d v="2025-07-14T00:00:00"/>
    <d v="2025-07-14T00:00:00"/>
    <n v="20"/>
    <s v="Not Met"/>
    <s v="06-2025"/>
    <s v="Q2-2025"/>
    <d v="2023-01-07T00:00:00"/>
    <x v="0"/>
    <s v="Africa"/>
    <x v="8"/>
    <s v="Johannesburg"/>
    <s v="Johannesburg"/>
    <s v="Enterprise"/>
    <s v="Marketplace"/>
    <s v="Marketplace"/>
    <s v="J. Njeri"/>
    <s v="J. Njeri"/>
    <s v="Laptops"/>
    <s v="High"/>
    <s v="LAP-1308"/>
    <s v="A"/>
    <n v="1151.06"/>
    <n v="2821.36"/>
    <n v="2821.36"/>
    <n v="0.248"/>
    <n v="0.248"/>
    <s v="High"/>
    <n v="20"/>
    <n v="42433.254400000005"/>
    <n v="23021.199999999997"/>
    <n v="19412.054400000008"/>
    <n v="0.45747267501594235"/>
  </r>
  <r>
    <s v="ORD-2023-569862"/>
    <d v="2023-07-16T00:00:00"/>
    <d v="2023-07-16T00:00:00"/>
    <d v="2023-08-13T00:00:00"/>
    <d v="2023-08-13T00:00:00"/>
    <n v="28"/>
    <s v="Not Met"/>
    <s v="07-2023"/>
    <s v="Q3-2023"/>
    <d v="2023-01-19T00:00:00"/>
    <x v="0"/>
    <s v="Europe"/>
    <x v="1"/>
    <s v="Manchester"/>
    <s v="Manchester"/>
    <s v="Non-Profit"/>
    <s v="Online"/>
    <s v="Online"/>
    <s v="J. Njeri"/>
    <s v="J. Njeri"/>
    <s v="Laptops"/>
    <s v="High"/>
    <s v="LAP-1178"/>
    <s v="A"/>
    <n v="1039.03"/>
    <n v="2545.81"/>
    <n v="2545.81"/>
    <n v="0.216"/>
    <n v="0.216"/>
    <s v="High"/>
    <n v="21"/>
    <n v="41914.215840000004"/>
    <n v="21819.63"/>
    <n v="20094.585840000003"/>
    <n v="0.47942172929364774"/>
  </r>
  <r>
    <s v="ORD-2024-756884"/>
    <d v="2024-10-13T00:00:00"/>
    <d v="2024-10-13T00:00:00"/>
    <d v="2024-10-24T00:00:00"/>
    <d v="2024-10-24T00:00:00"/>
    <n v="11"/>
    <s v="Not Met"/>
    <s v="10-2024"/>
    <s v="Q4-2024"/>
    <d v="2023-01-10T00:00:00"/>
    <x v="0"/>
    <s v="Europe"/>
    <x v="11"/>
    <s v="Paris"/>
    <s v="Paris"/>
    <s v="Education"/>
    <s v="Distributor"/>
    <s v="Distributor"/>
    <s v="F. Müller"/>
    <s v="F. Müller"/>
    <s v="Components"/>
    <s v="Medium"/>
    <s v="CMP-5006"/>
    <s v="A"/>
    <n v="816.7"/>
    <n v="1010.75"/>
    <n v="1010.75"/>
    <n v="4.7E-2"/>
    <n v="4.7E-2"/>
    <s v="Low"/>
    <n v="43"/>
    <n v="41419.524249999995"/>
    <n v="35118.1"/>
    <n v="6301.4242499999964"/>
    <n v="0.15213656757537472"/>
  </r>
  <r>
    <s v="ORD-2024-237478"/>
    <d v="2024-10-03T00:00:00"/>
    <d v="2024-10-03T00:00:00"/>
    <d v="2024-10-11T00:00:00"/>
    <d v="2024-10-11T00:00:00"/>
    <n v="8"/>
    <s v="Not Met"/>
    <s v="10-2024"/>
    <s v="Q4-2024"/>
    <d v="2023-01-12T00:00:00"/>
    <x v="0"/>
    <s v="Asia"/>
    <x v="10"/>
    <s v="Beijing"/>
    <s v="Beijing"/>
    <s v="Enterprise"/>
    <s v="Direct"/>
    <s v="Direct"/>
    <s v="B. Chen"/>
    <s v="B. Chen"/>
    <s v="Phones"/>
    <s v="High"/>
    <s v="PHN-7488"/>
    <s v="A"/>
    <n v="1132.6099999999999"/>
    <n v="2206.63"/>
    <n v="2206.63"/>
    <n v="6.3E-2"/>
    <n v="6.3E-2"/>
    <s v="Low"/>
    <n v="20"/>
    <n v="41352.246200000009"/>
    <n v="22652.199999999997"/>
    <n v="18700.046200000012"/>
    <n v="0.45221355351671338"/>
  </r>
  <r>
    <s v="ORD-2025-673091"/>
    <d v="2025-05-07T00:00:00"/>
    <d v="2025-05-07T00:00:00"/>
    <d v="2025-05-13T00:00:00"/>
    <d v="2025-05-13T00:00:00"/>
    <n v="6"/>
    <s v="Met"/>
    <s v="05-2025"/>
    <s v="Q2-2025"/>
    <d v="2023-01-29T00:00:00"/>
    <x v="0"/>
    <s v="Asia"/>
    <x v="3"/>
    <s v="Bengaluru"/>
    <s v="Bengaluru"/>
    <s v="Enterprise"/>
    <s v="Direct"/>
    <s v="Direct"/>
    <s v="J. Njeri"/>
    <s v="J. Njeri"/>
    <s v="Phones"/>
    <s v="High"/>
    <s v="PHN-5683"/>
    <s v="A"/>
    <n v="935.98"/>
    <n v="2077.69"/>
    <n v="2077.69"/>
    <n v="0.17499999999999999"/>
    <n v="0.17499999999999999"/>
    <s v="Low"/>
    <n v="24"/>
    <n v="41138.261999999995"/>
    <n v="22463.52"/>
    <n v="18674.741999999995"/>
    <n v="0.45395067978321491"/>
  </r>
  <r>
    <s v="ORD-2024-635626"/>
    <d v="2024-08-27T00:00:00"/>
    <d v="2024-08-27T00:00:00"/>
    <d v="2024-09-19T00:00:00"/>
    <d v="2024-09-19T00:00:00"/>
    <n v="23"/>
    <s v="Not Met"/>
    <s v="08-2024"/>
    <s v="Q3-2024"/>
    <d v="2023-01-21T00:00:00"/>
    <x v="0"/>
    <s v="Europe"/>
    <x v="4"/>
    <s v="Berlin"/>
    <s v="Berlin"/>
    <s v="Small Business"/>
    <s v="Direct"/>
    <s v="Direct"/>
    <s v="D. Smith"/>
    <s v="D. Smith"/>
    <s v="Monitors"/>
    <s v="Medium"/>
    <s v="MON-9967"/>
    <s v="A"/>
    <n v="1024.01"/>
    <n v="1580.97"/>
    <n v="1580.97"/>
    <n v="3.6999999999999998E-2"/>
    <n v="3.6999999999999998E-2"/>
    <s v="Low"/>
    <n v="27"/>
    <n v="41106.800970000004"/>
    <n v="27648.27"/>
    <n v="13458.530970000003"/>
    <n v="0.3274039976942531"/>
  </r>
  <r>
    <s v="ORD-2024-594527"/>
    <d v="2024-09-06T00:00:00"/>
    <d v="2024-09-04T00:00:00"/>
    <d v="2024-09-04T00:00:00"/>
    <d v="2024-09-06T00:00:00"/>
    <n v="2"/>
    <s v="Met"/>
    <s v="09-2024"/>
    <s v="Q3-2024"/>
    <d v="2023-03-03T00:00:00"/>
    <x v="1"/>
    <s v="Asia"/>
    <x v="7"/>
    <s v="Osaka"/>
    <s v="Osaka"/>
    <s v="Corporate"/>
    <s v="Direct"/>
    <s v="Direct"/>
    <s v="A. Patel"/>
    <s v="A. Patel"/>
    <s v="Laptops"/>
    <s v="High"/>
    <s v="LAP-4483"/>
    <s v="A"/>
    <n v="1368.17"/>
    <n v="2307.75"/>
    <n v="2307.75"/>
    <n v="0.16300000000000001"/>
    <n v="0.16300000000000001"/>
    <s v="Low"/>
    <n v="21"/>
    <n v="40563.321749999996"/>
    <n v="28731.57"/>
    <n v="11831.751749999996"/>
    <n v="0.29168596750831921"/>
  </r>
  <r>
    <s v="ORD-2024-105586"/>
    <d v="2024-01-02T00:00:00"/>
    <d v="2024-01-02T00:00:00"/>
    <d v="2024-01-15T00:00:00"/>
    <d v="2024-01-15T00:00:00"/>
    <n v="13"/>
    <s v="Not Met"/>
    <s v="01-2024"/>
    <s v="Q1-2024"/>
    <d v="2023-03-03T00:00:00"/>
    <x v="1"/>
    <s v="Asia"/>
    <x v="7"/>
    <s v="Nagoya"/>
    <s v="Nagoya"/>
    <s v="Small Business"/>
    <s v="Marketplace"/>
    <s v="Marketplace"/>
    <s v="G. Dubois"/>
    <s v="G. Dubois"/>
    <s v="Networking"/>
    <s v="High"/>
    <s v="NET-1893"/>
    <s v="A"/>
    <n v="1219.06"/>
    <n v="2738.69"/>
    <n v="2738.69"/>
    <n v="7.5999999999999998E-2"/>
    <n v="7.5999999999999998E-2"/>
    <s v="Low"/>
    <n v="16"/>
    <n v="40488.792960000006"/>
    <n v="19504.96"/>
    <n v="20983.832960000007"/>
    <n v="0.51826274447673737"/>
  </r>
  <r>
    <s v="ORD-2023-961864"/>
    <d v="2023-12-07T00:00:00"/>
    <d v="2023-12-07T00:00:00"/>
    <d v="2024-01-02T00:00:00"/>
    <d v="2024-01-02T00:00:00"/>
    <n v="26"/>
    <s v="Not Met"/>
    <s v="12-2023"/>
    <s v="Q4-2023"/>
    <d v="2023-01-21T00:00:00"/>
    <x v="0"/>
    <s v="Europe"/>
    <x v="4"/>
    <s v="Frankfurt"/>
    <s v="Frankfurt"/>
    <s v="Enterprise"/>
    <s v="Distributor"/>
    <s v="Distributor"/>
    <s v="E. Garcia"/>
    <s v="E. Garcia"/>
    <s v="Components"/>
    <s v="High"/>
    <s v="CMP-1940"/>
    <s v="A"/>
    <n v="1071.99"/>
    <n v="2397.3000000000002"/>
    <n v="2397.3000000000002"/>
    <n v="6.2E-2"/>
    <n v="6.2E-2"/>
    <s v="Low"/>
    <n v="18"/>
    <n v="40476.013200000001"/>
    <n v="19295.82"/>
    <n v="21180.193200000002"/>
    <n v="0.52327765324476183"/>
  </r>
  <r>
    <s v="ORD-2024-925626"/>
    <d v="2024-11-04T00:00:00"/>
    <d v="2024-11-04T00:00:00"/>
    <d v="2024-11-05T00:00:00"/>
    <d v="2024-11-05T00:00:00"/>
    <n v="1"/>
    <s v="Met"/>
    <s v="11-2024"/>
    <s v="Q4-2024"/>
    <d v="2023-01-19T00:00:00"/>
    <x v="0"/>
    <s v="Europe"/>
    <x v="1"/>
    <s v="London"/>
    <s v="London"/>
    <s v="Corporate"/>
    <s v="Retail"/>
    <s v="Retail"/>
    <s v="M. Rossi"/>
    <s v="M. Rossi"/>
    <s v="Printers"/>
    <s v="Medium"/>
    <s v="PRN-2293"/>
    <s v="A"/>
    <n v="840.68"/>
    <n v="1493.53"/>
    <n v="1493.53"/>
    <n v="0"/>
    <n v="0"/>
    <s v="Low"/>
    <n v="27"/>
    <n v="40325.31"/>
    <n v="22698.359999999997"/>
    <n v="17626.95"/>
    <n v="0.43711877230454027"/>
  </r>
  <r>
    <s v="ORD-2025-440093"/>
    <d v="2025-04-16T00:00:00"/>
    <d v="2025-04-16T00:00:00"/>
    <d v="2025-04-26T00:00:00"/>
    <d v="2025-04-26T00:00:00"/>
    <n v="10"/>
    <s v="Not Met"/>
    <s v="04-2025"/>
    <s v="Q2-2025"/>
    <d v="2023-01-13T00:00:00"/>
    <x v="0"/>
    <s v="Africa"/>
    <x v="2"/>
    <s v="Port Harcourt"/>
    <s v="Port Harcourt"/>
    <s v="Enterprise"/>
    <s v="Marketplace"/>
    <s v="Marketplace"/>
    <s v="F. Müller"/>
    <s v="F. Müller"/>
    <s v="Laptops"/>
    <s v="High"/>
    <s v="LAP-3490"/>
    <s v="A"/>
    <n v="1457.44"/>
    <n v="1996.81"/>
    <n v="1996.81"/>
    <n v="0.126"/>
    <n v="0.126"/>
    <s v="Low"/>
    <n v="23"/>
    <n v="40139.874619999995"/>
    <n v="33521.120000000003"/>
    <n v="6618.7546199999924"/>
    <n v="0.16489225944672353"/>
  </r>
  <r>
    <s v="ORD-2025-752192"/>
    <d v="2025-05-16T00:00:00"/>
    <d v="2025-05-16T00:00:00"/>
    <d v="2025-05-18T00:00:00"/>
    <d v="2025-05-18T00:00:00"/>
    <n v="2"/>
    <s v="Met"/>
    <s v="05-2025"/>
    <s v="Q2-2025"/>
    <d v="2023-03-03T00:00:00"/>
    <x v="1"/>
    <s v="Asia"/>
    <x v="7"/>
    <s v="Tokyo"/>
    <s v="Tokyo"/>
    <s v="Enterprise"/>
    <s v="Retail"/>
    <s v="Retail"/>
    <s v="J. Njeri"/>
    <s v="J. Njeri"/>
    <s v="Printers"/>
    <s v="High"/>
    <s v="PRN-6131"/>
    <s v="A"/>
    <n v="1144.3800000000001"/>
    <n v="2755.04"/>
    <n v="2755.04"/>
    <n v="0.15"/>
    <n v="0.15"/>
    <s v="Low"/>
    <n v="17"/>
    <n v="39810.328000000001"/>
    <n v="19454.460000000003"/>
    <n v="20355.867999999999"/>
    <n v="0.51132128326096682"/>
  </r>
  <r>
    <s v="ORD-2023-594700"/>
    <d v="2023-07-18T00:00:00"/>
    <d v="2023-07-18T00:00:00"/>
    <d v="2023-07-22T00:00:00"/>
    <d v="2023-07-22T00:00:00"/>
    <n v="4"/>
    <s v="Met"/>
    <s v="07-2023"/>
    <s v="Q3-2023"/>
    <d v="2023-01-29T00:00:00"/>
    <x v="0"/>
    <s v="Americas"/>
    <x v="9"/>
    <s v="São Paulo"/>
    <s v="São Paulo"/>
    <s v="Consumer"/>
    <s v="Direct"/>
    <s v="Direct"/>
    <s v="F. Müller"/>
    <s v="F. Müller"/>
    <s v="Networking"/>
    <s v="High"/>
    <s v="NET-1699"/>
    <s v="A"/>
    <n v="1269.55"/>
    <n v="2071.1"/>
    <n v="2071.1"/>
    <n v="0.129"/>
    <n v="0.129"/>
    <s v="Low"/>
    <n v="22"/>
    <n v="39686.4182"/>
    <n v="27930.1"/>
    <n v="11756.318200000002"/>
    <n v="0.29623026549672354"/>
  </r>
  <r>
    <s v="ORD-2023-888245"/>
    <d v="2023-02-28T00:00:00"/>
    <d v="2023-02-27T00:00:00"/>
    <d v="2023-02-27T00:00:00"/>
    <d v="2023-02-28T00:00:00"/>
    <n v="1"/>
    <s v="Met"/>
    <s v="02-2023"/>
    <s v="Q1-2023"/>
    <d v="2023-01-10T00:00:00"/>
    <x v="0"/>
    <s v="Europe"/>
    <x v="11"/>
    <s v="Marseille"/>
    <s v="Marseille"/>
    <s v="Corporate"/>
    <s v="Retail"/>
    <s v="Retail"/>
    <s v="K. Singh"/>
    <s v="K. Singh"/>
    <s v="Networking"/>
    <s v="High"/>
    <s v="NET-5195"/>
    <s v="A"/>
    <n v="1299.81"/>
    <n v="3149.13"/>
    <n v="3149.13"/>
    <n v="0.10299999999999999"/>
    <n v="0.10299999999999999"/>
    <s v="Low"/>
    <n v="14"/>
    <n v="39546.774539999999"/>
    <n v="18197.34"/>
    <n v="21349.434539999998"/>
    <n v="0.53985273864511729"/>
  </r>
  <r>
    <s v="ORD-2025-184082"/>
    <d v="2025-06-19T00:00:00"/>
    <d v="2025-06-19T00:00:00"/>
    <d v="2025-07-12T00:00:00"/>
    <d v="2025-07-12T00:00:00"/>
    <n v="23"/>
    <s v="Not Met"/>
    <s v="06-2025"/>
    <s v="Q2-2025"/>
    <d v="2023-01-19T00:00:00"/>
    <x v="0"/>
    <s v="Europe"/>
    <x v="1"/>
    <m/>
    <s v="Birmingham"/>
    <s v="Non-Profit"/>
    <s v="Direct"/>
    <s v="Direct"/>
    <m/>
    <s v="B. Chen"/>
    <s v="Networking"/>
    <s v="High"/>
    <s v="NET-6370"/>
    <s v="A"/>
    <n v="801.24"/>
    <n v="1959.09"/>
    <n v="1959.09"/>
    <n v="0.123"/>
    <n v="0.123"/>
    <s v="Low"/>
    <n v="23"/>
    <n v="39516.804389999998"/>
    <n v="18428.52"/>
    <n v="21088.284389999997"/>
    <n v="0.53365358650651762"/>
  </r>
  <r>
    <s v="ORD-2025-745263"/>
    <d v="2025-05-21T00:00:00"/>
    <d v="2025-05-19T00:00:00"/>
    <d v="2025-05-19T00:00:00"/>
    <d v="2025-05-21T00:00:00"/>
    <n v="2"/>
    <s v="Met"/>
    <s v="05-2025"/>
    <s v="Q2-2025"/>
    <d v="2023-01-19T00:00:00"/>
    <x v="0"/>
    <s v="Europe"/>
    <x v="1"/>
    <s v="Birmingham"/>
    <s v="Birmingham"/>
    <s v="Enterprise"/>
    <s v="Online"/>
    <s v="Online"/>
    <s v="M. Rossi"/>
    <s v="M. Rossi"/>
    <s v="Laptops"/>
    <s v="High"/>
    <s v="LAP-3385"/>
    <s v="A"/>
    <n v="1015.16"/>
    <n v="2148.14"/>
    <n v="2148.14"/>
    <n v="3.7999999999999999E-2"/>
    <n v="3.7999999999999999E-2"/>
    <s v="Low"/>
    <n v="19"/>
    <n v="39263.702919999996"/>
    <n v="19288.04"/>
    <n v="19975.662919999995"/>
    <n v="0.50875647059322227"/>
  </r>
  <r>
    <s v="ORD-2024-500511"/>
    <d v="2024-10-08T00:00:00"/>
    <d v="2024-10-08T00:00:00"/>
    <d v="2024-10-08T00:00:00"/>
    <d v="2024-10-08T00:00:00"/>
    <n v="0"/>
    <s v="Met"/>
    <s v="10-2024"/>
    <s v="Q4-2024"/>
    <d v="2023-01-19T00:00:00"/>
    <x v="0"/>
    <s v="Europe"/>
    <x v="1"/>
    <s v="London"/>
    <s v="London"/>
    <s v="Corporate"/>
    <s v="Online"/>
    <s v="Online"/>
    <s v="E. Garcia"/>
    <s v="E. Garcia"/>
    <s v="Monitors"/>
    <s v="High"/>
    <s v="MON-9733"/>
    <s v="A"/>
    <n v="1108.1099999999999"/>
    <n v="2503.79"/>
    <n v="2503.79"/>
    <n v="0.184"/>
    <n v="0.184"/>
    <s v="Low"/>
    <n v="19"/>
    <n v="38818.760160000005"/>
    <n v="21054.089999999997"/>
    <n v="17764.670160000009"/>
    <n v="0.45763105485025896"/>
  </r>
  <r>
    <s v="ORD-2024-129345"/>
    <d v="2024-02-18T00:00:00"/>
    <d v="2024-02-18T00:00:00"/>
    <d v="2024-03-03T00:00:00"/>
    <d v="2024-03-03T00:00:00"/>
    <n v="14"/>
    <s v="Not Met"/>
    <s v="02-2024"/>
    <s v="Q1-2024"/>
    <d v="2023-01-29T00:00:00"/>
    <x v="0"/>
    <s v="Americas"/>
    <x v="9"/>
    <m/>
    <s v="São Paulo"/>
    <s v="Enterprise"/>
    <s v="Distributor"/>
    <s v="Distributor"/>
    <s v="A. Patel"/>
    <s v="A. Patel"/>
    <s v="Printers"/>
    <s v="Medium"/>
    <s v="PRN-5384"/>
    <s v="A"/>
    <n v="624.23"/>
    <n v="1318.37"/>
    <n v="1318.37"/>
    <n v="0.21"/>
    <n v="0.21"/>
    <s v="High"/>
    <n v="37"/>
    <n v="38535.955099999999"/>
    <n v="23096.510000000002"/>
    <n v="15439.445099999997"/>
    <n v="0.40065038118128793"/>
  </r>
  <r>
    <s v="ORD-2024-868223"/>
    <d v="2024-03-03T00:00:00"/>
    <d v="2024-03-03T00:00:00"/>
    <d v="2024-03-19T00:00:00"/>
    <d v="2024-03-19T00:00:00"/>
    <n v="16"/>
    <s v="Not Met"/>
    <s v="03-2024"/>
    <s v="Q1-2024"/>
    <d v="2023-01-12T00:00:00"/>
    <x v="0"/>
    <s v="Asia"/>
    <x v="10"/>
    <s v="Beijing"/>
    <s v="Beijing"/>
    <s v="Consumer"/>
    <s v="Distributor"/>
    <s v="Distributor"/>
    <s v="G. Dubois"/>
    <s v="G. Dubois"/>
    <s v="Phones"/>
    <s v="Medium"/>
    <s v="PHN-4915"/>
    <s v="A"/>
    <n v="988.83"/>
    <n v="1206.04"/>
    <n v="1206.04"/>
    <n v="6.3E-2"/>
    <n v="6.3E-2"/>
    <s v="Low"/>
    <n v="34"/>
    <n v="38422.022320000004"/>
    <n v="33620.22"/>
    <n v="4801.8023200000025"/>
    <n v="0.12497526236406606"/>
  </r>
  <r>
    <s v="ORD-2025-843974"/>
    <d v="2025-07-20T00:00:00"/>
    <d v="2025-07-20T00:00:00"/>
    <d v="2025-08-05T00:00:00"/>
    <d v="2025-08-05T00:00:00"/>
    <n v="16"/>
    <s v="Not Met"/>
    <s v="07-2025"/>
    <s v="Q3-2025"/>
    <d v="2023-01-29T00:00:00"/>
    <x v="0"/>
    <s v="Americas"/>
    <x v="9"/>
    <s v="Brasília"/>
    <s v="Brasília"/>
    <s v="Enterprise"/>
    <s v="Marketplace"/>
    <s v="Marketplace"/>
    <s v="G. Dubois"/>
    <s v="G. Dubois"/>
    <s v="Accessories"/>
    <s v="High"/>
    <s v="ACC-8098"/>
    <s v="A"/>
    <n v="1068.17"/>
    <n v="2375.37"/>
    <n v="2375.37"/>
    <n v="0.109"/>
    <n v="0.109"/>
    <s v="Low"/>
    <n v="18"/>
    <n v="38096.18406"/>
    <n v="19227.060000000001"/>
    <n v="18869.124059999998"/>
    <n v="0.49530220744108822"/>
  </r>
  <r>
    <s v="ORD-2025-789245"/>
    <d v="2025-07-23T00:00:00"/>
    <d v="2025-07-23T00:00:00"/>
    <d v="2025-08-17T00:00:00"/>
    <d v="2025-08-17T00:00:00"/>
    <n v="25"/>
    <s v="Not Met"/>
    <s v="07-2025"/>
    <s v="Q3-2025"/>
    <d v="2023-01-19T00:00:00"/>
    <x v="0"/>
    <s v="Europe"/>
    <x v="1"/>
    <s v="Birmingham"/>
    <s v="Birmingham"/>
    <s v="Education"/>
    <s v="Online"/>
    <s v="Online"/>
    <s v="I. Johnson"/>
    <s v="I. Johnson"/>
    <s v="Printers"/>
    <s v="Medium"/>
    <s v="PRN-5876"/>
    <s v="A"/>
    <n v="1142.06"/>
    <n v="1455"/>
    <n v="1455"/>
    <n v="7.8E-2"/>
    <n v="7.8E-2"/>
    <s v="Low"/>
    <n v="28"/>
    <n v="37562.28"/>
    <n v="31977.68"/>
    <n v="5584.5999999999985"/>
    <n v="0.1486757459877302"/>
  </r>
  <r>
    <s v="ORD-2024-805860"/>
    <d v="2024-09-13T00:00:00"/>
    <d v="2024-09-13T00:00:00"/>
    <d v="2024-10-02T00:00:00"/>
    <d v="2024-10-02T00:00:00"/>
    <n v="19"/>
    <s v="Not Met"/>
    <s v="09-2024"/>
    <s v="Q3-2024"/>
    <d v="2023-01-20T00:00:00"/>
    <x v="0"/>
    <s v="Africa"/>
    <x v="5"/>
    <s v="Mombasa"/>
    <s v="Mombasa"/>
    <s v="Small Business"/>
    <s v="Retail"/>
    <s v="Retail"/>
    <s v="M. Rossi"/>
    <s v="M. Rossi"/>
    <s v="Phones"/>
    <s v="High"/>
    <s v="PHN-8804"/>
    <s v="A"/>
    <n v="1338.99"/>
    <n v="1765.76"/>
    <n v="1765.76"/>
    <n v="0.126"/>
    <n v="0.126"/>
    <s v="Low"/>
    <n v="24"/>
    <n v="37038.581760000001"/>
    <n v="32135.760000000002"/>
    <n v="4902.8217599999989"/>
    <n v="0.1323706666677725"/>
  </r>
  <r>
    <s v="ORD-2023-243704"/>
    <d v="2023-08-29T00:00:00"/>
    <d v="2023-08-29T00:00:00"/>
    <d v="2023-09-19T00:00:00"/>
    <d v="2023-09-19T00:00:00"/>
    <n v="21"/>
    <s v="Not Met"/>
    <s v="08-2023"/>
    <s v="Q3-2023"/>
    <d v="2023-01-10T00:00:00"/>
    <x v="0"/>
    <s v="Europe"/>
    <x v="11"/>
    <s v="Lyon"/>
    <s v="Lyon"/>
    <s v="Small Business"/>
    <s v="Direct"/>
    <s v="Direct"/>
    <s v="B. Chen"/>
    <s v="B. Chen"/>
    <s v="Printers"/>
    <s v="High"/>
    <s v="PRN-7079"/>
    <s v="A"/>
    <n v="784.46"/>
    <n v="1843.51"/>
    <n v="1843.51"/>
    <n v="0.13800000000000001"/>
    <n v="0.13800000000000001"/>
    <s v="Low"/>
    <n v="23"/>
    <n v="36549.429260000004"/>
    <n v="18042.580000000002"/>
    <n v="18506.849260000003"/>
    <n v="0.50635125184441798"/>
  </r>
  <r>
    <s v="ORD-2025-417336"/>
    <d v="2025-08-30T00:00:00"/>
    <d v="2025-08-30T00:00:00"/>
    <d v="2025-09-03T00:00:00"/>
    <d v="2025-09-03T00:00:00"/>
    <n v="4"/>
    <s v="Met"/>
    <s v="08-2025"/>
    <s v="Q3-2025"/>
    <d v="2023-01-10T00:00:00"/>
    <x v="0"/>
    <s v="Europe"/>
    <x v="11"/>
    <s v="Marseille"/>
    <s v="Marseille"/>
    <s v="Small Business"/>
    <s v="Marketplace"/>
    <s v="Marketplace"/>
    <s v="J. Njeri"/>
    <s v="J. Njeri"/>
    <s v="Laptops"/>
    <s v="High"/>
    <s v="LAP-3220"/>
    <s v="A"/>
    <n v="1286.56"/>
    <n v="2777.35"/>
    <n v="2777.35"/>
    <n v="0.13200000000000001"/>
    <n v="0.13200000000000001"/>
    <s v="Low"/>
    <n v="15"/>
    <n v="36161.097000000002"/>
    <n v="19298.399999999998"/>
    <n v="16862.697000000004"/>
    <n v="0.46632150014696744"/>
  </r>
  <r>
    <s v="ORD-2024-966651"/>
    <d v="2024-10-14T00:00:00"/>
    <d v="2024-10-14T00:00:00"/>
    <d v="2024-11-08T00:00:00"/>
    <d v="2024-11-08T00:00:00"/>
    <n v="25"/>
    <s v="Not Met"/>
    <s v="10-2024"/>
    <s v="Q4-2024"/>
    <d v="2023-01-13T00:00:00"/>
    <x v="0"/>
    <s v="Africa"/>
    <x v="2"/>
    <s v="Lagos"/>
    <s v="Lagos"/>
    <s v="Enterprise"/>
    <s v="Online"/>
    <s v="Online"/>
    <s v="O. Wang"/>
    <s v="O. Wang"/>
    <s v="Networking"/>
    <s v="High"/>
    <s v="NET-5268"/>
    <s v="A"/>
    <n v="859.35"/>
    <n v="1825.61"/>
    <n v="1825.61"/>
    <n v="0.187"/>
    <n v="0.187"/>
    <s v="Low"/>
    <n v="24"/>
    <n v="35621.302319999995"/>
    <n v="20624.400000000001"/>
    <n v="14996.902319999994"/>
    <n v="0.42100937762681989"/>
  </r>
  <r>
    <s v="ORD-2024-783321"/>
    <d v="2024-11-20T00:00:00"/>
    <d v="2024-11-20T00:00:00"/>
    <d v="2024-12-15T00:00:00"/>
    <d v="2024-12-15T00:00:00"/>
    <n v="25"/>
    <s v="Not Met"/>
    <s v="11-2024"/>
    <s v="Q4-2024"/>
    <d v="2023-01-10T00:00:00"/>
    <x v="0"/>
    <s v="Europe"/>
    <x v="11"/>
    <s v="Paris"/>
    <s v="Paris"/>
    <s v="Corporate"/>
    <s v="Online"/>
    <s v="Online"/>
    <s v="G. Dubois"/>
    <s v="G. Dubois"/>
    <s v="Printers"/>
    <s v="High"/>
    <s v="PRN-4911"/>
    <s v="A"/>
    <n v="1203.58"/>
    <n v="1856.16"/>
    <n v="1856.16"/>
    <n v="0.129"/>
    <n v="0.129"/>
    <s v="Low"/>
    <n v="22"/>
    <n v="35567.737920000007"/>
    <n v="26478.76"/>
    <n v="9088.9779200000085"/>
    <n v="0.25553994860295032"/>
  </r>
  <r>
    <s v="ORD-2024-446699"/>
    <d v="2024-08-28T00:00:00"/>
    <d v="2024-08-28T00:00:00"/>
    <d v="2024-09-25T00:00:00"/>
    <d v="2024-09-25T00:00:00"/>
    <n v="28"/>
    <s v="Not Met"/>
    <s v="08-2024"/>
    <s v="Q3-2024"/>
    <d v="2023-01-29T00:00:00"/>
    <x v="0"/>
    <s v="Americas"/>
    <x v="9"/>
    <s v="Rio de Janeiro"/>
    <s v="Rio de Janeiro"/>
    <s v="Non-Profit"/>
    <s v="Online"/>
    <s v="Online"/>
    <m/>
    <s v="H. Kim"/>
    <s v="Accessories"/>
    <s v="High"/>
    <s v="ACC-4490"/>
    <s v="A"/>
    <n v="1394.65"/>
    <n v="3144.1"/>
    <n v="3144.1"/>
    <n v="0.13400000000000001"/>
    <n v="0.13400000000000001"/>
    <s v="Low"/>
    <n v="13"/>
    <n v="35396.277799999996"/>
    <n v="18130.45"/>
    <n v="17265.827799999995"/>
    <n v="0.4877865378263021"/>
  </r>
  <r>
    <s v="ORD-2025-233883"/>
    <d v="2025-09-08T00:00:00"/>
    <d v="2025-09-08T00:00:00"/>
    <d v="2025-09-16T00:00:00"/>
    <d v="2025-09-16T00:00:00"/>
    <n v="8"/>
    <s v="Not Met"/>
    <s v="09-2025"/>
    <s v="Q3-2025"/>
    <d v="2023-03-03T00:00:00"/>
    <x v="1"/>
    <s v="Asia"/>
    <x v="7"/>
    <s v="Osaka"/>
    <s v="Osaka"/>
    <s v="Corporate"/>
    <s v="Distributor"/>
    <s v="Distributor"/>
    <s v="C. Otieno"/>
    <s v="C. Otieno"/>
    <s v="Phones"/>
    <s v="High"/>
    <s v="PHN-1197"/>
    <s v="A"/>
    <n v="1225.57"/>
    <n v="2705.57"/>
    <n v="2705.57"/>
    <n v="0.183"/>
    <n v="0.183"/>
    <s v="Low"/>
    <n v="16"/>
    <n v="35367.211040000002"/>
    <n v="19609.12"/>
    <n v="15758.091040000003"/>
    <n v="0.44555650775453404"/>
  </r>
  <r>
    <s v="ORD-2024-704056"/>
    <d v="2024-06-23T00:00:00"/>
    <d v="2024-06-23T00:00:00"/>
    <d v="2024-06-25T00:00:00"/>
    <d v="2024-06-25T00:00:00"/>
    <n v="2"/>
    <s v="Met"/>
    <s v="06-2024"/>
    <s v="Q2-2024"/>
    <d v="2023-01-19T00:00:00"/>
    <x v="0"/>
    <s v="Europe"/>
    <x v="1"/>
    <s v="Birmingham"/>
    <s v="Birmingham"/>
    <s v="Small Business"/>
    <s v="Marketplace"/>
    <s v="Marketplace"/>
    <s v="L. Okafor"/>
    <s v="L. Okafor"/>
    <s v="Accessories"/>
    <s v="High"/>
    <s v="ACC-7838"/>
    <s v="A"/>
    <n v="951.44"/>
    <n v="1646.43"/>
    <n v="1646.43"/>
    <n v="0.11"/>
    <n v="0.11"/>
    <s v="Low"/>
    <n v="24"/>
    <n v="35167.7448"/>
    <n v="22834.560000000001"/>
    <n v="12333.184799999999"/>
    <n v="0.35069592520473475"/>
  </r>
  <r>
    <s v="ORD-2024-580808"/>
    <d v="2024-06-16T00:00:00"/>
    <d v="2024-06-16T00:00:00"/>
    <d v="2024-07-03T00:00:00"/>
    <d v="2024-07-03T00:00:00"/>
    <n v="17"/>
    <s v="Not Met"/>
    <s v="06-2024"/>
    <s v="Q2-2024"/>
    <d v="2023-01-07T00:00:00"/>
    <x v="0"/>
    <s v="Africa"/>
    <x v="8"/>
    <s v="Johannesburg"/>
    <s v="Johannesburg"/>
    <s v="Enterprise"/>
    <s v="Marketplace"/>
    <s v="Marketplace"/>
    <s v="F. Müller"/>
    <s v="F. Müller"/>
    <s v="Phones"/>
    <s v="High"/>
    <s v="PHN-6832"/>
    <s v="A"/>
    <n v="1173.83"/>
    <n v="2328.9"/>
    <n v="2328.9"/>
    <n v="0.12"/>
    <n v="0.12"/>
    <s v="Low"/>
    <n v="17"/>
    <n v="34840.344000000005"/>
    <n v="19955.11"/>
    <n v="14885.234000000004"/>
    <n v="0.42724130393201637"/>
  </r>
  <r>
    <s v="ORD-2024-915495"/>
    <d v="2024-08-08T00:00:00"/>
    <d v="2024-08-08T00:00:00"/>
    <d v="2024-08-20T00:00:00"/>
    <d v="2024-08-20T00:00:00"/>
    <n v="12"/>
    <s v="Not Met"/>
    <s v="08-2024"/>
    <s v="Q3-2024"/>
    <d v="2023-03-03T00:00:00"/>
    <x v="1"/>
    <s v="Asia"/>
    <x v="7"/>
    <s v="Osaka"/>
    <s v="Osaka"/>
    <s v="Small Business"/>
    <s v="Retail"/>
    <s v="Retail"/>
    <s v="H. Kim"/>
    <s v="H. Kim"/>
    <s v="Networking"/>
    <s v="High"/>
    <s v="NET-8957"/>
    <s v="A"/>
    <n v="1233.3599999999999"/>
    <n v="2120.4"/>
    <n v="2120.4"/>
    <n v="0.17899999999999999"/>
    <n v="0.17899999999999999"/>
    <s v="Low"/>
    <n v="20"/>
    <n v="34816.968000000001"/>
    <n v="24667.199999999997"/>
    <n v="10149.768000000004"/>
    <n v="0.29151785991244278"/>
  </r>
  <r>
    <s v="ORD-2025-474368"/>
    <d v="2025-04-27T00:00:00"/>
    <d v="2025-04-27T00:00:00"/>
    <d v="2025-05-17T00:00:00"/>
    <d v="2025-05-17T00:00:00"/>
    <n v="20"/>
    <s v="Not Met"/>
    <s v="04-2025"/>
    <s v="Q2-2025"/>
    <d v="2023-01-13T00:00:00"/>
    <x v="0"/>
    <s v="Americas"/>
    <x v="6"/>
    <s v="Austin"/>
    <s v="Austin"/>
    <s v="Corporate"/>
    <s v="Direct"/>
    <s v="Direct"/>
    <s v="N. Brown"/>
    <s v="N. Brown"/>
    <s v="Phones"/>
    <s v="Medium"/>
    <s v="PHN-8776"/>
    <s v="A"/>
    <n v="932.26"/>
    <n v="1624.67"/>
    <n v="1624.67"/>
    <n v="0.23499999999999999"/>
    <n v="0.23499999999999999"/>
    <s v="High"/>
    <n v="28"/>
    <n v="34800.431400000001"/>
    <n v="26103.279999999999"/>
    <n v="8697.1514000000025"/>
    <n v="0.24991504559337163"/>
  </r>
  <r>
    <s v="ORD-2024-745822"/>
    <d v="2024-03-31T00:00:00"/>
    <d v="2024-03-31T00:00:00"/>
    <d v="2024-04-17T00:00:00"/>
    <d v="2024-04-17T00:00:00"/>
    <n v="17"/>
    <s v="Not Met"/>
    <s v="03-2024"/>
    <s v="Q1-2024"/>
    <d v="2023-01-21T00:00:00"/>
    <x v="0"/>
    <s v="Europe"/>
    <x v="4"/>
    <s v="Frankfurt"/>
    <s v="Frankfurt"/>
    <s v="Education"/>
    <s v="Direct"/>
    <s v="Direct"/>
    <s v="H. Kim"/>
    <s v="H. Kim"/>
    <s v="Monitors"/>
    <s v="Medium"/>
    <s v="MON-8651"/>
    <s v="A"/>
    <n v="1025.51"/>
    <n v="1436.54"/>
    <n v="1436.54"/>
    <n v="0.13900000000000001"/>
    <n v="0.13900000000000001"/>
    <s v="Low"/>
    <n v="28"/>
    <n v="34632.106319999999"/>
    <n v="28714.28"/>
    <n v="5917.8263200000001"/>
    <n v="0.17087688127656453"/>
  </r>
  <r>
    <s v="ORD-2023-292714"/>
    <d v="2023-07-10T00:00:00"/>
    <d v="2023-07-10T00:00:00"/>
    <d v="2023-08-01T00:00:00"/>
    <d v="2023-08-01T00:00:00"/>
    <n v="22"/>
    <s v="Not Met"/>
    <s v="07-2023"/>
    <s v="Q3-2023"/>
    <d v="2023-01-10T00:00:00"/>
    <x v="0"/>
    <s v="Europe"/>
    <x v="11"/>
    <s v="Marseille"/>
    <s v="Marseille"/>
    <s v="Consumer"/>
    <s v="Marketplace"/>
    <s v="Marketplace"/>
    <s v="B. Chen"/>
    <s v="B. Chen"/>
    <s v="Printers"/>
    <s v="High"/>
    <s v="PRN-1504"/>
    <s v="A"/>
    <n v="1303.56"/>
    <n v="1791.37"/>
    <n v="1791.37"/>
    <n v="0.126"/>
    <n v="0.126"/>
    <s v="Low"/>
    <n v="22"/>
    <n v="34444.462359999998"/>
    <n v="28678.32"/>
    <n v="5766.142359999998"/>
    <n v="0.16740404596055358"/>
  </r>
  <r>
    <s v="ORD-2024-437164"/>
    <d v="2024-02-20T00:00:00"/>
    <d v="2024-02-20T00:00:00"/>
    <d v="2024-02-20T00:00:00"/>
    <d v="2024-02-20T00:00:00"/>
    <n v="0"/>
    <s v="Met"/>
    <s v="02-2024"/>
    <s v="Q1-2024"/>
    <d v="2023-01-13T00:00:00"/>
    <x v="0"/>
    <s v="Americas"/>
    <x v="6"/>
    <s v="New York"/>
    <s v="New York"/>
    <s v="Enterprise"/>
    <s v="Online"/>
    <s v="Online"/>
    <s v="C. Otieno"/>
    <s v="C. Otieno"/>
    <s v="Networking"/>
    <s v="High"/>
    <s v="NET-9177"/>
    <s v="A"/>
    <n v="1407.05"/>
    <n v="2858.93"/>
    <n v="2858.93"/>
    <n v="0"/>
    <n v="0"/>
    <s v="Low"/>
    <n v="12"/>
    <n v="34307.159999999996"/>
    <n v="16884.599999999999"/>
    <n v="17422.559999999998"/>
    <n v="0.50784034586366222"/>
  </r>
  <r>
    <s v="ORD-2024-638884"/>
    <d v="2024-05-28T00:00:00"/>
    <d v="2024-05-26T00:00:00"/>
    <d v="2024-05-26T00:00:00"/>
    <d v="2024-05-28T00:00:00"/>
    <n v="2"/>
    <s v="Met"/>
    <s v="05-2024"/>
    <s v="Q2-2024"/>
    <d v="2023-01-13T00:00:00"/>
    <x v="0"/>
    <s v="Africa"/>
    <x v="2"/>
    <s v="Abuja"/>
    <s v="Abuja"/>
    <s v="Enterprise"/>
    <s v="Online"/>
    <s v="Online"/>
    <s v="F. Müller"/>
    <s v="F. Müller"/>
    <s v="Accessories"/>
    <s v="High"/>
    <s v="ACC-5177"/>
    <s v="A"/>
    <n v="1227.08"/>
    <n v="1896.62"/>
    <n v="1896.62"/>
    <n v="0"/>
    <n v="0"/>
    <s v="Low"/>
    <n v="18"/>
    <n v="34139.159999999996"/>
    <n v="22087.439999999999"/>
    <n v="12051.719999999998"/>
    <n v="0.353017473189147"/>
  </r>
  <r>
    <s v="ORD-2025-646342"/>
    <d v="2025-08-02T00:00:00"/>
    <d v="2025-08-02T00:00:00"/>
    <d v="2025-08-08T00:00:00"/>
    <d v="2025-08-08T00:00:00"/>
    <n v="6"/>
    <s v="Met"/>
    <s v="08-2025"/>
    <s v="Q3-2025"/>
    <d v="2023-03-03T00:00:00"/>
    <x v="1"/>
    <s v="Asia"/>
    <x v="7"/>
    <s v="Osaka"/>
    <s v="Osaka"/>
    <s v="Consumer"/>
    <s v="Direct"/>
    <s v="Direct"/>
    <s v="N. Brown"/>
    <s v="N. Brown"/>
    <s v="Laptops"/>
    <s v="High"/>
    <s v="LAP-4828"/>
    <s v="A"/>
    <n v="1225.94"/>
    <n v="1793.08"/>
    <n v="1793.08"/>
    <n v="0.13600000000000001"/>
    <n v="0.13600000000000001"/>
    <s v="Low"/>
    <n v="22"/>
    <n v="34082.864639999993"/>
    <n v="26970.68"/>
    <n v="7112.1846399999922"/>
    <n v="0.20867332353434462"/>
  </r>
  <r>
    <s v="ORD-2024-907733"/>
    <d v="2024-03-09T00:00:00"/>
    <d v="2024-03-09T00:00:00"/>
    <d v="2024-03-22T00:00:00"/>
    <d v="2024-03-22T00:00:00"/>
    <n v="13"/>
    <s v="Not Met"/>
    <s v="03-2024"/>
    <s v="Q1-2024"/>
    <d v="2023-01-19T00:00:00"/>
    <x v="0"/>
    <s v="Europe"/>
    <x v="1"/>
    <s v="Manchester"/>
    <s v="Manchester"/>
    <s v="Consumer"/>
    <s v="Online"/>
    <s v="Online"/>
    <s v="E. Garcia"/>
    <s v="E. Garcia"/>
    <s v="Laptops"/>
    <s v="High"/>
    <s v="LAP-8633"/>
    <s v="A"/>
    <n v="985.45"/>
    <n v="1802.44"/>
    <n v="1802.44"/>
    <n v="8.9999999999999993E-3"/>
    <n v="8.9999999999999993E-3"/>
    <s v="Low"/>
    <n v="19"/>
    <n v="33938.142760000002"/>
    <n v="18723.55"/>
    <n v="15214.592760000003"/>
    <n v="0.44830363486867486"/>
  </r>
  <r>
    <s v="ORD-2024-906395"/>
    <d v="2024-03-10T00:00:00"/>
    <d v="2024-03-10T00:00:00"/>
    <d v="2024-04-09T00:00:00"/>
    <d v="2024-04-09T00:00:00"/>
    <n v="30"/>
    <s v="Not Met"/>
    <s v="03-2024"/>
    <s v="Q1-2024"/>
    <d v="2023-01-10T00:00:00"/>
    <x v="0"/>
    <s v="Europe"/>
    <x v="11"/>
    <s v="Lyon"/>
    <s v="Lyon"/>
    <s v="Corporate"/>
    <s v="Direct"/>
    <s v="Direct"/>
    <s v="I. Johnson"/>
    <s v="I. Johnson"/>
    <s v="Components"/>
    <s v="High"/>
    <s v="CMP-8002"/>
    <s v="A"/>
    <n v="1176.56"/>
    <n v="1911.89"/>
    <n v="1911.89"/>
    <n v="0.11899999999999999"/>
    <n v="0.11899999999999999"/>
    <s v="Low"/>
    <n v="20"/>
    <n v="33687.501800000005"/>
    <n v="23531.199999999997"/>
    <n v="10156.301800000008"/>
    <n v="0.30148575160892477"/>
  </r>
  <r>
    <s v="ORD-2024-536442"/>
    <d v="2024-08-31T00:00:00"/>
    <d v="2024-08-31T00:00:00"/>
    <d v="2024-09-26T00:00:00"/>
    <d v="2024-09-26T00:00:00"/>
    <n v="26"/>
    <s v="Not Met"/>
    <s v="08-2024"/>
    <s v="Q3-2024"/>
    <d v="2023-03-03T00:00:00"/>
    <x v="1"/>
    <s v="Asia"/>
    <x v="7"/>
    <s v="Tokyo"/>
    <s v="Tokyo"/>
    <s v="Education"/>
    <s v="Online"/>
    <s v="Online"/>
    <s v="I. Johnson"/>
    <s v="I. Johnson"/>
    <s v="Phones"/>
    <s v="High"/>
    <s v="PHN-6111"/>
    <s v="A"/>
    <n v="1189.03"/>
    <n v="2949.62"/>
    <n v="2949.62"/>
    <n v="0.125"/>
    <n v="0.125"/>
    <s v="Low"/>
    <n v="13"/>
    <n v="33551.927499999998"/>
    <n v="15457.39"/>
    <n v="18094.537499999999"/>
    <n v="0.53929949330034765"/>
  </r>
  <r>
    <s v="ORD-2023-640022"/>
    <d v="2023-08-24T00:00:00"/>
    <d v="2023-08-24T00:00:00"/>
    <d v="2023-09-20T00:00:00"/>
    <d v="2023-09-20T00:00:00"/>
    <n v="27"/>
    <s v="Not Met"/>
    <s v="08-2023"/>
    <s v="Q3-2023"/>
    <d v="2023-01-07T00:00:00"/>
    <x v="0"/>
    <s v="Africa"/>
    <x v="8"/>
    <s v="Durban"/>
    <s v="Durban"/>
    <s v="Small Business"/>
    <s v="Marketplace"/>
    <s v="Marketplace"/>
    <s v="M. Rossi"/>
    <s v="M. Rossi"/>
    <s v="Printers"/>
    <s v="High"/>
    <s v="PRN-4732"/>
    <s v="A"/>
    <n v="1399.64"/>
    <n v="3342.11"/>
    <n v="3342.11"/>
    <n v="0"/>
    <n v="0"/>
    <s v="Low"/>
    <n v="10"/>
    <n v="33421.1"/>
    <n v="13996.400000000001"/>
    <n v="19424.699999999997"/>
    <n v="0.58121067229983447"/>
  </r>
  <r>
    <s v="ORD-2025-137394"/>
    <d v="2025-01-04T00:00:00"/>
    <d v="2025-01-04T00:00:00"/>
    <d v="2025-01-05T00:00:00"/>
    <d v="2025-01-05T00:00:00"/>
    <n v="1"/>
    <s v="Met"/>
    <s v="01-2025"/>
    <s v="Q1-2025"/>
    <d v="2023-01-29T00:00:00"/>
    <x v="0"/>
    <s v="Asia"/>
    <x v="3"/>
    <s v="Delhi"/>
    <s v="Delhi"/>
    <s v="Education"/>
    <s v="Retail"/>
    <s v="Retail"/>
    <s v="I. Johnson"/>
    <s v="I. Johnson"/>
    <s v="Components"/>
    <s v="High"/>
    <s v="CMP-1156"/>
    <s v="A"/>
    <n v="1428.33"/>
    <n v="3028.05"/>
    <n v="3028.05"/>
    <n v="0"/>
    <n v="0"/>
    <s v="Low"/>
    <n v="11"/>
    <n v="33308.550000000003"/>
    <n v="15711.63"/>
    <n v="17596.920000000006"/>
    <n v="0.52830039134096207"/>
  </r>
  <r>
    <s v="ORD-2025-915869"/>
    <d v="2025-02-06T00:00:00"/>
    <d v="2025-02-06T00:00:00"/>
    <d v="2025-02-15T00:00:00"/>
    <d v="2025-02-15T00:00:00"/>
    <n v="9"/>
    <s v="Not Met"/>
    <s v="02-2025"/>
    <s v="Q1-2025"/>
    <d v="2023-01-29T00:00:00"/>
    <x v="0"/>
    <s v="Americas"/>
    <x v="9"/>
    <s v="São Paulo"/>
    <s v="São Paulo"/>
    <s v="Non-Profit"/>
    <s v="Distributor"/>
    <s v="Distributor"/>
    <s v="F. Müller"/>
    <s v="F. Müller"/>
    <s v="Networking"/>
    <s v="High"/>
    <s v="NET-5482"/>
    <s v="A"/>
    <n v="837.39"/>
    <n v="1905.42"/>
    <n v="1905.42"/>
    <n v="3.2000000000000001E-2"/>
    <n v="3.2000000000000001E-2"/>
    <s v="Low"/>
    <n v="18"/>
    <n v="33200.038079999998"/>
    <n v="15073.02"/>
    <n v="18127.018079999998"/>
    <n v="0.54599389423350919"/>
  </r>
  <r>
    <s v="ORD-2024-331226"/>
    <d v="2024-11-30T00:00:00"/>
    <d v="2024-11-30T00:00:00"/>
    <d v="2024-12-19T00:00:00"/>
    <d v="2024-12-19T00:00:00"/>
    <n v="19"/>
    <s v="Not Met"/>
    <s v="11-2024"/>
    <s v="Q4-2024"/>
    <d v="2023-01-20T00:00:00"/>
    <x v="0"/>
    <s v="Africa"/>
    <x v="5"/>
    <s v="Kisumu"/>
    <s v="Kisumu"/>
    <s v="Corporate"/>
    <s v="Online"/>
    <s v="Online"/>
    <s v="L. Okafor"/>
    <s v="L. Okafor"/>
    <s v="Phones"/>
    <s v="High"/>
    <s v="PHN-1919"/>
    <s v="A"/>
    <n v="1195.98"/>
    <n v="1841.9"/>
    <n v="1841.9"/>
    <n v="5.5E-2"/>
    <n v="5.5E-2"/>
    <s v="Low"/>
    <n v="19"/>
    <n v="33071.3145"/>
    <n v="22723.62"/>
    <n v="10347.694500000001"/>
    <n v="0.31289032977506842"/>
  </r>
  <r>
    <s v="ORD-2024-451005"/>
    <d v="2024-06-30T00:00:00"/>
    <d v="2024-06-28T00:00:00"/>
    <d v="2024-06-28T00:00:00"/>
    <d v="2024-06-30T00:00:00"/>
    <n v="2"/>
    <s v="Met"/>
    <s v="06-2024"/>
    <s v="Q2-2024"/>
    <d v="2023-01-29T00:00:00"/>
    <x v="0"/>
    <s v="Americas"/>
    <x v="9"/>
    <s v="Rio de Janeiro"/>
    <s v="Rio de Janeiro"/>
    <s v="Small Business"/>
    <s v="Direct"/>
    <s v="Direct"/>
    <s v="L. Okafor"/>
    <s v="L. Okafor"/>
    <s v="Accessories"/>
    <s v="High"/>
    <s v="ACC-9162"/>
    <s v="A"/>
    <n v="1112.98"/>
    <n v="2095.73"/>
    <n v="2095.73"/>
    <n v="7.1999999999999995E-2"/>
    <n v="7.1999999999999995E-2"/>
    <s v="Low"/>
    <n v="17"/>
    <n v="33062.236480000007"/>
    <n v="18920.66"/>
    <n v="14141.576480000007"/>
    <n v="0.42772594916724777"/>
  </r>
  <r>
    <s v="ORD-2023-921939"/>
    <d v="2023-06-23T00:00:00"/>
    <d v="2023-06-23T00:00:00"/>
    <d v="2023-07-18T00:00:00"/>
    <d v="2023-07-18T00:00:00"/>
    <n v="25"/>
    <s v="Not Met"/>
    <s v="06-2023"/>
    <s v="Q2-2023"/>
    <d v="2023-01-02T00:00:00"/>
    <x v="0"/>
    <s v="Americas"/>
    <x v="0"/>
    <s v="Vancouver"/>
    <s v="Vancouver"/>
    <s v="Enterprise"/>
    <s v="Online"/>
    <s v="Online"/>
    <s v="N. Brown"/>
    <s v="N. Brown"/>
    <s v="Phones"/>
    <s v="Medium"/>
    <s v="PHN-4677"/>
    <s v="A"/>
    <n v="807.02"/>
    <n v="1435.54"/>
    <n v="1435.54"/>
    <n v="0"/>
    <n v="0"/>
    <s v="Low"/>
    <n v="23"/>
    <n v="33017.42"/>
    <n v="18561.46"/>
    <n v="14455.96"/>
    <n v="0.43782827368098415"/>
  </r>
  <r>
    <s v="ORD-2023-561823"/>
    <d v="2023-11-19T00:00:00"/>
    <d v="2023-11-19T00:00:00"/>
    <d v="2023-12-12T00:00:00"/>
    <d v="2023-12-12T00:00:00"/>
    <n v="23"/>
    <s v="Not Met"/>
    <s v="11-2023"/>
    <s v="Q4-2023"/>
    <d v="2023-01-29T00:00:00"/>
    <x v="0"/>
    <s v="Asia"/>
    <x v="3"/>
    <s v="Delhi"/>
    <s v="Delhi"/>
    <s v="Small Business"/>
    <s v="Direct"/>
    <s v="Direct"/>
    <s v="C. Otieno"/>
    <s v="C. Otieno"/>
    <s v="Networking"/>
    <s v="High"/>
    <s v="NET-2460"/>
    <s v="A"/>
    <n v="1349.04"/>
    <n v="2636.6"/>
    <n v="2636.6"/>
    <n v="0.114"/>
    <n v="0.114"/>
    <s v="Low"/>
    <n v="14"/>
    <n v="32704.386400000003"/>
    <n v="18886.559999999998"/>
    <n v="13817.826400000005"/>
    <n v="0.42250682312143928"/>
  </r>
  <r>
    <s v="ORD-2023-308124"/>
    <d v="2023-04-19T00:00:00"/>
    <d v="2023-04-19T00:00:00"/>
    <d v="2023-04-30T00:00:00"/>
    <d v="2023-04-30T00:00:00"/>
    <n v="11"/>
    <s v="Not Met"/>
    <s v="04-2023"/>
    <s v="Q2-2023"/>
    <d v="2023-01-29T00:00:00"/>
    <x v="0"/>
    <s v="Asia"/>
    <x v="3"/>
    <s v="Delhi"/>
    <s v="Delhi"/>
    <s v="Small Business"/>
    <s v="Retail"/>
    <s v="Retail"/>
    <s v="A. Patel"/>
    <s v="A. Patel"/>
    <s v="Networking"/>
    <s v="Medium"/>
    <s v="NET-2062"/>
    <s v="A"/>
    <n v="826.55"/>
    <n v="1397.05"/>
    <n v="1397.05"/>
    <n v="0.16900000000000001"/>
    <n v="0.16900000000000001"/>
    <s v="Low"/>
    <n v="28"/>
    <n v="32506.559399999998"/>
    <n v="23143.399999999998"/>
    <n v="9363.1594000000005"/>
    <n v="0.28803907804527601"/>
  </r>
  <r>
    <s v="ORD-2024-310809"/>
    <d v="2024-04-05T00:00:00"/>
    <d v="2024-04-05T00:00:00"/>
    <d v="2024-04-09T00:00:00"/>
    <d v="2024-04-09T00:00:00"/>
    <n v="4"/>
    <s v="Met"/>
    <s v="04-2024"/>
    <s v="Q2-2024"/>
    <d v="2023-01-13T00:00:00"/>
    <x v="0"/>
    <s v="Africa"/>
    <x v="2"/>
    <s v="Lagos"/>
    <s v="Lagos"/>
    <s v="Non-Profit"/>
    <s v="Direct"/>
    <s v="Direct"/>
    <s v="K. Singh"/>
    <s v="K. Singh"/>
    <s v="Components"/>
    <s v="Medium"/>
    <s v="CMP-6529"/>
    <s v="A"/>
    <n v="395.07"/>
    <n v="970.27"/>
    <n v="970.27"/>
    <n v="0.123"/>
    <n v="0.123"/>
    <s v="Low"/>
    <n v="38"/>
    <n v="32335.21802"/>
    <n v="15012.66"/>
    <n v="17322.55802"/>
    <n v="0.53571799049833657"/>
  </r>
  <r>
    <s v="ORD-2023-545150"/>
    <d v="2023-04-06T00:00:00"/>
    <d v="2023-04-06T00:00:00"/>
    <d v="2023-04-08T00:00:00"/>
    <d v="2023-04-08T00:00:00"/>
    <n v="2"/>
    <s v="Met"/>
    <s v="04-2023"/>
    <s v="Q2-2023"/>
    <d v="2023-01-13T00:00:00"/>
    <x v="0"/>
    <s v="Africa"/>
    <x v="2"/>
    <s v="Abuja"/>
    <s v="Abuja"/>
    <s v="Small Business"/>
    <s v="Marketplace"/>
    <s v="Marketplace"/>
    <s v="K. Singh"/>
    <s v="K. Singh"/>
    <s v="Monitors"/>
    <s v="Medium"/>
    <s v="MON-4373"/>
    <s v="A"/>
    <n v="720.35"/>
    <n v="1571.66"/>
    <n v="1571.66"/>
    <n v="0.107"/>
    <n v="0.107"/>
    <s v="Low"/>
    <n v="23"/>
    <n v="32280.32474"/>
    <n v="16568.05"/>
    <n v="15712.274740000001"/>
    <n v="0.4867446305622265"/>
  </r>
  <r>
    <s v="ORD-2023-912395"/>
    <d v="2023-07-26T00:00:00"/>
    <d v="2023-07-26T00:00:00"/>
    <d v="2023-08-25T00:00:00"/>
    <d v="2023-08-25T00:00:00"/>
    <n v="30"/>
    <s v="Not Met"/>
    <s v="07-2023"/>
    <s v="Q3-2023"/>
    <d v="2023-01-13T00:00:00"/>
    <x v="0"/>
    <s v="Americas"/>
    <x v="6"/>
    <s v="New York"/>
    <s v="New York"/>
    <s v="Consumer"/>
    <s v="Retail"/>
    <s v="Retail"/>
    <s v="M. Rossi"/>
    <s v="M. Rossi"/>
    <s v="Accessories"/>
    <s v="High"/>
    <s v="ACC-7078"/>
    <s v="A"/>
    <n v="1261.48"/>
    <n v="1643.18"/>
    <n v="1643.18"/>
    <n v="0.151"/>
    <n v="0.151"/>
    <s v="Low"/>
    <n v="23"/>
    <n v="32086.37586"/>
    <n v="29014.04"/>
    <n v="3072.3358599999992"/>
    <n v="9.5752037357079045E-2"/>
  </r>
  <r>
    <s v="ORD-2023-472078"/>
    <d v="2023-02-28T00:00:00"/>
    <d v="2023-02-28T00:00:00"/>
    <d v="2023-03-06T00:00:00"/>
    <d v="2023-03-06T00:00:00"/>
    <n v="6"/>
    <s v="Met"/>
    <s v="02-2023"/>
    <s v="Q1-2023"/>
    <d v="2023-01-21T00:00:00"/>
    <x v="0"/>
    <s v="Europe"/>
    <x v="4"/>
    <s v="Frankfurt"/>
    <s v="Frankfurt"/>
    <s v="Small Business"/>
    <s v="Marketplace"/>
    <s v="Marketplace"/>
    <s v="D. Smith"/>
    <s v="D. Smith"/>
    <s v="Printers"/>
    <s v="Medium"/>
    <s v="PRN-9624"/>
    <s v="A"/>
    <n v="880.02"/>
    <n v="1251.21"/>
    <n v="1251.21"/>
    <n v="0.123"/>
    <n v="0.123"/>
    <s v="Low"/>
    <n v="29"/>
    <n v="31822.023930000003"/>
    <n v="25520.579999999998"/>
    <n v="6301.4439300000049"/>
    <n v="0.19802146915172672"/>
  </r>
  <r>
    <s v="ORD-2025-765220"/>
    <d v="2025-04-06T00:00:00"/>
    <d v="2025-04-06T00:00:00"/>
    <d v="2025-04-30T00:00:00"/>
    <d v="2025-04-30T00:00:00"/>
    <n v="24"/>
    <s v="Not Met"/>
    <s v="04-2025"/>
    <s v="Q2-2025"/>
    <d v="2023-01-29T00:00:00"/>
    <x v="0"/>
    <s v="Americas"/>
    <x v="9"/>
    <s v="Brasília"/>
    <s v="Brasília"/>
    <s v="Education"/>
    <s v="Online"/>
    <s v="Online"/>
    <s v="K. Singh"/>
    <s v="K. Singh"/>
    <s v="Monitors"/>
    <s v="Medium"/>
    <s v="MON-4925"/>
    <s v="A"/>
    <n v="855.78"/>
    <n v="977.38"/>
    <n v="977.38"/>
    <n v="0.14699999999999999"/>
    <n v="0.14699999999999999"/>
    <s v="Low"/>
    <n v="38"/>
    <n v="31680.795320000001"/>
    <n v="32519.64"/>
    <n v="838.84467999999833"/>
    <n v="2.6478018355506307E-2"/>
  </r>
  <r>
    <s v="ORD-2025-700847"/>
    <d v="2025-05-21T00:00:00"/>
    <d v="2025-05-19T00:00:00"/>
    <d v="2025-05-19T00:00:00"/>
    <d v="2025-05-21T00:00:00"/>
    <n v="2"/>
    <s v="Met"/>
    <s v="05-2025"/>
    <s v="Q2-2025"/>
    <d v="2023-01-07T00:00:00"/>
    <x v="0"/>
    <s v="Africa"/>
    <x v="8"/>
    <s v="Johannesburg"/>
    <s v="Johannesburg"/>
    <s v="Non-Profit"/>
    <s v="Distributor"/>
    <s v="Distributor"/>
    <s v="O. Wang"/>
    <s v="O. Wang"/>
    <s v="Laptops"/>
    <s v="High"/>
    <s v="LAP-7099"/>
    <s v="A"/>
    <n v="1263.8399999999999"/>
    <n v="2281.7199999999998"/>
    <n v="2281.7199999999998"/>
    <n v="7.8E-2"/>
    <n v="7.8E-2"/>
    <s v="Low"/>
    <n v="15"/>
    <n v="31556.187599999997"/>
    <n v="18957.599999999999"/>
    <n v="12598.587599999999"/>
    <n v="0.39924301882398494"/>
  </r>
  <r>
    <s v="ORD-2024-465898"/>
    <d v="2024-06-06T00:00:00"/>
    <d v="2024-06-06T00:00:00"/>
    <d v="2024-06-24T00:00:00"/>
    <d v="2024-06-24T00:00:00"/>
    <n v="18"/>
    <s v="Not Met"/>
    <s v="06-2024"/>
    <s v="Q2-2024"/>
    <d v="2023-01-29T00:00:00"/>
    <x v="0"/>
    <s v="Asia"/>
    <x v="3"/>
    <s v="Bengaluru"/>
    <s v="Bengaluru"/>
    <s v="Small Business"/>
    <s v="Direct"/>
    <s v="Direct"/>
    <s v="H. Kim"/>
    <s v="H. Kim"/>
    <s v="Networking"/>
    <s v="High"/>
    <s v="NET-6578"/>
    <s v="A"/>
    <n v="1253.25"/>
    <n v="3087.13"/>
    <n v="3087.13"/>
    <n v="7.1999999999999995E-2"/>
    <n v="7.1999999999999995E-2"/>
    <s v="Low"/>
    <n v="11"/>
    <n v="31513.423040000001"/>
    <n v="13785.75"/>
    <n v="17727.673040000001"/>
    <n v="0.562543555408064"/>
  </r>
  <r>
    <s v="ORD-2023-842820"/>
    <d v="2023-09-20T00:00:00"/>
    <d v="2023-09-20T00:00:00"/>
    <d v="2023-09-28T00:00:00"/>
    <d v="2023-09-28T00:00:00"/>
    <n v="8"/>
    <s v="Not Met"/>
    <s v="09-2023"/>
    <s v="Q3-2023"/>
    <d v="2023-01-29T00:00:00"/>
    <x v="0"/>
    <s v="Asia"/>
    <x v="3"/>
    <m/>
    <s v="Delhi"/>
    <s v="Corporate"/>
    <m/>
    <s v="Marketplace"/>
    <s v="B. Chen"/>
    <s v="B. Chen"/>
    <s v="Accessories"/>
    <s v="High"/>
    <s v="ACC-1375"/>
    <s v="A"/>
    <n v="1362.06"/>
    <n v="3398.37"/>
    <n v="3398.37"/>
    <n v="0.157"/>
    <n v="0.157"/>
    <s v="Low"/>
    <n v="11"/>
    <n v="31513.085009999999"/>
    <n v="14982.66"/>
    <n v="16530.425009999999"/>
    <n v="0.52455749745714919"/>
  </r>
  <r>
    <s v="ORD-2024-998320"/>
    <d v="2024-10-25T00:00:00"/>
    <d v="2024-10-25T00:00:00"/>
    <d v="2024-11-14T00:00:00"/>
    <d v="2024-11-14T00:00:00"/>
    <n v="20"/>
    <s v="Not Met"/>
    <s v="10-2024"/>
    <s v="Q4-2024"/>
    <d v="2023-01-20T00:00:00"/>
    <x v="0"/>
    <s v="Africa"/>
    <x v="5"/>
    <s v="Mombasa"/>
    <s v="Mombasa"/>
    <s v="Corporate"/>
    <s v="Direct"/>
    <s v="Direct"/>
    <s v="H. Kim"/>
    <s v="H. Kim"/>
    <s v="Printers"/>
    <s v="High"/>
    <s v="PRN-3143"/>
    <s v="A"/>
    <n v="1396.48"/>
    <n v="3204.5"/>
    <n v="3204.5"/>
    <n v="0.318"/>
    <n v="0.3"/>
    <s v="High"/>
    <n v="14"/>
    <n v="31404.1"/>
    <n v="19550.72"/>
    <n v="11853.379999999997"/>
    <n v="0.3774468938769141"/>
  </r>
  <r>
    <s v="ORD-2024-444710"/>
    <d v="2024-09-22T00:00:00"/>
    <d v="2024-09-22T00:00:00"/>
    <d v="2024-10-01T00:00:00"/>
    <d v="2024-10-01T00:00:00"/>
    <n v="9"/>
    <s v="Not Met"/>
    <s v="09-2024"/>
    <s v="Q3-2024"/>
    <d v="2023-01-29T00:00:00"/>
    <x v="0"/>
    <s v="Americas"/>
    <x v="9"/>
    <s v="São Paulo"/>
    <s v="São Paulo"/>
    <s v="Non-Profit"/>
    <s v="Online"/>
    <s v="Online"/>
    <s v="K. Singh"/>
    <s v="K. Singh"/>
    <s v="Monitors"/>
    <s v="High"/>
    <s v="MON-6341"/>
    <s v="A"/>
    <n v="1378.8"/>
    <n v="1952.04"/>
    <n v="1952.04"/>
    <n v="0.159"/>
    <n v="0.159"/>
    <s v="Low"/>
    <n v="19"/>
    <n v="31191.64716"/>
    <n v="26197.200000000001"/>
    <n v="4994.4471599999997"/>
    <n v="0.16012130216723058"/>
  </r>
  <r>
    <s v="ORD-2024-690270"/>
    <d v="2024-05-17T00:00:00"/>
    <d v="2024-05-17T00:00:00"/>
    <d v="2024-05-27T00:00:00"/>
    <d v="2024-05-27T00:00:00"/>
    <n v="10"/>
    <s v="Not Met"/>
    <s v="05-2024"/>
    <s v="Q2-2024"/>
    <d v="2023-01-13T00:00:00"/>
    <x v="0"/>
    <s v="Americas"/>
    <x v="6"/>
    <s v="Austin"/>
    <s v="Austin"/>
    <s v="Non-Profit"/>
    <s v="Online"/>
    <s v="Online"/>
    <s v="C. Otieno"/>
    <s v="C. Otieno"/>
    <s v="Phones"/>
    <s v="High"/>
    <s v="PHN-7974"/>
    <s v="A"/>
    <n v="1484.23"/>
    <n v="3472.81"/>
    <n v="3472.81"/>
    <n v="0.25600000000000001"/>
    <n v="0.25600000000000001"/>
    <s v="High"/>
    <n v="12"/>
    <n v="31005.24768"/>
    <n v="17810.760000000002"/>
    <n v="13194.487679999998"/>
    <n v="0.42555659661803413"/>
  </r>
  <r>
    <s v="ORD-2024-165942"/>
    <d v="2024-12-29T00:00:00"/>
    <d v="2024-12-29T00:00:00"/>
    <d v="2025-01-12T00:00:00"/>
    <d v="2025-01-12T00:00:00"/>
    <n v="14"/>
    <s v="Not Met"/>
    <s v="12-2024"/>
    <s v="Q4-2024"/>
    <d v="2023-01-19T00:00:00"/>
    <x v="0"/>
    <s v="Europe"/>
    <x v="1"/>
    <s v="Manchester"/>
    <s v="Manchester"/>
    <s v="Corporate"/>
    <s v="Direct"/>
    <s v="Direct"/>
    <s v="B. Chen"/>
    <s v="B. Chen"/>
    <s v="Monitors"/>
    <s v="High"/>
    <s v="MON-6310"/>
    <s v="A"/>
    <n v="1399.72"/>
    <n v="3149.21"/>
    <n v="3149.21"/>
    <n v="0.185"/>
    <n v="0.185"/>
    <s v="Low"/>
    <n v="12"/>
    <n v="30799.273800000003"/>
    <n v="16796.64"/>
    <n v="14002.633800000003"/>
    <n v="0.45464168703873797"/>
  </r>
  <r>
    <s v="ORD-2023-434071"/>
    <d v="2023-06-20T00:00:00"/>
    <d v="2023-06-20T00:00:00"/>
    <d v="2023-07-04T00:00:00"/>
    <d v="2023-07-04T00:00:00"/>
    <n v="14"/>
    <s v="Not Met"/>
    <s v="06-2023"/>
    <s v="Q2-2023"/>
    <d v="2023-01-29T00:00:00"/>
    <x v="0"/>
    <s v="Americas"/>
    <x v="9"/>
    <s v="Brasília"/>
    <s v="Brasília"/>
    <s v="Non-Profit"/>
    <s v="Direct"/>
    <s v="Direct"/>
    <s v="C. Otieno"/>
    <s v="C. Otieno"/>
    <s v="Networking"/>
    <s v="High"/>
    <s v="NET-1228"/>
    <s v="A"/>
    <n v="1292.8599999999999"/>
    <n v="2981.01"/>
    <n v="2981.01"/>
    <n v="0.14199999999999999"/>
    <n v="0.14199999999999999"/>
    <s v="Low"/>
    <n v="12"/>
    <n v="30692.47896"/>
    <n v="15514.32"/>
    <n v="15178.158960000001"/>
    <n v="0.49452372288927687"/>
  </r>
  <r>
    <s v="ORD-2024-626925"/>
    <d v="2024-06-07T00:00:00"/>
    <d v="2024-06-07T00:00:00"/>
    <d v="2024-06-09T00:00:00"/>
    <d v="2024-06-09T00:00:00"/>
    <n v="2"/>
    <s v="Met"/>
    <s v="06-2024"/>
    <s v="Q2-2024"/>
    <d v="2023-01-12T00:00:00"/>
    <x v="0"/>
    <s v="Asia"/>
    <x v="10"/>
    <s v="Shanghai"/>
    <s v="Shanghai"/>
    <s v="Corporate"/>
    <s v="Retail"/>
    <s v="Retail"/>
    <s v="O. Wang"/>
    <s v="O. Wang"/>
    <s v="Monitors"/>
    <s v="High"/>
    <s v="MON-8688"/>
    <s v="A"/>
    <n v="1370.28"/>
    <n v="2209.66"/>
    <n v="2209.66"/>
    <n v="0.13300000000000001"/>
    <n v="0.13300000000000001"/>
    <s v="Low"/>
    <n v="16"/>
    <n v="30652.403519999996"/>
    <n v="21924.48"/>
    <n v="8727.9235199999966"/>
    <n v="0.28473863442079589"/>
  </r>
  <r>
    <s v="ORD-2023-290237"/>
    <d v="2023-07-30T00:00:00"/>
    <d v="2023-07-30T00:00:00"/>
    <d v="2023-08-07T00:00:00"/>
    <d v="2023-08-07T00:00:00"/>
    <n v="8"/>
    <s v="Not Met"/>
    <s v="07-2023"/>
    <s v="Q3-2023"/>
    <d v="2023-03-03T00:00:00"/>
    <x v="1"/>
    <s v="Asia"/>
    <x v="7"/>
    <s v="Nagoya"/>
    <s v="Nagoya"/>
    <s v="Education"/>
    <s v="Marketplace"/>
    <s v="Marketplace"/>
    <s v="A. Patel"/>
    <s v="A. Patel"/>
    <s v="Networking"/>
    <s v="High"/>
    <s v="NET-1645"/>
    <s v="A"/>
    <n v="1352.44"/>
    <n v="2698.01"/>
    <n v="2698.01"/>
    <n v="0.13100000000000001"/>
    <n v="0.13100000000000001"/>
    <s v="Low"/>
    <n v="13"/>
    <n v="30479.418970000002"/>
    <n v="17581.72"/>
    <n v="12897.698970000001"/>
    <n v="0.42316091992090887"/>
  </r>
  <r>
    <s v="ORD-2025-803803"/>
    <d v="2025-08-28T00:00:00"/>
    <d v="2025-08-28T00:00:00"/>
    <d v="2025-09-05T00:00:00"/>
    <d v="2025-09-05T00:00:00"/>
    <n v="8"/>
    <s v="Not Met"/>
    <s v="08-2025"/>
    <s v="Q3-2025"/>
    <d v="2023-01-13T00:00:00"/>
    <x v="0"/>
    <s v="Africa"/>
    <x v="2"/>
    <s v="Port Harcourt"/>
    <s v="Port Harcourt"/>
    <s v="Small Business"/>
    <s v="Marketplace"/>
    <s v="Marketplace"/>
    <s v="E. Garcia"/>
    <s v="E. Garcia"/>
    <s v="Laptops"/>
    <s v="High"/>
    <s v="LAP-7553"/>
    <s v="A"/>
    <n v="1271.0999999999999"/>
    <n v="1932.42"/>
    <n v="1932.42"/>
    <n v="0.25"/>
    <n v="0.25"/>
    <s v="High"/>
    <n v="21"/>
    <n v="30435.614999999998"/>
    <n v="26693.1"/>
    <n v="3742.5149999999994"/>
    <n v="0.12296498690760807"/>
  </r>
  <r>
    <s v="ORD-2024-817997"/>
    <d v="2024-07-28T00:00:00"/>
    <d v="2024-07-28T00:00:00"/>
    <d v="2024-08-23T00:00:00"/>
    <d v="2024-08-23T00:00:00"/>
    <n v="26"/>
    <s v="Not Met"/>
    <s v="07-2024"/>
    <s v="Q3-2024"/>
    <d v="2023-01-29T00:00:00"/>
    <x v="0"/>
    <s v="Asia"/>
    <x v="3"/>
    <s v="Hyderabad"/>
    <s v="Hyderabad"/>
    <s v="Corporate"/>
    <s v="Retail"/>
    <s v="Retail"/>
    <s v="J. Njeri"/>
    <s v="J. Njeri"/>
    <s v="Networking"/>
    <s v="Medium"/>
    <s v="NET-4675"/>
    <s v="A"/>
    <n v="1339.24"/>
    <n v="1558.89"/>
    <n v="1558.89"/>
    <n v="0.192"/>
    <n v="0.192"/>
    <s v="Low"/>
    <n v="24"/>
    <n v="30229.994880000002"/>
    <n v="32141.760000000002"/>
    <n v="1911.76512"/>
    <n v="6.3240669659021781E-2"/>
  </r>
  <r>
    <s v="ORD-2024-223618"/>
    <d v="2024-06-10T00:00:00"/>
    <d v="2024-06-10T00:00:00"/>
    <d v="2024-06-11T00:00:00"/>
    <d v="2024-06-11T00:00:00"/>
    <n v="1"/>
    <s v="Met"/>
    <s v="06-2024"/>
    <s v="Q2-2024"/>
    <d v="2023-01-19T00:00:00"/>
    <x v="0"/>
    <s v="Europe"/>
    <x v="1"/>
    <s v="Birmingham"/>
    <s v="Birmingham"/>
    <s v="Small Business"/>
    <s v="Marketplace"/>
    <s v="Marketplace"/>
    <s v="M. Rossi"/>
    <s v="M. Rossi"/>
    <s v="Laptops"/>
    <s v="High"/>
    <s v="LAP-9230"/>
    <s v="A"/>
    <n v="1187.1300000000001"/>
    <n v="1795.17"/>
    <n v="1795.17"/>
    <n v="1.2E-2"/>
    <n v="1.2E-2"/>
    <s v="Low"/>
    <n v="17"/>
    <n v="30151.675319999998"/>
    <n v="20181.210000000003"/>
    <n v="9970.4653199999957"/>
    <n v="0.33067699271046663"/>
  </r>
  <r>
    <s v="ORD-2024-140633"/>
    <d v="2024-12-07T00:00:00"/>
    <d v="2024-12-07T00:00:00"/>
    <d v="2024-12-26T00:00:00"/>
    <d v="2024-12-26T00:00:00"/>
    <n v="19"/>
    <s v="Not Met"/>
    <s v="12-2024"/>
    <s v="Q4-2024"/>
    <d v="2023-01-19T00:00:00"/>
    <x v="0"/>
    <s v="Europe"/>
    <x v="1"/>
    <s v="London"/>
    <s v="London"/>
    <s v="Enterprise"/>
    <s v="Online"/>
    <s v="Online"/>
    <s v="D. Smith"/>
    <s v="D. Smith"/>
    <s v="Networking"/>
    <s v="High"/>
    <s v="NET-4491"/>
    <s v="A"/>
    <n v="1035.24"/>
    <n v="2383.41"/>
    <n v="2383.41"/>
    <n v="0.17"/>
    <n v="0.17"/>
    <s v="Low"/>
    <n v="15"/>
    <n v="29673.454499999993"/>
    <n v="15528.6"/>
    <n v="14144.854499999992"/>
    <n v="0.47668378145860962"/>
  </r>
  <r>
    <s v="ORD-2025-931538"/>
    <d v="2025-02-09T00:00:00"/>
    <d v="2025-02-09T00:00:00"/>
    <d v="2025-03-01T00:00:00"/>
    <d v="2025-03-01T00:00:00"/>
    <n v="20"/>
    <s v="Not Met"/>
    <s v="02-2025"/>
    <s v="Q1-2025"/>
    <d v="2023-01-29T00:00:00"/>
    <x v="0"/>
    <s v="Americas"/>
    <x v="9"/>
    <s v="São Paulo"/>
    <s v="São Paulo"/>
    <s v="Corporate"/>
    <s v="Distributor"/>
    <s v="Distributor"/>
    <s v="B. Chen"/>
    <s v="B. Chen"/>
    <s v="Laptops"/>
    <s v="High"/>
    <s v="LAP-6989"/>
    <s v="A"/>
    <n v="1154.6400000000001"/>
    <n v="2794.13"/>
    <n v="2794.13"/>
    <n v="3.5000000000000003E-2"/>
    <n v="3.5000000000000003E-2"/>
    <s v="Low"/>
    <n v="11"/>
    <n v="29659.68995"/>
    <n v="12701.04"/>
    <n v="16958.649949999999"/>
    <n v="0.57177435025749479"/>
  </r>
  <r>
    <s v="ORD-2024-201376"/>
    <d v="2024-02-18T00:00:00"/>
    <d v="2024-02-18T00:00:00"/>
    <d v="2024-03-04T00:00:00"/>
    <d v="2024-03-04T00:00:00"/>
    <n v="15"/>
    <s v="Not Met"/>
    <s v="02-2024"/>
    <s v="Q1-2024"/>
    <d v="2023-01-20T00:00:00"/>
    <x v="0"/>
    <s v="Africa"/>
    <x v="5"/>
    <s v="Kisumu"/>
    <s v="Kisumu"/>
    <s v="Education"/>
    <s v="Direct"/>
    <s v="Direct"/>
    <s v="K. Singh"/>
    <s v="K. Singh"/>
    <s v="Printers"/>
    <s v="High"/>
    <s v="PRN-7089"/>
    <s v="A"/>
    <n v="928.68"/>
    <n v="2145.17"/>
    <n v="2145.17"/>
    <n v="0.13600000000000001"/>
    <n v="0.13600000000000001"/>
    <s v="Low"/>
    <n v="16"/>
    <n v="29654.83008"/>
    <n v="14858.88"/>
    <n v="14795.950080000001"/>
    <n v="0.49893896003062177"/>
  </r>
  <r>
    <s v="ORD-2025-831576"/>
    <d v="2025-09-15T00:00:00"/>
    <d v="2025-09-15T00:00:00"/>
    <d v="2025-09-25T00:00:00"/>
    <d v="2025-09-25T00:00:00"/>
    <n v="10"/>
    <s v="Not Met"/>
    <s v="09-2025"/>
    <s v="Q3-2025"/>
    <d v="2023-01-29T00:00:00"/>
    <x v="0"/>
    <s v="Asia"/>
    <x v="3"/>
    <s v="Delhi"/>
    <s v="Delhi"/>
    <s v="Consumer"/>
    <s v="Retail"/>
    <s v="Retail"/>
    <s v="A. Patel"/>
    <s v="A. Patel"/>
    <s v="Phones"/>
    <s v="Medium"/>
    <s v="PHN-2859"/>
    <s v="A"/>
    <n v="1488.91"/>
    <n v="1483.74"/>
    <n v="1483.74"/>
    <n v="0.16800000000000001"/>
    <n v="0.16800000000000001"/>
    <s v="Low"/>
    <n v="24"/>
    <n v="29627.320319999999"/>
    <n v="35733.840000000004"/>
    <n v="6106.5196800000049"/>
    <n v="0.20611110333450519"/>
  </r>
  <r>
    <s v="ORD-2023-369160"/>
    <d v="2023-07-24T00:00:00"/>
    <d v="2023-07-24T00:00:00"/>
    <d v="2023-08-13T00:00:00"/>
    <d v="2023-08-13T00:00:00"/>
    <n v="20"/>
    <s v="Not Met"/>
    <s v="07-2023"/>
    <s v="Q3-2023"/>
    <d v="2023-01-02T00:00:00"/>
    <x v="0"/>
    <s v="Americas"/>
    <x v="0"/>
    <s v="Montreal"/>
    <s v="Montreal"/>
    <s v="Education"/>
    <s v="Direct"/>
    <s v="Direct"/>
    <s v="C. Otieno"/>
    <s v="C. Otieno"/>
    <s v="Monitors"/>
    <s v="High"/>
    <s v="MON-3307"/>
    <s v="A"/>
    <n v="1082.3800000000001"/>
    <n v="1766.55"/>
    <n v="1766.55"/>
    <n v="0.16400000000000001"/>
    <n v="0.16400000000000001"/>
    <s v="Low"/>
    <n v="20"/>
    <n v="29536.716"/>
    <n v="21647.600000000002"/>
    <n v="7889.1159999999982"/>
    <n v="0.26709523157550752"/>
  </r>
  <r>
    <s v="ORD-2025-418232"/>
    <d v="2025-08-01T00:00:00"/>
    <d v="2025-08-01T00:00:00"/>
    <d v="2025-08-21T00:00:00"/>
    <d v="2025-08-21T00:00:00"/>
    <n v="20"/>
    <s v="Not Met"/>
    <s v="08-2025"/>
    <s v="Q3-2025"/>
    <d v="2023-01-12T00:00:00"/>
    <x v="0"/>
    <s v="Asia"/>
    <x v="10"/>
    <s v="Shanghai"/>
    <s v="Shanghai"/>
    <s v="Corporate"/>
    <s v="Direct"/>
    <s v="Direct"/>
    <s v="I. Johnson"/>
    <s v="I. Johnson"/>
    <s v="Phones"/>
    <s v="High"/>
    <s v="PHN-9234"/>
    <s v="A"/>
    <n v="1220.4100000000001"/>
    <n v="2552.2199999999998"/>
    <n v="2552.2199999999998"/>
    <n v="0.18099999999999999"/>
    <n v="0.18099999999999999"/>
    <s v="Low"/>
    <n v="14"/>
    <n v="29263.754519999995"/>
    <n v="17085.740000000002"/>
    <n v="12178.014519999993"/>
    <n v="0.41614668793360271"/>
  </r>
  <r>
    <s v="ORD-2025-262434"/>
    <d v="2025-06-19T00:00:00"/>
    <d v="2025-06-19T00:00:00"/>
    <d v="2025-06-21T00:00:00"/>
    <d v="2025-06-21T00:00:00"/>
    <n v="2"/>
    <s v="Met"/>
    <s v="06-2025"/>
    <s v="Q2-2025"/>
    <d v="2023-01-07T00:00:00"/>
    <x v="0"/>
    <s v="Africa"/>
    <x v="8"/>
    <s v="Johannesburg"/>
    <s v="Johannesburg"/>
    <s v="Small Business"/>
    <m/>
    <s v="Distributor"/>
    <s v="H. Kim"/>
    <s v="H. Kim"/>
    <s v="Phones"/>
    <s v="High"/>
    <s v="PHN-7379"/>
    <s v="A"/>
    <n v="1466.27"/>
    <n v="3589.89"/>
    <n v="3589.89"/>
    <n v="9.7000000000000003E-2"/>
    <n v="9.7000000000000003E-2"/>
    <s v="Low"/>
    <n v="9"/>
    <n v="29175.036029999999"/>
    <n v="13196.43"/>
    <n v="15978.606029999999"/>
    <n v="0.54768076425234147"/>
  </r>
  <r>
    <s v="ORD-2024-371409"/>
    <d v="2024-11-17T00:00:00"/>
    <d v="2024-11-17T00:00:00"/>
    <d v="2024-11-28T00:00:00"/>
    <d v="2024-11-28T00:00:00"/>
    <n v="11"/>
    <s v="Not Met"/>
    <s v="11-2024"/>
    <s v="Q4-2024"/>
    <d v="2023-01-02T00:00:00"/>
    <x v="0"/>
    <s v="Americas"/>
    <x v="0"/>
    <m/>
    <s v="Vancouver"/>
    <s v="Consumer"/>
    <s v="Distributor"/>
    <s v="Distributor"/>
    <s v="A. Patel"/>
    <s v="A. Patel"/>
    <s v="Printers"/>
    <s v="High"/>
    <s v="PRN-1371"/>
    <s v="A"/>
    <n v="1008.16"/>
    <n v="2077.5"/>
    <n v="2077.5"/>
    <n v="7.3999999999999996E-2"/>
    <n v="7.3999999999999996E-2"/>
    <s v="Low"/>
    <n v="15"/>
    <n v="28856.475000000002"/>
    <n v="15122.4"/>
    <n v="13734.075000000003"/>
    <n v="0.47594430712691005"/>
  </r>
  <r>
    <s v="ORD-2025-146850"/>
    <d v="2025-01-21T00:00:00"/>
    <d v="2025-01-21T00:00:00"/>
    <d v="2025-02-14T00:00:00"/>
    <d v="2025-02-14T00:00:00"/>
    <n v="24"/>
    <s v="Not Met"/>
    <s v="01-2025"/>
    <s v="Q1-2025"/>
    <d v="2023-01-20T00:00:00"/>
    <x v="0"/>
    <s v="Africa"/>
    <x v="5"/>
    <s v="Nairobi"/>
    <s v="Nairobi"/>
    <s v="Small Business"/>
    <s v="Retail"/>
    <s v="Retail"/>
    <s v="J. Njeri"/>
    <s v="J. Njeri"/>
    <s v="Accessories"/>
    <s v="High"/>
    <s v="ACC-1659"/>
    <s v="A"/>
    <n v="1030.44"/>
    <n v="2562.84"/>
    <n v="2562.84"/>
    <n v="0.14799999999999999"/>
    <n v="0.14799999999999999"/>
    <s v="Low"/>
    <n v="13"/>
    <n v="28386.015839999996"/>
    <n v="13395.720000000001"/>
    <n v="14990.295839999995"/>
    <n v="0.52808734852027039"/>
  </r>
  <r>
    <s v="ORD-2024-571797"/>
    <d v="2024-07-11T00:00:00"/>
    <d v="2024-07-11T00:00:00"/>
    <d v="2024-07-31T00:00:00"/>
    <d v="2024-07-31T00:00:00"/>
    <n v="20"/>
    <s v="Not Met"/>
    <s v="07-2024"/>
    <s v="Q3-2024"/>
    <d v="2023-01-12T00:00:00"/>
    <x v="0"/>
    <s v="Asia"/>
    <x v="10"/>
    <s v="Shenzhen"/>
    <s v="Shenzhen"/>
    <s v="Consumer"/>
    <s v="Online"/>
    <s v="Online"/>
    <s v="G. Dubois"/>
    <s v="G. Dubois"/>
    <s v="Phones"/>
    <s v="Medium"/>
    <s v="PHN-7815"/>
    <s v="A"/>
    <n v="647.26"/>
    <n v="1374.72"/>
    <n v="1374.72"/>
    <n v="6.6000000000000003E-2"/>
    <n v="6.6000000000000003E-2"/>
    <s v="Low"/>
    <n v="22"/>
    <n v="28247.74656"/>
    <n v="14239.72"/>
    <n v="14008.02656"/>
    <n v="0.49589890401508901"/>
  </r>
  <r>
    <s v="ORD-2024-777623"/>
    <d v="2024-09-19T00:00:00"/>
    <d v="2024-09-19T00:00:00"/>
    <d v="2024-10-14T00:00:00"/>
    <d v="2024-10-14T00:00:00"/>
    <n v="25"/>
    <s v="Not Met"/>
    <s v="09-2024"/>
    <s v="Q3-2024"/>
    <d v="2023-01-29T00:00:00"/>
    <x v="0"/>
    <s v="Americas"/>
    <x v="9"/>
    <s v="Rio de Janeiro"/>
    <s v="Rio de Janeiro"/>
    <s v="Small Business"/>
    <s v="Retail"/>
    <s v="Retail"/>
    <s v="K. Singh"/>
    <s v="K. Singh"/>
    <s v="Printers"/>
    <s v="Medium"/>
    <s v="PRN-2749"/>
    <s v="A"/>
    <n v="386.96"/>
    <n v="937.46"/>
    <n v="937.46"/>
    <n v="0.26600000000000001"/>
    <n v="0.26600000000000001"/>
    <s v="High"/>
    <n v="41"/>
    <n v="28211.92124"/>
    <n v="15865.359999999999"/>
    <n v="12346.561240000001"/>
    <n v="0.43763631462626335"/>
  </r>
  <r>
    <s v="ORD-2023-825836"/>
    <d v="2023-07-19T00:00:00"/>
    <d v="2023-07-19T00:00:00"/>
    <d v="2023-07-31T00:00:00"/>
    <d v="2023-07-31T00:00:00"/>
    <n v="12"/>
    <s v="Not Met"/>
    <s v="07-2023"/>
    <s v="Q3-2023"/>
    <d v="2023-01-29T00:00:00"/>
    <x v="0"/>
    <s v="Americas"/>
    <x v="9"/>
    <s v="Rio de Janeiro"/>
    <s v="Rio de Janeiro"/>
    <s v="Corporate"/>
    <s v="Retail"/>
    <s v="Retail"/>
    <s v="C. Otieno"/>
    <s v="C. Otieno"/>
    <s v="Monitors"/>
    <s v="High"/>
    <s v="MON-7869"/>
    <s v="A"/>
    <n v="1334.64"/>
    <n v="2273.42"/>
    <n v="2273.42"/>
    <n v="0.11799999999999999"/>
    <n v="0.11799999999999999"/>
    <s v="Low"/>
    <n v="14"/>
    <n v="28072.190160000002"/>
    <n v="18684.960000000003"/>
    <n v="9387.2301599999992"/>
    <n v="0.33439607335575267"/>
  </r>
  <r>
    <s v="ORD-2023-163610"/>
    <d v="2023-10-22T00:00:00"/>
    <d v="2023-10-22T00:00:00"/>
    <d v="2023-11-16T00:00:00"/>
    <d v="2023-11-16T00:00:00"/>
    <n v="25"/>
    <s v="Not Met"/>
    <s v="10-2023"/>
    <s v="Q4-2023"/>
    <d v="2023-01-02T00:00:00"/>
    <x v="0"/>
    <s v="Americas"/>
    <x v="0"/>
    <s v="Toronto"/>
    <s v="Toronto"/>
    <s v="Small Business"/>
    <s v="Marketplace"/>
    <s v="Marketplace"/>
    <s v="I. Johnson"/>
    <s v="I. Johnson"/>
    <s v="Laptops"/>
    <s v="High"/>
    <s v="LAP-9024"/>
    <s v="A"/>
    <n v="1373.31"/>
    <n v="3154.14"/>
    <n v="3154.14"/>
    <n v="0.2"/>
    <n v="0.2"/>
    <s v="Low"/>
    <n v="11"/>
    <n v="27756.432000000001"/>
    <n v="15106.41"/>
    <n v="12650.022000000001"/>
    <n v="0.45575101295440279"/>
  </r>
  <r>
    <s v="ORD-2025-779574"/>
    <d v="2025-09-10T00:00:00"/>
    <d v="2025-09-10T00:00:00"/>
    <d v="2025-09-12T00:00:00"/>
    <d v="2025-09-12T00:00:00"/>
    <n v="2"/>
    <s v="Met"/>
    <s v="09-2025"/>
    <s v="Q3-2025"/>
    <d v="2023-03-03T00:00:00"/>
    <x v="1"/>
    <s v="Asia"/>
    <x v="7"/>
    <s v="Tokyo"/>
    <s v="Tokyo"/>
    <s v="Consumer"/>
    <s v="Online"/>
    <s v="Online"/>
    <s v="O. Wang"/>
    <s v="O. Wang"/>
    <s v="Components"/>
    <s v="High"/>
    <s v="CMP-6971"/>
    <s v="A"/>
    <n v="1470.15"/>
    <n v="2593.7800000000002"/>
    <n v="2593.7800000000002"/>
    <n v="0.11"/>
    <n v="0.11"/>
    <s v="Low"/>
    <n v="12"/>
    <n v="27701.570400000001"/>
    <n v="17641.800000000003"/>
    <n v="10059.770399999998"/>
    <n v="0.36314801849645306"/>
  </r>
  <r>
    <s v="ORD-2024-909942"/>
    <d v="2024-06-09T00:00:00"/>
    <d v="2024-06-09T00:00:00"/>
    <d v="2024-07-07T00:00:00"/>
    <d v="2024-07-07T00:00:00"/>
    <n v="28"/>
    <s v="Not Met"/>
    <s v="06-2024"/>
    <s v="Q2-2024"/>
    <d v="2023-01-12T00:00:00"/>
    <x v="0"/>
    <s v="Asia"/>
    <x v="10"/>
    <s v="Shenzhen"/>
    <s v="Shenzhen"/>
    <s v="Corporate"/>
    <s v="Online"/>
    <s v="Online"/>
    <s v="J. Njeri"/>
    <s v="J. Njeri"/>
    <s v="Components"/>
    <s v="Medium"/>
    <s v="CMP-6392"/>
    <s v="A"/>
    <n v="550.22"/>
    <n v="1025.05"/>
    <n v="1025.05"/>
    <n v="0"/>
    <n v="0"/>
    <s v="Low"/>
    <n v="27"/>
    <n v="27676.35"/>
    <n v="14855.94"/>
    <n v="12820.409999999998"/>
    <n v="0.46322618408858102"/>
  </r>
  <r>
    <s v="ORD-2023-261081"/>
    <d v="2023-07-24T00:00:00"/>
    <d v="2023-07-24T00:00:00"/>
    <d v="2023-08-19T00:00:00"/>
    <d v="2023-08-19T00:00:00"/>
    <n v="26"/>
    <s v="Not Met"/>
    <s v="07-2023"/>
    <s v="Q3-2023"/>
    <d v="2023-01-20T00:00:00"/>
    <x v="0"/>
    <s v="Africa"/>
    <x v="5"/>
    <s v="Nairobi"/>
    <s v="Nairobi"/>
    <s v="Enterprise"/>
    <s v="Distributor"/>
    <s v="Distributor"/>
    <s v="M. Rossi"/>
    <s v="M. Rossi"/>
    <s v="Accessories"/>
    <s v="Medium"/>
    <s v="ACC-1238"/>
    <s v="A"/>
    <n v="661.45"/>
    <n v="1634.86"/>
    <n v="1634.86"/>
    <n v="0.56499999999999995"/>
    <n v="0.3"/>
    <s v="High"/>
    <n v="24"/>
    <n v="27465.647999999997"/>
    <n v="15874.800000000001"/>
    <n v="11590.847999999996"/>
    <n v="0.42201254454291404"/>
  </r>
  <r>
    <s v="ORD-2023-867285"/>
    <d v="2023-04-12T00:00:00"/>
    <d v="2023-04-12T00:00:00"/>
    <d v="2023-04-17T00:00:00"/>
    <d v="2023-04-17T00:00:00"/>
    <n v="5"/>
    <s v="Met"/>
    <s v="04-2023"/>
    <s v="Q2-2023"/>
    <d v="2023-01-10T00:00:00"/>
    <x v="0"/>
    <s v="Europe"/>
    <x v="11"/>
    <s v="Lyon"/>
    <s v="Lyon"/>
    <s v="Enterprise"/>
    <s v="Direct"/>
    <s v="Direct"/>
    <s v="E. Garcia"/>
    <s v="E. Garcia"/>
    <s v="Monitors"/>
    <s v="High"/>
    <s v="MON-3043"/>
    <s v="A"/>
    <n v="1087.81"/>
    <n v="2323.87"/>
    <n v="2323.87"/>
    <n v="9.4E-2"/>
    <n v="9.4E-2"/>
    <s v="Low"/>
    <n v="13"/>
    <n v="27370.540859999997"/>
    <n v="14141.529999999999"/>
    <n v="13229.010859999999"/>
    <n v="0.48333026839572651"/>
  </r>
  <r>
    <s v="ORD-2024-167215"/>
    <d v="2024-08-23T00:00:00"/>
    <d v="2024-08-21T00:00:00"/>
    <d v="2024-08-21T00:00:00"/>
    <d v="2024-08-23T00:00:00"/>
    <n v="2"/>
    <s v="Met"/>
    <s v="08-2024"/>
    <s v="Q3-2024"/>
    <d v="2023-01-07T00:00:00"/>
    <x v="0"/>
    <s v="Africa"/>
    <x v="8"/>
    <s v="Johannesburg"/>
    <s v="Johannesburg"/>
    <s v="Education"/>
    <s v="Retail"/>
    <s v="Retail"/>
    <s v="E. Garcia"/>
    <s v="E. Garcia"/>
    <s v="Components"/>
    <s v="High"/>
    <s v="CMP-1559"/>
    <s v="A"/>
    <n v="1432.52"/>
    <n v="3036.87"/>
    <n v="3036.87"/>
    <n v="0"/>
    <n v="0"/>
    <s v="Low"/>
    <n v="9"/>
    <n v="27331.829999999998"/>
    <n v="12892.68"/>
    <n v="14439.149999999998"/>
    <n v="0.52829064135112791"/>
  </r>
  <r>
    <s v="ORD-2023-378104"/>
    <d v="2023-10-18T00:00:00"/>
    <d v="2023-10-18T00:00:00"/>
    <d v="2023-10-20T00:00:00"/>
    <d v="2023-10-20T00:00:00"/>
    <n v="2"/>
    <s v="Met"/>
    <s v="10-2023"/>
    <s v="Q4-2023"/>
    <d v="2023-01-20T00:00:00"/>
    <x v="0"/>
    <s v="Africa"/>
    <x v="5"/>
    <s v="Kisumu"/>
    <s v="Kisumu"/>
    <s v="Consumer"/>
    <s v="Retail"/>
    <s v="Retail"/>
    <s v="J. Njeri"/>
    <s v="J. Njeri"/>
    <s v="Phones"/>
    <s v="Medium"/>
    <s v="PHN-8891"/>
    <s v="A"/>
    <n v="774.12"/>
    <n v="908.3"/>
    <n v="908.3"/>
    <n v="0"/>
    <n v="0"/>
    <s v="Low"/>
    <n v="30"/>
    <n v="27249"/>
    <n v="23223.599999999999"/>
    <n v="4025.4000000000015"/>
    <n v="0.14772652207420461"/>
  </r>
  <r>
    <s v="ORD-2023-588455"/>
    <d v="2023-05-23T00:00:00"/>
    <d v="2023-05-23T00:00:00"/>
    <d v="2023-05-25T00:00:00"/>
    <d v="2023-05-25T00:00:00"/>
    <n v="2"/>
    <s v="Met"/>
    <s v="05-2023"/>
    <s v="Q2-2023"/>
    <d v="2023-01-29T00:00:00"/>
    <x v="0"/>
    <s v="Americas"/>
    <x v="9"/>
    <s v="Rio de Janeiro"/>
    <s v="Rio de Janeiro"/>
    <s v="Enterprise"/>
    <s v="Retail"/>
    <s v="Retail"/>
    <s v="M. Rossi"/>
    <s v="M. Rossi"/>
    <s v="Printers"/>
    <s v="Medium"/>
    <s v="PRN-1271"/>
    <s v="A"/>
    <n v="690.49"/>
    <n v="1290.29"/>
    <n v="1290.29"/>
    <n v="4.2000000000000003E-2"/>
    <n v="4.2000000000000003E-2"/>
    <s v="Low"/>
    <n v="22"/>
    <n v="27194.152039999997"/>
    <n v="15190.78"/>
    <n v="12003.372039999997"/>
    <n v="0.44139534199647718"/>
  </r>
  <r>
    <s v="ORD-2023-208944"/>
    <d v="2023-12-21T00:00:00"/>
    <d v="2023-12-21T00:00:00"/>
    <d v="2024-01-06T00:00:00"/>
    <d v="2024-01-06T00:00:00"/>
    <n v="16"/>
    <s v="Not Met"/>
    <s v="12-2023"/>
    <s v="Q4-2023"/>
    <d v="2023-01-13T00:00:00"/>
    <x v="0"/>
    <s v="Africa"/>
    <x v="2"/>
    <m/>
    <s v="Lagos"/>
    <s v="Corporate"/>
    <s v="Marketplace"/>
    <s v="Marketplace"/>
    <s v="K. Singh"/>
    <s v="K. Singh"/>
    <s v="Components"/>
    <s v="High"/>
    <s v="CMP-4792"/>
    <s v="A"/>
    <n v="932.61"/>
    <n v="1982.98"/>
    <n v="1982.98"/>
    <n v="0.14399999999999999"/>
    <n v="0.14399999999999999"/>
    <s v="Low"/>
    <n v="16"/>
    <n v="27158.894079999998"/>
    <n v="14921.76"/>
    <n v="12237.134079999998"/>
    <n v="0.45057556629345635"/>
  </r>
  <r>
    <s v="ORD-2024-277241"/>
    <d v="2024-01-28T00:00:00"/>
    <d v="2024-01-28T00:00:00"/>
    <d v="2024-01-30T00:00:00"/>
    <d v="2024-01-30T00:00:00"/>
    <n v="2"/>
    <s v="Met"/>
    <s v="01-2024"/>
    <s v="Q1-2024"/>
    <d v="2023-01-07T00:00:00"/>
    <x v="0"/>
    <s v="Africa"/>
    <x v="8"/>
    <s v="Cape Town"/>
    <s v="Cape Town"/>
    <s v="Consumer"/>
    <s v="Direct"/>
    <s v="Direct"/>
    <s v="F. Müller"/>
    <s v="F. Müller"/>
    <s v="Accessories"/>
    <s v="Medium"/>
    <s v="ACC-6223"/>
    <s v="A"/>
    <n v="798.45"/>
    <n v="1592.02"/>
    <n v="1592.02"/>
    <n v="6.6000000000000003E-2"/>
    <n v="6.6000000000000003E-2"/>
    <s v="Low"/>
    <n v="18"/>
    <n v="26765.040239999998"/>
    <n v="14372.1"/>
    <n v="12392.940239999998"/>
    <n v="0.46302714768494585"/>
  </r>
  <r>
    <s v="ORD-2023-521818"/>
    <d v="2023-01-29T00:00:00"/>
    <d v="2023-01-29T00:00:00"/>
    <d v="2023-02-28T00:00:00"/>
    <d v="2023-02-28T00:00:00"/>
    <n v="30"/>
    <s v="Not Met"/>
    <s v="01-2023"/>
    <s v="Q1-2023"/>
    <d v="2023-01-29T00:00:00"/>
    <x v="0"/>
    <s v="Asia"/>
    <x v="3"/>
    <s v="Bengaluru"/>
    <s v="Bengaluru"/>
    <s v="Non-Profit"/>
    <s v="Retail"/>
    <s v="Retail"/>
    <s v="B. Chen"/>
    <s v="B. Chen"/>
    <s v="Accessories"/>
    <s v="Medium"/>
    <s v="ACC-4631"/>
    <s v="A"/>
    <n v="1262.0999999999999"/>
    <n v="1395.53"/>
    <n v="1395.53"/>
    <n v="0.23300000000000001"/>
    <n v="0.23300000000000001"/>
    <s v="High"/>
    <n v="25"/>
    <n v="26759.28775"/>
    <n v="31552.499999999996"/>
    <n v="4793.2122499999969"/>
    <n v="0.17912331205452198"/>
  </r>
  <r>
    <s v="ORD-2023-479747"/>
    <d v="2023-07-14T00:00:00"/>
    <d v="2023-07-14T00:00:00"/>
    <d v="2023-07-14T00:00:00"/>
    <d v="2023-07-14T00:00:00"/>
    <n v="0"/>
    <s v="Met"/>
    <s v="07-2023"/>
    <s v="Q3-2023"/>
    <d v="2023-01-13T00:00:00"/>
    <x v="0"/>
    <s v="Africa"/>
    <x v="2"/>
    <s v="Lagos"/>
    <s v="Lagos"/>
    <s v="Education"/>
    <s v="Retail"/>
    <s v="Retail"/>
    <s v="I. Johnson"/>
    <s v="I. Johnson"/>
    <s v="Accessories"/>
    <s v="Medium"/>
    <s v="ACC-5334"/>
    <s v="A"/>
    <n v="956.38"/>
    <n v="1454.22"/>
    <n v="1454.22"/>
    <n v="3.9E-2"/>
    <n v="3.9E-2"/>
    <s v="Low"/>
    <n v="19"/>
    <n v="26552.60298"/>
    <n v="18171.22"/>
    <n v="8381.3829799999985"/>
    <n v="0.31565202802576603"/>
  </r>
  <r>
    <s v="ORD-2024-640340"/>
    <d v="2024-10-22T00:00:00"/>
    <d v="2024-10-22T00:00:00"/>
    <d v="2024-10-29T00:00:00"/>
    <d v="2024-10-29T00:00:00"/>
    <n v="7"/>
    <s v="Met"/>
    <s v="10-2024"/>
    <s v="Q4-2024"/>
    <d v="2023-01-13T00:00:00"/>
    <x v="0"/>
    <s v="Africa"/>
    <x v="2"/>
    <s v="Port Harcourt"/>
    <s v="Port Harcourt"/>
    <s v="Enterprise"/>
    <s v="Distributor"/>
    <s v="Distributor"/>
    <s v="M. Rossi"/>
    <s v="M. Rossi"/>
    <s v="Monitors"/>
    <s v="Medium"/>
    <s v="MON-8758"/>
    <s v="A"/>
    <n v="1023.06"/>
    <n v="1355.61"/>
    <n v="1355.61"/>
    <n v="0.153"/>
    <n v="0.153"/>
    <s v="Low"/>
    <n v="23"/>
    <n v="26408.63841"/>
    <n v="23530.379999999997"/>
    <n v="2878.2584100000022"/>
    <n v="0.10898927711888809"/>
  </r>
  <r>
    <s v="ORD-2023-480975"/>
    <d v="2023-02-15T00:00:00"/>
    <d v="2023-02-15T00:00:00"/>
    <d v="2023-02-26T00:00:00"/>
    <d v="2023-02-26T00:00:00"/>
    <n v="11"/>
    <s v="Not Met"/>
    <s v="02-2023"/>
    <s v="Q1-2023"/>
    <d v="2023-01-07T00:00:00"/>
    <x v="0"/>
    <s v="Africa"/>
    <x v="8"/>
    <s v="Johannesburg"/>
    <s v="Johannesburg"/>
    <s v="Non-Profit"/>
    <s v="Retail"/>
    <s v="Retail"/>
    <s v="K. Singh"/>
    <s v="K. Singh"/>
    <s v="Laptops"/>
    <s v="Low"/>
    <s v="LAP-3393"/>
    <s v="A"/>
    <n v="498.5"/>
    <n v="755.87"/>
    <n v="755.87"/>
    <n v="0.13"/>
    <n v="0.13"/>
    <s v="Low"/>
    <n v="40"/>
    <n v="26304.275999999998"/>
    <n v="19940"/>
    <n v="6364.275999999998"/>
    <n v="0.24194834330357537"/>
  </r>
  <r>
    <s v="ORD-2023-562894"/>
    <d v="2023-02-23T00:00:00"/>
    <d v="2023-02-23T00:00:00"/>
    <d v="2023-03-25T00:00:00"/>
    <d v="2023-03-25T00:00:00"/>
    <n v="30"/>
    <s v="Not Met"/>
    <s v="02-2023"/>
    <s v="Q1-2023"/>
    <d v="2023-01-02T00:00:00"/>
    <x v="0"/>
    <s v="Americas"/>
    <x v="0"/>
    <s v="Montreal"/>
    <s v="Montreal"/>
    <s v="Enterprise"/>
    <s v="Online"/>
    <s v="Online"/>
    <s v="D. Smith"/>
    <s v="D. Smith"/>
    <s v="Phones"/>
    <s v="High"/>
    <s v="PHN-4854"/>
    <s v="A"/>
    <n v="1242.6600000000001"/>
    <n v="1794.07"/>
    <n v="1794.07"/>
    <n v="8.8999999999999996E-2"/>
    <n v="8.8999999999999996E-2"/>
    <s v="Low"/>
    <n v="16"/>
    <n v="26150.364320000001"/>
    <n v="19882.560000000001"/>
    <n v="6267.8043199999993"/>
    <n v="0.23968325042440553"/>
  </r>
  <r>
    <s v="ORD-2023-390998"/>
    <d v="2023-04-19T00:00:00"/>
    <d v="2023-04-19T00:00:00"/>
    <d v="2023-04-28T00:00:00"/>
    <d v="2023-04-28T00:00:00"/>
    <n v="9"/>
    <s v="Not Met"/>
    <s v="04-2023"/>
    <s v="Q2-2023"/>
    <d v="2023-01-21T00:00:00"/>
    <x v="0"/>
    <s v="Europe"/>
    <x v="4"/>
    <s v="Berlin"/>
    <s v="Berlin"/>
    <s v="Education"/>
    <s v="Online"/>
    <s v="Online"/>
    <s v="E. Garcia"/>
    <s v="E. Garcia"/>
    <s v="Monitors"/>
    <s v="High"/>
    <s v="MON-1663"/>
    <s v="A"/>
    <n v="1178.42"/>
    <n v="2446.56"/>
    <n v="2446.56"/>
    <n v="2.9000000000000001E-2"/>
    <n v="2.9000000000000001E-2"/>
    <s v="Low"/>
    <n v="11"/>
    <n v="26131.70736"/>
    <n v="12962.62"/>
    <n v="13169.08736"/>
    <n v="0.5039505141618883"/>
  </r>
  <r>
    <s v="ORD-2023-825084"/>
    <d v="2023-07-14T00:00:00"/>
    <d v="2023-07-14T00:00:00"/>
    <d v="2023-07-21T00:00:00"/>
    <d v="2023-07-21T00:00:00"/>
    <n v="7"/>
    <s v="Met"/>
    <s v="07-2023"/>
    <s v="Q3-2023"/>
    <d v="2023-01-07T00:00:00"/>
    <x v="0"/>
    <s v="Africa"/>
    <x v="8"/>
    <s v="Durban"/>
    <s v="Durban"/>
    <s v="Enterprise"/>
    <s v="Marketplace"/>
    <s v="Marketplace"/>
    <m/>
    <s v="M. Rossi"/>
    <s v="Monitors"/>
    <s v="Medium"/>
    <s v="MON-1018"/>
    <s v="A"/>
    <n v="620.74"/>
    <n v="1330.07"/>
    <n v="1330.07"/>
    <n v="0.29899999999999999"/>
    <n v="0.29899999999999999"/>
    <s v="High"/>
    <n v="28"/>
    <n v="26106.613960000002"/>
    <n v="17380.72"/>
    <n v="8725.8939600000012"/>
    <n v="0.33424073965967516"/>
  </r>
  <r>
    <s v="ORD-2024-500890"/>
    <d v="2024-09-09T00:00:00"/>
    <d v="2024-09-09T00:00:00"/>
    <d v="2024-10-08T00:00:00"/>
    <d v="2024-10-08T00:00:00"/>
    <n v="29"/>
    <s v="Not Met"/>
    <s v="09-2024"/>
    <s v="Q3-2024"/>
    <d v="2023-01-29T00:00:00"/>
    <x v="0"/>
    <s v="Americas"/>
    <x v="9"/>
    <s v="São Paulo"/>
    <s v="São Paulo"/>
    <s v="Education"/>
    <s v="Direct"/>
    <s v="Direct"/>
    <s v="J. Njeri"/>
    <s v="J. Njeri"/>
    <s v="Components"/>
    <s v="High"/>
    <s v="CMP-3093"/>
    <s v="A"/>
    <n v="1010.33"/>
    <n v="2492.14"/>
    <n v="2492.14"/>
    <n v="5.0999999999999997E-2"/>
    <n v="5.0999999999999997E-2"/>
    <s v="Low"/>
    <n v="11"/>
    <n v="26015.449459999996"/>
    <n v="11113.630000000001"/>
    <n v="14901.819459999995"/>
    <n v="0.57280653493656752"/>
  </r>
  <r>
    <s v="ORD-2024-206081"/>
    <d v="2024-12-10T00:00:00"/>
    <d v="2024-12-10T00:00:00"/>
    <d v="2025-01-08T00:00:00"/>
    <d v="2025-01-08T00:00:00"/>
    <n v="29"/>
    <s v="Not Met"/>
    <s v="12-2024"/>
    <s v="Q4-2024"/>
    <d v="2023-01-10T00:00:00"/>
    <x v="0"/>
    <s v="Europe"/>
    <x v="11"/>
    <s v="Marseille"/>
    <s v="Marseille"/>
    <s v="Small Business"/>
    <s v="Retail"/>
    <s v="Retail"/>
    <s v="K. Singh"/>
    <s v="K. Singh"/>
    <s v="Printers"/>
    <s v="Medium"/>
    <s v="PRN-6791"/>
    <s v="A"/>
    <n v="891.08"/>
    <n v="1040.0999999999999"/>
    <n v="1040.0999999999999"/>
    <n v="0.109"/>
    <n v="0.109"/>
    <s v="Low"/>
    <n v="28"/>
    <n v="25948.414799999995"/>
    <n v="24950.240000000002"/>
    <n v="998.17479999999341"/>
    <n v="3.8467660074556598E-2"/>
  </r>
  <r>
    <s v="ORD-2023-309373"/>
    <d v="2023-07-05T00:00:00"/>
    <d v="2023-07-05T00:00:00"/>
    <d v="2023-07-14T00:00:00"/>
    <d v="2023-07-14T00:00:00"/>
    <n v="9"/>
    <s v="Not Met"/>
    <s v="07-2023"/>
    <s v="Q3-2023"/>
    <d v="2023-01-29T00:00:00"/>
    <x v="0"/>
    <s v="Americas"/>
    <x v="9"/>
    <s v="Brasília"/>
    <s v="Brasília"/>
    <s v="Enterprise"/>
    <s v="Direct"/>
    <s v="Direct"/>
    <s v="B. Chen"/>
    <s v="B. Chen"/>
    <s v="Networking"/>
    <s v="Medium"/>
    <s v="NET-2394"/>
    <s v="A"/>
    <n v="578.85"/>
    <n v="998.76"/>
    <n v="998.76"/>
    <n v="8.2000000000000003E-2"/>
    <n v="8.2000000000000003E-2"/>
    <s v="Low"/>
    <n v="28"/>
    <n v="25672.127039999999"/>
    <n v="16207.800000000001"/>
    <n v="9464.3270399999983"/>
    <n v="0.36866158480960831"/>
  </r>
  <r>
    <s v="ORD-2025-191328"/>
    <d v="2025-05-10T00:00:00"/>
    <d v="2025-05-10T00:00:00"/>
    <d v="2025-05-27T00:00:00"/>
    <d v="2025-05-27T00:00:00"/>
    <n v="17"/>
    <s v="Not Met"/>
    <s v="05-2025"/>
    <s v="Q2-2025"/>
    <d v="2023-01-02T00:00:00"/>
    <x v="0"/>
    <s v="Americas"/>
    <x v="0"/>
    <s v="Vancouver"/>
    <s v="Vancouver"/>
    <s v="Education"/>
    <s v="Direct"/>
    <s v="Direct"/>
    <s v="C. Otieno"/>
    <s v="C. Otieno"/>
    <s v="Components"/>
    <s v="Medium"/>
    <s v="CMP-9307"/>
    <s v="A"/>
    <n v="862.89"/>
    <n v="1426.03"/>
    <n v="1426.03"/>
    <n v="5.6000000000000001E-2"/>
    <n v="5.6000000000000001E-2"/>
    <s v="Low"/>
    <n v="19"/>
    <n v="25577.274079999999"/>
    <n v="16394.91"/>
    <n v="9182.3640799999994"/>
    <n v="0.35900479665188778"/>
  </r>
  <r>
    <s v="ORD-2025-964661"/>
    <d v="2025-02-04T00:00:00"/>
    <d v="2025-02-04T00:00:00"/>
    <d v="2025-02-25T00:00:00"/>
    <d v="2025-02-25T00:00:00"/>
    <n v="21"/>
    <s v="Not Met"/>
    <s v="02-2025"/>
    <s v="Q1-2025"/>
    <d v="2023-01-19T00:00:00"/>
    <x v="0"/>
    <s v="Europe"/>
    <x v="1"/>
    <s v="Birmingham"/>
    <s v="Birmingham"/>
    <s v="Corporate"/>
    <s v="Marketplace"/>
    <s v="Marketplace"/>
    <s v="D. Smith"/>
    <s v="D. Smith"/>
    <s v="Monitors"/>
    <s v="High"/>
    <s v="MON-4959"/>
    <s v="A"/>
    <n v="1016.32"/>
    <n v="2253.42"/>
    <n v="2253.42"/>
    <n v="5.5E-2"/>
    <n v="5.5E-2"/>
    <s v="Low"/>
    <n v="12"/>
    <n v="25553.782800000001"/>
    <n v="12195.84"/>
    <n v="13357.942800000001"/>
    <n v="0.52273837124419797"/>
  </r>
  <r>
    <s v="ORD-2023-422918"/>
    <d v="2023-02-28T00:00:00"/>
    <d v="2023-02-28T00:00:00"/>
    <d v="2023-03-20T00:00:00"/>
    <d v="2023-03-20T00:00:00"/>
    <n v="20"/>
    <s v="Not Met"/>
    <s v="02-2023"/>
    <s v="Q1-2023"/>
    <d v="2023-01-21T00:00:00"/>
    <x v="0"/>
    <s v="Europe"/>
    <x v="4"/>
    <s v="Berlin"/>
    <s v="Berlin"/>
    <s v="Small Business"/>
    <s v="Direct"/>
    <s v="Direct"/>
    <s v="H. Kim"/>
    <s v="H. Kim"/>
    <s v="Laptops"/>
    <s v="High"/>
    <s v="LAP-3679"/>
    <s v="A"/>
    <n v="1200.78"/>
    <n v="2001.17"/>
    <n v="2001.17"/>
    <n v="0.29199999999999998"/>
    <n v="0.29199999999999998"/>
    <s v="High"/>
    <n v="18"/>
    <n v="25502.910479999999"/>
    <n v="21614.04"/>
    <n v="3888.8704799999978"/>
    <n v="0.15248732034132906"/>
  </r>
  <r>
    <s v="ORD-2024-301260"/>
    <d v="2024-07-29T00:00:00"/>
    <d v="2024-07-29T00:00:00"/>
    <d v="2024-07-31T00:00:00"/>
    <d v="2024-07-31T00:00:00"/>
    <n v="2"/>
    <s v="Met"/>
    <s v="07-2024"/>
    <s v="Q3-2024"/>
    <d v="2023-01-13T00:00:00"/>
    <x v="0"/>
    <s v="Americas"/>
    <x v="6"/>
    <s v="New York"/>
    <s v="New York"/>
    <s v="Education"/>
    <s v="Marketplace"/>
    <s v="Marketplace"/>
    <s v="I. Johnson"/>
    <s v="I. Johnson"/>
    <s v="Printers"/>
    <s v="High"/>
    <s v="PRN-2829"/>
    <s v="A"/>
    <n v="798.97"/>
    <n v="1814.06"/>
    <n v="1814.06"/>
    <n v="0.122"/>
    <n v="0.122"/>
    <s v="Low"/>
    <n v="16"/>
    <n v="25483.91488"/>
    <n v="12783.52"/>
    <n v="12700.39488"/>
    <n v="0.49836906691159061"/>
  </r>
  <r>
    <s v="ORD-2023-133848"/>
    <d v="2023-08-15T00:00:00"/>
    <d v="2023-08-15T00:00:00"/>
    <d v="2023-09-07T00:00:00"/>
    <d v="2023-09-07T00:00:00"/>
    <n v="23"/>
    <s v="Not Met"/>
    <s v="08-2023"/>
    <s v="Q3-2023"/>
    <d v="2023-01-13T00:00:00"/>
    <x v="0"/>
    <s v="Americas"/>
    <x v="6"/>
    <s v="New York"/>
    <s v="New York"/>
    <s v="Enterprise"/>
    <s v="Online"/>
    <s v="Online"/>
    <s v="K. Singh"/>
    <s v="K. Singh"/>
    <s v="Phones"/>
    <s v="Medium"/>
    <s v="PHN-2013"/>
    <s v="A"/>
    <n v="590.33000000000004"/>
    <n v="973.04"/>
    <n v="973.04"/>
    <n v="0"/>
    <n v="0"/>
    <s v="Low"/>
    <n v="26"/>
    <n v="25299.040000000001"/>
    <n v="15348.580000000002"/>
    <n v="9950.4599999999991"/>
    <n v="0.39331373838691108"/>
  </r>
  <r>
    <s v="ORD-2025-795385"/>
    <d v="2025-06-01T00:00:00"/>
    <d v="2025-06-01T00:00:00"/>
    <d v="2025-06-05T00:00:00"/>
    <d v="2025-06-05T00:00:00"/>
    <n v="4"/>
    <s v="Met"/>
    <s v="06-2025"/>
    <s v="Q2-2025"/>
    <d v="2023-01-21T00:00:00"/>
    <x v="0"/>
    <s v="Europe"/>
    <x v="4"/>
    <s v="Munich"/>
    <s v="Munich"/>
    <s v="Enterprise"/>
    <s v="Direct"/>
    <s v="Direct"/>
    <s v="M. Rossi"/>
    <s v="M. Rossi"/>
    <s v="Components"/>
    <s v="High"/>
    <s v="CMP-4159"/>
    <s v="A"/>
    <n v="1171.42"/>
    <n v="2187.8000000000002"/>
    <n v="2187.8000000000002"/>
    <n v="0.23"/>
    <n v="0.23"/>
    <s v="High"/>
    <n v="15"/>
    <n v="25269.09"/>
    <n v="17571.300000000003"/>
    <n v="7697.7899999999972"/>
    <n v="0.30463265594447592"/>
  </r>
  <r>
    <s v="ORD-2024-728474"/>
    <d v="2024-09-09T00:00:00"/>
    <d v="2024-09-09T00:00:00"/>
    <d v="2024-09-13T00:00:00"/>
    <d v="2024-09-13T00:00:00"/>
    <n v="4"/>
    <s v="Met"/>
    <s v="09-2024"/>
    <s v="Q3-2024"/>
    <d v="2023-01-19T00:00:00"/>
    <x v="0"/>
    <s v="Europe"/>
    <x v="1"/>
    <s v="London"/>
    <s v="London"/>
    <s v="Consumer"/>
    <s v="Marketplace"/>
    <s v="Marketplace"/>
    <s v="F. Müller"/>
    <s v="F. Müller"/>
    <s v="Networking"/>
    <s v="Medium"/>
    <s v="NET-1145"/>
    <s v="A"/>
    <n v="1133.08"/>
    <n v="976.17"/>
    <n v="976.17"/>
    <n v="4.2000000000000003E-2"/>
    <n v="4.2000000000000003E-2"/>
    <s v="Low"/>
    <n v="27"/>
    <n v="25249.613219999999"/>
    <n v="30593.159999999996"/>
    <n v="5343.5467799999969"/>
    <n v="0.21162885678452373"/>
  </r>
  <r>
    <s v="ORD-2025-150713"/>
    <d v="2025-07-11T00:00:00"/>
    <d v="2025-07-11T00:00:00"/>
    <d v="2025-07-16T00:00:00"/>
    <d v="2025-07-16T00:00:00"/>
    <n v="5"/>
    <s v="Met"/>
    <s v="07-2025"/>
    <s v="Q3-2025"/>
    <d v="2023-01-19T00:00:00"/>
    <x v="0"/>
    <s v="Europe"/>
    <x v="1"/>
    <s v="London"/>
    <s v="London"/>
    <s v="Enterprise"/>
    <s v="Online"/>
    <s v="Online"/>
    <s v="K. Singh"/>
    <s v="K. Singh"/>
    <s v="Printers"/>
    <s v="Medium"/>
    <s v="PRN-5753"/>
    <s v="A"/>
    <n v="930.03"/>
    <n v="1086.68"/>
    <n v="1086.68"/>
    <n v="0.109"/>
    <n v="0.109"/>
    <s v="Low"/>
    <n v="26"/>
    <n v="25174.028880000002"/>
    <n v="24180.78"/>
    <n v="993.24888000000283"/>
    <n v="3.9455300728168656E-2"/>
  </r>
  <r>
    <s v="ORD-2024-243988"/>
    <d v="2024-03-13T00:00:00"/>
    <d v="2024-03-13T00:00:00"/>
    <d v="2024-04-06T00:00:00"/>
    <d v="2024-04-06T00:00:00"/>
    <n v="24"/>
    <s v="Not Met"/>
    <s v="03-2024"/>
    <s v="Q1-2024"/>
    <d v="2023-01-13T00:00:00"/>
    <x v="0"/>
    <s v="Africa"/>
    <x v="2"/>
    <s v="Abuja"/>
    <s v="Abuja"/>
    <s v="Consumer"/>
    <s v="Distributor"/>
    <s v="Distributor"/>
    <s v="L. Okafor"/>
    <s v="L. Okafor"/>
    <s v="Components"/>
    <s v="High"/>
    <s v="CMP-9001"/>
    <s v="A"/>
    <n v="1232.78"/>
    <n v="1731.75"/>
    <n v="1731.75"/>
    <n v="9.2999999999999999E-2"/>
    <n v="9.2999999999999999E-2"/>
    <s v="Low"/>
    <n v="16"/>
    <n v="25131.155999999999"/>
    <n v="19724.48"/>
    <n v="5406.6759999999995"/>
    <n v="0.21513837246484005"/>
  </r>
  <r>
    <s v="ORD-2024-766980"/>
    <d v="2024-11-04T00:00:00"/>
    <d v="2024-11-04T00:00:00"/>
    <d v="2024-11-07T00:00:00"/>
    <d v="2024-11-07T00:00:00"/>
    <n v="3"/>
    <s v="Met"/>
    <s v="11-2024"/>
    <s v="Q4-2024"/>
    <d v="2023-01-10T00:00:00"/>
    <x v="0"/>
    <s v="Europe"/>
    <x v="11"/>
    <s v="Lyon"/>
    <s v="Lyon"/>
    <s v="Corporate"/>
    <s v="Online"/>
    <s v="Online"/>
    <s v="O. Wang"/>
    <s v="O. Wang"/>
    <s v="Monitors"/>
    <s v="High"/>
    <s v="MON-1118"/>
    <s v="A"/>
    <n v="740.68"/>
    <n v="1837.19"/>
    <n v="1837.19"/>
    <n v="0.19700000000000001"/>
    <n v="0.19700000000000001"/>
    <s v="Low"/>
    <n v="17"/>
    <n v="25079.480689999997"/>
    <n v="12591.56"/>
    <n v="12487.920689999997"/>
    <n v="0.4979337827748298"/>
  </r>
  <r>
    <s v="ORD-2023-271836"/>
    <d v="2023-02-07T00:00:00"/>
    <d v="2023-02-07T00:00:00"/>
    <d v="2023-02-12T00:00:00"/>
    <d v="2023-02-12T00:00:00"/>
    <n v="5"/>
    <s v="Met"/>
    <s v="02-2023"/>
    <s v="Q1-2023"/>
    <d v="2023-01-29T00:00:00"/>
    <x v="0"/>
    <s v="Americas"/>
    <x v="9"/>
    <s v="São Paulo"/>
    <s v="São Paulo"/>
    <s v="Education"/>
    <s v="Online"/>
    <s v="Online"/>
    <s v="N. Brown"/>
    <s v="N. Brown"/>
    <s v="Components"/>
    <s v="High"/>
    <s v="CMP-2693"/>
    <s v="A"/>
    <n v="948.55"/>
    <n v="2089.16"/>
    <n v="2089.16"/>
    <n v="7.0000000000000001E-3"/>
    <n v="7.0000000000000001E-3"/>
    <s v="Low"/>
    <n v="12"/>
    <n v="24894.430559999997"/>
    <n v="11382.599999999999"/>
    <n v="13511.830559999999"/>
    <n v="0.54276519912492427"/>
  </r>
  <r>
    <s v="ORD-2023-869884"/>
    <d v="2023-03-02T00:00:00"/>
    <d v="2023-03-02T00:00:00"/>
    <d v="2023-03-05T00:00:00"/>
    <d v="2023-03-05T00:00:00"/>
    <n v="3"/>
    <s v="Met"/>
    <s v="03-2023"/>
    <s v="Q1-2023"/>
    <d v="2023-01-29T00:00:00"/>
    <x v="0"/>
    <s v="Americas"/>
    <x v="9"/>
    <s v="Brasília"/>
    <s v="Brasília"/>
    <s v="Enterprise"/>
    <s v="Direct"/>
    <s v="Direct"/>
    <s v="G. Dubois"/>
    <s v="G. Dubois"/>
    <s v="Monitors"/>
    <s v="High"/>
    <s v="MON-2828"/>
    <s v="A"/>
    <n v="1473.58"/>
    <n v="3436.52"/>
    <n v="3436.52"/>
    <n v="0.108"/>
    <n v="0.108"/>
    <s v="Low"/>
    <n v="8"/>
    <n v="24523.006720000001"/>
    <n v="11788.64"/>
    <n v="12734.366720000002"/>
    <n v="0.51928243813652564"/>
  </r>
  <r>
    <s v="ORD-2024-212990"/>
    <d v="2024-08-12T00:00:00"/>
    <d v="2024-08-12T00:00:00"/>
    <d v="2024-09-03T00:00:00"/>
    <d v="2024-09-03T00:00:00"/>
    <n v="22"/>
    <s v="Not Met"/>
    <s v="08-2024"/>
    <s v="Q3-2024"/>
    <d v="2023-01-13T00:00:00"/>
    <x v="0"/>
    <s v="Americas"/>
    <x v="6"/>
    <s v="Austin"/>
    <s v="Austin"/>
    <s v="Consumer"/>
    <s v="Distributor"/>
    <s v="Distributor"/>
    <s v="I. Johnson"/>
    <s v="I. Johnson"/>
    <s v="Laptops"/>
    <s v="Medium"/>
    <s v="LAP-7979"/>
    <s v="A"/>
    <n v="797.8"/>
    <n v="886.22"/>
    <n v="886.22"/>
    <n v="0.23599999999999999"/>
    <n v="0.23599999999999999"/>
    <s v="High"/>
    <n v="36"/>
    <n v="24374.594880000001"/>
    <n v="28720.799999999999"/>
    <n v="4346.2051199999987"/>
    <n v="0.17830881462428633"/>
  </r>
  <r>
    <s v="ORD-2024-202166"/>
    <d v="2024-05-05T00:00:00"/>
    <d v="2024-05-05T00:00:00"/>
    <d v="2024-05-18T00:00:00"/>
    <d v="2024-05-18T00:00:00"/>
    <n v="13"/>
    <s v="Not Met"/>
    <s v="05-2024"/>
    <s v="Q2-2024"/>
    <d v="2023-01-10T00:00:00"/>
    <x v="0"/>
    <s v="Europe"/>
    <x v="11"/>
    <s v="Marseille"/>
    <s v="Marseille"/>
    <s v="Corporate"/>
    <s v="Marketplace"/>
    <s v="Marketplace"/>
    <s v="A. Patel"/>
    <s v="A. Patel"/>
    <s v="Components"/>
    <s v="High"/>
    <s v="CMP-3313"/>
    <s v="A"/>
    <n v="1264.04"/>
    <n v="1870.89"/>
    <n v="1870.89"/>
    <n v="0"/>
    <n v="0"/>
    <s v="Low"/>
    <n v="13"/>
    <n v="24321.57"/>
    <n v="16432.52"/>
    <n v="7889.0499999999993"/>
    <n v="0.32436433996653996"/>
  </r>
  <r>
    <s v="ORD-2023-808024"/>
    <d v="2023-12-30T00:00:00"/>
    <d v="2023-12-30T00:00:00"/>
    <d v="2024-01-08T00:00:00"/>
    <d v="2024-01-08T00:00:00"/>
    <n v="9"/>
    <s v="Not Met"/>
    <s v="12-2023"/>
    <s v="Q4-2023"/>
    <d v="2023-01-10T00:00:00"/>
    <x v="0"/>
    <s v="Europe"/>
    <x v="11"/>
    <s v="Marseille"/>
    <s v="Marseille"/>
    <s v="Consumer"/>
    <s v="Marketplace"/>
    <s v="Marketplace"/>
    <s v="L. Okafor"/>
    <s v="L. Okafor"/>
    <s v="Accessories"/>
    <s v="Medium"/>
    <s v="ACC-6594"/>
    <s v="A"/>
    <n v="861.1"/>
    <n v="1224.72"/>
    <n v="1224.72"/>
    <n v="0.17399999999999999"/>
    <n v="0.17399999999999999"/>
    <s v="Low"/>
    <n v="24"/>
    <n v="24278.849280000002"/>
    <n v="20666.400000000001"/>
    <n v="3612.4492800000007"/>
    <n v="0.14878997098827909"/>
  </r>
  <r>
    <s v="ORD-2025-564184"/>
    <d v="2025-01-29T00:00:00"/>
    <d v="2025-01-29T00:00:00"/>
    <d v="2025-02-06T00:00:00"/>
    <d v="2025-02-06T00:00:00"/>
    <n v="8"/>
    <s v="Not Met"/>
    <s v="01-2025"/>
    <s v="Q1-2025"/>
    <d v="2023-01-20T00:00:00"/>
    <x v="0"/>
    <s v="Africa"/>
    <x v="5"/>
    <s v="Kisumu"/>
    <s v="Kisumu"/>
    <s v="Education"/>
    <s v="Retail"/>
    <s v="Retail"/>
    <s v="B. Chen"/>
    <s v="B. Chen"/>
    <s v="Phones"/>
    <s v="High"/>
    <s v="PHN-1671"/>
    <s v="A"/>
    <n v="1445.27"/>
    <n v="2691.45"/>
    <n v="2691.45"/>
    <n v="0"/>
    <n v="0"/>
    <s v="Low"/>
    <n v="9"/>
    <n v="24223.05"/>
    <n v="13007.43"/>
    <n v="11215.619999999999"/>
    <n v="0.46301436028906351"/>
  </r>
  <r>
    <s v="ORD-2024-855600"/>
    <d v="2024-04-29T00:00:00"/>
    <d v="2024-04-29T00:00:00"/>
    <d v="2024-05-19T00:00:00"/>
    <d v="2024-05-19T00:00:00"/>
    <n v="20"/>
    <s v="Not Met"/>
    <s v="04-2024"/>
    <s v="Q2-2024"/>
    <d v="2023-01-21T00:00:00"/>
    <x v="0"/>
    <s v="Europe"/>
    <x v="4"/>
    <s v="Frankfurt"/>
    <s v="Frankfurt"/>
    <s v="Enterprise"/>
    <s v="Marketplace"/>
    <s v="Marketplace"/>
    <s v="C. Otieno"/>
    <s v="C. Otieno"/>
    <s v="Laptops"/>
    <s v="High"/>
    <s v="LAP-5009"/>
    <s v="A"/>
    <n v="668.97"/>
    <n v="1667.44"/>
    <n v="1667.44"/>
    <n v="3.4000000000000002E-2"/>
    <n v="3.4000000000000002E-2"/>
    <s v="Low"/>
    <n v="15"/>
    <n v="24161.205600000001"/>
    <n v="10034.550000000001"/>
    <n v="14126.6556"/>
    <n v="0.58468339013679016"/>
  </r>
  <r>
    <s v="ORD-2024-553449"/>
    <d v="2024-08-27T00:00:00"/>
    <d v="2024-08-27T00:00:00"/>
    <d v="2024-09-18T00:00:00"/>
    <d v="2024-09-18T00:00:00"/>
    <n v="22"/>
    <s v="Not Met"/>
    <s v="08-2024"/>
    <s v="Q3-2024"/>
    <d v="2023-01-29T00:00:00"/>
    <x v="0"/>
    <s v="Asia"/>
    <x v="3"/>
    <s v="Delhi"/>
    <s v="Delhi"/>
    <s v="Consumer"/>
    <s v="Direct"/>
    <s v="Direct"/>
    <s v="B. Chen"/>
    <s v="B. Chen"/>
    <s v="Components"/>
    <s v="High"/>
    <s v="CMP-3875"/>
    <s v="A"/>
    <n v="896.75"/>
    <n v="1651.14"/>
    <n v="1651.14"/>
    <n v="2.5000000000000001E-2"/>
    <n v="2.5000000000000001E-2"/>
    <s v="Low"/>
    <n v="15"/>
    <n v="24147.922500000001"/>
    <n v="13451.25"/>
    <n v="10696.672500000001"/>
    <n v="0.44296450346815552"/>
  </r>
  <r>
    <s v="ORD-2024-798002"/>
    <d v="2024-07-25T00:00:00"/>
    <d v="2024-07-24T00:00:00"/>
    <d v="2024-07-24T00:00:00"/>
    <d v="2024-07-25T00:00:00"/>
    <n v="1"/>
    <s v="Met"/>
    <s v="07-2024"/>
    <s v="Q3-2024"/>
    <d v="2023-01-20T00:00:00"/>
    <x v="0"/>
    <s v="Africa"/>
    <x v="5"/>
    <s v="Mombasa"/>
    <s v="Mombasa"/>
    <s v="Non-Profit"/>
    <s v="Direct"/>
    <s v="Direct"/>
    <s v="J. Njeri"/>
    <s v="J. Njeri"/>
    <s v="Laptops"/>
    <s v="High"/>
    <s v="LAP-9815"/>
    <s v="A"/>
    <n v="1494.4"/>
    <n v="3661.07"/>
    <n v="3661.07"/>
    <n v="7.1999999999999995E-2"/>
    <n v="7.1999999999999995E-2"/>
    <s v="Low"/>
    <n v="7"/>
    <n v="23782.310720000001"/>
    <n v="10460.800000000001"/>
    <n v="13321.51072"/>
    <n v="0.56014366630897339"/>
  </r>
  <r>
    <s v="ORD-2024-851993"/>
    <d v="2024-05-01T00:00:00"/>
    <d v="2024-05-01T00:00:00"/>
    <d v="2024-05-16T00:00:00"/>
    <d v="2024-05-16T00:00:00"/>
    <n v="15"/>
    <s v="Not Met"/>
    <s v="05-2024"/>
    <s v="Q2-2024"/>
    <d v="2023-01-29T00:00:00"/>
    <x v="0"/>
    <s v="Asia"/>
    <x v="3"/>
    <s v="Bengaluru"/>
    <s v="Bengaluru"/>
    <s v="Small Business"/>
    <s v="Retail"/>
    <s v="Retail"/>
    <s v="L. Okafor"/>
    <s v="L. Okafor"/>
    <s v="Components"/>
    <s v="High"/>
    <s v="CMP-6811"/>
    <s v="A"/>
    <n v="901.19"/>
    <n v="2125.44"/>
    <n v="2125.44"/>
    <n v="7.0999999999999994E-2"/>
    <n v="7.0999999999999994E-2"/>
    <s v="Low"/>
    <n v="12"/>
    <n v="23694.405119999999"/>
    <n v="10814.28"/>
    <n v="12880.125119999999"/>
    <n v="0.54359352154100415"/>
  </r>
  <r>
    <s v="ORD-2024-286833"/>
    <d v="2024-08-14T00:00:00"/>
    <d v="2024-08-14T00:00:00"/>
    <d v="2024-09-04T00:00:00"/>
    <d v="2024-09-04T00:00:00"/>
    <n v="21"/>
    <s v="Not Met"/>
    <s v="08-2024"/>
    <s v="Q3-2024"/>
    <d v="2023-01-19T00:00:00"/>
    <x v="0"/>
    <s v="Europe"/>
    <x v="1"/>
    <s v="Manchester"/>
    <s v="Manchester"/>
    <s v="Non-Profit"/>
    <s v="Online"/>
    <s v="Online"/>
    <s v="J. Njeri"/>
    <s v="J. Njeri"/>
    <s v="Phones"/>
    <s v="High"/>
    <s v="PHN-2341"/>
    <s v="A"/>
    <n v="1138.8"/>
    <n v="2250.81"/>
    <n v="2250.81"/>
    <n v="0.123"/>
    <n v="0.123"/>
    <s v="Low"/>
    <n v="12"/>
    <n v="23687.524440000001"/>
    <n v="13665.599999999999"/>
    <n v="10021.924440000003"/>
    <n v="0.42308872188756258"/>
  </r>
  <r>
    <s v="ORD-2023-674887"/>
    <d v="2023-12-16T00:00:00"/>
    <d v="2023-12-16T00:00:00"/>
    <d v="2023-12-19T00:00:00"/>
    <d v="2023-12-19T00:00:00"/>
    <n v="3"/>
    <s v="Met"/>
    <s v="12-2023"/>
    <s v="Q4-2023"/>
    <d v="2023-01-12T00:00:00"/>
    <x v="0"/>
    <s v="Asia"/>
    <x v="10"/>
    <s v="Beijing"/>
    <s v="Beijing"/>
    <s v="Education"/>
    <s v="Retail"/>
    <s v="Retail"/>
    <s v="A. Patel"/>
    <s v="A. Patel"/>
    <s v="Accessories"/>
    <s v="High"/>
    <s v="ACC-9644"/>
    <s v="A"/>
    <n v="1415.05"/>
    <n v="1972.38"/>
    <n v="1972.38"/>
    <n v="0"/>
    <n v="0"/>
    <s v="Low"/>
    <n v="12"/>
    <n v="23668.560000000001"/>
    <n v="16980.599999999999"/>
    <n v="6687.9600000000028"/>
    <n v="0.28256725377462771"/>
  </r>
  <r>
    <s v="ORD-2023-667815"/>
    <d v="2023-10-21T00:00:00"/>
    <d v="2023-10-21T00:00:00"/>
    <d v="2023-11-09T00:00:00"/>
    <d v="2023-11-09T00:00:00"/>
    <n v="19"/>
    <s v="Not Met"/>
    <s v="10-2023"/>
    <s v="Q4-2023"/>
    <d v="2023-01-19T00:00:00"/>
    <x v="0"/>
    <s v="Europe"/>
    <x v="1"/>
    <s v="London"/>
    <s v="London"/>
    <s v="Non-Profit"/>
    <s v="Direct"/>
    <s v="Direct"/>
    <s v="A. Patel"/>
    <s v="A. Patel"/>
    <s v="Accessories"/>
    <s v="High"/>
    <s v="ACC-8557"/>
    <s v="A"/>
    <n v="1142.48"/>
    <n v="2105.5300000000002"/>
    <n v="2105.5300000000002"/>
    <n v="0.20699999999999999"/>
    <n v="0.20699999999999999"/>
    <s v="High"/>
    <n v="14"/>
    <n v="23375.594060000003"/>
    <n v="15994.720000000001"/>
    <n v="7380.8740600000019"/>
    <n v="0.31575129346680658"/>
  </r>
  <r>
    <s v="ORD-2024-921935"/>
    <d v="2024-01-01T00:00:00"/>
    <d v="2024-01-01T00:00:00"/>
    <d v="2024-01-27T00:00:00"/>
    <d v="2024-01-27T00:00:00"/>
    <n v="26"/>
    <s v="Not Met"/>
    <s v="01-2024"/>
    <s v="Q1-2024"/>
    <d v="2023-01-19T00:00:00"/>
    <x v="0"/>
    <s v="Europe"/>
    <x v="1"/>
    <s v="Manchester"/>
    <s v="Manchester"/>
    <s v="Education"/>
    <s v="Distributor"/>
    <s v="Distributor"/>
    <s v="D. Smith"/>
    <s v="D. Smith"/>
    <s v="Accessories"/>
    <s v="Medium"/>
    <s v="ACC-3103"/>
    <s v="A"/>
    <n v="657.45"/>
    <n v="1325.96"/>
    <n v="1325.96"/>
    <n v="0.16700000000000001"/>
    <n v="0.16700000000000001"/>
    <s v="Low"/>
    <n v="21"/>
    <n v="23195.01828"/>
    <n v="13806.45"/>
    <n v="9388.5682799999995"/>
    <n v="0.40476658249048808"/>
  </r>
  <r>
    <s v="ORD-2023-172095"/>
    <d v="2023-05-24T00:00:00"/>
    <d v="2023-05-24T00:00:00"/>
    <d v="2023-06-21T00:00:00"/>
    <d v="2023-06-21T00:00:00"/>
    <n v="28"/>
    <s v="Not Met"/>
    <s v="05-2023"/>
    <s v="Q2-2023"/>
    <d v="2023-01-13T00:00:00"/>
    <x v="0"/>
    <s v="Americas"/>
    <x v="6"/>
    <s v="Austin"/>
    <s v="Austin"/>
    <s v="Small Business"/>
    <s v="Marketplace"/>
    <s v="Marketplace"/>
    <s v="G. Dubois"/>
    <s v="G. Dubois"/>
    <s v="Monitors"/>
    <s v="Medium"/>
    <s v="MON-6882"/>
    <s v="A"/>
    <n v="813.97"/>
    <n v="1568.83"/>
    <n v="1568.83"/>
    <n v="1.7000000000000001E-2"/>
    <n v="1.7000000000000001E-2"/>
    <s v="Low"/>
    <n v="15"/>
    <n v="23132.398349999996"/>
    <n v="12209.550000000001"/>
    <n v="10922.848349999995"/>
    <n v="0.4721883215364911"/>
  </r>
  <r>
    <s v="ORD-2023-576840"/>
    <d v="2023-11-19T00:00:00"/>
    <d v="2023-11-19T00:00:00"/>
    <d v="2023-12-13T00:00:00"/>
    <d v="2023-12-13T00:00:00"/>
    <n v="24"/>
    <s v="Not Met"/>
    <s v="11-2023"/>
    <s v="Q4-2023"/>
    <d v="2023-01-10T00:00:00"/>
    <x v="0"/>
    <s v="Europe"/>
    <x v="11"/>
    <s v="Lyon"/>
    <s v="Lyon"/>
    <s v="Non-Profit"/>
    <s v="Direct"/>
    <s v="Direct"/>
    <s v="H. Kim"/>
    <s v="H. Kim"/>
    <s v="Monitors"/>
    <s v="High"/>
    <s v="MON-3745"/>
    <s v="A"/>
    <n v="1297.42"/>
    <n v="2742.97"/>
    <n v="2742.97"/>
    <n v="6.9000000000000006E-2"/>
    <n v="6.9000000000000006E-2"/>
    <s v="Low"/>
    <n v="9"/>
    <n v="22983.34563"/>
    <n v="11676.78"/>
    <n v="11306.565629999999"/>
    <n v="0.49194602961727291"/>
  </r>
  <r>
    <s v="ORD-2023-638181"/>
    <d v="2023-05-20T00:00:00"/>
    <d v="2023-05-20T00:00:00"/>
    <d v="2023-06-07T00:00:00"/>
    <d v="2023-06-07T00:00:00"/>
    <n v="18"/>
    <s v="Not Met"/>
    <s v="05-2023"/>
    <s v="Q2-2023"/>
    <d v="2023-01-13T00:00:00"/>
    <x v="0"/>
    <s v="Africa"/>
    <x v="2"/>
    <s v="Port Harcourt"/>
    <s v="Port Harcourt"/>
    <s v="Enterprise"/>
    <s v="Distributor"/>
    <s v="Distributor"/>
    <s v="E. Garcia"/>
    <s v="E. Garcia"/>
    <s v="Components"/>
    <s v="High"/>
    <s v="CMP-4630"/>
    <s v="A"/>
    <n v="1120.06"/>
    <n v="2068.21"/>
    <n v="2068.21"/>
    <n v="7.8E-2"/>
    <n v="7.8E-2"/>
    <s v="Low"/>
    <n v="12"/>
    <n v="22882.675440000003"/>
    <n v="13440.72"/>
    <n v="9441.9554400000034"/>
    <n v="0.41262462795303284"/>
  </r>
  <r>
    <s v="ORD-2025-246692"/>
    <d v="2025-04-17T00:00:00"/>
    <d v="2025-04-17T00:00:00"/>
    <d v="2025-04-17T00:00:00"/>
    <d v="2025-04-17T00:00:00"/>
    <n v="0"/>
    <s v="Met"/>
    <s v="04-2025"/>
    <s v="Q2-2025"/>
    <d v="2023-01-29T00:00:00"/>
    <x v="0"/>
    <s v="Americas"/>
    <x v="9"/>
    <s v="São Paulo"/>
    <s v="São Paulo"/>
    <s v="Corporate"/>
    <s v="Distributor"/>
    <s v="Distributor"/>
    <s v="L. Okafor"/>
    <s v="L. Okafor"/>
    <s v="Phones"/>
    <s v="Medium"/>
    <s v="PHN-4566"/>
    <s v="A"/>
    <n v="719.41"/>
    <n v="1125.99"/>
    <n v="1125.99"/>
    <n v="4.1000000000000002E-2"/>
    <n v="4.1000000000000002E-2"/>
    <s v="Low"/>
    <n v="21"/>
    <n v="22676.312610000001"/>
    <n v="15107.609999999999"/>
    <n v="7568.7026100000021"/>
    <n v="0.33377131194876403"/>
  </r>
  <r>
    <s v="ORD-2023-609394"/>
    <d v="2023-04-16T00:00:00"/>
    <d v="2023-04-16T00:00:00"/>
    <d v="2023-04-19T00:00:00"/>
    <d v="2023-04-19T00:00:00"/>
    <n v="3"/>
    <s v="Met"/>
    <s v="04-2023"/>
    <s v="Q2-2023"/>
    <d v="2023-01-21T00:00:00"/>
    <x v="0"/>
    <s v="Europe"/>
    <x v="4"/>
    <s v="Munich"/>
    <s v="Munich"/>
    <s v="Corporate"/>
    <s v="Direct"/>
    <s v="Direct"/>
    <s v="B. Chen"/>
    <s v="B. Chen"/>
    <s v="Accessories"/>
    <s v="Low"/>
    <s v="ACC-1731"/>
    <s v="A"/>
    <n v="553.61"/>
    <n v="699.47"/>
    <n v="699.47"/>
    <n v="0.02"/>
    <n v="0.02"/>
    <s v="Low"/>
    <n v="33"/>
    <n v="22620.859800000002"/>
    <n v="18269.13"/>
    <n v="4351.729800000001"/>
    <n v="0.19237685209472014"/>
  </r>
  <r>
    <s v="ORD-2024-468615"/>
    <d v="2024-07-09T00:00:00"/>
    <d v="2024-07-09T00:00:00"/>
    <d v="2024-07-12T00:00:00"/>
    <d v="2024-07-12T00:00:00"/>
    <n v="3"/>
    <s v="Met"/>
    <s v="07-2024"/>
    <s v="Q3-2024"/>
    <d v="2023-01-12T00:00:00"/>
    <x v="0"/>
    <s v="Asia"/>
    <x v="10"/>
    <s v="Shanghai"/>
    <s v="Shanghai"/>
    <s v="Small Business"/>
    <s v="Retail"/>
    <s v="Retail"/>
    <s v="D. Smith"/>
    <s v="D. Smith"/>
    <s v="Accessories"/>
    <s v="Medium"/>
    <s v="ACC-3721"/>
    <s v="A"/>
    <n v="748.39"/>
    <n v="979.42"/>
    <n v="979.42"/>
    <n v="0"/>
    <n v="0"/>
    <s v="Low"/>
    <n v="23"/>
    <n v="22526.66"/>
    <n v="17212.97"/>
    <n v="5313.6899999999987"/>
    <n v="0.23588450307324738"/>
  </r>
  <r>
    <s v="ORD-2024-390951"/>
    <d v="2024-12-20T00:00:00"/>
    <d v="2024-12-20T00:00:00"/>
    <d v="2025-01-14T00:00:00"/>
    <d v="2025-01-14T00:00:00"/>
    <n v="25"/>
    <s v="Not Met"/>
    <s v="12-2024"/>
    <s v="Q4-2024"/>
    <d v="2023-01-29T00:00:00"/>
    <x v="0"/>
    <s v="Asia"/>
    <x v="3"/>
    <s v="Delhi"/>
    <s v="Delhi"/>
    <s v="Small Business"/>
    <s v="Retail"/>
    <s v="Retail"/>
    <s v="M. Rossi"/>
    <s v="M. Rossi"/>
    <s v="Printers"/>
    <s v="High"/>
    <s v="PRN-9378"/>
    <s v="A"/>
    <n v="1361.34"/>
    <n v="1737.9"/>
    <n v="1737.9"/>
    <n v="7.6999999999999999E-2"/>
    <n v="7.6999999999999999E-2"/>
    <s v="Low"/>
    <n v="14"/>
    <n v="22457.143800000002"/>
    <n v="19058.759999999998"/>
    <n v="3398.3838000000032"/>
    <n v="0.15132751654731813"/>
  </r>
  <r>
    <s v="ORD-2024-819979"/>
    <d v="2024-05-28T00:00:00"/>
    <d v="2024-05-28T00:00:00"/>
    <d v="2024-06-18T00:00:00"/>
    <d v="2024-06-18T00:00:00"/>
    <n v="21"/>
    <s v="Not Met"/>
    <s v="05-2024"/>
    <s v="Q2-2024"/>
    <d v="2023-01-21T00:00:00"/>
    <x v="0"/>
    <s v="Europe"/>
    <x v="4"/>
    <s v="Frankfurt"/>
    <s v="Frankfurt"/>
    <s v="Small Business"/>
    <s v="Online"/>
    <s v="Online"/>
    <s v="E. Garcia"/>
    <s v="E. Garcia"/>
    <s v="Phones"/>
    <s v="High"/>
    <s v="PHN-9399"/>
    <s v="A"/>
    <n v="986.85"/>
    <n v="2422.1"/>
    <n v="2422.1"/>
    <n v="7.5999999999999998E-2"/>
    <n v="7.5999999999999998E-2"/>
    <s v="Low"/>
    <n v="10"/>
    <n v="22380.204000000002"/>
    <n v="9868.5"/>
    <n v="12511.704000000002"/>
    <n v="0.55905227673527913"/>
  </r>
  <r>
    <s v="ORD-2023-568013"/>
    <d v="2023-09-30T00:00:00"/>
    <d v="2023-09-30T00:00:00"/>
    <d v="2023-10-30T00:00:00"/>
    <d v="2023-10-30T00:00:00"/>
    <n v="30"/>
    <s v="Not Met"/>
    <s v="09-2023"/>
    <s v="Q3-2023"/>
    <d v="2023-03-03T00:00:00"/>
    <x v="1"/>
    <s v="Asia"/>
    <x v="7"/>
    <s v="Tokyo"/>
    <s v="Tokyo"/>
    <s v="Enterprise"/>
    <s v="Online"/>
    <s v="Online"/>
    <s v="D. Smith"/>
    <s v="D. Smith"/>
    <s v="Printers"/>
    <s v="Medium"/>
    <s v="PRN-1786"/>
    <s v="A"/>
    <n v="649.13"/>
    <n v="975.43"/>
    <n v="975.43"/>
    <n v="0.157"/>
    <n v="0.157"/>
    <s v="Low"/>
    <n v="27"/>
    <n v="22201.762229999997"/>
    <n v="17526.509999999998"/>
    <n v="4675.2522299999982"/>
    <n v="0.21058023149543473"/>
  </r>
  <r>
    <s v="ORD-2023-676553"/>
    <d v="2023-05-20T00:00:00"/>
    <d v="2023-05-20T00:00:00"/>
    <d v="2023-06-19T00:00:00"/>
    <d v="2023-06-19T00:00:00"/>
    <n v="30"/>
    <s v="Not Met"/>
    <s v="05-2023"/>
    <s v="Q2-2023"/>
    <d v="2023-01-29T00:00:00"/>
    <x v="0"/>
    <s v="Asia"/>
    <x v="3"/>
    <s v="Delhi"/>
    <s v="Delhi"/>
    <s v="Non-Profit"/>
    <s v="Marketplace"/>
    <s v="Marketplace"/>
    <s v="H. Kim"/>
    <s v="H. Kim"/>
    <s v="Laptops"/>
    <s v="Medium"/>
    <s v="LAP-2806"/>
    <s v="A"/>
    <n v="1161.2"/>
    <n v="878.73"/>
    <n v="878.73"/>
    <n v="0.19"/>
    <n v="0.19"/>
    <s v="Low"/>
    <n v="31"/>
    <n v="22064.910300000003"/>
    <n v="35997.200000000004"/>
    <n v="13932.289700000001"/>
    <n v="0.63142290227212028"/>
  </r>
  <r>
    <s v="ORD-2023-848013"/>
    <d v="2023-02-20T00:00:00"/>
    <d v="2023-02-20T00:00:00"/>
    <d v="2023-03-04T00:00:00"/>
    <d v="2023-03-04T00:00:00"/>
    <n v="12"/>
    <s v="Not Met"/>
    <s v="02-2023"/>
    <s v="Q1-2023"/>
    <d v="2023-01-29T00:00:00"/>
    <x v="0"/>
    <s v="Asia"/>
    <x v="3"/>
    <s v="Delhi"/>
    <s v="Delhi"/>
    <s v="Consumer"/>
    <s v="Distributor"/>
    <s v="Distributor"/>
    <s v="M. Rossi"/>
    <s v="M. Rossi"/>
    <s v="Monitors"/>
    <s v="Low"/>
    <s v="MON-9906"/>
    <s v="A"/>
    <n v="299.75"/>
    <n v="523.01"/>
    <n v="523.01"/>
    <n v="0.157"/>
    <n v="0.157"/>
    <s v="Low"/>
    <n v="50"/>
    <n v="22044.871499999997"/>
    <n v="14987.5"/>
    <n v="7057.3714999999975"/>
    <n v="0.32013665854210122"/>
  </r>
  <r>
    <s v="ORD-2023-867175"/>
    <d v="2023-08-10T00:00:00"/>
    <d v="2023-08-10T00:00:00"/>
    <d v="2023-08-15T00:00:00"/>
    <d v="2023-08-15T00:00:00"/>
    <n v="5"/>
    <s v="Met"/>
    <s v="08-2023"/>
    <s v="Q3-2023"/>
    <d v="2023-01-29T00:00:00"/>
    <x v="0"/>
    <s v="Americas"/>
    <x v="9"/>
    <s v="São Paulo"/>
    <s v="São Paulo"/>
    <s v="Education"/>
    <s v="Direct"/>
    <s v="Direct"/>
    <s v="G. Dubois"/>
    <s v="G. Dubois"/>
    <s v="Networking"/>
    <s v="High"/>
    <s v="NET-2894"/>
    <s v="A"/>
    <n v="1307.52"/>
    <n v="1921.65"/>
    <n v="1921.65"/>
    <n v="0.123"/>
    <n v="0.123"/>
    <s v="Low"/>
    <n v="13"/>
    <n v="21908.731650000002"/>
    <n v="16997.759999999998"/>
    <n v="4910.9716500000031"/>
    <n v="0.22415590863289445"/>
  </r>
  <r>
    <s v="ORD-2024-668926"/>
    <d v="2024-10-23T00:00:00"/>
    <d v="2024-10-23T00:00:00"/>
    <d v="2024-11-14T00:00:00"/>
    <d v="2024-11-14T00:00:00"/>
    <n v="22"/>
    <s v="Not Met"/>
    <s v="10-2024"/>
    <s v="Q4-2024"/>
    <d v="2023-03-03T00:00:00"/>
    <x v="1"/>
    <s v="Asia"/>
    <x v="7"/>
    <s v="Osaka"/>
    <s v="Osaka"/>
    <s v="Non-Profit"/>
    <s v="Direct"/>
    <s v="Direct"/>
    <s v="B. Chen"/>
    <s v="B. Chen"/>
    <s v="Phones"/>
    <s v="Medium"/>
    <s v="PHN-9789"/>
    <s v="A"/>
    <n v="1406.4"/>
    <n v="1564.76"/>
    <n v="1564.76"/>
    <n v="0.185"/>
    <n v="0.185"/>
    <s v="Low"/>
    <n v="17"/>
    <n v="21679.749799999998"/>
    <n v="23908.800000000003"/>
    <n v="2229.0502000000051"/>
    <n v="0.10281715520536151"/>
  </r>
  <r>
    <s v="ORD-2024-510520"/>
    <d v="2024-09-25T00:00:00"/>
    <d v="2024-09-25T00:00:00"/>
    <d v="2024-10-03T00:00:00"/>
    <d v="2024-10-03T00:00:00"/>
    <n v="8"/>
    <s v="Not Met"/>
    <s v="09-2024"/>
    <s v="Q3-2024"/>
    <d v="2023-01-02T00:00:00"/>
    <x v="0"/>
    <s v="Americas"/>
    <x v="0"/>
    <s v="Toronto"/>
    <s v="Toronto"/>
    <s v="Consumer"/>
    <s v="Online"/>
    <s v="Online"/>
    <s v="E. Garcia"/>
    <s v="E. Garcia"/>
    <s v="Printers"/>
    <s v="Medium"/>
    <s v="PRN-9557"/>
    <s v="A"/>
    <n v="558.19000000000005"/>
    <n v="1031.6400000000001"/>
    <n v="1031.6400000000001"/>
    <n v="0"/>
    <n v="0"/>
    <s v="Low"/>
    <n v="21"/>
    <n v="21664.440000000002"/>
    <n v="11721.990000000002"/>
    <n v="9942.4500000000007"/>
    <n v="0.45892947152107322"/>
  </r>
  <r>
    <s v="ORD-2024-890180"/>
    <d v="2024-01-20T00:00:00"/>
    <d v="2024-01-20T00:00:00"/>
    <d v="2024-02-13T00:00:00"/>
    <d v="2024-02-13T00:00:00"/>
    <n v="24"/>
    <s v="Not Met"/>
    <s v="01-2024"/>
    <s v="Q1-2024"/>
    <d v="2023-01-10T00:00:00"/>
    <x v="0"/>
    <s v="Europe"/>
    <x v="11"/>
    <s v="Marseille"/>
    <s v="Marseille"/>
    <s v="Corporate"/>
    <s v="Retail"/>
    <s v="Retail"/>
    <s v="H. Kim"/>
    <s v="H. Kim"/>
    <s v="Printers"/>
    <s v="Medium"/>
    <s v="PRN-8392"/>
    <s v="A"/>
    <n v="643.53"/>
    <n v="1439.01"/>
    <n v="1439.01"/>
    <n v="0"/>
    <n v="0"/>
    <s v="Low"/>
    <n v="15"/>
    <n v="21585.15"/>
    <n v="9652.9499999999989"/>
    <n v="11932.200000000003"/>
    <n v="0.55279671440782208"/>
  </r>
  <r>
    <s v="ORD-2025-125517"/>
    <d v="2025-03-21T00:00:00"/>
    <d v="2025-03-21T00:00:00"/>
    <d v="2025-04-09T00:00:00"/>
    <d v="2025-04-09T00:00:00"/>
    <n v="19"/>
    <s v="Not Met"/>
    <s v="03-2025"/>
    <s v="Q1-2025"/>
    <d v="2023-03-03T00:00:00"/>
    <x v="1"/>
    <s v="Asia"/>
    <x v="7"/>
    <s v="Tokyo"/>
    <s v="Tokyo"/>
    <s v="Small Business"/>
    <s v="Distributor"/>
    <s v="Distributor"/>
    <s v="E. Garcia"/>
    <s v="E. Garcia"/>
    <s v="Components"/>
    <s v="Medium"/>
    <s v="CMP-7055"/>
    <s v="A"/>
    <n v="1055.45"/>
    <n v="1210.04"/>
    <n v="1210.04"/>
    <n v="8.9999999999999993E-3"/>
    <n v="8.9999999999999993E-3"/>
    <s v="Low"/>
    <n v="18"/>
    <n v="21584.693520000001"/>
    <n v="18998.100000000002"/>
    <n v="2586.5935199999985"/>
    <n v="0.1198346188053727"/>
  </r>
  <r>
    <s v="ORD-2023-195665"/>
    <d v="2023-12-19T00:00:00"/>
    <d v="2023-12-19T00:00:00"/>
    <d v="2023-12-20T00:00:00"/>
    <d v="2023-12-20T00:00:00"/>
    <n v="1"/>
    <s v="Met"/>
    <s v="12-2023"/>
    <s v="Q4-2023"/>
    <d v="2023-01-29T00:00:00"/>
    <x v="0"/>
    <s v="Americas"/>
    <x v="9"/>
    <s v="Rio de Janeiro"/>
    <s v="Rio de Janeiro"/>
    <s v="Consumer"/>
    <s v="Distributor"/>
    <s v="Distributor"/>
    <s v="J. Njeri"/>
    <s v="J. Njeri"/>
    <s v="Phones"/>
    <s v="High"/>
    <s v="PHN-7274"/>
    <s v="A"/>
    <n v="1080.43"/>
    <n v="2529.15"/>
    <n v="2529.15"/>
    <n v="0.14699999999999999"/>
    <n v="0.14699999999999999"/>
    <s v="Low"/>
    <n v="10"/>
    <n v="21573.6495"/>
    <n v="10804.300000000001"/>
    <n v="10769.349499999998"/>
    <n v="0.49918997247081437"/>
  </r>
  <r>
    <s v="ORD-2023-497686"/>
    <d v="2023-07-03T00:00:00"/>
    <d v="2023-07-03T00:00:00"/>
    <d v="2023-07-23T00:00:00"/>
    <d v="2023-07-23T00:00:00"/>
    <n v="20"/>
    <s v="Not Met"/>
    <s v="07-2023"/>
    <s v="Q3-2023"/>
    <d v="2023-01-07T00:00:00"/>
    <x v="0"/>
    <s v="Africa"/>
    <x v="8"/>
    <s v="Johannesburg"/>
    <s v="Johannesburg"/>
    <s v="Small Business"/>
    <s v="Distributor"/>
    <s v="Distributor"/>
    <s v="F. Müller"/>
    <s v="F. Müller"/>
    <s v="Laptops"/>
    <s v="Medium"/>
    <s v="LAP-6342"/>
    <s v="A"/>
    <n v="1001.96"/>
    <n v="1254.95"/>
    <n v="1254.95"/>
    <n v="4.4999999999999998E-2"/>
    <n v="4.4999999999999998E-2"/>
    <s v="Low"/>
    <n v="18"/>
    <n v="21572.590500000002"/>
    <n v="18035.28"/>
    <n v="3537.3105000000032"/>
    <n v="0.16397244920585699"/>
  </r>
  <r>
    <s v="ORD-2025-881624"/>
    <d v="2025-02-21T00:00:00"/>
    <d v="2025-02-21T00:00:00"/>
    <d v="2025-03-21T00:00:00"/>
    <d v="2025-03-21T00:00:00"/>
    <n v="28"/>
    <s v="Not Met"/>
    <s v="02-2025"/>
    <s v="Q1-2025"/>
    <d v="2023-01-13T00:00:00"/>
    <x v="0"/>
    <s v="Africa"/>
    <x v="2"/>
    <s v="Abuja"/>
    <s v="Abuja"/>
    <s v="Enterprise"/>
    <s v="Marketplace"/>
    <s v="Marketplace"/>
    <s v="I. Johnson"/>
    <s v="I. Johnson"/>
    <s v="Phones"/>
    <s v="Medium"/>
    <s v="PHN-5887"/>
    <s v="A"/>
    <n v="1437.39"/>
    <n v="1388.31"/>
    <n v="1388.31"/>
    <n v="0.13800000000000001"/>
    <n v="0.13800000000000001"/>
    <s v="Low"/>
    <n v="18"/>
    <n v="21541.017959999997"/>
    <n v="25873.02"/>
    <n v="4332.002040000003"/>
    <n v="0.20110479681341872"/>
  </r>
  <r>
    <s v="ORD-2025-330203"/>
    <d v="2025-03-25T00:00:00"/>
    <d v="2025-03-25T00:00:00"/>
    <d v="2025-04-17T00:00:00"/>
    <d v="2025-04-17T00:00:00"/>
    <n v="23"/>
    <s v="Not Met"/>
    <s v="03-2025"/>
    <s v="Q1-2025"/>
    <d v="2023-01-19T00:00:00"/>
    <x v="0"/>
    <s v="Europe"/>
    <x v="1"/>
    <s v="London"/>
    <s v="London"/>
    <s v="Consumer"/>
    <s v="Retail"/>
    <s v="Retail"/>
    <s v="H. Kim"/>
    <s v="H. Kim"/>
    <s v="Networking"/>
    <s v="High"/>
    <s v="NET-7166"/>
    <s v="A"/>
    <n v="1421.19"/>
    <n v="1808.26"/>
    <n v="1808.26"/>
    <n v="0.104"/>
    <n v="0.104"/>
    <s v="Low"/>
    <n v="13"/>
    <n v="21062.61248"/>
    <n v="18475.47"/>
    <n v="2587.1424799999986"/>
    <n v="0.12283103449093123"/>
  </r>
  <r>
    <s v="ORD-2023-581799"/>
    <d v="2023-12-05T00:00:00"/>
    <d v="2023-12-05T00:00:00"/>
    <d v="2023-12-12T00:00:00"/>
    <d v="2023-12-12T00:00:00"/>
    <n v="7"/>
    <s v="Met"/>
    <s v="12-2023"/>
    <s v="Q4-2023"/>
    <d v="2023-01-29T00:00:00"/>
    <x v="0"/>
    <s v="Americas"/>
    <x v="9"/>
    <s v="Brasília"/>
    <s v="Brasília"/>
    <s v="Corporate"/>
    <s v="Direct"/>
    <s v="Direct"/>
    <s v="F. Müller"/>
    <s v="F. Müller"/>
    <s v="Phones"/>
    <s v="Low"/>
    <s v="PHN-6506"/>
    <s v="A"/>
    <n v="307.43"/>
    <n v="495.19"/>
    <n v="495.19"/>
    <n v="0"/>
    <n v="0"/>
    <s v="Low"/>
    <n v="42"/>
    <n v="20797.98"/>
    <n v="12912.06"/>
    <n v="7885.92"/>
    <n v="0.37916759223732305"/>
  </r>
  <r>
    <s v="ORD-2023-184577"/>
    <d v="2023-05-17T00:00:00"/>
    <d v="2023-05-17T00:00:00"/>
    <d v="2023-06-03T00:00:00"/>
    <d v="2023-06-03T00:00:00"/>
    <n v="17"/>
    <s v="Not Met"/>
    <s v="05-2023"/>
    <s v="Q2-2023"/>
    <d v="2023-01-12T00:00:00"/>
    <x v="0"/>
    <s v="Asia"/>
    <x v="10"/>
    <s v="Beijing"/>
    <s v="Beijing"/>
    <s v="Non-Profit"/>
    <s v="Distributor"/>
    <s v="Distributor"/>
    <s v="M. Rossi"/>
    <s v="M. Rossi"/>
    <s v="Printers"/>
    <s v="High"/>
    <s v="PRN-1923"/>
    <s v="A"/>
    <n v="979.59"/>
    <n v="2210.94"/>
    <n v="2210.94"/>
    <n v="0.15"/>
    <n v="0.15"/>
    <s v="Low"/>
    <n v="11"/>
    <n v="20672.289000000001"/>
    <n v="10775.49"/>
    <n v="9896.7990000000009"/>
    <n v="0.47874712858358359"/>
  </r>
  <r>
    <s v="ORD-2025-398335"/>
    <d v="2025-06-01T00:00:00"/>
    <d v="2025-06-01T00:00:00"/>
    <d v="2025-06-27T00:00:00"/>
    <d v="2025-06-27T00:00:00"/>
    <n v="26"/>
    <s v="Not Met"/>
    <s v="06-2025"/>
    <s v="Q2-2025"/>
    <d v="2023-01-21T00:00:00"/>
    <x v="0"/>
    <s v="Europe"/>
    <x v="4"/>
    <s v="Munich"/>
    <s v="Munich"/>
    <s v="Consumer"/>
    <s v="Distributor"/>
    <s v="Distributor"/>
    <s v="E. Garcia"/>
    <s v="E. Garcia"/>
    <s v="Laptops"/>
    <s v="High"/>
    <s v="LAP-1619"/>
    <s v="A"/>
    <n v="1362.31"/>
    <n v="3294.57"/>
    <n v="3294.57"/>
    <n v="0.113"/>
    <n v="0.113"/>
    <s v="Low"/>
    <n v="7"/>
    <n v="20455.985130000001"/>
    <n v="9536.17"/>
    <n v="10919.815130000001"/>
    <n v="0.5338200561157721"/>
  </r>
  <r>
    <s v="ORD-2023-621393"/>
    <d v="2023-07-07T00:00:00"/>
    <d v="2023-07-07T00:00:00"/>
    <d v="2023-07-13T00:00:00"/>
    <d v="2023-07-13T00:00:00"/>
    <n v="6"/>
    <s v="Met"/>
    <s v="07-2023"/>
    <s v="Q3-2023"/>
    <d v="2023-01-07T00:00:00"/>
    <x v="0"/>
    <s v="Africa"/>
    <x v="8"/>
    <s v="Cape Town"/>
    <s v="Cape Town"/>
    <s v="Small Business"/>
    <s v="Marketplace"/>
    <s v="Marketplace"/>
    <s v="B. Chen"/>
    <s v="B. Chen"/>
    <s v="Accessories"/>
    <s v="Medium"/>
    <s v="ACC-9445"/>
    <s v="A"/>
    <n v="612.59"/>
    <n v="1424.74"/>
    <n v="1424.74"/>
    <n v="4.3999999999999997E-2"/>
    <n v="4.3999999999999997E-2"/>
    <s v="Low"/>
    <n v="15"/>
    <n v="20430.771599999996"/>
    <n v="9188.85"/>
    <n v="11241.921599999996"/>
    <n v="0.55024459281802152"/>
  </r>
  <r>
    <s v="ORD-2023-573656"/>
    <d v="2023-05-02T00:00:00"/>
    <d v="2023-05-02T00:00:00"/>
    <d v="2023-05-16T00:00:00"/>
    <d v="2023-05-16T00:00:00"/>
    <n v="14"/>
    <s v="Not Met"/>
    <s v="05-2023"/>
    <s v="Q2-2023"/>
    <d v="2023-01-29T00:00:00"/>
    <x v="0"/>
    <s v="Asia"/>
    <x v="3"/>
    <s v="Bengaluru"/>
    <s v="Bengaluru"/>
    <s v="Non-Profit"/>
    <s v="Retail"/>
    <s v="Retail"/>
    <s v="L. Okafor"/>
    <s v="L. Okafor"/>
    <s v="Monitors"/>
    <s v="Medium"/>
    <s v="MON-4830"/>
    <s v="A"/>
    <n v="475.37"/>
    <n v="963.73"/>
    <n v="963.73"/>
    <n v="4.1000000000000002E-2"/>
    <n v="4.1000000000000002E-2"/>
    <s v="Low"/>
    <n v="22"/>
    <n v="20332.775539999999"/>
    <n v="10458.14"/>
    <n v="9874.6355399999993"/>
    <n v="0.48565113604750881"/>
  </r>
  <r>
    <s v="ORD-2024-500109"/>
    <d v="2024-05-18T00:00:00"/>
    <d v="2024-05-18T00:00:00"/>
    <d v="2024-05-23T00:00:00"/>
    <d v="2024-05-23T00:00:00"/>
    <n v="5"/>
    <s v="Met"/>
    <s v="05-2024"/>
    <s v="Q2-2024"/>
    <d v="2023-01-13T00:00:00"/>
    <x v="0"/>
    <s v="Americas"/>
    <x v="6"/>
    <s v="Chicago"/>
    <s v="Chicago"/>
    <s v="Enterprise"/>
    <s v="Retail"/>
    <s v="Retail"/>
    <s v="H. Kim"/>
    <s v="H. Kim"/>
    <s v="Laptops"/>
    <s v="High"/>
    <s v="LAP-4987"/>
    <s v="A"/>
    <n v="1274.5899999999999"/>
    <n v="2553.69"/>
    <n v="2553.69"/>
    <n v="0.01"/>
    <n v="0.01"/>
    <s v="Low"/>
    <n v="8"/>
    <n v="20225.2248"/>
    <n v="10196.719999999999"/>
    <n v="10028.504800000001"/>
    <n v="0.49584145042481803"/>
  </r>
  <r>
    <s v="ORD-2024-939873"/>
    <d v="2024-04-12T00:00:00"/>
    <d v="2024-04-12T00:00:00"/>
    <d v="2024-05-07T00:00:00"/>
    <d v="2024-05-07T00:00:00"/>
    <n v="25"/>
    <s v="Not Met"/>
    <s v="04-2024"/>
    <s v="Q2-2024"/>
    <d v="2023-01-07T00:00:00"/>
    <x v="0"/>
    <s v="Africa"/>
    <x v="8"/>
    <s v="Johannesburg"/>
    <s v="Johannesburg"/>
    <s v="Education"/>
    <s v="Distributor"/>
    <s v="Distributor"/>
    <s v="A. Patel"/>
    <s v="A. Patel"/>
    <s v="Laptops"/>
    <s v="Medium"/>
    <s v="LAP-8489"/>
    <s v="A"/>
    <n v="1376.51"/>
    <n v="1455.91"/>
    <n v="1455.91"/>
    <n v="0.185"/>
    <n v="0.185"/>
    <s v="Low"/>
    <n v="17"/>
    <n v="20171.63305"/>
    <n v="23400.67"/>
    <n v="3229.0369499999979"/>
    <n v="0.1600781127634085"/>
  </r>
  <r>
    <s v="ORD-2025-337268"/>
    <d v="2025-02-16T00:00:00"/>
    <d v="2025-02-16T00:00:00"/>
    <d v="2025-03-17T00:00:00"/>
    <d v="2025-03-17T00:00:00"/>
    <n v="29"/>
    <s v="Not Met"/>
    <s v="02-2025"/>
    <s v="Q1-2025"/>
    <d v="2023-01-21T00:00:00"/>
    <x v="0"/>
    <s v="Europe"/>
    <x v="4"/>
    <s v="Munich"/>
    <s v="Munich"/>
    <s v="Consumer"/>
    <s v="Retail"/>
    <s v="Retail"/>
    <s v="L. Okafor"/>
    <s v="L. Okafor"/>
    <s v="Accessories"/>
    <s v="Medium"/>
    <s v="ACC-5150"/>
    <s v="A"/>
    <n v="730.42"/>
    <n v="956.7"/>
    <n v="956.7"/>
    <n v="4.2000000000000003E-2"/>
    <n v="4.2000000000000003E-2"/>
    <s v="Low"/>
    <n v="22"/>
    <n v="20163.409200000002"/>
    <n v="16069.24"/>
    <n v="4094.1692000000021"/>
    <n v="0.20304945256975698"/>
  </r>
  <r>
    <s v="ORD-2025-548982"/>
    <d v="2025-04-07T00:00:00"/>
    <d v="2025-04-07T00:00:00"/>
    <d v="2025-04-11T00:00:00"/>
    <d v="2025-04-11T00:00:00"/>
    <n v="4"/>
    <s v="Met"/>
    <s v="04-2025"/>
    <s v="Q2-2025"/>
    <d v="2023-01-10T00:00:00"/>
    <x v="0"/>
    <s v="Europe"/>
    <x v="11"/>
    <s v="Lyon"/>
    <s v="Lyon"/>
    <s v="Education"/>
    <s v="Retail"/>
    <s v="Retail"/>
    <s v="E. Garcia"/>
    <s v="E. Garcia"/>
    <s v="Networking"/>
    <s v="High"/>
    <s v="NET-9716"/>
    <s v="A"/>
    <n v="754.77"/>
    <n v="1666.18"/>
    <n v="1666.18"/>
    <n v="0.13900000000000001"/>
    <n v="0.13900000000000001"/>
    <s v="Low"/>
    <n v="14"/>
    <n v="20084.133720000002"/>
    <n v="10566.779999999999"/>
    <n v="9517.3537200000028"/>
    <n v="0.47387424584424653"/>
  </r>
  <r>
    <s v="ORD-2024-997336"/>
    <d v="2024-10-04T00:00:00"/>
    <d v="2024-10-04T00:00:00"/>
    <d v="2024-11-02T00:00:00"/>
    <d v="2024-11-02T00:00:00"/>
    <n v="29"/>
    <s v="Not Met"/>
    <s v="10-2024"/>
    <s v="Q4-2024"/>
    <d v="2023-01-13T00:00:00"/>
    <x v="0"/>
    <s v="Africa"/>
    <x v="2"/>
    <s v="Abuja"/>
    <s v="Abuja"/>
    <s v="Corporate"/>
    <s v="Distributor"/>
    <s v="Distributor"/>
    <s v="F. Müller"/>
    <s v="F. Müller"/>
    <s v="Accessories"/>
    <s v="Medium"/>
    <s v="ACC-9038"/>
    <s v="A"/>
    <n v="412.09"/>
    <n v="968.94"/>
    <n v="968.94"/>
    <n v="9.9000000000000005E-2"/>
    <n v="9.9000000000000005E-2"/>
    <s v="Low"/>
    <n v="23"/>
    <n v="20079.343620000003"/>
    <n v="9478.07"/>
    <n v="10601.273620000004"/>
    <n v="0.52796913189137418"/>
  </r>
  <r>
    <s v="ORD-2024-333192"/>
    <d v="2024-10-29T00:00:00"/>
    <d v="2024-10-29T00:00:00"/>
    <d v="2024-11-04T00:00:00"/>
    <d v="2024-11-04T00:00:00"/>
    <n v="6"/>
    <s v="Met"/>
    <s v="10-2024"/>
    <s v="Q4-2024"/>
    <d v="2023-01-20T00:00:00"/>
    <x v="0"/>
    <s v="Africa"/>
    <x v="5"/>
    <s v="Nairobi"/>
    <s v="Nairobi"/>
    <s v="Corporate"/>
    <s v="Distributor"/>
    <s v="Distributor"/>
    <s v="M. Rossi"/>
    <s v="M. Rossi"/>
    <s v="Printers"/>
    <s v="High"/>
    <s v="PRN-4893"/>
    <s v="A"/>
    <n v="805.81"/>
    <n v="1823.04"/>
    <n v="1823.04"/>
    <n v="0"/>
    <n v="0"/>
    <s v="Low"/>
    <n v="11"/>
    <n v="20053.439999999999"/>
    <n v="8863.91"/>
    <n v="11189.529999999999"/>
    <n v="0.55798556257679477"/>
  </r>
  <r>
    <s v="ORD-2024-993481"/>
    <d v="2024-08-18T00:00:00"/>
    <d v="2024-08-18T00:00:00"/>
    <d v="2024-09-12T00:00:00"/>
    <d v="2024-09-12T00:00:00"/>
    <n v="25"/>
    <s v="Not Met"/>
    <s v="08-2024"/>
    <s v="Q3-2024"/>
    <d v="2023-01-29T00:00:00"/>
    <x v="0"/>
    <s v="Asia"/>
    <x v="3"/>
    <s v="Mumbai"/>
    <s v="Mumbai"/>
    <s v="Consumer"/>
    <s v="Marketplace"/>
    <s v="Marketplace"/>
    <s v="C. Otieno"/>
    <s v="C. Otieno"/>
    <s v="Phones"/>
    <s v="Medium"/>
    <s v="PHN-3077"/>
    <s v="A"/>
    <n v="1154.03"/>
    <n v="1590.36"/>
    <n v="1590.36"/>
    <n v="0.314"/>
    <n v="0.3"/>
    <s v="High"/>
    <n v="18"/>
    <n v="20038.536"/>
    <n v="20772.54"/>
    <n v="734.00400000000081"/>
    <n v="3.6629622044245191E-2"/>
  </r>
  <r>
    <s v="ORD-2024-862371"/>
    <d v="2024-09-07T00:00:00"/>
    <d v="2024-09-07T00:00:00"/>
    <d v="2024-09-07T00:00:00"/>
    <d v="2024-09-07T00:00:00"/>
    <n v="0"/>
    <s v="Met"/>
    <s v="09-2024"/>
    <s v="Q3-2024"/>
    <d v="2023-01-29T00:00:00"/>
    <x v="0"/>
    <s v="Asia"/>
    <x v="3"/>
    <s v="Mumbai"/>
    <s v="Mumbai"/>
    <s v="Education"/>
    <s v="Distributor"/>
    <s v="Distributor"/>
    <s v="B. Chen"/>
    <s v="B. Chen"/>
    <s v="Networking"/>
    <s v="High"/>
    <s v="NET-9835"/>
    <s v="A"/>
    <n v="1066.6500000000001"/>
    <n v="2569.77"/>
    <n v="2569.77"/>
    <n v="0.13400000000000001"/>
    <n v="0.13400000000000001"/>
    <s v="Low"/>
    <n v="9"/>
    <n v="20028.787380000002"/>
    <n v="9599.85"/>
    <n v="10428.937380000001"/>
    <n v="0.52069739331368348"/>
  </r>
  <r>
    <s v="ORD-2023-867836"/>
    <d v="2023-05-11T00:00:00"/>
    <d v="2023-05-11T00:00:00"/>
    <d v="2023-05-28T00:00:00"/>
    <d v="2023-05-28T00:00:00"/>
    <n v="17"/>
    <s v="Not Met"/>
    <s v="05-2023"/>
    <s v="Q2-2023"/>
    <d v="2023-01-12T00:00:00"/>
    <x v="0"/>
    <s v="Asia"/>
    <x v="10"/>
    <s v="Shenzhen"/>
    <s v="Shenzhen"/>
    <s v="Enterprise"/>
    <s v="Marketplace"/>
    <s v="Marketplace"/>
    <s v="E. Garcia"/>
    <s v="E. Garcia"/>
    <s v="Networking"/>
    <s v="High"/>
    <s v="NET-3255"/>
    <s v="A"/>
    <n v="1331.19"/>
    <n v="2903.09"/>
    <n v="2903.09"/>
    <n v="0.14299999999999999"/>
    <n v="0.14299999999999999"/>
    <s v="Low"/>
    <n v="8"/>
    <n v="19903.585040000002"/>
    <n v="10649.52"/>
    <n v="9254.0650400000013"/>
    <n v="0.46494463290920784"/>
  </r>
  <r>
    <s v="ORD-2023-927385"/>
    <d v="2023-05-29T00:00:00"/>
    <d v="2023-05-29T00:00:00"/>
    <d v="2023-06-20T00:00:00"/>
    <d v="2023-06-20T00:00:00"/>
    <n v="22"/>
    <s v="Not Met"/>
    <s v="05-2023"/>
    <s v="Q2-2023"/>
    <d v="2023-01-19T00:00:00"/>
    <x v="0"/>
    <s v="Europe"/>
    <x v="1"/>
    <s v="London"/>
    <s v="London"/>
    <s v="Small Business"/>
    <s v="Direct"/>
    <s v="Direct"/>
    <s v="K. Singh"/>
    <s v="K. Singh"/>
    <s v="Components"/>
    <s v="High"/>
    <s v="CMP-8545"/>
    <s v="A"/>
    <n v="1295.3900000000001"/>
    <n v="2905.06"/>
    <n v="2905.06"/>
    <n v="0.14799999999999999"/>
    <n v="0.14799999999999999"/>
    <s v="Low"/>
    <n v="8"/>
    <n v="19800.88896"/>
    <n v="10363.120000000001"/>
    <n v="9437.7689599999994"/>
    <n v="0.47663359857556614"/>
  </r>
  <r>
    <s v="ORD-2024-527858"/>
    <d v="2024-05-07T00:00:00"/>
    <d v="2024-05-07T00:00:00"/>
    <d v="2024-05-12T00:00:00"/>
    <d v="2024-05-12T00:00:00"/>
    <n v="5"/>
    <s v="Met"/>
    <s v="05-2024"/>
    <s v="Q2-2024"/>
    <d v="2023-01-13T00:00:00"/>
    <x v="0"/>
    <s v="Africa"/>
    <x v="2"/>
    <s v="Abuja"/>
    <s v="Abuja"/>
    <s v="Non-Profit"/>
    <s v="Distributor"/>
    <s v="Distributor"/>
    <s v="L. Okafor"/>
    <s v="L. Okafor"/>
    <s v="Laptops"/>
    <s v="Medium"/>
    <s v="LAP-9100"/>
    <s v="A"/>
    <n v="1163.99"/>
    <n v="1617.85"/>
    <n v="1617.85"/>
    <n v="0.127"/>
    <n v="0.127"/>
    <s v="Low"/>
    <n v="14"/>
    <n v="19773.362699999998"/>
    <n v="16295.86"/>
    <n v="3477.5026999999973"/>
    <n v="0.17586804797749436"/>
  </r>
  <r>
    <s v="ORD-2023-780206"/>
    <d v="2023-01-19T00:00:00"/>
    <d v="2023-01-19T00:00:00"/>
    <d v="2023-02-03T00:00:00"/>
    <d v="2023-02-03T00:00:00"/>
    <n v="15"/>
    <s v="Not Met"/>
    <s v="01-2023"/>
    <s v="Q1-2023"/>
    <d v="2023-01-19T00:00:00"/>
    <x v="0"/>
    <s v="Europe"/>
    <x v="1"/>
    <s v="London"/>
    <s v="London"/>
    <s v="Enterprise"/>
    <s v="Distributor"/>
    <s v="Distributor"/>
    <s v="G. Dubois"/>
    <s v="G. Dubois"/>
    <s v="Accessories"/>
    <s v="High"/>
    <s v="ACC-3645"/>
    <s v="A"/>
    <n v="873.06"/>
    <n v="2101.5500000000002"/>
    <n v="2101.5500000000002"/>
    <n v="6.6000000000000003E-2"/>
    <n v="6.6000000000000003E-2"/>
    <s v="Low"/>
    <n v="10"/>
    <n v="19628.476999999999"/>
    <n v="8730.5999999999985"/>
    <n v="10897.877"/>
    <n v="0.55520746719167269"/>
  </r>
  <r>
    <s v="ORD-2023-286720"/>
    <d v="2023-07-08T00:00:00"/>
    <d v="2023-07-08T00:00:00"/>
    <d v="2023-07-09T00:00:00"/>
    <d v="2023-07-09T00:00:00"/>
    <n v="1"/>
    <s v="Met"/>
    <s v="07-2023"/>
    <s v="Q3-2023"/>
    <d v="2023-01-20T00:00:00"/>
    <x v="0"/>
    <s v="Africa"/>
    <x v="5"/>
    <s v="Nairobi"/>
    <s v="Nairobi"/>
    <s v="Consumer"/>
    <s v="Online"/>
    <s v="Online"/>
    <s v="D. Smith"/>
    <s v="D. Smith"/>
    <s v="Laptops"/>
    <s v="High"/>
    <s v="LAP-1989"/>
    <s v="A"/>
    <n v="1258.72"/>
    <n v="2797.41"/>
    <n v="2797.41"/>
    <n v="0"/>
    <n v="0"/>
    <s v="Low"/>
    <n v="7"/>
    <n v="19581.87"/>
    <n v="8811.0400000000009"/>
    <n v="10770.829999999998"/>
    <n v="0.55004093071805704"/>
  </r>
  <r>
    <s v="ORD-2024-819778"/>
    <d v="2024-06-02T00:00:00"/>
    <d v="2024-06-02T00:00:00"/>
    <d v="2024-06-15T00:00:00"/>
    <d v="2024-06-15T00:00:00"/>
    <n v="13"/>
    <s v="Not Met"/>
    <s v="06-2024"/>
    <s v="Q2-2024"/>
    <d v="2023-01-20T00:00:00"/>
    <x v="0"/>
    <s v="Africa"/>
    <x v="5"/>
    <s v="Mombasa"/>
    <s v="Mombasa"/>
    <s v="Education"/>
    <s v="Online"/>
    <s v="Online"/>
    <s v="O. Wang"/>
    <s v="O. Wang"/>
    <s v="Phones"/>
    <s v="High"/>
    <s v="PHN-6866"/>
    <s v="A"/>
    <n v="1295.18"/>
    <n v="3024.03"/>
    <n v="3024.03"/>
    <n v="0.192"/>
    <n v="0.192"/>
    <s v="Low"/>
    <n v="8"/>
    <n v="19547.329920000004"/>
    <n v="10361.44"/>
    <n v="9185.8899200000033"/>
    <n v="0.46993067378483178"/>
  </r>
  <r>
    <s v="ORD-2024-760799"/>
    <d v="2024-02-03T00:00:00"/>
    <d v="2024-02-03T00:00:00"/>
    <d v="2024-02-19T00:00:00"/>
    <d v="2024-02-19T00:00:00"/>
    <n v="16"/>
    <s v="Not Met"/>
    <s v="02-2024"/>
    <s v="Q1-2024"/>
    <d v="2023-01-12T00:00:00"/>
    <x v="0"/>
    <s v="Asia"/>
    <x v="10"/>
    <s v="Shenzhen"/>
    <s v="Shenzhen"/>
    <s v="Small Business"/>
    <s v="Online"/>
    <s v="Online"/>
    <s v="H. Kim"/>
    <s v="H. Kim"/>
    <s v="Laptops"/>
    <s v="Medium"/>
    <s v="LAP-5531"/>
    <s v="A"/>
    <n v="993.75"/>
    <n v="1310.29"/>
    <n v="1310.29"/>
    <n v="0.215"/>
    <n v="0.215"/>
    <s v="High"/>
    <n v="19"/>
    <n v="19542.975350000001"/>
    <n v="18881.25"/>
    <n v="661.72535000000062"/>
    <n v="3.3860010471742245E-2"/>
  </r>
  <r>
    <s v="ORD-2025-526752"/>
    <d v="2025-06-09T00:00:00"/>
    <d v="2025-06-09T00:00:00"/>
    <d v="2025-06-25T00:00:00"/>
    <d v="2025-06-25T00:00:00"/>
    <n v="16"/>
    <s v="Not Met"/>
    <s v="06-2025"/>
    <s v="Q2-2025"/>
    <d v="2023-01-29T00:00:00"/>
    <x v="0"/>
    <s v="Asia"/>
    <x v="3"/>
    <s v="Hyderabad"/>
    <s v="Hyderabad"/>
    <s v="Enterprise"/>
    <s v="Distributor"/>
    <s v="Distributor"/>
    <s v="M. Rossi"/>
    <s v="M. Rossi"/>
    <s v="Phones"/>
    <s v="Medium"/>
    <s v="PHN-3482"/>
    <s v="A"/>
    <n v="527.33000000000004"/>
    <n v="911.72"/>
    <n v="911.72"/>
    <n v="0.14399999999999999"/>
    <n v="0.14399999999999999"/>
    <s v="Low"/>
    <n v="25"/>
    <n v="19510.808000000001"/>
    <n v="13183.250000000002"/>
    <n v="6327.5579999999991"/>
    <n v="0.32431040272652978"/>
  </r>
  <r>
    <s v="ORD-2025-683043"/>
    <d v="2025-08-13T00:00:00"/>
    <d v="2025-08-13T00:00:00"/>
    <d v="2025-09-03T00:00:00"/>
    <d v="2025-09-03T00:00:00"/>
    <n v="21"/>
    <s v="Not Met"/>
    <s v="08-2025"/>
    <s v="Q3-2025"/>
    <d v="2023-01-10T00:00:00"/>
    <x v="0"/>
    <s v="Europe"/>
    <x v="11"/>
    <s v="Paris"/>
    <s v="Paris"/>
    <s v="Education"/>
    <s v="Retail"/>
    <s v="Retail"/>
    <s v="I. Johnson"/>
    <s v="I. Johnson"/>
    <s v="Phones"/>
    <s v="Medium"/>
    <s v="PHN-9465"/>
    <s v="A"/>
    <n v="603.47"/>
    <n v="1344.05"/>
    <n v="1344.05"/>
    <n v="0.20499999999999999"/>
    <n v="0.20499999999999999"/>
    <s v="High"/>
    <n v="18"/>
    <n v="19233.355499999998"/>
    <n v="10862.460000000001"/>
    <n v="8370.8954999999969"/>
    <n v="0.43522803392262976"/>
  </r>
  <r>
    <s v="ORD-2024-355095"/>
    <d v="2024-01-02T00:00:00"/>
    <d v="2024-01-02T00:00:00"/>
    <d v="2024-01-02T00:00:00"/>
    <d v="2024-01-02T00:00:00"/>
    <n v="0"/>
    <s v="Met"/>
    <s v="01-2024"/>
    <s v="Q1-2024"/>
    <d v="2023-01-02T00:00:00"/>
    <x v="0"/>
    <s v="Americas"/>
    <x v="0"/>
    <s v="Vancouver"/>
    <s v="Vancouver"/>
    <s v="Education"/>
    <s v="Direct"/>
    <s v="Direct"/>
    <s v="A. Patel"/>
    <s v="A. Patel"/>
    <s v="Laptops"/>
    <s v="Low"/>
    <s v="LAP-3581"/>
    <s v="A"/>
    <n v="444.41"/>
    <n v="754.24"/>
    <n v="754.24"/>
    <n v="0.20699999999999999"/>
    <n v="0.20699999999999999"/>
    <s v="High"/>
    <n v="32"/>
    <n v="19139.594240000002"/>
    <n v="14221.12"/>
    <n v="4918.4742400000014"/>
    <n v="0.25697902360546598"/>
  </r>
  <r>
    <s v="ORD-2023-474313"/>
    <d v="2023-10-05T00:00:00"/>
    <d v="2023-10-05T00:00:00"/>
    <d v="2023-10-06T00:00:00"/>
    <d v="2023-10-06T00:00:00"/>
    <n v="1"/>
    <s v="Met"/>
    <s v="10-2023"/>
    <s v="Q4-2023"/>
    <d v="2023-01-29T00:00:00"/>
    <x v="0"/>
    <s v="Asia"/>
    <x v="3"/>
    <s v="Bengaluru"/>
    <s v="Bengaluru"/>
    <s v="Non-Profit"/>
    <s v="Online"/>
    <s v="Online"/>
    <s v="I. Johnson"/>
    <s v="I. Johnson"/>
    <s v="Components"/>
    <s v="High"/>
    <s v="CMP-4807"/>
    <s v="A"/>
    <n v="1470.26"/>
    <n v="2562.5500000000002"/>
    <n v="2562.5500000000002"/>
    <n v="0.17299999999999999"/>
    <n v="0.17299999999999999"/>
    <s v="Low"/>
    <n v="9"/>
    <n v="19073.059649999999"/>
    <n v="13232.34"/>
    <n v="5840.7196499999991"/>
    <n v="0.30622877279157462"/>
  </r>
  <r>
    <s v="ORD-2025-922513"/>
    <d v="2025-08-28T00:00:00"/>
    <d v="2025-08-26T00:00:00"/>
    <d v="2025-08-26T00:00:00"/>
    <d v="2025-08-28T00:00:00"/>
    <n v="2"/>
    <s v="Met"/>
    <s v="08-2025"/>
    <s v="Q3-2025"/>
    <d v="2023-01-13T00:00:00"/>
    <x v="0"/>
    <s v="Africa"/>
    <x v="2"/>
    <s v="Port Harcourt"/>
    <s v="Port Harcourt"/>
    <s v="Small Business"/>
    <s v="Retail"/>
    <s v="Retail"/>
    <s v="A. Patel"/>
    <s v="A. Patel"/>
    <s v="Accessories"/>
    <s v="Medium"/>
    <s v="ACC-4483"/>
    <s v="A"/>
    <n v="521.05999999999995"/>
    <n v="1240.31"/>
    <n v="1240.31"/>
    <n v="0.14599999999999999"/>
    <n v="0.14599999999999999"/>
    <s v="Low"/>
    <n v="18"/>
    <n v="19066.045319999997"/>
    <n v="9379.0799999999981"/>
    <n v="9686.9653199999993"/>
    <n v="0.50807417885650974"/>
  </r>
  <r>
    <s v="ORD-2024-692673"/>
    <d v="2024-03-07T00:00:00"/>
    <d v="2024-03-07T00:00:00"/>
    <d v="2024-03-25T00:00:00"/>
    <d v="2024-03-25T00:00:00"/>
    <n v="18"/>
    <s v="Not Met"/>
    <s v="03-2024"/>
    <s v="Q1-2024"/>
    <d v="2023-01-21T00:00:00"/>
    <x v="0"/>
    <s v="Europe"/>
    <x v="4"/>
    <s v="Munich"/>
    <s v="Munich"/>
    <s v="Corporate"/>
    <s v="Online"/>
    <s v="Online"/>
    <s v="B. Chen"/>
    <s v="B. Chen"/>
    <s v="Components"/>
    <s v="Medium"/>
    <s v="CMP-7617"/>
    <s v="A"/>
    <n v="712.84"/>
    <n v="927.51"/>
    <n v="927.51"/>
    <n v="0.24299999999999999"/>
    <n v="0.24299999999999999"/>
    <s v="High"/>
    <n v="27"/>
    <n v="18957.37689"/>
    <n v="19246.68"/>
    <n v="289.30311000000074"/>
    <n v="1.5260714163076427E-2"/>
  </r>
  <r>
    <s v="ORD-2023-139236"/>
    <d v="2023-03-03T00:00:00"/>
    <d v="2023-03-03T00:00:00"/>
    <d v="2023-03-20T00:00:00"/>
    <d v="2023-03-20T00:00:00"/>
    <n v="17"/>
    <s v="Not Met"/>
    <s v="03-2023"/>
    <s v="Q1-2023"/>
    <d v="2023-03-03T00:00:00"/>
    <x v="1"/>
    <s v="Asia"/>
    <x v="7"/>
    <s v="Nagoya"/>
    <s v="Nagoya"/>
    <s v="Small Business"/>
    <s v="Online"/>
    <s v="Online"/>
    <s v="D. Smith"/>
    <s v="D. Smith"/>
    <s v="Networking"/>
    <s v="High"/>
    <s v="NET-7349"/>
    <s v="A"/>
    <n v="1171.17"/>
    <n v="2030.64"/>
    <n v="2030.64"/>
    <n v="0.157"/>
    <n v="0.157"/>
    <s v="Low"/>
    <n v="11"/>
    <n v="18830.12472"/>
    <n v="12882.87"/>
    <n v="5947.254719999999"/>
    <n v="0.31583724528830415"/>
  </r>
  <r>
    <s v="ORD-2024-102866"/>
    <d v="2024-12-12T00:00:00"/>
    <d v="2024-12-12T00:00:00"/>
    <d v="2024-12-20T00:00:00"/>
    <d v="2024-12-20T00:00:00"/>
    <n v="8"/>
    <s v="Not Met"/>
    <s v="12-2024"/>
    <s v="Q4-2024"/>
    <d v="2023-03-03T00:00:00"/>
    <x v="1"/>
    <s v="Asia"/>
    <x v="7"/>
    <s v="Tokyo"/>
    <s v="Tokyo"/>
    <s v="Corporate"/>
    <s v="Retail"/>
    <s v="Retail"/>
    <s v="B. Chen"/>
    <s v="B. Chen"/>
    <s v="Laptops"/>
    <s v="Medium"/>
    <s v="LAP-8347"/>
    <s v="A"/>
    <n v="1202.47"/>
    <n v="1444.72"/>
    <n v="1444.72"/>
    <n v="0.24099999999999999"/>
    <n v="0.24099999999999999"/>
    <s v="High"/>
    <n v="17"/>
    <n v="18641.222160000001"/>
    <n v="20441.990000000002"/>
    <n v="1800.7678400000004"/>
    <n v="9.6601382921343834E-2"/>
  </r>
  <r>
    <s v="ORD-2025-624006"/>
    <d v="2025-03-15T00:00:00"/>
    <d v="2025-03-15T00:00:00"/>
    <d v="2025-03-29T00:00:00"/>
    <d v="2025-03-29T00:00:00"/>
    <n v="14"/>
    <s v="Not Met"/>
    <s v="03-2025"/>
    <s v="Q1-2025"/>
    <d v="2023-01-29T00:00:00"/>
    <x v="0"/>
    <s v="Asia"/>
    <x v="3"/>
    <s v="Mumbai"/>
    <s v="Mumbai"/>
    <s v="Enterprise"/>
    <s v="Direct"/>
    <s v="Direct"/>
    <s v="C. Otieno"/>
    <s v="C. Otieno"/>
    <s v="Components"/>
    <s v="High"/>
    <s v="CMP-3259"/>
    <s v="A"/>
    <n v="935.83"/>
    <n v="2303.46"/>
    <n v="2303.46"/>
    <n v="0.105"/>
    <n v="0.105"/>
    <s v="Low"/>
    <n v="9"/>
    <n v="18554.370299999999"/>
    <n v="8422.4700000000012"/>
    <n v="10131.900299999998"/>
    <n v="0.54606543559174292"/>
  </r>
  <r>
    <s v="ORD-2023-451931"/>
    <d v="2023-07-30T00:00:00"/>
    <d v="2023-07-30T00:00:00"/>
    <d v="2023-08-19T00:00:00"/>
    <d v="2023-08-19T00:00:00"/>
    <n v="20"/>
    <s v="Not Met"/>
    <s v="07-2023"/>
    <s v="Q3-2023"/>
    <d v="2023-01-10T00:00:00"/>
    <x v="0"/>
    <s v="Europe"/>
    <x v="11"/>
    <s v="Paris"/>
    <s v="Paris"/>
    <s v="Enterprise"/>
    <s v="Marketplace"/>
    <s v="Marketplace"/>
    <s v="G. Dubois"/>
    <s v="G. Dubois"/>
    <s v="Networking"/>
    <s v="High"/>
    <s v="NET-5423"/>
    <s v="A"/>
    <n v="1418.51"/>
    <n v="2789.61"/>
    <n v="2789.61"/>
    <n v="0.17100000000000001"/>
    <n v="0.17100000000000001"/>
    <s v="Low"/>
    <n v="8"/>
    <n v="18500.693520000001"/>
    <n v="11348.08"/>
    <n v="7152.6135200000008"/>
    <n v="0.38661326464695689"/>
  </r>
  <r>
    <s v="ORD-2023-987081"/>
    <d v="2023-08-29T00:00:00"/>
    <d v="2023-08-29T00:00:00"/>
    <d v="2023-09-13T00:00:00"/>
    <d v="2023-09-13T00:00:00"/>
    <n v="15"/>
    <s v="Not Met"/>
    <s v="08-2023"/>
    <s v="Q3-2023"/>
    <d v="2023-01-02T00:00:00"/>
    <x v="0"/>
    <s v="Americas"/>
    <x v="0"/>
    <s v="Vancouver"/>
    <s v="Vancouver"/>
    <s v="Small Business"/>
    <s v="Marketplace"/>
    <s v="Marketplace"/>
    <s v="O. Wang"/>
    <s v="O. Wang"/>
    <s v="Printers"/>
    <s v="High"/>
    <s v="PRN-9975"/>
    <s v="A"/>
    <n v="1287.6400000000001"/>
    <n v="2717.15"/>
    <n v="2717.15"/>
    <n v="3.2000000000000001E-2"/>
    <n v="3.2000000000000001E-2"/>
    <s v="Low"/>
    <n v="7"/>
    <n v="18411.4084"/>
    <n v="9013.4800000000014"/>
    <n v="9397.9283999999989"/>
    <n v="0.51044049405802105"/>
  </r>
  <r>
    <s v="ORD-2023-343322"/>
    <d v="2023-08-19T00:00:00"/>
    <d v="2023-08-19T00:00:00"/>
    <d v="2023-09-12T00:00:00"/>
    <d v="2023-09-12T00:00:00"/>
    <n v="24"/>
    <s v="Not Met"/>
    <s v="08-2023"/>
    <s v="Q3-2023"/>
    <d v="2023-01-02T00:00:00"/>
    <x v="0"/>
    <s v="Americas"/>
    <x v="0"/>
    <s v="Vancouver"/>
    <s v="Vancouver"/>
    <s v="Enterprise"/>
    <s v="Retail"/>
    <s v="Retail"/>
    <s v="I. Johnson"/>
    <s v="I. Johnson"/>
    <s v="Printers"/>
    <s v="Medium"/>
    <s v="PRN-9669"/>
    <s v="A"/>
    <n v="1183.95"/>
    <n v="1503.53"/>
    <n v="1503.53"/>
    <n v="0.24099999999999999"/>
    <n v="0.24099999999999999"/>
    <s v="High"/>
    <n v="16"/>
    <n v="18258.868320000001"/>
    <n v="18943.2"/>
    <n v="684.33167999999932"/>
    <n v="3.7479413729623705E-2"/>
  </r>
  <r>
    <s v="ORD-2024-686712"/>
    <d v="2024-10-02T00:00:00"/>
    <d v="2024-10-02T00:00:00"/>
    <d v="2024-10-23T00:00:00"/>
    <d v="2024-10-23T00:00:00"/>
    <n v="21"/>
    <s v="Not Met"/>
    <s v="10-2024"/>
    <s v="Q4-2024"/>
    <d v="2023-01-07T00:00:00"/>
    <x v="0"/>
    <s v="Africa"/>
    <x v="8"/>
    <s v="Durban"/>
    <s v="Durban"/>
    <s v="Corporate"/>
    <s v="Marketplace"/>
    <s v="Marketplace"/>
    <s v="A. Patel"/>
    <s v="A. Patel"/>
    <s v="Components"/>
    <s v="High"/>
    <s v="CMP-3978"/>
    <s v="A"/>
    <n v="1095.6099999999999"/>
    <n v="2366.5100000000002"/>
    <n v="2366.5100000000002"/>
    <n v="0.152"/>
    <n v="0.152"/>
    <s v="Low"/>
    <n v="9"/>
    <n v="18061.204320000004"/>
    <n v="9860.49"/>
    <n v="8200.7143200000046"/>
    <n v="0.4540513564158607"/>
  </r>
  <r>
    <s v="ORD-2024-331408"/>
    <d v="2024-02-01T00:00:00"/>
    <d v="2024-02-01T00:00:00"/>
    <d v="2024-02-01T00:00:00"/>
    <d v="2024-02-01T00:00:00"/>
    <n v="0"/>
    <s v="Met"/>
    <s v="02-2024"/>
    <s v="Q1-2024"/>
    <d v="2023-01-13T00:00:00"/>
    <x v="0"/>
    <s v="Americas"/>
    <x v="6"/>
    <s v="Austin"/>
    <s v="Austin"/>
    <s v="Consumer"/>
    <s v="Distributor"/>
    <s v="Distributor"/>
    <s v="H. Kim"/>
    <s v="H. Kim"/>
    <s v="Printers"/>
    <s v="Medium"/>
    <s v="PRN-4906"/>
    <s v="A"/>
    <n v="714.43"/>
    <n v="1595.52"/>
    <n v="1595.52"/>
    <n v="0.19400000000000001"/>
    <n v="0.19400000000000001"/>
    <s v="Low"/>
    <n v="14"/>
    <n v="18003.847679999999"/>
    <n v="10002.019999999999"/>
    <n v="8001.8276800000003"/>
    <n v="0.44445097638151093"/>
  </r>
  <r>
    <s v="ORD-2023-521280"/>
    <d v="2023-05-27T00:00:00"/>
    <d v="2023-05-27T00:00:00"/>
    <d v="2023-06-19T00:00:00"/>
    <d v="2023-06-19T00:00:00"/>
    <n v="23"/>
    <s v="Not Met"/>
    <s v="05-2023"/>
    <s v="Q2-2023"/>
    <d v="2023-01-21T00:00:00"/>
    <x v="0"/>
    <s v="Europe"/>
    <x v="4"/>
    <s v="Berlin"/>
    <s v="Berlin"/>
    <s v="Education"/>
    <s v="Retail"/>
    <s v="Retail"/>
    <s v="O. Wang"/>
    <s v="O. Wang"/>
    <s v="Accessories"/>
    <s v="High"/>
    <s v="ACC-1882"/>
    <s v="A"/>
    <n v="1471.58"/>
    <n v="2576.65"/>
    <n v="2576.65"/>
    <n v="4.0000000000000001E-3"/>
    <n v="4.0000000000000001E-3"/>
    <s v="Low"/>
    <n v="7"/>
    <n v="17964.4038"/>
    <n v="10301.06"/>
    <n v="7663.3438000000006"/>
    <n v="0.4265849223451546"/>
  </r>
  <r>
    <s v="ORD-2024-358795"/>
    <d v="2024-10-23T00:00:00"/>
    <d v="2024-10-22T00:00:00"/>
    <d v="2024-10-22T00:00:00"/>
    <d v="2024-10-23T00:00:00"/>
    <n v="1"/>
    <s v="Met"/>
    <s v="10-2024"/>
    <s v="Q4-2024"/>
    <d v="2023-01-13T00:00:00"/>
    <x v="0"/>
    <s v="Africa"/>
    <x v="2"/>
    <s v="Port Harcourt"/>
    <s v="Port Harcourt"/>
    <s v="Education"/>
    <s v="Online"/>
    <s v="Online"/>
    <s v="J. Njeri"/>
    <s v="J. Njeri"/>
    <s v="Printers"/>
    <s v="Low"/>
    <s v="PRN-9322"/>
    <s v="A"/>
    <n v="1084.3900000000001"/>
    <n v="759.33"/>
    <n v="759.33"/>
    <n v="0.23699999999999999"/>
    <n v="0.23699999999999999"/>
    <s v="High"/>
    <n v="31"/>
    <n v="17960.432489999999"/>
    <n v="33616.090000000004"/>
    <n v="15655.657510000005"/>
    <n v="0.87167486187856302"/>
  </r>
  <r>
    <s v="ORD-2024-389336"/>
    <d v="2024-05-20T00:00:00"/>
    <d v="2024-05-20T00:00:00"/>
    <d v="2024-06-02T00:00:00"/>
    <d v="2024-06-02T00:00:00"/>
    <n v="13"/>
    <s v="Not Met"/>
    <s v="05-2024"/>
    <s v="Q2-2024"/>
    <d v="2023-01-02T00:00:00"/>
    <x v="0"/>
    <s v="Americas"/>
    <x v="0"/>
    <s v="Vancouver"/>
    <s v="Vancouver"/>
    <s v="Enterprise"/>
    <s v="Marketplace"/>
    <s v="Marketplace"/>
    <s v="K. Singh"/>
    <s v="K. Singh"/>
    <s v="Components"/>
    <s v="Medium"/>
    <s v="CMP-5946"/>
    <s v="A"/>
    <n v="675.43"/>
    <n v="996.36"/>
    <n v="996.36"/>
    <n v="0.182"/>
    <n v="0.182"/>
    <s v="Low"/>
    <n v="22"/>
    <n v="17930.494560000003"/>
    <n v="14859.46"/>
    <n v="3071.0345600000037"/>
    <n v="0.17127439233332575"/>
  </r>
  <r>
    <s v="ORD-2025-629393"/>
    <d v="2025-07-21T00:00:00"/>
    <d v="2025-07-21T00:00:00"/>
    <d v="2025-08-07T00:00:00"/>
    <d v="2025-08-07T00:00:00"/>
    <n v="17"/>
    <s v="Not Met"/>
    <s v="07-2025"/>
    <s v="Q3-2025"/>
    <d v="2023-01-13T00:00:00"/>
    <x v="0"/>
    <s v="Africa"/>
    <x v="2"/>
    <s v="Lagos"/>
    <s v="Lagos"/>
    <s v="Enterprise"/>
    <s v="Direct"/>
    <s v="Direct"/>
    <s v="M. Rossi"/>
    <s v="M. Rossi"/>
    <s v="Accessories"/>
    <s v="High"/>
    <s v="ACC-8999"/>
    <s v="A"/>
    <n v="1204.95"/>
    <n v="2065.73"/>
    <n v="2065.73"/>
    <n v="0.13600000000000001"/>
    <n v="0.13600000000000001"/>
    <s v="Low"/>
    <n v="10"/>
    <n v="17847.907199999998"/>
    <n v="12049.5"/>
    <n v="5798.4071999999978"/>
    <n v="0.32487882949100039"/>
  </r>
  <r>
    <s v="ORD-2025-608069"/>
    <d v="2025-04-12T00:00:00"/>
    <d v="2025-04-12T00:00:00"/>
    <d v="2025-04-30T00:00:00"/>
    <d v="2025-04-30T00:00:00"/>
    <n v="18"/>
    <s v="Not Met"/>
    <s v="04-2025"/>
    <s v="Q2-2025"/>
    <d v="2023-01-20T00:00:00"/>
    <x v="0"/>
    <s v="Africa"/>
    <x v="5"/>
    <s v="Kisumu"/>
    <s v="Kisumu"/>
    <s v="Corporate"/>
    <s v="Marketplace"/>
    <s v="Marketplace"/>
    <s v="F. Müller"/>
    <s v="F. Müller"/>
    <s v="Networking"/>
    <s v="Medium"/>
    <s v="NET-3432"/>
    <s v="A"/>
    <n v="1119.04"/>
    <n v="1299.02"/>
    <n v="1299.02"/>
    <n v="2.5000000000000001E-2"/>
    <n v="2.5000000000000001E-2"/>
    <s v="Low"/>
    <n v="14"/>
    <n v="17731.623"/>
    <n v="15666.56"/>
    <n v="2065.0630000000001"/>
    <n v="0.11646215352085933"/>
  </r>
  <r>
    <s v="ORD-2024-220234"/>
    <d v="2024-03-15T00:00:00"/>
    <d v="2024-03-15T00:00:00"/>
    <d v="2024-04-09T00:00:00"/>
    <d v="2024-04-09T00:00:00"/>
    <n v="25"/>
    <s v="Not Met"/>
    <s v="03-2024"/>
    <s v="Q1-2024"/>
    <d v="2023-01-02T00:00:00"/>
    <x v="0"/>
    <s v="Americas"/>
    <x v="0"/>
    <s v="Vancouver"/>
    <s v="Vancouver"/>
    <s v="Consumer"/>
    <s v="Online"/>
    <s v="Online"/>
    <s v="F. Müller"/>
    <s v="F. Müller"/>
    <s v="Monitors"/>
    <s v="Medium"/>
    <s v="MON-4361"/>
    <s v="A"/>
    <n v="648.64"/>
    <n v="815.19"/>
    <n v="815.19"/>
    <n v="0.22500000000000001"/>
    <n v="0.22500000000000001"/>
    <s v="High"/>
    <n v="28"/>
    <n v="17689.623"/>
    <n v="18161.919999999998"/>
    <n v="472.29699999999866"/>
    <n v="2.6699099240272032E-2"/>
  </r>
  <r>
    <s v="ORD-2023-632893"/>
    <d v="2023-05-07T00:00:00"/>
    <d v="2023-05-05T00:00:00"/>
    <d v="2023-05-05T00:00:00"/>
    <d v="2023-05-07T00:00:00"/>
    <n v="2"/>
    <s v="Met"/>
    <s v="05-2023"/>
    <s v="Q2-2023"/>
    <d v="2023-01-13T00:00:00"/>
    <x v="0"/>
    <s v="Africa"/>
    <x v="2"/>
    <s v="Port Harcourt"/>
    <s v="Port Harcourt"/>
    <s v="Non-Profit"/>
    <s v="Marketplace"/>
    <s v="Marketplace"/>
    <s v="A. Patel"/>
    <s v="A. Patel"/>
    <s v="Components"/>
    <s v="High"/>
    <s v="CMP-9392"/>
    <s v="A"/>
    <n v="1269.6500000000001"/>
    <n v="2462.77"/>
    <n v="2462.77"/>
    <n v="0.107"/>
    <n v="0.107"/>
    <s v="Low"/>
    <n v="8"/>
    <n v="17594.028880000002"/>
    <n v="10157.200000000001"/>
    <n v="7436.8288800000009"/>
    <n v="0.42269050089225502"/>
  </r>
  <r>
    <s v="ORD-2024-979401"/>
    <d v="2024-02-08T00:00:00"/>
    <d v="2024-02-08T00:00:00"/>
    <d v="2024-02-09T00:00:00"/>
    <d v="2024-02-09T00:00:00"/>
    <n v="1"/>
    <s v="Met"/>
    <s v="02-2024"/>
    <s v="Q1-2024"/>
    <d v="2023-01-20T00:00:00"/>
    <x v="0"/>
    <s v="Africa"/>
    <x v="5"/>
    <s v="Mombasa"/>
    <s v="Mombasa"/>
    <s v="Corporate"/>
    <s v="Direct"/>
    <s v="Direct"/>
    <s v="F. Müller"/>
    <s v="F. Müller"/>
    <s v="Components"/>
    <s v="Medium"/>
    <s v="CMP-5911"/>
    <s v="A"/>
    <n v="1233.52"/>
    <n v="1543.76"/>
    <n v="1543.76"/>
    <n v="0.126"/>
    <n v="0.126"/>
    <s v="Low"/>
    <n v="13"/>
    <n v="17540.201120000002"/>
    <n v="16035.76"/>
    <n v="1504.4411200000013"/>
    <n v="8.5771030201277493E-2"/>
  </r>
  <r>
    <s v="ORD-2023-276806"/>
    <d v="2023-03-04T00:00:00"/>
    <d v="2023-03-04T00:00:00"/>
    <d v="2023-03-24T00:00:00"/>
    <d v="2023-03-24T00:00:00"/>
    <n v="20"/>
    <s v="Not Met"/>
    <s v="03-2023"/>
    <s v="Q1-2023"/>
    <d v="2023-01-02T00:00:00"/>
    <x v="0"/>
    <s v="Americas"/>
    <x v="0"/>
    <s v="Montreal"/>
    <s v="Montreal"/>
    <s v="Consumer"/>
    <s v="Distributor"/>
    <s v="Distributor"/>
    <s v="I. Johnson"/>
    <s v="I. Johnson"/>
    <s v="Laptops"/>
    <s v="Medium"/>
    <s v="LAP-6160"/>
    <s v="A"/>
    <n v="481.71"/>
    <n v="912.45"/>
    <n v="912.45"/>
    <n v="0.20300000000000001"/>
    <n v="0.20300000000000001"/>
    <s v="High"/>
    <n v="24"/>
    <n v="17453.3436"/>
    <n v="11561.039999999999"/>
    <n v="5892.3036000000011"/>
    <n v="0.33760313983619739"/>
  </r>
  <r>
    <s v="ORD-2023-715175"/>
    <d v="2023-06-15T00:00:00"/>
    <d v="2023-06-15T00:00:00"/>
    <d v="2023-06-23T00:00:00"/>
    <d v="2023-06-23T00:00:00"/>
    <n v="8"/>
    <s v="Not Met"/>
    <s v="06-2023"/>
    <s v="Q2-2023"/>
    <d v="2023-01-13T00:00:00"/>
    <x v="0"/>
    <s v="Americas"/>
    <x v="6"/>
    <s v="San Francisco"/>
    <s v="San Francisco"/>
    <s v="Consumer"/>
    <s v="Distributor"/>
    <s v="Distributor"/>
    <s v="O. Wang"/>
    <s v="O. Wang"/>
    <s v="Monitors"/>
    <s v="High"/>
    <s v="MON-5424"/>
    <s v="A"/>
    <n v="1097.0899999999999"/>
    <n v="2182.31"/>
    <n v="2182.31"/>
    <n v="0.112"/>
    <n v="0.112"/>
    <s v="Low"/>
    <n v="9"/>
    <n v="17441.021520000002"/>
    <n v="9873.81"/>
    <n v="7567.2115200000026"/>
    <n v="0.43387432962699546"/>
  </r>
  <r>
    <s v="ORD-2024-626750"/>
    <d v="2024-08-12T00:00:00"/>
    <d v="2024-08-12T00:00:00"/>
    <d v="2024-08-15T00:00:00"/>
    <d v="2024-08-15T00:00:00"/>
    <n v="3"/>
    <s v="Met"/>
    <s v="08-2024"/>
    <s v="Q3-2024"/>
    <d v="2023-01-13T00:00:00"/>
    <x v="0"/>
    <s v="Americas"/>
    <x v="6"/>
    <s v="Chicago"/>
    <s v="Chicago"/>
    <s v="Corporate"/>
    <s v="Marketplace"/>
    <s v="Marketplace"/>
    <s v="D. Smith"/>
    <s v="D. Smith"/>
    <s v="Printers"/>
    <s v="Medium"/>
    <s v="PRN-5591"/>
    <s v="A"/>
    <n v="850.7"/>
    <n v="1118.56"/>
    <n v="1118.56"/>
    <n v="0.18"/>
    <n v="0.18"/>
    <s v="Low"/>
    <n v="19"/>
    <n v="17427.164800000002"/>
    <n v="16163.300000000001"/>
    <n v="1263.8648000000012"/>
    <n v="7.2522685962090688E-2"/>
  </r>
  <r>
    <s v="ORD-2024-281211"/>
    <d v="2024-01-11T00:00:00"/>
    <d v="2024-01-11T00:00:00"/>
    <d v="2024-02-02T00:00:00"/>
    <d v="2024-02-02T00:00:00"/>
    <n v="22"/>
    <s v="Not Met"/>
    <s v="01-2024"/>
    <s v="Q1-2024"/>
    <d v="2023-03-03T00:00:00"/>
    <x v="1"/>
    <s v="Asia"/>
    <x v="7"/>
    <s v="Nagoya"/>
    <s v="Nagoya"/>
    <s v="Small Business"/>
    <s v="Online"/>
    <s v="Online"/>
    <m/>
    <s v="K. Singh"/>
    <s v="Printers"/>
    <s v="Medium"/>
    <s v="PRN-7816"/>
    <s v="A"/>
    <n v="1237.68"/>
    <n v="1432.8"/>
    <n v="1432.8"/>
    <n v="6.8000000000000005E-2"/>
    <n v="6.8000000000000005E-2"/>
    <s v="Low"/>
    <n v="13"/>
    <n v="17359.804799999998"/>
    <n v="16089.84"/>
    <n v="1269.9647999999979"/>
    <n v="7.315547695559331E-2"/>
  </r>
  <r>
    <s v="ORD-2024-170021"/>
    <d v="2024-11-05T00:00:00"/>
    <d v="2024-11-05T00:00:00"/>
    <d v="2024-11-08T00:00:00"/>
    <d v="2024-11-08T00:00:00"/>
    <n v="3"/>
    <s v="Met"/>
    <s v="11-2024"/>
    <s v="Q4-2024"/>
    <d v="2023-01-02T00:00:00"/>
    <x v="0"/>
    <s v="Americas"/>
    <x v="0"/>
    <s v="Toronto"/>
    <s v="Toronto"/>
    <s v="Education"/>
    <s v="Marketplace"/>
    <s v="Marketplace"/>
    <s v="O. Wang"/>
    <s v="O. Wang"/>
    <s v="Components"/>
    <s v="Medium"/>
    <s v="CMP-2015"/>
    <s v="A"/>
    <n v="1020.4"/>
    <n v="1184.71"/>
    <n v="1184.71"/>
    <n v="0.106"/>
    <n v="0.106"/>
    <s v="Low"/>
    <n v="16"/>
    <n v="16946.091840000001"/>
    <n v="16326.4"/>
    <n v="619.69184000000132"/>
    <n v="3.6568422138328345E-2"/>
  </r>
  <r>
    <s v="ORD-2023-855675"/>
    <d v="2023-02-05T00:00:00"/>
    <d v="2023-02-05T00:00:00"/>
    <d v="2023-02-28T00:00:00"/>
    <d v="2023-02-28T00:00:00"/>
    <n v="23"/>
    <s v="Not Met"/>
    <s v="02-2023"/>
    <s v="Q1-2023"/>
    <d v="2023-01-13T00:00:00"/>
    <x v="0"/>
    <s v="Americas"/>
    <x v="6"/>
    <s v="Austin"/>
    <s v="Austin"/>
    <s v="Non-Profit"/>
    <s v="Distributor"/>
    <s v="Distributor"/>
    <s v="L. Okafor"/>
    <s v="L. Okafor"/>
    <s v="Phones"/>
    <s v="Medium"/>
    <s v="PHN-2036"/>
    <s v="A"/>
    <n v="1214.49"/>
    <n v="1533.95"/>
    <n v="1533.95"/>
    <n v="0"/>
    <n v="0"/>
    <s v="Low"/>
    <n v="11"/>
    <n v="16873.45"/>
    <n v="13359.39"/>
    <n v="3514.0600000000013"/>
    <n v="0.20825972163369086"/>
  </r>
  <r>
    <s v="ORD-2025-289139"/>
    <d v="2025-08-10T00:00:00"/>
    <d v="2025-08-10T00:00:00"/>
    <d v="2025-08-30T00:00:00"/>
    <d v="2025-08-30T00:00:00"/>
    <n v="20"/>
    <s v="Not Met"/>
    <s v="08-2025"/>
    <s v="Q3-2025"/>
    <d v="2023-01-13T00:00:00"/>
    <x v="0"/>
    <s v="Americas"/>
    <x v="6"/>
    <s v="San Francisco"/>
    <s v="San Francisco"/>
    <s v="Corporate"/>
    <s v="Marketplace"/>
    <s v="Marketplace"/>
    <s v="K. Singh"/>
    <s v="K. Singh"/>
    <s v="Printers"/>
    <s v="Medium"/>
    <s v="PRN-2098"/>
    <s v="A"/>
    <n v="933.29"/>
    <n v="1456.81"/>
    <n v="1456.81"/>
    <n v="0.123"/>
    <n v="0.123"/>
    <s v="Low"/>
    <n v="13"/>
    <n v="16609.090809999998"/>
    <n v="12132.77"/>
    <n v="4476.3208099999974"/>
    <n v="0.26951028573489977"/>
  </r>
  <r>
    <s v="ORD-2025-823055"/>
    <d v="2025-09-08T00:00:00"/>
    <d v="2025-09-08T00:00:00"/>
    <d v="2025-10-05T00:00:00"/>
    <d v="2025-10-05T00:00:00"/>
    <n v="27"/>
    <s v="Not Met"/>
    <s v="09-2025"/>
    <s v="Q3-2025"/>
    <d v="2023-01-29T00:00:00"/>
    <x v="0"/>
    <s v="Americas"/>
    <x v="9"/>
    <s v="Rio de Janeiro"/>
    <s v="Rio de Janeiro"/>
    <s v="Education"/>
    <s v="Online"/>
    <s v="Online"/>
    <s v="C. Otieno"/>
    <s v="C. Otieno"/>
    <s v="Monitors"/>
    <s v="Medium"/>
    <s v="MON-9274"/>
    <s v="A"/>
    <n v="660.78"/>
    <n v="1630.39"/>
    <n v="1630.39"/>
    <n v="0.218"/>
    <n v="0.218"/>
    <s v="High"/>
    <n v="13"/>
    <n v="16574.544740000001"/>
    <n v="8590.14"/>
    <n v="7984.4047400000018"/>
    <n v="0.48172694123724097"/>
  </r>
  <r>
    <s v="ORD-2023-212701"/>
    <d v="2023-12-02T00:00:00"/>
    <d v="2023-12-02T00:00:00"/>
    <d v="2023-12-16T00:00:00"/>
    <d v="2023-12-16T00:00:00"/>
    <n v="14"/>
    <s v="Not Met"/>
    <s v="12-2023"/>
    <s v="Q4-2023"/>
    <d v="2023-01-21T00:00:00"/>
    <x v="0"/>
    <s v="Europe"/>
    <x v="4"/>
    <s v="Frankfurt"/>
    <s v="Frankfurt"/>
    <s v="Education"/>
    <s v="Direct"/>
    <s v="Direct"/>
    <s v="N. Brown"/>
    <s v="N. Brown"/>
    <s v="Monitors"/>
    <s v="Medium"/>
    <s v="MON-4278"/>
    <s v="A"/>
    <n v="879.08"/>
    <n v="1093.3900000000001"/>
    <n v="1093.3900000000001"/>
    <n v="0.113"/>
    <n v="0.113"/>
    <s v="Low"/>
    <n v="17"/>
    <n v="16487.22781"/>
    <n v="14944.36"/>
    <n v="1542.8678099999997"/>
    <n v="9.3579577341935186E-2"/>
  </r>
  <r>
    <s v="ORD-2023-619570"/>
    <d v="2023-11-14T00:00:00"/>
    <d v="2023-11-14T00:00:00"/>
    <d v="2023-11-30T00:00:00"/>
    <d v="2023-11-30T00:00:00"/>
    <n v="16"/>
    <s v="Not Met"/>
    <s v="11-2023"/>
    <s v="Q4-2023"/>
    <d v="2023-01-29T00:00:00"/>
    <x v="0"/>
    <s v="Americas"/>
    <x v="9"/>
    <s v="São Paulo"/>
    <s v="São Paulo"/>
    <s v="Enterprise"/>
    <s v="Direct"/>
    <s v="Direct"/>
    <s v="K. Singh"/>
    <s v="K. Singh"/>
    <s v="Networking"/>
    <s v="Medium"/>
    <s v="NET-4104"/>
    <s v="A"/>
    <n v="1017.92"/>
    <n v="1175.25"/>
    <n v="1175.25"/>
    <n v="7.4999999999999997E-2"/>
    <n v="7.4999999999999997E-2"/>
    <s v="Low"/>
    <n v="15"/>
    <n v="16306.59375"/>
    <n v="15268.8"/>
    <n v="1037.7937500000007"/>
    <n v="6.3642583234159542E-2"/>
  </r>
  <r>
    <s v="ORD-2025-947929"/>
    <d v="2025-03-23T00:00:00"/>
    <d v="2025-03-23T00:00:00"/>
    <d v="2025-04-02T00:00:00"/>
    <d v="2025-04-02T00:00:00"/>
    <n v="10"/>
    <s v="Not Met"/>
    <s v="03-2025"/>
    <s v="Q1-2025"/>
    <d v="2023-01-21T00:00:00"/>
    <x v="0"/>
    <s v="Europe"/>
    <x v="4"/>
    <s v="Berlin"/>
    <s v="Berlin"/>
    <s v="Enterprise"/>
    <s v="Online"/>
    <s v="Online"/>
    <s v="E. Garcia"/>
    <s v="E. Garcia"/>
    <s v="Printers"/>
    <s v="Medium"/>
    <s v="PRN-3159"/>
    <s v="A"/>
    <n v="663.61"/>
    <n v="1002.11"/>
    <n v="1002.11"/>
    <n v="4.5999999999999999E-2"/>
    <n v="4.5999999999999999E-2"/>
    <s v="Low"/>
    <n v="17"/>
    <n v="16252.219979999998"/>
    <n v="11281.37"/>
    <n v="4970.8499799999972"/>
    <n v="0.30585667595670812"/>
  </r>
  <r>
    <s v="ORD-2024-332076"/>
    <d v="2024-04-09T00:00:00"/>
    <d v="2024-04-09T00:00:00"/>
    <d v="2024-04-18T00:00:00"/>
    <d v="2024-04-18T00:00:00"/>
    <n v="9"/>
    <s v="Not Met"/>
    <s v="04-2024"/>
    <s v="Q2-2024"/>
    <d v="2023-01-10T00:00:00"/>
    <x v="0"/>
    <s v="Europe"/>
    <x v="11"/>
    <s v="Lyon"/>
    <s v="Lyon"/>
    <s v="Consumer"/>
    <s v="Online"/>
    <s v="Online"/>
    <s v="E. Garcia"/>
    <s v="E. Garcia"/>
    <s v="Printers"/>
    <s v="High"/>
    <s v="PRN-1086"/>
    <s v="A"/>
    <n v="1288.8499999999999"/>
    <n v="2751.84"/>
    <n v="2751.84"/>
    <n v="0.158"/>
    <n v="0.158"/>
    <s v="Low"/>
    <n v="7"/>
    <n v="16219.34496"/>
    <n v="9021.9499999999989"/>
    <n v="7197.3949600000014"/>
    <n v="0.44375373837538756"/>
  </r>
  <r>
    <s v="ORD-2025-485946"/>
    <d v="2025-06-15T00:00:00"/>
    <d v="2025-06-15T00:00:00"/>
    <d v="2025-06-30T00:00:00"/>
    <d v="2025-06-30T00:00:00"/>
    <n v="15"/>
    <s v="Not Met"/>
    <s v="06-2025"/>
    <s v="Q2-2025"/>
    <d v="2023-01-07T00:00:00"/>
    <x v="0"/>
    <s v="Africa"/>
    <x v="8"/>
    <s v="Johannesburg"/>
    <s v="Johannesburg"/>
    <s v="Small Business"/>
    <s v="Direct"/>
    <s v="Direct"/>
    <s v="C. Otieno"/>
    <s v="C. Otieno"/>
    <s v="Monitors"/>
    <s v="Medium"/>
    <s v="MON-5891"/>
    <s v="A"/>
    <n v="1487.59"/>
    <n v="1480.83"/>
    <n v="1480.83"/>
    <n v="8.9999999999999993E-3"/>
    <n v="8.9999999999999993E-3"/>
    <s v="Low"/>
    <n v="11"/>
    <n v="16142.527829999999"/>
    <n v="16363.49"/>
    <n v="220.9621700000007"/>
    <n v="1.3688201273492908E-2"/>
  </r>
  <r>
    <s v="ORD-2023-732585"/>
    <d v="2023-08-25T00:00:00"/>
    <d v="2023-08-25T00:00:00"/>
    <d v="2023-09-16T00:00:00"/>
    <d v="2023-09-16T00:00:00"/>
    <n v="22"/>
    <s v="Not Met"/>
    <s v="08-2023"/>
    <s v="Q3-2023"/>
    <d v="2023-01-13T00:00:00"/>
    <x v="0"/>
    <s v="Africa"/>
    <x v="2"/>
    <s v="Abuja"/>
    <s v="Abuja"/>
    <s v="Corporate"/>
    <s v="Marketplace"/>
    <s v="Marketplace"/>
    <s v="L. Okafor"/>
    <s v="L. Okafor"/>
    <s v="Phones"/>
    <s v="High"/>
    <s v="PHN-3971"/>
    <s v="A"/>
    <n v="1196.83"/>
    <n v="2513.5100000000002"/>
    <n v="2513.5100000000002"/>
    <n v="8.3000000000000004E-2"/>
    <n v="8.3000000000000004E-2"/>
    <s v="Low"/>
    <n v="7"/>
    <n v="16134.22069"/>
    <n v="8377.81"/>
    <n v="7756.4106900000006"/>
    <n v="0.48074281609445374"/>
  </r>
  <r>
    <s v="ORD-2024-833375"/>
    <d v="2024-04-24T00:00:00"/>
    <d v="2024-04-24T00:00:00"/>
    <d v="2024-05-10T00:00:00"/>
    <d v="2024-05-10T00:00:00"/>
    <n v="16"/>
    <s v="Not Met"/>
    <s v="04-2024"/>
    <s v="Q2-2024"/>
    <d v="2023-01-20T00:00:00"/>
    <x v="0"/>
    <s v="Africa"/>
    <x v="5"/>
    <s v="Kisumu"/>
    <s v="Kisumu"/>
    <s v="Non-Profit"/>
    <s v="Online"/>
    <s v="Online"/>
    <s v="N. Brown"/>
    <s v="N. Brown"/>
    <s v="Monitors"/>
    <s v="Medium"/>
    <s v="MON-6190"/>
    <s v="A"/>
    <n v="513.30999999999995"/>
    <n v="1186.26"/>
    <n v="1186.26"/>
    <n v="9.4E-2"/>
    <n v="9.4E-2"/>
    <s v="Low"/>
    <n v="15"/>
    <n v="16121.273400000002"/>
    <n v="7699.65"/>
    <n v="8421.6234000000022"/>
    <n v="0.52239194702820446"/>
  </r>
  <r>
    <s v="ORD-2023-521818"/>
    <d v="2023-01-22T00:00:00"/>
    <d v="2023-01-22T00:00:00"/>
    <d v="2023-01-30T00:00:00"/>
    <d v="2023-01-30T00:00:00"/>
    <n v="8"/>
    <s v="Not Met"/>
    <s v="01-2023"/>
    <s v="Q1-2023"/>
    <d v="2023-01-13T00:00:00"/>
    <x v="0"/>
    <s v="Americas"/>
    <x v="6"/>
    <s v="San Francisco"/>
    <s v="San Francisco"/>
    <s v="Small Business"/>
    <s v="Online"/>
    <s v="Online"/>
    <s v="A. Patel"/>
    <s v="A. Patel"/>
    <s v="Networking"/>
    <s v="Medium"/>
    <s v="NET-4155"/>
    <s v="A"/>
    <n v="413.52"/>
    <n v="1004.34"/>
    <n v="1004.34"/>
    <n v="0.111"/>
    <n v="0.111"/>
    <s v="Low"/>
    <n v="18"/>
    <n v="16071.44868"/>
    <n v="7443.36"/>
    <n v="8628.0886800000007"/>
    <n v="0.53685817948304593"/>
  </r>
  <r>
    <s v="ORD-2023-178249"/>
    <d v="2023-12-29T00:00:00"/>
    <d v="2023-12-29T00:00:00"/>
    <d v="2024-01-20T00:00:00"/>
    <d v="2024-01-20T00:00:00"/>
    <n v="22"/>
    <s v="Not Met"/>
    <s v="12-2023"/>
    <s v="Q4-2023"/>
    <d v="2023-01-20T00:00:00"/>
    <x v="0"/>
    <s v="Africa"/>
    <x v="5"/>
    <s v="Kisumu"/>
    <s v="Kisumu"/>
    <s v="Corporate"/>
    <s v="Direct"/>
    <s v="Direct"/>
    <s v="L. Okafor"/>
    <s v="L. Okafor"/>
    <s v="Phones"/>
    <s v="High"/>
    <s v="PHN-7924"/>
    <s v="A"/>
    <n v="1395.49"/>
    <n v="1679.42"/>
    <n v="1679.42"/>
    <n v="0.20300000000000001"/>
    <n v="0.20300000000000001"/>
    <s v="High"/>
    <n v="12"/>
    <n v="16061.972879999999"/>
    <n v="16745.88"/>
    <n v="683.90712000000167"/>
    <n v="4.2579272490964493E-2"/>
  </r>
  <r>
    <s v="ORD-2023-548874"/>
    <d v="2023-03-19T00:00:00"/>
    <d v="2023-03-19T00:00:00"/>
    <d v="2023-04-09T00:00:00"/>
    <d v="2023-04-09T00:00:00"/>
    <n v="21"/>
    <s v="Not Met"/>
    <s v="03-2023"/>
    <s v="Q1-2023"/>
    <d v="2023-01-19T00:00:00"/>
    <x v="0"/>
    <s v="Europe"/>
    <x v="1"/>
    <s v="Manchester"/>
    <s v="Manchester"/>
    <s v="Consumer"/>
    <s v="Retail"/>
    <s v="Retail"/>
    <s v="L. Okafor"/>
    <s v="L. Okafor"/>
    <s v="Accessories"/>
    <s v="Medium"/>
    <s v="ACC-9150"/>
    <s v="A"/>
    <n v="1082.17"/>
    <n v="1234.0999999999999"/>
    <n v="1234.0999999999999"/>
    <n v="0.189"/>
    <n v="0.189"/>
    <s v="Low"/>
    <n v="16"/>
    <n v="16013.681599999998"/>
    <n v="17314.72"/>
    <n v="1301.0384000000031"/>
    <n v="8.124542703534228E-2"/>
  </r>
  <r>
    <s v="ORD-2024-210687"/>
    <d v="2024-01-28T00:00:00"/>
    <d v="2024-01-28T00:00:00"/>
    <d v="2024-02-09T00:00:00"/>
    <d v="2024-02-09T00:00:00"/>
    <n v="12"/>
    <s v="Not Met"/>
    <s v="01-2024"/>
    <s v="Q1-2024"/>
    <d v="2023-01-21T00:00:00"/>
    <x v="0"/>
    <s v="Europe"/>
    <x v="4"/>
    <s v="Berlin"/>
    <s v="Berlin"/>
    <s v="Corporate"/>
    <s v="Online"/>
    <s v="Online"/>
    <s v="G. Dubois"/>
    <s v="G. Dubois"/>
    <s v="Accessories"/>
    <s v="Low"/>
    <s v="ACC-7938"/>
    <s v="A"/>
    <n v="644.16999999999996"/>
    <n v="700.12"/>
    <n v="700.12"/>
    <n v="6.0000000000000001E-3"/>
    <n v="6.0000000000000001E-3"/>
    <s v="Low"/>
    <n v="23"/>
    <n v="16006.14344"/>
    <n v="14815.91"/>
    <n v="1190.23344"/>
    <n v="7.436103796405813E-2"/>
  </r>
  <r>
    <s v="ORD-2025-332931"/>
    <d v="2025-02-15T00:00:00"/>
    <d v="2025-02-15T00:00:00"/>
    <d v="2025-03-01T00:00:00"/>
    <d v="2025-03-01T00:00:00"/>
    <n v="14"/>
    <s v="Not Met"/>
    <s v="02-2025"/>
    <s v="Q1-2025"/>
    <d v="2023-01-20T00:00:00"/>
    <x v="0"/>
    <s v="Africa"/>
    <x v="5"/>
    <s v="Mombasa"/>
    <s v="Mombasa"/>
    <s v="Education"/>
    <s v="Direct"/>
    <s v="Direct"/>
    <s v="L. Okafor"/>
    <s v="L. Okafor"/>
    <s v="Accessories"/>
    <s v="Medium"/>
    <s v="ACC-5144"/>
    <s v="A"/>
    <n v="1162.8599999999999"/>
    <n v="1447.68"/>
    <n v="1447.68"/>
    <n v="8.6999999999999994E-2"/>
    <n v="8.6999999999999994E-2"/>
    <s v="Low"/>
    <n v="12"/>
    <n v="15860.782080000001"/>
    <n v="13954.32"/>
    <n v="1906.4620800000012"/>
    <n v="0.12019975247021369"/>
  </r>
  <r>
    <s v="ORD-2024-687100"/>
    <d v="2024-09-10T00:00:00"/>
    <d v="2024-09-10T00:00:00"/>
    <d v="2024-10-07T00:00:00"/>
    <d v="2024-10-07T00:00:00"/>
    <n v="27"/>
    <s v="Not Met"/>
    <s v="09-2024"/>
    <s v="Q3-2024"/>
    <d v="2023-01-20T00:00:00"/>
    <x v="0"/>
    <s v="Africa"/>
    <x v="5"/>
    <s v="Kisumu"/>
    <s v="Kisumu"/>
    <s v="Consumer"/>
    <s v="Retail"/>
    <s v="Retail"/>
    <s v="L. Okafor"/>
    <s v="L. Okafor"/>
    <s v="Printers"/>
    <s v="High"/>
    <s v="PRN-6068"/>
    <s v="A"/>
    <n v="1248.3900000000001"/>
    <n v="1805.11"/>
    <n v="1805.11"/>
    <n v="0.20300000000000001"/>
    <n v="0.20300000000000001"/>
    <s v="High"/>
    <n v="11"/>
    <n v="15825.399369999997"/>
    <n v="13732.29"/>
    <n v="2093.1093699999965"/>
    <n v="0.13226265707820786"/>
  </r>
  <r>
    <s v="ORD-2023-664749"/>
    <d v="2023-08-27T00:00:00"/>
    <d v="2023-08-27T00:00:00"/>
    <d v="2023-09-11T00:00:00"/>
    <d v="2023-09-11T00:00:00"/>
    <n v="15"/>
    <s v="Not Met"/>
    <s v="08-2023"/>
    <s v="Q3-2023"/>
    <d v="2023-01-19T00:00:00"/>
    <x v="0"/>
    <s v="Europe"/>
    <x v="1"/>
    <s v="London"/>
    <s v="London"/>
    <s v="Consumer"/>
    <s v="Marketplace"/>
    <s v="Marketplace"/>
    <s v="N. Brown"/>
    <s v="N. Brown"/>
    <s v="Printers"/>
    <s v="High"/>
    <s v="PRN-5107"/>
    <s v="A"/>
    <n v="943.79"/>
    <n v="1913.76"/>
    <n v="1913.76"/>
    <n v="9.0999999999999998E-2"/>
    <n v="9.0999999999999998E-2"/>
    <s v="Low"/>
    <n v="9"/>
    <n v="15656.47056"/>
    <n v="8494.11"/>
    <n v="7162.3605599999992"/>
    <n v="0.45746967891338081"/>
  </r>
  <r>
    <s v="ORD-2023-488227"/>
    <d v="2023-09-08T00:00:00"/>
    <d v="2023-09-08T00:00:00"/>
    <d v="2023-10-02T00:00:00"/>
    <d v="2023-10-02T00:00:00"/>
    <n v="24"/>
    <s v="Not Met"/>
    <s v="09-2023"/>
    <s v="Q3-2023"/>
    <d v="2023-01-02T00:00:00"/>
    <x v="0"/>
    <s v="Americas"/>
    <x v="0"/>
    <s v="Toronto"/>
    <s v="Toronto"/>
    <s v="Education"/>
    <s v="Direct"/>
    <s v="Direct"/>
    <s v="A. Patel"/>
    <s v="A. Patel"/>
    <s v="Accessories"/>
    <s v="High"/>
    <s v="ACC-3415"/>
    <s v="A"/>
    <n v="1299.03"/>
    <n v="2451.2199999999998"/>
    <n v="2451.2199999999998"/>
    <n v="0.20799999999999999"/>
    <n v="0.20799999999999999"/>
    <s v="High"/>
    <n v="8"/>
    <n v="15530.929919999999"/>
    <n v="10392.24"/>
    <n v="5138.6899199999989"/>
    <n v="0.3308681416032041"/>
  </r>
  <r>
    <s v="ORD-2024-366010"/>
    <d v="2024-01-13T00:00:00"/>
    <d v="2024-01-13T00:00:00"/>
    <d v="2024-02-05T00:00:00"/>
    <d v="2024-02-05T00:00:00"/>
    <n v="23"/>
    <s v="Not Met"/>
    <s v="01-2024"/>
    <s v="Q1-2024"/>
    <d v="2023-01-21T00:00:00"/>
    <x v="0"/>
    <s v="Europe"/>
    <x v="4"/>
    <s v="Frankfurt"/>
    <s v="Frankfurt"/>
    <s v="Education"/>
    <s v="Direct"/>
    <s v="Direct"/>
    <s v="B. Chen"/>
    <s v="B. Chen"/>
    <s v="Laptops"/>
    <s v="Medium"/>
    <s v="LAP-9931"/>
    <s v="A"/>
    <n v="1017.93"/>
    <n v="1529.14"/>
    <n v="1529.14"/>
    <n v="0.155"/>
    <n v="0.155"/>
    <s v="Low"/>
    <n v="12"/>
    <n v="15505.479600000001"/>
    <n v="12215.16"/>
    <n v="3290.3196000000007"/>
    <n v="0.21220366508366503"/>
  </r>
  <r>
    <s v="ORD-2023-501220"/>
    <d v="2023-04-19T00:00:00"/>
    <d v="2023-04-19T00:00:00"/>
    <d v="2023-05-07T00:00:00"/>
    <d v="2023-05-07T00:00:00"/>
    <n v="18"/>
    <s v="Not Met"/>
    <s v="04-2023"/>
    <s v="Q2-2023"/>
    <d v="2023-01-19T00:00:00"/>
    <x v="0"/>
    <s v="Europe"/>
    <x v="1"/>
    <s v="Birmingham"/>
    <s v="Birmingham"/>
    <s v="Enterprise"/>
    <s v="Retail"/>
    <s v="Retail"/>
    <s v="N. Brown"/>
    <s v="N. Brown"/>
    <s v="Laptops"/>
    <s v="Medium"/>
    <s v="LAP-9766"/>
    <s v="A"/>
    <n v="1089.1500000000001"/>
    <n v="1088.2"/>
    <n v="1088.2"/>
    <n v="5.0999999999999997E-2"/>
    <n v="5.0999999999999997E-2"/>
    <s v="Low"/>
    <n v="15"/>
    <n v="15490.527"/>
    <n v="16337.250000000002"/>
    <n v="846.72300000000178"/>
    <n v="5.4660696824582002E-2"/>
  </r>
  <r>
    <s v="ORD-2025-779659"/>
    <d v="2025-07-03T00:00:00"/>
    <d v="2025-07-03T00:00:00"/>
    <d v="2025-07-23T00:00:00"/>
    <d v="2025-07-23T00:00:00"/>
    <n v="20"/>
    <s v="Not Met"/>
    <s v="07-2025"/>
    <s v="Q3-2025"/>
    <d v="2023-01-12T00:00:00"/>
    <x v="0"/>
    <s v="Asia"/>
    <x v="10"/>
    <s v="Beijing"/>
    <s v="Beijing"/>
    <s v="Small Business"/>
    <s v="Online"/>
    <s v="Online"/>
    <s v="M. Rossi"/>
    <s v="M. Rossi"/>
    <s v="Components"/>
    <s v="Medium"/>
    <s v="CMP-1220"/>
    <s v="A"/>
    <n v="647.36"/>
    <n v="1383.6"/>
    <n v="1383.6"/>
    <n v="7.3999999999999996E-2"/>
    <n v="7.3999999999999996E-2"/>
    <s v="Low"/>
    <n v="12"/>
    <n v="15374.563199999999"/>
    <n v="7768.32"/>
    <n v="7606.243199999999"/>
    <n v="0.49472906000997802"/>
  </r>
  <r>
    <s v="ORD-2024-515105"/>
    <d v="2024-02-27T00:00:00"/>
    <d v="2024-02-27T00:00:00"/>
    <d v="2024-03-26T00:00:00"/>
    <d v="2024-03-26T00:00:00"/>
    <n v="28"/>
    <s v="Not Met"/>
    <s v="02-2024"/>
    <s v="Q1-2024"/>
    <d v="2023-01-29T00:00:00"/>
    <x v="0"/>
    <s v="Asia"/>
    <x v="3"/>
    <s v="Mumbai"/>
    <s v="Mumbai"/>
    <s v="Education"/>
    <s v="Marketplace"/>
    <s v="Marketplace"/>
    <s v="G. Dubois"/>
    <s v="G. Dubois"/>
    <s v="Laptops"/>
    <s v="High"/>
    <s v="LAP-8469"/>
    <s v="A"/>
    <n v="1035.19"/>
    <n v="2322.6999999999998"/>
    <n v="2322.6999999999998"/>
    <n v="0.17299999999999999"/>
    <n v="0.17299999999999999"/>
    <s v="Low"/>
    <n v="8"/>
    <n v="15366.983199999999"/>
    <n v="8281.52"/>
    <n v="7085.4631999999983"/>
    <n v="0.46108355217047409"/>
  </r>
  <r>
    <s v="ORD-2023-281890"/>
    <d v="2023-03-13T00:00:00"/>
    <d v="2023-03-13T00:00:00"/>
    <d v="2023-04-04T00:00:00"/>
    <d v="2023-04-04T00:00:00"/>
    <n v="22"/>
    <s v="Not Met"/>
    <s v="03-2023"/>
    <s v="Q1-2023"/>
    <d v="2023-01-07T00:00:00"/>
    <x v="0"/>
    <s v="Africa"/>
    <x v="8"/>
    <s v="Durban"/>
    <s v="Durban"/>
    <s v="Small Business"/>
    <s v="Retail"/>
    <s v="Retail"/>
    <s v="A. Patel"/>
    <s v="A. Patel"/>
    <s v="Components"/>
    <s v="Medium"/>
    <s v="CMP-2574"/>
    <s v="A"/>
    <n v="1113.7"/>
    <n v="1620.6"/>
    <n v="1620.6"/>
    <n v="0.13900000000000001"/>
    <n v="0.13900000000000001"/>
    <s v="Low"/>
    <n v="11"/>
    <n v="15348.702599999999"/>
    <n v="12250.7"/>
    <n v="3098.002599999998"/>
    <n v="0.20184133348182787"/>
  </r>
  <r>
    <s v="ORD-2024-732543"/>
    <d v="2024-10-24T00:00:00"/>
    <d v="2024-10-24T00:00:00"/>
    <d v="2024-10-28T00:00:00"/>
    <d v="2024-10-28T00:00:00"/>
    <n v="4"/>
    <s v="Met"/>
    <s v="10-2024"/>
    <s v="Q4-2024"/>
    <d v="2023-01-12T00:00:00"/>
    <x v="0"/>
    <s v="Asia"/>
    <x v="10"/>
    <s v="Shanghai"/>
    <s v="Shanghai"/>
    <s v="Small Business"/>
    <s v="Distributor"/>
    <s v="Distributor"/>
    <s v="I. Johnson"/>
    <s v="I. Johnson"/>
    <s v="Networking"/>
    <s v="High"/>
    <s v="NET-3728"/>
    <s v="A"/>
    <n v="1331.77"/>
    <n v="2606.11"/>
    <n v="2606.11"/>
    <n v="0.02"/>
    <n v="0.02"/>
    <s v="Low"/>
    <n v="6"/>
    <n v="15323.926799999999"/>
    <n v="7990.62"/>
    <n v="7333.3067999999994"/>
    <n v="0.47855271665745619"/>
  </r>
  <r>
    <s v="ORD-2024-398783"/>
    <d v="2024-07-18T00:00:00"/>
    <d v="2024-07-18T00:00:00"/>
    <d v="2024-08-07T00:00:00"/>
    <d v="2024-08-07T00:00:00"/>
    <n v="20"/>
    <s v="Not Met"/>
    <s v="07-2024"/>
    <s v="Q3-2024"/>
    <d v="2023-01-10T00:00:00"/>
    <x v="0"/>
    <s v="Europe"/>
    <x v="11"/>
    <s v="Marseille"/>
    <s v="Marseille"/>
    <s v="Corporate"/>
    <s v="Retail"/>
    <s v="Retail"/>
    <s v="F. Müller"/>
    <s v="F. Müller"/>
    <s v="Monitors"/>
    <s v="Medium"/>
    <s v="MON-7622"/>
    <s v="A"/>
    <n v="941.35"/>
    <n v="899.83"/>
    <n v="899.83"/>
    <n v="5.8000000000000003E-2"/>
    <n v="5.8000000000000003E-2"/>
    <s v="Low"/>
    <n v="18"/>
    <n v="15257.51748"/>
    <n v="16944.3"/>
    <n v="1686.7825199999988"/>
    <n v="0.11055419220139073"/>
  </r>
  <r>
    <s v="ORD-2024-197852"/>
    <d v="2024-02-29T00:00:00"/>
    <d v="2024-02-29T00:00:00"/>
    <d v="2024-03-30T00:00:00"/>
    <d v="2024-03-30T00:00:00"/>
    <n v="30"/>
    <s v="Not Met"/>
    <s v="02-2024"/>
    <s v="Q1-2024"/>
    <d v="2023-03-03T00:00:00"/>
    <x v="1"/>
    <s v="Asia"/>
    <x v="7"/>
    <s v="Nagoya"/>
    <s v="Nagoya"/>
    <s v="Small Business"/>
    <s v="Direct"/>
    <s v="Direct"/>
    <s v="I. Johnson"/>
    <s v="I. Johnson"/>
    <s v="Networking"/>
    <s v="Low"/>
    <s v="NET-7588"/>
    <s v="A"/>
    <n v="231.11"/>
    <n v="318.17"/>
    <n v="318.17"/>
    <n v="0.20100000000000001"/>
    <n v="0.20100000000000001"/>
    <s v="High"/>
    <n v="60"/>
    <n v="15253.069799999999"/>
    <n v="13866.6"/>
    <n v="1386.4697999999989"/>
    <n v="9.0897754889969692E-2"/>
  </r>
  <r>
    <s v="ORD-2025-149156"/>
    <d v="2025-01-10T00:00:00"/>
    <d v="2025-01-10T00:00:00"/>
    <d v="2025-02-06T00:00:00"/>
    <d v="2025-02-06T00:00:00"/>
    <n v="27"/>
    <s v="Not Met"/>
    <s v="01-2025"/>
    <s v="Q1-2025"/>
    <d v="2023-01-29T00:00:00"/>
    <x v="0"/>
    <s v="Americas"/>
    <x v="9"/>
    <s v="Brasília"/>
    <s v="Brasília"/>
    <s v="Non-Profit"/>
    <s v="Retail"/>
    <s v="Retail"/>
    <s v="B. Chen"/>
    <s v="B. Chen"/>
    <s v="Laptops"/>
    <s v="Medium"/>
    <s v="LAP-7353"/>
    <s v="A"/>
    <n v="725.62"/>
    <n v="1559.19"/>
    <n v="1559.19"/>
    <n v="0.19"/>
    <n v="0.19"/>
    <s v="Low"/>
    <n v="12"/>
    <n v="15155.326800000001"/>
    <n v="8707.44"/>
    <n v="6447.8868000000002"/>
    <n v="0.42545349797405885"/>
  </r>
  <r>
    <s v="ORD-2024-599522"/>
    <d v="2024-04-19T00:00:00"/>
    <d v="2024-04-19T00:00:00"/>
    <d v="2024-05-06T00:00:00"/>
    <d v="2024-05-06T00:00:00"/>
    <n v="17"/>
    <s v="Not Met"/>
    <s v="04-2024"/>
    <s v="Q2-2024"/>
    <d v="2023-01-13T00:00:00"/>
    <x v="0"/>
    <s v="Africa"/>
    <x v="2"/>
    <s v="Port Harcourt"/>
    <s v="Port Harcourt"/>
    <s v="Non-Profit"/>
    <s v="Online"/>
    <s v="Online"/>
    <s v="A. Patel"/>
    <s v="A. Patel"/>
    <s v="Printers"/>
    <s v="Medium"/>
    <s v="PRN-7303"/>
    <s v="A"/>
    <n v="865.33"/>
    <n v="1395.64"/>
    <n v="1395.64"/>
    <n v="0.17499999999999999"/>
    <n v="0.17499999999999999"/>
    <s v="Low"/>
    <n v="13"/>
    <n v="14968.239"/>
    <n v="11249.29"/>
    <n v="3718.9489999999987"/>
    <n v="0.24845601409758347"/>
  </r>
  <r>
    <s v="ORD-2023-382017"/>
    <d v="2023-01-13T00:00:00"/>
    <d v="2023-01-13T00:00:00"/>
    <d v="2023-01-19T00:00:00"/>
    <d v="2023-01-19T00:00:00"/>
    <n v="6"/>
    <s v="Met"/>
    <s v="01-2023"/>
    <s v="Q1-2023"/>
    <d v="2023-01-13T00:00:00"/>
    <x v="0"/>
    <s v="Americas"/>
    <x v="6"/>
    <s v="Chicago"/>
    <s v="Chicago"/>
    <s v="Corporate"/>
    <s v="Direct"/>
    <s v="Direct"/>
    <s v="H. Kim"/>
    <s v="H. Kim"/>
    <s v="Phones"/>
    <s v="Medium"/>
    <s v="PHN-3159"/>
    <s v="A"/>
    <n v="833.57"/>
    <n v="881.57"/>
    <n v="881.57"/>
    <n v="5.7000000000000002E-2"/>
    <n v="5.7000000000000002E-2"/>
    <s v="Low"/>
    <n v="18"/>
    <n v="14963.769179999999"/>
    <n v="15004.26"/>
    <n v="40.490820000000895"/>
    <n v="2.7059238560107821E-3"/>
  </r>
  <r>
    <s v="ORD-2024-442776"/>
    <d v="2024-06-30T00:00:00"/>
    <d v="2024-06-30T00:00:00"/>
    <d v="2024-07-21T00:00:00"/>
    <d v="2024-07-21T00:00:00"/>
    <n v="21"/>
    <s v="Not Met"/>
    <s v="06-2024"/>
    <s v="Q2-2024"/>
    <d v="2023-01-20T00:00:00"/>
    <x v="0"/>
    <s v="Africa"/>
    <x v="5"/>
    <s v="Kisumu"/>
    <s v="Kisumu"/>
    <s v="Small Business"/>
    <s v="Retail"/>
    <s v="Retail"/>
    <s v="K. Singh"/>
    <s v="K. Singh"/>
    <s v="Laptops"/>
    <s v="High"/>
    <s v="LAP-6577"/>
    <s v="A"/>
    <n v="753.43"/>
    <n v="1787.2"/>
    <n v="1787.2"/>
    <n v="7.2999999999999995E-2"/>
    <n v="7.2999999999999995E-2"/>
    <s v="Low"/>
    <n v="9"/>
    <n v="14910.609600000002"/>
    <n v="6780.87"/>
    <n v="8129.7396000000017"/>
    <n v="0.54523187301476939"/>
  </r>
  <r>
    <s v="ORD-2024-468501"/>
    <d v="2024-11-06T00:00:00"/>
    <d v="2024-11-06T00:00:00"/>
    <d v="2024-11-22T00:00:00"/>
    <d v="2024-11-22T00:00:00"/>
    <n v="16"/>
    <s v="Not Met"/>
    <s v="11-2024"/>
    <s v="Q4-2024"/>
    <d v="2023-01-02T00:00:00"/>
    <x v="0"/>
    <s v="Americas"/>
    <x v="0"/>
    <s v="Toronto"/>
    <s v="Toronto"/>
    <s v="Non-Profit"/>
    <s v="Distributor"/>
    <s v="Distributor"/>
    <s v="D. Smith"/>
    <s v="D. Smith"/>
    <s v="Accessories"/>
    <s v="High"/>
    <s v="ACC-6348"/>
    <s v="A"/>
    <n v="1454.11"/>
    <n v="2629.75"/>
    <n v="2629.75"/>
    <n v="0.29199999999999998"/>
    <n v="0.29199999999999998"/>
    <s v="High"/>
    <n v="8"/>
    <n v="14894.903999999999"/>
    <n v="11632.88"/>
    <n v="3262.0239999999994"/>
    <n v="0.21900268709351867"/>
  </r>
  <r>
    <s v="ORD-2023-192324"/>
    <d v="2023-09-14T00:00:00"/>
    <d v="2023-09-14T00:00:00"/>
    <d v="2023-09-16T00:00:00"/>
    <d v="2023-09-16T00:00:00"/>
    <n v="2"/>
    <s v="Met"/>
    <s v="09-2023"/>
    <s v="Q3-2023"/>
    <d v="2023-01-10T00:00:00"/>
    <x v="0"/>
    <s v="Europe"/>
    <x v="11"/>
    <s v="Lyon"/>
    <s v="Lyon"/>
    <s v="Non-Profit"/>
    <s v="Direct"/>
    <s v="Direct"/>
    <s v="B. Chen"/>
    <s v="B. Chen"/>
    <s v="Printers"/>
    <s v="Low"/>
    <s v="PRN-4432"/>
    <s v="A"/>
    <n v="376.83"/>
    <n v="732.88"/>
    <n v="732.88"/>
    <n v="0.188"/>
    <n v="0.188"/>
    <s v="Low"/>
    <n v="25"/>
    <n v="14877.464000000002"/>
    <n v="9420.75"/>
    <n v="5456.7140000000018"/>
    <n v="0.36677716040852132"/>
  </r>
  <r>
    <s v="ORD-2024-892173"/>
    <d v="2024-01-18T00:00:00"/>
    <d v="2024-01-18T00:00:00"/>
    <d v="2024-02-03T00:00:00"/>
    <d v="2024-02-03T00:00:00"/>
    <n v="16"/>
    <s v="Not Met"/>
    <s v="01-2024"/>
    <s v="Q1-2024"/>
    <d v="2023-01-07T00:00:00"/>
    <x v="0"/>
    <s v="Africa"/>
    <x v="8"/>
    <s v="Cape Town"/>
    <s v="Cape Town"/>
    <s v="Non-Profit"/>
    <s v="Distributor"/>
    <s v="Distributor"/>
    <s v="L. Okafor"/>
    <s v="L. Okafor"/>
    <s v="Printers"/>
    <s v="Medium"/>
    <s v="PRN-6660"/>
    <s v="A"/>
    <n v="666.23"/>
    <n v="1382.91"/>
    <n v="1382.91"/>
    <n v="0.17599999999999999"/>
    <n v="0.17599999999999999"/>
    <s v="Low"/>
    <n v="13"/>
    <n v="14813.731920000002"/>
    <n v="8660.99"/>
    <n v="6152.7419200000022"/>
    <n v="0.41534043907553048"/>
  </r>
  <r>
    <s v="ORD-2024-257550"/>
    <d v="2024-12-27T00:00:00"/>
    <d v="2024-12-27T00:00:00"/>
    <d v="2024-12-29T00:00:00"/>
    <d v="2024-12-29T00:00:00"/>
    <n v="2"/>
    <s v="Met"/>
    <s v="12-2024"/>
    <s v="Q4-2024"/>
    <d v="2023-01-02T00:00:00"/>
    <x v="0"/>
    <s v="Americas"/>
    <x v="0"/>
    <s v="Vancouver"/>
    <s v="Vancouver"/>
    <s v="Enterprise"/>
    <s v="Marketplace"/>
    <s v="Marketplace"/>
    <s v="C. Otieno"/>
    <s v="C. Otieno"/>
    <s v="Accessories"/>
    <s v="High"/>
    <s v="ACC-8620"/>
    <s v="A"/>
    <n v="1146.72"/>
    <n v="2074.34"/>
    <n v="2074.34"/>
    <n v="0.111"/>
    <n v="0.111"/>
    <s v="Low"/>
    <n v="8"/>
    <n v="14752.706080000002"/>
    <n v="9173.76"/>
    <n v="5578.9460800000015"/>
    <n v="0.37816425337472737"/>
  </r>
  <r>
    <s v="ORD-2024-589570"/>
    <d v="2024-05-04T00:00:00"/>
    <d v="2024-05-04T00:00:00"/>
    <d v="2024-05-29T00:00:00"/>
    <d v="2024-05-29T00:00:00"/>
    <n v="25"/>
    <s v="Not Met"/>
    <s v="05-2024"/>
    <s v="Q2-2024"/>
    <d v="2023-01-13T00:00:00"/>
    <x v="0"/>
    <s v="Africa"/>
    <x v="2"/>
    <s v="Abuja"/>
    <s v="Abuja"/>
    <s v="Non-Profit"/>
    <s v="Marketplace"/>
    <s v="Marketplace"/>
    <s v="O. Wang"/>
    <s v="O. Wang"/>
    <s v="Monitors"/>
    <s v="High"/>
    <s v="MON-6892"/>
    <s v="A"/>
    <n v="1295.3399999999999"/>
    <n v="2530.81"/>
    <n v="2530.81"/>
    <n v="3.1E-2"/>
    <n v="3.1E-2"/>
    <s v="Low"/>
    <n v="6"/>
    <n v="14714.12934"/>
    <n v="7772.0399999999991"/>
    <n v="6942.0893400000004"/>
    <n v="0.4717974933880798"/>
  </r>
  <r>
    <s v="ORD-2024-605629"/>
    <d v="2024-07-15T00:00:00"/>
    <d v="2024-07-15T00:00:00"/>
    <d v="2024-07-15T00:00:00"/>
    <d v="2024-07-15T00:00:00"/>
    <n v="0"/>
    <s v="Met"/>
    <s v="07-2024"/>
    <s v="Q3-2024"/>
    <d v="2023-03-03T00:00:00"/>
    <x v="1"/>
    <s v="Asia"/>
    <x v="7"/>
    <s v="Tokyo"/>
    <s v="Tokyo"/>
    <s v="Small Business"/>
    <s v="Marketplace"/>
    <s v="Marketplace"/>
    <s v="G. Dubois"/>
    <s v="G. Dubois"/>
    <s v="Accessories"/>
    <s v="Medium"/>
    <s v="ACC-2735"/>
    <s v="A"/>
    <n v="801.77"/>
    <n v="1218.92"/>
    <n v="1218.92"/>
    <n v="0.254"/>
    <n v="0.254"/>
    <s v="High"/>
    <n v="16"/>
    <n v="14549.029120000001"/>
    <n v="12828.32"/>
    <n v="1720.7091200000013"/>
    <n v="0.11826968698788344"/>
  </r>
  <r>
    <s v="ORD-2023-623293"/>
    <d v="2023-10-12T00:00:00"/>
    <d v="2023-10-12T00:00:00"/>
    <d v="2023-10-29T00:00:00"/>
    <d v="2023-10-29T00:00:00"/>
    <n v="17"/>
    <s v="Not Met"/>
    <s v="10-2023"/>
    <s v="Q4-2023"/>
    <d v="2023-03-03T00:00:00"/>
    <x v="1"/>
    <s v="Asia"/>
    <x v="7"/>
    <s v="Nagoya"/>
    <s v="Nagoya"/>
    <s v="Non-Profit"/>
    <s v="Direct"/>
    <s v="Direct"/>
    <s v="H. Kim"/>
    <s v="H. Kim"/>
    <s v="Phones"/>
    <s v="High"/>
    <s v="PHN-8478"/>
    <s v="A"/>
    <n v="1102.19"/>
    <n v="1711.16"/>
    <n v="1711.16"/>
    <n v="0.151"/>
    <n v="0.151"/>
    <s v="Low"/>
    <n v="10"/>
    <n v="14527.748400000002"/>
    <n v="11021.900000000001"/>
    <n v="3505.8484000000008"/>
    <n v="0.24132083675127525"/>
  </r>
  <r>
    <s v="ORD-2023-126505"/>
    <d v="2023-12-19T00:00:00"/>
    <d v="2023-12-19T00:00:00"/>
    <d v="2024-01-01T00:00:00"/>
    <d v="2024-01-01T00:00:00"/>
    <n v="13"/>
    <s v="Not Met"/>
    <s v="12-2023"/>
    <s v="Q4-2023"/>
    <d v="2023-01-02T00:00:00"/>
    <x v="0"/>
    <s v="Americas"/>
    <x v="0"/>
    <s v="Toronto"/>
    <s v="Toronto"/>
    <s v="Enterprise"/>
    <s v="Retail"/>
    <s v="Retail"/>
    <s v="K. Singh"/>
    <s v="K. Singh"/>
    <s v="Monitors"/>
    <s v="Medium"/>
    <s v="MON-6065"/>
    <s v="A"/>
    <n v="856.1"/>
    <n v="901.48"/>
    <n v="901.48"/>
    <n v="5.6000000000000001E-2"/>
    <n v="5.6000000000000001E-2"/>
    <s v="Low"/>
    <n v="17"/>
    <n v="14466.95104"/>
    <n v="14553.7"/>
    <n v="86.748960000000807"/>
    <n v="5.9963540182134192E-3"/>
  </r>
  <r>
    <s v="ORD-2023-157993"/>
    <d v="2023-04-18T00:00:00"/>
    <d v="2023-04-18T00:00:00"/>
    <d v="2023-05-18T00:00:00"/>
    <d v="2023-05-18T00:00:00"/>
    <n v="30"/>
    <s v="Not Met"/>
    <s v="04-2023"/>
    <s v="Q2-2023"/>
    <d v="2023-01-12T00:00:00"/>
    <x v="0"/>
    <s v="Asia"/>
    <x v="10"/>
    <s v="Shenzhen"/>
    <s v="Shenzhen"/>
    <s v="Non-Profit"/>
    <s v="Retail"/>
    <s v="Retail"/>
    <s v="H. Kim"/>
    <s v="H. Kim"/>
    <s v="Laptops"/>
    <s v="Low"/>
    <s v="LAP-1482"/>
    <s v="A"/>
    <n v="329.03"/>
    <n v="391.15"/>
    <n v="391.15"/>
    <n v="0.19700000000000001"/>
    <n v="0.19700000000000001"/>
    <s v="Low"/>
    <n v="46"/>
    <n v="14448.298699999998"/>
    <n v="15135.38"/>
    <n v="687.08130000000165"/>
    <n v="4.7554477815440081E-2"/>
  </r>
  <r>
    <s v="ORD-2025-486350"/>
    <d v="2025-05-27T00:00:00"/>
    <d v="2025-05-27T00:00:00"/>
    <d v="2025-06-08T00:00:00"/>
    <d v="2025-06-08T00:00:00"/>
    <n v="12"/>
    <s v="Not Met"/>
    <s v="05-2025"/>
    <s v="Q2-2025"/>
    <d v="2023-03-03T00:00:00"/>
    <x v="1"/>
    <s v="Asia"/>
    <x v="7"/>
    <s v="Osaka"/>
    <s v="Osaka"/>
    <s v="Corporate"/>
    <s v="Retail"/>
    <s v="Retail"/>
    <s v="H. Kim"/>
    <s v="H. Kim"/>
    <s v="Accessories"/>
    <s v="Medium"/>
    <s v="ACC-1249"/>
    <s v="A"/>
    <n v="653.6"/>
    <n v="842.09"/>
    <n v="842.09"/>
    <n v="9.8000000000000004E-2"/>
    <n v="9.8000000000000004E-2"/>
    <s v="Low"/>
    <n v="19"/>
    <n v="14431.738420000001"/>
    <n v="12418.4"/>
    <n v="2013.3384200000019"/>
    <n v="0.13950768517324622"/>
  </r>
  <r>
    <s v="ORD-2024-347736"/>
    <d v="2024-05-22T00:00:00"/>
    <d v="2024-05-22T00:00:00"/>
    <d v="2024-06-06T00:00:00"/>
    <d v="2024-06-06T00:00:00"/>
    <n v="15"/>
    <s v="Not Met"/>
    <s v="05-2024"/>
    <s v="Q2-2024"/>
    <d v="2023-03-03T00:00:00"/>
    <x v="1"/>
    <s v="Asia"/>
    <x v="7"/>
    <s v="Nagoya"/>
    <s v="Nagoya"/>
    <s v="Corporate"/>
    <s v="Distributor"/>
    <s v="Distributor"/>
    <s v="C. Otieno"/>
    <s v="C. Otieno"/>
    <s v="Monitors"/>
    <s v="Medium"/>
    <s v="MON-6870"/>
    <s v="A"/>
    <n v="673.88"/>
    <n v="1228.01"/>
    <n v="1228.01"/>
    <n v="0.105"/>
    <n v="0.105"/>
    <s v="Low"/>
    <n v="13"/>
    <n v="14287.896349999999"/>
    <n v="8760.44"/>
    <n v="5527.4563499999986"/>
    <n v="0.38686285332689996"/>
  </r>
  <r>
    <s v="ORD-2023-946143"/>
    <d v="2023-03-14T00:00:00"/>
    <d v="2023-03-14T00:00:00"/>
    <d v="2023-03-30T00:00:00"/>
    <d v="2023-03-30T00:00:00"/>
    <n v="16"/>
    <s v="Not Met"/>
    <s v="03-2023"/>
    <s v="Q1-2023"/>
    <d v="2023-01-07T00:00:00"/>
    <x v="0"/>
    <s v="Africa"/>
    <x v="8"/>
    <s v="Cape Town"/>
    <s v="Cape Town"/>
    <s v="Consumer"/>
    <s v="Distributor"/>
    <s v="Distributor"/>
    <s v="K. Singh"/>
    <s v="K. Singh"/>
    <s v="Components"/>
    <s v="Medium"/>
    <s v="CMP-8230"/>
    <s v="A"/>
    <n v="1309.77"/>
    <n v="1589.07"/>
    <n v="1589.07"/>
    <n v="0.10199999999999999"/>
    <n v="0.10199999999999999"/>
    <s v="Low"/>
    <n v="10"/>
    <n v="14269.848599999999"/>
    <n v="13097.7"/>
    <n v="1172.1485999999986"/>
    <n v="8.2141628328137886E-2"/>
  </r>
  <r>
    <s v="ORD-2023-728177"/>
    <d v="2023-12-18T00:00:00"/>
    <d v="2023-12-18T00:00:00"/>
    <d v="2024-01-14T00:00:00"/>
    <d v="2024-01-14T00:00:00"/>
    <n v="27"/>
    <s v="Not Met"/>
    <s v="12-2023"/>
    <s v="Q4-2023"/>
    <d v="2023-01-29T00:00:00"/>
    <x v="0"/>
    <s v="Asia"/>
    <x v="3"/>
    <s v="Mumbai"/>
    <s v="Mumbai"/>
    <s v="Consumer"/>
    <s v="Distributor"/>
    <s v="Distributor"/>
    <s v="D. Smith"/>
    <s v="D. Smith"/>
    <s v="Networking"/>
    <s v="High"/>
    <s v="NET-6014"/>
    <s v="A"/>
    <n v="1408.3"/>
    <n v="2193.13"/>
    <n v="2193.13"/>
    <n v="7.0999999999999994E-2"/>
    <n v="7.0999999999999994E-2"/>
    <s v="Low"/>
    <n v="7"/>
    <n v="14261.92439"/>
    <n v="9858.1"/>
    <n v="4403.8243899999998"/>
    <n v="0.30878191957656281"/>
  </r>
  <r>
    <s v="ORD-2024-594592"/>
    <d v="2024-04-06T00:00:00"/>
    <d v="2024-04-06T00:00:00"/>
    <d v="2024-04-25T00:00:00"/>
    <d v="2024-04-25T00:00:00"/>
    <n v="19"/>
    <s v="Not Met"/>
    <s v="04-2024"/>
    <s v="Q2-2024"/>
    <d v="2023-01-12T00:00:00"/>
    <x v="0"/>
    <s v="Asia"/>
    <x v="10"/>
    <s v="Shanghai"/>
    <s v="Shanghai"/>
    <s v="Corporate"/>
    <s v="Retail"/>
    <s v="Retail"/>
    <s v="K. Singh"/>
    <s v="K. Singh"/>
    <s v="Components"/>
    <s v="High"/>
    <s v="CMP-8196"/>
    <s v="A"/>
    <n v="1366.48"/>
    <n v="1678.14"/>
    <n v="1678.14"/>
    <n v="0.154"/>
    <n v="0.154"/>
    <s v="Low"/>
    <n v="10"/>
    <n v="14197.064400000001"/>
    <n v="13664.8"/>
    <n v="532.26440000000184"/>
    <n v="3.7491159087790132E-2"/>
  </r>
  <r>
    <s v="ORD-2023-453699"/>
    <d v="2023-07-01T00:00:00"/>
    <d v="2023-07-01T00:00:00"/>
    <d v="2023-07-08T00:00:00"/>
    <d v="2023-07-08T00:00:00"/>
    <n v="7"/>
    <s v="Met"/>
    <s v="07-2023"/>
    <s v="Q3-2023"/>
    <d v="2023-01-21T00:00:00"/>
    <x v="0"/>
    <s v="Europe"/>
    <x v="4"/>
    <s v="Frankfurt"/>
    <s v="Frankfurt"/>
    <s v="Small Business"/>
    <s v="Distributor"/>
    <s v="Distributor"/>
    <s v="N. Brown"/>
    <s v="N. Brown"/>
    <s v="Laptops"/>
    <s v="Medium"/>
    <s v="LAP-4666"/>
    <s v="A"/>
    <n v="460.21"/>
    <n v="1139.1500000000001"/>
    <n v="1139.1500000000001"/>
    <n v="0.115"/>
    <n v="0.115"/>
    <s v="Low"/>
    <n v="14"/>
    <n v="14114.068500000001"/>
    <n v="6442.94"/>
    <n v="7671.1285000000016"/>
    <n v="0.54350937151821255"/>
  </r>
  <r>
    <s v="ORD-2023-619385"/>
    <d v="2023-09-30T00:00:00"/>
    <d v="2023-09-30T00:00:00"/>
    <d v="2023-10-03T00:00:00"/>
    <d v="2023-10-03T00:00:00"/>
    <n v="3"/>
    <s v="Met"/>
    <s v="09-2023"/>
    <s v="Q3-2023"/>
    <d v="2023-01-12T00:00:00"/>
    <x v="0"/>
    <s v="Asia"/>
    <x v="10"/>
    <s v="Beijing"/>
    <s v="Beijing"/>
    <s v="Non-Profit"/>
    <s v="Retail"/>
    <s v="Retail"/>
    <s v="J. Njeri"/>
    <s v="J. Njeri"/>
    <s v="Laptops"/>
    <s v="Medium"/>
    <s v="LAP-5763"/>
    <s v="A"/>
    <n v="1019.36"/>
    <n v="972.91"/>
    <n v="972.91"/>
    <n v="0.14699999999999999"/>
    <n v="0.14699999999999999"/>
    <s v="Low"/>
    <n v="17"/>
    <n v="14108.16791"/>
    <n v="17329.12"/>
    <n v="3220.9520899999989"/>
    <n v="0.22830406545678819"/>
  </r>
  <r>
    <s v="ORD-2023-249805"/>
    <d v="2023-12-22T00:00:00"/>
    <d v="2023-12-22T00:00:00"/>
    <d v="2024-01-16T00:00:00"/>
    <d v="2024-01-16T00:00:00"/>
    <n v="25"/>
    <s v="Not Met"/>
    <s v="12-2023"/>
    <s v="Q4-2023"/>
    <d v="2023-01-29T00:00:00"/>
    <x v="0"/>
    <s v="Asia"/>
    <x v="3"/>
    <s v="Hyderabad"/>
    <s v="Hyderabad"/>
    <s v="Small Business"/>
    <s v="Retail"/>
    <s v="Retail"/>
    <s v="A. Patel"/>
    <s v="A. Patel"/>
    <s v="Components"/>
    <s v="Medium"/>
    <s v="CMP-1555"/>
    <s v="A"/>
    <n v="1346.81"/>
    <n v="978.09"/>
    <n v="978.09"/>
    <n v="0.159"/>
    <n v="0.159"/>
    <s v="Low"/>
    <n v="17"/>
    <n v="13983.752729999998"/>
    <n v="22895.77"/>
    <n v="8912.0172700000021"/>
    <n v="0.6373122753293996"/>
  </r>
  <r>
    <s v="ORD-2023-713614"/>
    <d v="2023-08-02T00:00:00"/>
    <d v="2023-08-02T00:00:00"/>
    <d v="2023-08-19T00:00:00"/>
    <d v="2023-08-19T00:00:00"/>
    <n v="17"/>
    <s v="Not Met"/>
    <s v="08-2023"/>
    <s v="Q3-2023"/>
    <d v="2023-01-02T00:00:00"/>
    <x v="0"/>
    <s v="Americas"/>
    <x v="0"/>
    <s v="Vancouver"/>
    <s v="Vancouver"/>
    <s v="Corporate"/>
    <s v="Online"/>
    <s v="Online"/>
    <s v="F. Müller"/>
    <s v="F. Müller"/>
    <s v="Networking"/>
    <s v="Low"/>
    <s v="NET-3689"/>
    <s v="A"/>
    <n v="175.38"/>
    <n v="347.9"/>
    <n v="347.9"/>
    <n v="7.1999999999999995E-2"/>
    <n v="7.1999999999999995E-2"/>
    <s v="Low"/>
    <n v="43"/>
    <n v="13882.6016"/>
    <n v="7541.34"/>
    <n v="6341.2615999999998"/>
    <n v="0.45677761148169804"/>
  </r>
  <r>
    <s v="ORD-2023-107265"/>
    <d v="2023-04-22T00:00:00"/>
    <d v="2023-04-22T00:00:00"/>
    <d v="2023-05-14T00:00:00"/>
    <d v="2023-05-14T00:00:00"/>
    <n v="22"/>
    <s v="Not Met"/>
    <s v="04-2023"/>
    <s v="Q2-2023"/>
    <d v="2023-03-03T00:00:00"/>
    <x v="1"/>
    <s v="Asia"/>
    <x v="7"/>
    <s v="Nagoya"/>
    <s v="Nagoya"/>
    <s v="Enterprise"/>
    <s v="Retail"/>
    <s v="Retail"/>
    <s v="A. Patel"/>
    <s v="A. Patel"/>
    <s v="Accessories"/>
    <s v="Medium"/>
    <s v="ACC-7713"/>
    <s v="A"/>
    <n v="1209.22"/>
    <n v="1404.33"/>
    <n v="1404.33"/>
    <n v="0.10299999999999999"/>
    <n v="0.10299999999999999"/>
    <s v="Low"/>
    <n v="11"/>
    <n v="13856.52411"/>
    <n v="13301.42"/>
    <n v="555.10411000000022"/>
    <n v="4.0060848275751328E-2"/>
  </r>
  <r>
    <s v="ORD-2023-132101"/>
    <d v="2023-09-25T00:00:00"/>
    <d v="2023-09-25T00:00:00"/>
    <d v="2023-10-09T00:00:00"/>
    <d v="2023-10-09T00:00:00"/>
    <n v="14"/>
    <s v="Not Met"/>
    <s v="09-2023"/>
    <s v="Q3-2023"/>
    <d v="2023-01-13T00:00:00"/>
    <x v="0"/>
    <s v="Americas"/>
    <x v="6"/>
    <s v="New York"/>
    <s v="New York"/>
    <s v="Small Business"/>
    <s v="Marketplace"/>
    <s v="Marketplace"/>
    <s v="J. Njeri"/>
    <s v="J. Njeri"/>
    <s v="Laptops"/>
    <s v="High"/>
    <s v="LAP-6750"/>
    <s v="A"/>
    <n v="1279.56"/>
    <n v="3083.8"/>
    <n v="3083.8"/>
    <n v="0.106"/>
    <n v="0.106"/>
    <s v="Low"/>
    <n v="5"/>
    <n v="13784.586000000001"/>
    <n v="6397.7999999999993"/>
    <n v="7386.7860000000019"/>
    <n v="0.53587289455047848"/>
  </r>
  <r>
    <s v="ORD-2025-662997"/>
    <d v="2025-03-31T00:00:00"/>
    <d v="2025-03-31T00:00:00"/>
    <d v="2025-04-04T00:00:00"/>
    <d v="2025-04-04T00:00:00"/>
    <n v="4"/>
    <s v="Met"/>
    <s v="03-2025"/>
    <s v="Q1-2025"/>
    <d v="2023-01-20T00:00:00"/>
    <x v="0"/>
    <s v="Africa"/>
    <x v="5"/>
    <s v="Nakuru"/>
    <s v="Nakuru"/>
    <s v="Corporate"/>
    <s v="Direct"/>
    <s v="Direct"/>
    <s v="C. Otieno"/>
    <s v="C. Otieno"/>
    <s v="Laptops"/>
    <s v="High"/>
    <s v="LAP-7136"/>
    <s v="A"/>
    <n v="862.08"/>
    <n v="1952.83"/>
    <n v="1952.83"/>
    <n v="0"/>
    <n v="0"/>
    <s v="Low"/>
    <n v="7"/>
    <n v="13669.81"/>
    <n v="6034.56"/>
    <n v="7635.2499999999991"/>
    <n v="0.5585483631447693"/>
  </r>
  <r>
    <s v="ORD-2023-573146"/>
    <d v="2023-12-01T00:00:00"/>
    <d v="2023-12-01T00:00:00"/>
    <d v="2023-12-18T00:00:00"/>
    <d v="2023-12-18T00:00:00"/>
    <n v="17"/>
    <s v="Not Met"/>
    <s v="12-2023"/>
    <s v="Q4-2023"/>
    <d v="2023-03-03T00:00:00"/>
    <x v="1"/>
    <s v="Asia"/>
    <x v="7"/>
    <s v="Nagoya"/>
    <s v="Nagoya"/>
    <s v="Small Business"/>
    <s v="Direct"/>
    <s v="Direct"/>
    <s v="N. Brown"/>
    <s v="N. Brown"/>
    <s v="Laptops"/>
    <s v="High"/>
    <s v="LAP-3604"/>
    <s v="A"/>
    <n v="1495.79"/>
    <n v="2783.12"/>
    <n v="2783.12"/>
    <n v="0.02"/>
    <n v="0.02"/>
    <s v="Low"/>
    <n v="5"/>
    <n v="13637.287999999999"/>
    <n v="7478.95"/>
    <n v="6158.3379999999988"/>
    <n v="0.45158084217331185"/>
  </r>
  <r>
    <s v="ORD-2025-762212"/>
    <d v="2025-08-25T00:00:00"/>
    <d v="2025-08-25T00:00:00"/>
    <d v="2025-09-24T00:00:00"/>
    <d v="2025-09-24T00:00:00"/>
    <n v="30"/>
    <s v="Not Met"/>
    <s v="08-2025"/>
    <s v="Q3-2025"/>
    <d v="2023-01-20T00:00:00"/>
    <x v="0"/>
    <s v="Africa"/>
    <x v="5"/>
    <s v="Nairobi"/>
    <s v="Nairobi"/>
    <s v="Consumer"/>
    <s v="Direct"/>
    <s v="Direct"/>
    <s v="B. Chen"/>
    <s v="B. Chen"/>
    <s v="Components"/>
    <s v="Medium"/>
    <s v="CMP-4970"/>
    <s v="A"/>
    <n v="589.14"/>
    <n v="1300.58"/>
    <n v="1300.58"/>
    <n v="5.5E-2"/>
    <n v="5.5E-2"/>
    <s v="Low"/>
    <n v="11"/>
    <n v="13519.529099999998"/>
    <n v="6480.54"/>
    <n v="7038.989099999998"/>
    <n v="0.52065342275863724"/>
  </r>
  <r>
    <s v="ORD-2024-811752"/>
    <d v="2024-02-25T00:00:00"/>
    <d v="2024-02-25T00:00:00"/>
    <d v="2024-03-09T00:00:00"/>
    <d v="2024-03-09T00:00:00"/>
    <n v="13"/>
    <s v="Not Met"/>
    <s v="02-2024"/>
    <s v="Q1-2024"/>
    <d v="2023-01-10T00:00:00"/>
    <x v="0"/>
    <s v="Europe"/>
    <x v="11"/>
    <s v="Marseille"/>
    <s v="Marseille"/>
    <s v="Small Business"/>
    <s v="Distributor"/>
    <s v="Distributor"/>
    <s v="E. Garcia"/>
    <s v="E. Garcia"/>
    <s v="Monitors"/>
    <s v="Low"/>
    <s v="MON-3350"/>
    <s v="B"/>
    <n v="322.44"/>
    <n v="395.61"/>
    <n v="395.61"/>
    <n v="0"/>
    <n v="0"/>
    <s v="Low"/>
    <n v="34"/>
    <n v="13450.74"/>
    <n v="10962.96"/>
    <n v="2487.7800000000007"/>
    <n v="0.18495487980586947"/>
  </r>
  <r>
    <s v="ORD-2023-854471"/>
    <d v="2023-03-06T00:00:00"/>
    <d v="2023-03-06T00:00:00"/>
    <d v="2023-04-04T00:00:00"/>
    <d v="2023-04-04T00:00:00"/>
    <n v="29"/>
    <s v="Not Met"/>
    <s v="03-2023"/>
    <s v="Q1-2023"/>
    <d v="2023-01-12T00:00:00"/>
    <x v="0"/>
    <s v="Asia"/>
    <x v="10"/>
    <s v="Beijing"/>
    <s v="Beijing"/>
    <s v="Small Business"/>
    <s v="Direct"/>
    <s v="Direct"/>
    <s v="C. Otieno"/>
    <s v="C. Otieno"/>
    <s v="Monitors"/>
    <s v="High"/>
    <s v="MON-2073"/>
    <s v="B"/>
    <n v="1126.29"/>
    <n v="2050.87"/>
    <n v="2050.87"/>
    <n v="6.4000000000000001E-2"/>
    <n v="6.4000000000000001E-2"/>
    <s v="Low"/>
    <n v="7"/>
    <n v="13437.300239999999"/>
    <n v="7884.03"/>
    <n v="5553.2702399999989"/>
    <n v="0.41327276616690373"/>
  </r>
  <r>
    <s v="ORD-2025-685236"/>
    <d v="2025-03-14T00:00:00"/>
    <d v="2025-03-14T00:00:00"/>
    <d v="2025-03-29T00:00:00"/>
    <d v="2025-03-29T00:00:00"/>
    <n v="15"/>
    <s v="Not Met"/>
    <s v="03-2025"/>
    <s v="Q1-2025"/>
    <d v="2023-03-03T00:00:00"/>
    <x v="1"/>
    <s v="Asia"/>
    <x v="7"/>
    <s v="Tokyo"/>
    <s v="Tokyo"/>
    <s v="Non-Profit"/>
    <s v="Direct"/>
    <s v="Direct"/>
    <s v="H. Kim"/>
    <s v="H. Kim"/>
    <s v="Networking"/>
    <s v="High"/>
    <s v="NET-8430"/>
    <s v="B"/>
    <n v="1106.96"/>
    <n v="2726.62"/>
    <n v="2726.62"/>
    <n v="0.317"/>
    <n v="0.3"/>
    <s v="High"/>
    <n v="7"/>
    <n v="13360.438"/>
    <n v="7748.72"/>
    <n v="5611.7179999999998"/>
    <n v="0.42002500217432992"/>
  </r>
  <r>
    <s v="ORD-2024-211453"/>
    <d v="2024-04-04T00:00:00"/>
    <d v="2024-04-04T00:00:00"/>
    <d v="2024-04-24T00:00:00"/>
    <d v="2024-04-24T00:00:00"/>
    <n v="20"/>
    <s v="Not Met"/>
    <s v="04-2024"/>
    <s v="Q2-2024"/>
    <d v="2023-01-21T00:00:00"/>
    <x v="0"/>
    <s v="Europe"/>
    <x v="4"/>
    <s v="Frankfurt"/>
    <s v="Frankfurt"/>
    <s v="Non-Profit"/>
    <s v="Direct"/>
    <s v="Direct"/>
    <s v="O. Wang"/>
    <s v="O. Wang"/>
    <s v="Accessories"/>
    <s v="Medium"/>
    <s v="ACC-6543"/>
    <s v="B"/>
    <n v="683.42"/>
    <n v="951.51"/>
    <n v="951.51"/>
    <n v="0"/>
    <n v="0"/>
    <s v="Low"/>
    <n v="14"/>
    <n v="13321.14"/>
    <n v="9567.8799999999992"/>
    <n v="3753.26"/>
    <n v="0.28175216235247136"/>
  </r>
  <r>
    <s v="ORD-2024-872291"/>
    <d v="2024-01-08T00:00:00"/>
    <d v="2024-01-08T00:00:00"/>
    <d v="2024-01-12T00:00:00"/>
    <d v="2024-01-12T00:00:00"/>
    <n v="4"/>
    <s v="Met"/>
    <s v="01-2024"/>
    <s v="Q1-2024"/>
    <d v="2023-01-29T00:00:00"/>
    <x v="0"/>
    <s v="Asia"/>
    <x v="3"/>
    <s v="Bengaluru"/>
    <s v="Bengaluru"/>
    <s v="Corporate"/>
    <s v="Direct"/>
    <s v="Direct"/>
    <s v="E. Garcia"/>
    <s v="E. Garcia"/>
    <s v="Printers"/>
    <s v="Low"/>
    <s v="PRN-6585"/>
    <s v="B"/>
    <n v="802.32"/>
    <n v="602.34"/>
    <n v="602.34"/>
    <n v="0.12"/>
    <n v="0.12"/>
    <s v="Low"/>
    <n v="25"/>
    <n v="13251.48"/>
    <n v="20058"/>
    <n v="6806.52"/>
    <n v="0.51364224977134632"/>
  </r>
  <r>
    <s v="ORD-2024-629525"/>
    <d v="2024-04-18T00:00:00"/>
    <d v="2024-04-18T00:00:00"/>
    <d v="2024-05-08T00:00:00"/>
    <d v="2024-05-08T00:00:00"/>
    <n v="20"/>
    <s v="Not Met"/>
    <s v="04-2024"/>
    <s v="Q2-2024"/>
    <d v="2023-01-19T00:00:00"/>
    <x v="0"/>
    <s v="Europe"/>
    <x v="1"/>
    <s v="London"/>
    <s v="London"/>
    <s v="Non-Profit"/>
    <m/>
    <s v="Retail"/>
    <s v="D. Smith"/>
    <s v="D. Smith"/>
    <s v="Laptops"/>
    <s v="Medium"/>
    <s v="LAP-9932"/>
    <s v="B"/>
    <n v="645.33000000000004"/>
    <n v="1321.85"/>
    <n v="1321.85"/>
    <n v="0"/>
    <n v="0"/>
    <s v="Low"/>
    <n v="10"/>
    <n v="13218.5"/>
    <n v="6453.3"/>
    <n v="6765.2"/>
    <n v="0.51179785906116426"/>
  </r>
  <r>
    <s v="ORD-2025-588029"/>
    <d v="2025-09-14T00:00:00"/>
    <d v="2025-09-14T00:00:00"/>
    <d v="2025-09-23T00:00:00"/>
    <d v="2025-09-23T00:00:00"/>
    <n v="9"/>
    <s v="Not Met"/>
    <s v="09-2025"/>
    <s v="Q3-2025"/>
    <d v="2023-01-07T00:00:00"/>
    <x v="0"/>
    <s v="Africa"/>
    <x v="8"/>
    <s v="Durban"/>
    <s v="Durban"/>
    <s v="Non-Profit"/>
    <s v="Online"/>
    <s v="Online"/>
    <s v="D. Smith"/>
    <s v="D. Smith"/>
    <s v="Components"/>
    <s v="High"/>
    <s v="CMP-6898"/>
    <s v="B"/>
    <n v="1310.3"/>
    <n v="2875.8"/>
    <n v="2875.8"/>
    <n v="8.3000000000000004E-2"/>
    <n v="8.3000000000000004E-2"/>
    <s v="Low"/>
    <n v="5"/>
    <n v="13185.543"/>
    <n v="6551.5"/>
    <n v="6634.0429999999997"/>
    <n v="0.50313005691157353"/>
  </r>
  <r>
    <s v="ORD-2023-841426"/>
    <d v="2023-12-22T00:00:00"/>
    <d v="2023-12-22T00:00:00"/>
    <d v="2023-12-23T00:00:00"/>
    <d v="2023-12-23T00:00:00"/>
    <n v="1"/>
    <s v="Met"/>
    <s v="12-2023"/>
    <s v="Q4-2023"/>
    <d v="2023-01-07T00:00:00"/>
    <x v="0"/>
    <s v="Africa"/>
    <x v="8"/>
    <s v="Cape Town"/>
    <s v="Cape Town"/>
    <s v="Non-Profit"/>
    <s v="Marketplace"/>
    <s v="Marketplace"/>
    <s v="D. Smith"/>
    <s v="D. Smith"/>
    <s v="Components"/>
    <s v="Medium"/>
    <s v="CMP-4531"/>
    <s v="B"/>
    <n v="1186.18"/>
    <n v="1285.0899999999999"/>
    <n v="1285.0899999999999"/>
    <n v="7.0000000000000007E-2"/>
    <n v="7.0000000000000007E-2"/>
    <s v="Low"/>
    <n v="11"/>
    <n v="13146.470699999998"/>
    <n v="13047.980000000001"/>
    <n v="98.49069999999665"/>
    <n v="7.4917977796121861E-3"/>
  </r>
  <r>
    <s v="ORD-2024-555229"/>
    <d v="2024-05-18T00:00:00"/>
    <d v="2024-05-18T00:00:00"/>
    <d v="2024-05-22T00:00:00"/>
    <d v="2024-05-22T00:00:00"/>
    <n v="4"/>
    <s v="Met"/>
    <s v="05-2024"/>
    <s v="Q2-2024"/>
    <d v="2023-01-20T00:00:00"/>
    <x v="0"/>
    <s v="Africa"/>
    <x v="5"/>
    <s v="Nairobi"/>
    <s v="Nairobi"/>
    <s v="Corporate"/>
    <s v="Direct"/>
    <s v="Direct"/>
    <s v="H. Kim"/>
    <s v="H. Kim"/>
    <s v="Accessories"/>
    <s v="High"/>
    <s v="ACC-7354"/>
    <s v="B"/>
    <n v="857.42"/>
    <n v="1658.92"/>
    <n v="1658.92"/>
    <n v="0.122"/>
    <n v="0.122"/>
    <s v="Low"/>
    <n v="9"/>
    <n v="13108.78584"/>
    <n v="7716.78"/>
    <n v="5392.0058400000007"/>
    <n v="0.41132763215544305"/>
  </r>
  <r>
    <s v="ORD-2024-972999"/>
    <d v="2024-09-06T00:00:00"/>
    <d v="2024-09-06T00:00:00"/>
    <d v="2024-10-04T00:00:00"/>
    <d v="2024-10-04T00:00:00"/>
    <n v="28"/>
    <s v="Not Met"/>
    <s v="09-2024"/>
    <s v="Q3-2024"/>
    <d v="2023-01-07T00:00:00"/>
    <x v="0"/>
    <s v="Africa"/>
    <x v="8"/>
    <s v="Cape Town"/>
    <s v="Cape Town"/>
    <s v="Corporate"/>
    <s v="Marketplace"/>
    <s v="Marketplace"/>
    <s v="D. Smith"/>
    <s v="D. Smith"/>
    <s v="Monitors"/>
    <s v="High"/>
    <s v="MON-3504"/>
    <s v="B"/>
    <n v="1174.17"/>
    <n v="1641.61"/>
    <n v="1641.61"/>
    <n v="0.122"/>
    <n v="0.122"/>
    <s v="Low"/>
    <n v="9"/>
    <n v="12972.00222"/>
    <n v="10567.53"/>
    <n v="2404.4722199999997"/>
    <n v="0.18535860380079394"/>
  </r>
  <r>
    <s v="ORD-2024-837651"/>
    <d v="2024-12-10T00:00:00"/>
    <d v="2024-12-10T00:00:00"/>
    <d v="2024-12-19T00:00:00"/>
    <d v="2024-12-19T00:00:00"/>
    <n v="9"/>
    <s v="Not Met"/>
    <s v="12-2024"/>
    <s v="Q4-2024"/>
    <d v="2023-01-13T00:00:00"/>
    <x v="0"/>
    <s v="Africa"/>
    <x v="2"/>
    <s v="Lagos"/>
    <s v="Lagos"/>
    <s v="Corporate"/>
    <s v="Retail"/>
    <s v="Retail"/>
    <s v="O. Wang"/>
    <s v="O. Wang"/>
    <s v="Monitors"/>
    <s v="Medium"/>
    <s v="MON-4789"/>
    <s v="B"/>
    <n v="488.68"/>
    <n v="984.36"/>
    <n v="984.36"/>
    <n v="5.8999999999999997E-2"/>
    <n v="5.8999999999999997E-2"/>
    <s v="Low"/>
    <n v="14"/>
    <n v="12967.958640000001"/>
    <n v="6841.52"/>
    <n v="6126.4386400000003"/>
    <n v="0.47242891576649876"/>
  </r>
  <r>
    <s v="ORD-2024-381197"/>
    <d v="2024-11-01T00:00:00"/>
    <d v="2024-11-01T00:00:00"/>
    <d v="2024-11-12T00:00:00"/>
    <d v="2024-11-12T00:00:00"/>
    <n v="11"/>
    <s v="Not Met"/>
    <s v="11-2024"/>
    <s v="Q4-2024"/>
    <d v="2023-01-21T00:00:00"/>
    <x v="0"/>
    <s v="Europe"/>
    <x v="4"/>
    <s v="Frankfurt"/>
    <s v="Frankfurt"/>
    <s v="Consumer"/>
    <s v="Online"/>
    <s v="Online"/>
    <s v="B. Chen"/>
    <s v="B. Chen"/>
    <s v="Printers"/>
    <s v="Medium"/>
    <s v="PRN-2409"/>
    <s v="B"/>
    <n v="599.84"/>
    <n v="1330.85"/>
    <n v="1330.85"/>
    <n v="0.115"/>
    <n v="0.115"/>
    <s v="Low"/>
    <n v="11"/>
    <n v="12955.824749999998"/>
    <n v="6598.2400000000007"/>
    <n v="6357.5847499999973"/>
    <n v="0.49071246892252063"/>
  </r>
  <r>
    <s v="ORD-2023-825495"/>
    <d v="2023-11-30T00:00:00"/>
    <d v="2023-11-29T00:00:00"/>
    <d v="2023-11-29T00:00:00"/>
    <d v="2023-11-30T00:00:00"/>
    <n v="1"/>
    <s v="Met"/>
    <s v="11-2023"/>
    <s v="Q4-2023"/>
    <d v="2023-01-07T00:00:00"/>
    <x v="0"/>
    <s v="Africa"/>
    <x v="8"/>
    <s v="Durban"/>
    <s v="Durban"/>
    <s v="Small Business"/>
    <s v="Marketplace"/>
    <s v="Marketplace"/>
    <s v="E. Garcia"/>
    <s v="E. Garcia"/>
    <s v="Laptops"/>
    <s v="Low"/>
    <s v="LAP-1525"/>
    <s v="B"/>
    <n v="275.56"/>
    <n v="630.72"/>
    <n v="630.72"/>
    <n v="0.107"/>
    <n v="0.107"/>
    <s v="Low"/>
    <n v="23"/>
    <n v="12954.358080000002"/>
    <n v="6337.88"/>
    <n v="6616.4780800000017"/>
    <n v="0.5107530638831933"/>
  </r>
  <r>
    <s v="ORD-2025-822030"/>
    <d v="2025-08-07T00:00:00"/>
    <d v="2025-08-07T00:00:00"/>
    <d v="2025-09-06T00:00:00"/>
    <d v="2025-09-06T00:00:00"/>
    <n v="30"/>
    <s v="Not Met"/>
    <s v="08-2025"/>
    <s v="Q3-2025"/>
    <d v="2023-01-02T00:00:00"/>
    <x v="0"/>
    <s v="Americas"/>
    <x v="0"/>
    <s v="Montreal"/>
    <s v="Montreal"/>
    <s v="Education"/>
    <s v="Direct"/>
    <s v="Direct"/>
    <s v="M. Rossi"/>
    <s v="M. Rossi"/>
    <s v="Networking"/>
    <s v="Medium"/>
    <s v="NET-1336"/>
    <s v="B"/>
    <n v="833.73"/>
    <n v="1116.5999999999999"/>
    <n v="1116.5999999999999"/>
    <n v="0.17599999999999999"/>
    <n v="0.17599999999999999"/>
    <s v="Low"/>
    <n v="14"/>
    <n v="12881.097599999999"/>
    <n v="11672.220000000001"/>
    <n v="1208.877599999998"/>
    <n v="9.3848958958279924E-2"/>
  </r>
  <r>
    <s v="ORD-2023-455933"/>
    <d v="2023-11-19T00:00:00"/>
    <d v="2023-11-19T00:00:00"/>
    <d v="2023-12-19T00:00:00"/>
    <d v="2023-12-19T00:00:00"/>
    <n v="30"/>
    <s v="Not Met"/>
    <s v="11-2023"/>
    <s v="Q4-2023"/>
    <d v="2023-03-03T00:00:00"/>
    <x v="1"/>
    <s v="Asia"/>
    <x v="7"/>
    <s v="Nagoya"/>
    <s v="Nagoya"/>
    <s v="Consumer"/>
    <s v="Retail"/>
    <s v="Retail"/>
    <m/>
    <s v="K. Singh"/>
    <s v="Phones"/>
    <s v="High"/>
    <s v="PHN-9184"/>
    <s v="B"/>
    <n v="807.11"/>
    <n v="1853.86"/>
    <n v="1853.86"/>
    <n v="0.13900000000000001"/>
    <n v="0.13900000000000001"/>
    <s v="Low"/>
    <n v="8"/>
    <n v="12769.38768"/>
    <n v="6456.88"/>
    <n v="6312.5076799999997"/>
    <n v="0.49434693645388639"/>
  </r>
  <r>
    <s v="ORD-2023-386663"/>
    <d v="2023-06-05T00:00:00"/>
    <d v="2023-06-05T00:00:00"/>
    <d v="2023-06-28T00:00:00"/>
    <d v="2023-06-28T00:00:00"/>
    <n v="23"/>
    <s v="Not Met"/>
    <s v="06-2023"/>
    <s v="Q2-2023"/>
    <d v="2023-01-19T00:00:00"/>
    <x v="0"/>
    <s v="Europe"/>
    <x v="1"/>
    <s v="Birmingham"/>
    <s v="Birmingham"/>
    <s v="Corporate"/>
    <s v="Direct"/>
    <s v="Direct"/>
    <s v="K. Singh"/>
    <s v="K. Singh"/>
    <s v="Printers"/>
    <s v="Low"/>
    <s v="PRN-3690"/>
    <s v="B"/>
    <n v="605.82000000000005"/>
    <n v="771.12"/>
    <n v="771.12"/>
    <n v="0.13200000000000001"/>
    <n v="0.13200000000000001"/>
    <s v="Low"/>
    <n v="19"/>
    <n v="12717.311040000001"/>
    <n v="11510.580000000002"/>
    <n v="1206.7310399999988"/>
    <n v="9.4888851597986767E-2"/>
  </r>
  <r>
    <s v="ORD-2025-939953"/>
    <d v="2025-01-22T00:00:00"/>
    <d v="2025-01-22T00:00:00"/>
    <d v="2025-01-22T00:00:00"/>
    <d v="2025-01-22T00:00:00"/>
    <n v="0"/>
    <s v="Met"/>
    <s v="01-2025"/>
    <s v="Q1-2025"/>
    <d v="2023-01-10T00:00:00"/>
    <x v="0"/>
    <s v="Europe"/>
    <x v="11"/>
    <s v="Lyon"/>
    <s v="Lyon"/>
    <s v="Small Business"/>
    <s v="Online"/>
    <s v="Online"/>
    <s v="B. Chen"/>
    <s v="B. Chen"/>
    <s v="Accessories"/>
    <s v="Low"/>
    <s v="ACC-5422"/>
    <s v="B"/>
    <n v="591.72"/>
    <n v="577.24"/>
    <n v="577.24"/>
    <n v="0"/>
    <n v="0"/>
    <s v="Low"/>
    <n v="22"/>
    <n v="12699.28"/>
    <n v="13017.84"/>
    <n v="318.55999999999949"/>
    <n v="2.5084886702238195E-2"/>
  </r>
  <r>
    <s v="ORD-2024-446030"/>
    <d v="2024-03-23T00:00:00"/>
    <d v="2024-03-23T00:00:00"/>
    <d v="2024-03-26T00:00:00"/>
    <d v="2024-03-26T00:00:00"/>
    <n v="3"/>
    <s v="Met"/>
    <s v="03-2024"/>
    <s v="Q1-2024"/>
    <d v="2023-01-29T00:00:00"/>
    <x v="0"/>
    <s v="Asia"/>
    <x v="3"/>
    <s v="Bengaluru"/>
    <s v="Bengaluru"/>
    <s v="Education"/>
    <s v="Direct"/>
    <s v="Direct"/>
    <s v="G. Dubois"/>
    <s v="G. Dubois"/>
    <s v="Phones"/>
    <s v="Low"/>
    <s v="PHN-4346"/>
    <s v="B"/>
    <n v="382.21"/>
    <n v="571.89"/>
    <n v="571.89"/>
    <n v="0.14799999999999999"/>
    <n v="0.14799999999999999"/>
    <s v="Low"/>
    <n v="26"/>
    <n v="12668.50728"/>
    <n v="9937.4599999999991"/>
    <n v="2731.0472800000007"/>
    <n v="0.2155776698578809"/>
  </r>
  <r>
    <s v="ORD-2025-898022"/>
    <d v="2025-09-02T00:00:00"/>
    <d v="2025-09-02T00:00:00"/>
    <d v="2025-09-11T00:00:00"/>
    <d v="2025-09-11T00:00:00"/>
    <n v="9"/>
    <s v="Not Met"/>
    <s v="09-2025"/>
    <s v="Q3-2025"/>
    <d v="2023-01-02T00:00:00"/>
    <x v="0"/>
    <s v="Americas"/>
    <x v="0"/>
    <s v="Toronto"/>
    <s v="Toronto"/>
    <s v="Corporate"/>
    <s v="Distributor"/>
    <s v="Distributor"/>
    <s v="M. Rossi"/>
    <s v="M. Rossi"/>
    <s v="Printers"/>
    <s v="Medium"/>
    <s v="PRN-1276"/>
    <s v="B"/>
    <n v="1207.6300000000001"/>
    <n v="921.68"/>
    <n v="921.68"/>
    <n v="0.19600000000000001"/>
    <n v="0.19600000000000001"/>
    <s v="Low"/>
    <n v="17"/>
    <n v="12597.52224"/>
    <n v="20529.710000000003"/>
    <n v="7932.1877600000025"/>
    <n v="0.62966253274897988"/>
  </r>
  <r>
    <s v="ORD-2023-109927"/>
    <d v="2023-07-22T00:00:00"/>
    <d v="2023-07-21T00:00:00"/>
    <d v="2023-07-21T00:00:00"/>
    <d v="2023-07-22T00:00:00"/>
    <n v="1"/>
    <s v="Met"/>
    <s v="07-2023"/>
    <s v="Q3-2023"/>
    <d v="2023-01-29T00:00:00"/>
    <x v="0"/>
    <s v="Asia"/>
    <x v="3"/>
    <s v="Delhi"/>
    <s v="Delhi"/>
    <s v="Small Business"/>
    <s v="Distributor"/>
    <s v="Distributor"/>
    <s v="E. Garcia"/>
    <s v="E. Garcia"/>
    <s v="Printers"/>
    <s v="High"/>
    <s v="PRN-2301"/>
    <s v="B"/>
    <n v="946.99"/>
    <n v="2132.19"/>
    <n v="2132.19"/>
    <n v="0.16500000000000001"/>
    <n v="0.16500000000000001"/>
    <s v="Low"/>
    <n v="7"/>
    <n v="12462.65055"/>
    <n v="6628.93"/>
    <n v="5833.72055"/>
    <n v="0.46809629513362228"/>
  </r>
  <r>
    <s v="ORD-2024-329104"/>
    <d v="2024-05-23T00:00:00"/>
    <d v="2024-05-23T00:00:00"/>
    <d v="2024-06-14T00:00:00"/>
    <d v="2024-06-14T00:00:00"/>
    <n v="22"/>
    <s v="Not Met"/>
    <s v="05-2024"/>
    <s v="Q2-2024"/>
    <d v="2023-01-10T00:00:00"/>
    <x v="0"/>
    <s v="Europe"/>
    <x v="11"/>
    <s v="Marseille"/>
    <s v="Marseille"/>
    <s v="Small Business"/>
    <s v="Online"/>
    <s v="Online"/>
    <s v="N. Brown"/>
    <s v="N. Brown"/>
    <s v="Monitors"/>
    <s v="High"/>
    <s v="MON-2100"/>
    <s v="B"/>
    <n v="1481.74"/>
    <n v="1848.97"/>
    <n v="1848.97"/>
    <n v="0.254"/>
    <n v="0.254"/>
    <s v="High"/>
    <n v="9"/>
    <n v="12413.98458"/>
    <n v="13335.66"/>
    <n v="921.67541999999958"/>
    <n v="7.4244930309072407E-2"/>
  </r>
  <r>
    <s v="ORD-2024-771210"/>
    <d v="2024-09-14T00:00:00"/>
    <d v="2024-09-14T00:00:00"/>
    <d v="2024-10-05T00:00:00"/>
    <d v="2024-10-05T00:00:00"/>
    <n v="21"/>
    <s v="Not Met"/>
    <s v="09-2024"/>
    <s v="Q3-2024"/>
    <d v="2023-01-12T00:00:00"/>
    <x v="0"/>
    <s v="Asia"/>
    <x v="10"/>
    <s v="Shanghai"/>
    <s v="Shanghai"/>
    <s v="Small Business"/>
    <s v="Online"/>
    <s v="Online"/>
    <s v="H. Kim"/>
    <s v="H. Kim"/>
    <s v="Laptops"/>
    <s v="High"/>
    <s v="LAP-5150"/>
    <s v="B"/>
    <n v="1405.56"/>
    <n v="2968.87"/>
    <n v="2968.87"/>
    <n v="0.16900000000000001"/>
    <n v="0.16900000000000001"/>
    <s v="Low"/>
    <n v="5"/>
    <n v="12335.654849999999"/>
    <n v="7027.7999999999993"/>
    <n v="5307.8548499999997"/>
    <n v="0.4302856163327235"/>
  </r>
  <r>
    <s v="ORD-2024-566589"/>
    <d v="2024-06-11T00:00:00"/>
    <d v="2024-06-11T00:00:00"/>
    <d v="2024-07-09T00:00:00"/>
    <d v="2024-07-09T00:00:00"/>
    <n v="28"/>
    <s v="Not Met"/>
    <s v="06-2024"/>
    <s v="Q2-2024"/>
    <d v="2023-01-13T00:00:00"/>
    <x v="0"/>
    <s v="Africa"/>
    <x v="2"/>
    <s v="Port Harcourt"/>
    <s v="Port Harcourt"/>
    <s v="Corporate"/>
    <s v="Marketplace"/>
    <s v="Marketplace"/>
    <s v="I. Johnson"/>
    <s v="I. Johnson"/>
    <s v="Phones"/>
    <s v="Medium"/>
    <s v="PHN-2436"/>
    <s v="B"/>
    <n v="895.54"/>
    <n v="1045"/>
    <n v="1045"/>
    <n v="0.216"/>
    <n v="0.216"/>
    <s v="High"/>
    <n v="15"/>
    <n v="12289.2"/>
    <n v="13433.099999999999"/>
    <n v="1143.8999999999978"/>
    <n v="9.3081730299775234E-2"/>
  </r>
  <r>
    <s v="ORD-2023-747341"/>
    <d v="2023-04-19T00:00:00"/>
    <d v="2023-04-19T00:00:00"/>
    <d v="2023-04-28T00:00:00"/>
    <d v="2023-04-28T00:00:00"/>
    <n v="9"/>
    <s v="Not Met"/>
    <s v="04-2023"/>
    <s v="Q2-2023"/>
    <d v="2023-01-29T00:00:00"/>
    <x v="0"/>
    <s v="Americas"/>
    <x v="9"/>
    <s v="Rio de Janeiro"/>
    <s v="Rio de Janeiro"/>
    <s v="Corporate"/>
    <s v="Distributor"/>
    <s v="Distributor"/>
    <s v="M. Rossi"/>
    <s v="M. Rossi"/>
    <s v="Phones"/>
    <s v="Medium"/>
    <s v="PHN-7132"/>
    <s v="B"/>
    <n v="1013.54"/>
    <n v="927.93"/>
    <n v="927.93"/>
    <n v="0.17499999999999999"/>
    <n v="0.17499999999999999"/>
    <s v="Low"/>
    <n v="16"/>
    <n v="12248.675999999999"/>
    <n v="16216.64"/>
    <n v="3967.9639999999999"/>
    <n v="0.32395044166406234"/>
  </r>
  <r>
    <s v="ORD-2025-480172"/>
    <d v="2025-06-17T00:00:00"/>
    <d v="2025-06-17T00:00:00"/>
    <d v="2025-07-05T00:00:00"/>
    <d v="2025-07-05T00:00:00"/>
    <n v="18"/>
    <s v="Not Met"/>
    <s v="06-2025"/>
    <s v="Q2-2025"/>
    <d v="2023-01-29T00:00:00"/>
    <x v="0"/>
    <s v="Asia"/>
    <x v="3"/>
    <s v="Delhi"/>
    <s v="Delhi"/>
    <s v="Consumer"/>
    <s v="Marketplace"/>
    <s v="Marketplace"/>
    <s v="L. Okafor"/>
    <s v="L. Okafor"/>
    <s v="Laptops"/>
    <s v="High"/>
    <s v="LAP-1990"/>
    <s v="B"/>
    <n v="982.93"/>
    <n v="2299.3000000000002"/>
    <n v="2299.3000000000002"/>
    <n v="0.113"/>
    <n v="0.113"/>
    <s v="Low"/>
    <n v="6"/>
    <n v="12236.874600000001"/>
    <n v="5897.58"/>
    <n v="6339.2946000000011"/>
    <n v="0.51804850562087157"/>
  </r>
  <r>
    <s v="ORD-2023-240507"/>
    <d v="2023-03-25T00:00:00"/>
    <d v="2023-03-25T00:00:00"/>
    <d v="2023-03-26T00:00:00"/>
    <d v="2023-03-26T00:00:00"/>
    <n v="1"/>
    <s v="Met"/>
    <s v="03-2023"/>
    <s v="Q1-2023"/>
    <d v="2023-03-03T00:00:00"/>
    <x v="1"/>
    <s v="Asia"/>
    <x v="7"/>
    <s v="Osaka"/>
    <s v="Osaka"/>
    <s v="Small Business"/>
    <s v="Distributor"/>
    <s v="Distributor"/>
    <s v="I. Johnson"/>
    <s v="I. Johnson"/>
    <s v="Monitors"/>
    <s v="Low"/>
    <s v="MON-9227"/>
    <s v="B"/>
    <n v="135.12"/>
    <n v="301.7"/>
    <n v="301.7"/>
    <n v="0.14000000000000001"/>
    <n v="0.14000000000000001"/>
    <s v="Low"/>
    <n v="47"/>
    <n v="12194.714"/>
    <n v="6350.64"/>
    <n v="5844.0739999999996"/>
    <n v="0.47923009920527859"/>
  </r>
  <r>
    <s v="ORD-2024-664046"/>
    <d v="2024-09-02T00:00:00"/>
    <d v="2024-09-02T00:00:00"/>
    <d v="2024-09-08T00:00:00"/>
    <d v="2024-09-08T00:00:00"/>
    <n v="6"/>
    <s v="Met"/>
    <s v="09-2024"/>
    <s v="Q3-2024"/>
    <d v="2023-01-13T00:00:00"/>
    <x v="0"/>
    <s v="Americas"/>
    <x v="6"/>
    <s v="Austin"/>
    <s v="Austin"/>
    <s v="Consumer"/>
    <s v="Direct"/>
    <s v="Direct"/>
    <s v="H. Kim"/>
    <s v="H. Kim"/>
    <s v="Components"/>
    <s v="Medium"/>
    <s v="CMP-7563"/>
    <s v="B"/>
    <n v="462.94"/>
    <n v="1015.7"/>
    <n v="1015.7"/>
    <n v="0.14299999999999999"/>
    <n v="0.14299999999999999"/>
    <s v="Low"/>
    <n v="14"/>
    <n v="12186.368600000002"/>
    <n v="6481.16"/>
    <n v="5705.2086000000018"/>
    <n v="0.46816314090483041"/>
  </r>
  <r>
    <s v="ORD-2023-239789"/>
    <d v="2023-12-03T00:00:00"/>
    <d v="2023-12-03T00:00:00"/>
    <d v="2023-12-26T00:00:00"/>
    <d v="2023-12-26T00:00:00"/>
    <n v="23"/>
    <s v="Not Met"/>
    <s v="12-2023"/>
    <s v="Q4-2023"/>
    <d v="2023-01-29T00:00:00"/>
    <x v="0"/>
    <s v="Americas"/>
    <x v="9"/>
    <s v="Rio de Janeiro"/>
    <s v="Rio de Janeiro"/>
    <s v="Education"/>
    <s v="Retail"/>
    <s v="Retail"/>
    <s v="O. Wang"/>
    <s v="O. Wang"/>
    <s v="Phones"/>
    <s v="Medium"/>
    <s v="PHN-4644"/>
    <s v="B"/>
    <n v="1303.1099999999999"/>
    <n v="1145.67"/>
    <n v="1145.67"/>
    <n v="0.184"/>
    <n v="0.184"/>
    <s v="Low"/>
    <n v="13"/>
    <n v="12153.267360000002"/>
    <n v="16940.43"/>
    <n v="4787.1626399999986"/>
    <n v="0.39389922875851208"/>
  </r>
  <r>
    <s v="ORD-2025-281413"/>
    <d v="2025-08-03T00:00:00"/>
    <d v="2025-08-03T00:00:00"/>
    <d v="2025-08-16T00:00:00"/>
    <d v="2025-08-16T00:00:00"/>
    <n v="13"/>
    <s v="Not Met"/>
    <s v="08-2025"/>
    <s v="Q3-2025"/>
    <d v="2023-01-02T00:00:00"/>
    <x v="0"/>
    <s v="Americas"/>
    <x v="0"/>
    <s v="Montreal"/>
    <s v="Montreal"/>
    <s v="Enterprise"/>
    <s v="Distributor"/>
    <s v="Distributor"/>
    <s v="O. Wang"/>
    <s v="O. Wang"/>
    <s v="Networking"/>
    <s v="Medium"/>
    <s v="NET-3785"/>
    <s v="B"/>
    <n v="698.66"/>
    <n v="868.62"/>
    <n v="868.62"/>
    <n v="7.1999999999999995E-2"/>
    <n v="7.1999999999999995E-2"/>
    <s v="Low"/>
    <n v="15"/>
    <n v="12091.190399999999"/>
    <n v="10479.9"/>
    <n v="1611.2903999999999"/>
    <n v="0.13326151906432637"/>
  </r>
  <r>
    <s v="ORD-2024-155337"/>
    <d v="2024-05-21T00:00:00"/>
    <d v="2024-05-21T00:00:00"/>
    <d v="2024-05-27T00:00:00"/>
    <d v="2024-05-27T00:00:00"/>
    <n v="6"/>
    <s v="Met"/>
    <s v="05-2024"/>
    <s v="Q2-2024"/>
    <d v="2023-01-07T00:00:00"/>
    <x v="0"/>
    <s v="Africa"/>
    <x v="8"/>
    <s v="Johannesburg"/>
    <s v="Johannesburg"/>
    <s v="Non-Profit"/>
    <s v="Online"/>
    <s v="Online"/>
    <s v="M. Rossi"/>
    <s v="M. Rossi"/>
    <s v="Components"/>
    <s v="Medium"/>
    <s v="CMP-8101"/>
    <s v="B"/>
    <n v="1157.51"/>
    <n v="1394.3"/>
    <n v="1394.3"/>
    <n v="0.27800000000000002"/>
    <n v="0.27800000000000002"/>
    <s v="High"/>
    <n v="12"/>
    <n v="12080.215199999999"/>
    <n v="13890.119999999999"/>
    <n v="1809.9048000000003"/>
    <n v="0.14982388724333326"/>
  </r>
  <r>
    <s v="ORD-2025-281062"/>
    <d v="2025-02-15T00:00:00"/>
    <d v="2025-02-15T00:00:00"/>
    <d v="2025-02-27T00:00:00"/>
    <d v="2025-02-27T00:00:00"/>
    <n v="12"/>
    <s v="Not Met"/>
    <s v="02-2025"/>
    <s v="Q1-2025"/>
    <d v="2023-01-10T00:00:00"/>
    <x v="0"/>
    <s v="Europe"/>
    <x v="11"/>
    <s v="Lyon"/>
    <s v="Lyon"/>
    <s v="Non-Profit"/>
    <s v="Direct"/>
    <s v="Direct"/>
    <s v="K. Singh"/>
    <s v="K. Singh"/>
    <s v="Accessories"/>
    <s v="High"/>
    <s v="ACC-1604"/>
    <s v="B"/>
    <n v="1027.26"/>
    <n v="2200.41"/>
    <n v="2200.41"/>
    <n v="8.7999999999999995E-2"/>
    <n v="8.7999999999999995E-2"/>
    <s v="Low"/>
    <n v="6"/>
    <n v="12040.64352"/>
    <n v="6163.5599999999995"/>
    <n v="5877.0835200000001"/>
    <n v="0.48810377204822358"/>
  </r>
  <r>
    <s v="ORD-2024-164288"/>
    <d v="2024-12-21T00:00:00"/>
    <d v="2024-12-21T00:00:00"/>
    <d v="2024-12-26T00:00:00"/>
    <d v="2024-12-26T00:00:00"/>
    <n v="5"/>
    <s v="Met"/>
    <s v="12-2024"/>
    <s v="Q4-2024"/>
    <d v="2023-01-13T00:00:00"/>
    <x v="0"/>
    <s v="Americas"/>
    <x v="6"/>
    <s v="San Francisco"/>
    <s v="San Francisco"/>
    <s v="Consumer"/>
    <s v="Marketplace"/>
    <s v="Marketplace"/>
    <s v="M. Rossi"/>
    <s v="M. Rossi"/>
    <s v="Printers"/>
    <s v="Low"/>
    <s v="PRN-4788"/>
    <s v="B"/>
    <n v="699.57"/>
    <n v="572.71"/>
    <n v="572.71"/>
    <n v="0.192"/>
    <n v="0.192"/>
    <s v="Low"/>
    <n v="26"/>
    <n v="12031.491680000001"/>
    <n v="18188.82"/>
    <n v="6157.3283199999987"/>
    <n v="0.51176765805651114"/>
  </r>
  <r>
    <s v="ORD-2025-718992"/>
    <d v="2025-06-24T00:00:00"/>
    <d v="2025-06-24T00:00:00"/>
    <d v="2025-07-10T00:00:00"/>
    <d v="2025-07-10T00:00:00"/>
    <n v="16"/>
    <s v="Not Met"/>
    <s v="06-2025"/>
    <s v="Q2-2025"/>
    <d v="2023-01-12T00:00:00"/>
    <x v="0"/>
    <s v="Asia"/>
    <x v="10"/>
    <s v="Shanghai"/>
    <s v="Shanghai"/>
    <s v="Enterprise"/>
    <s v="Direct"/>
    <s v="Direct"/>
    <s v="N. Brown"/>
    <s v="N. Brown"/>
    <s v="Components"/>
    <s v="High"/>
    <s v="CMP-8390"/>
    <s v="B"/>
    <n v="757.19"/>
    <n v="1735.41"/>
    <n v="1735.41"/>
    <n v="0.13600000000000001"/>
    <n v="0.13600000000000001"/>
    <s v="Low"/>
    <n v="8"/>
    <n v="11995.153920000001"/>
    <n v="6057.52"/>
    <n v="5937.6339200000002"/>
    <n v="0.4950027285685718"/>
  </r>
  <r>
    <s v="ORD-2025-417942"/>
    <d v="2025-06-09T00:00:00"/>
    <d v="2025-06-09T00:00:00"/>
    <d v="2025-06-24T00:00:00"/>
    <d v="2025-06-24T00:00:00"/>
    <n v="15"/>
    <s v="Not Met"/>
    <s v="06-2025"/>
    <s v="Q2-2025"/>
    <d v="2023-03-03T00:00:00"/>
    <x v="1"/>
    <s v="Asia"/>
    <x v="7"/>
    <s v="Nagoya"/>
    <s v="Nagoya"/>
    <s v="Corporate"/>
    <s v="Direct"/>
    <s v="Direct"/>
    <s v="B. Chen"/>
    <s v="B. Chen"/>
    <s v="Phones"/>
    <s v="Low"/>
    <s v="PHN-5675"/>
    <s v="B"/>
    <n v="400.39"/>
    <n v="712.75"/>
    <n v="712.75"/>
    <n v="0.115"/>
    <n v="0.115"/>
    <s v="Low"/>
    <n v="19"/>
    <n v="11984.891250000001"/>
    <n v="7607.41"/>
    <n v="4377.4812500000007"/>
    <n v="0.36524997671547504"/>
  </r>
  <r>
    <s v="ORD-2023-525643"/>
    <d v="2023-08-17T00:00:00"/>
    <d v="2023-08-17T00:00:00"/>
    <d v="2023-09-03T00:00:00"/>
    <d v="2023-09-03T00:00:00"/>
    <n v="17"/>
    <s v="Not Met"/>
    <s v="08-2023"/>
    <s v="Q3-2023"/>
    <d v="2023-01-07T00:00:00"/>
    <x v="0"/>
    <s v="Africa"/>
    <x v="8"/>
    <s v="Durban"/>
    <s v="Durban"/>
    <s v="Enterprise"/>
    <s v="Retail"/>
    <s v="Retail"/>
    <s v="A. Patel"/>
    <s v="A. Patel"/>
    <s v="Phones"/>
    <s v="Medium"/>
    <s v="PHN-8072"/>
    <s v="B"/>
    <n v="676.37"/>
    <n v="1276.67"/>
    <n v="1276.67"/>
    <n v="6.6000000000000003E-2"/>
    <n v="6.6000000000000003E-2"/>
    <s v="Low"/>
    <n v="10"/>
    <n v="11924.0978"/>
    <n v="6763.7"/>
    <n v="5160.3977999999997"/>
    <n v="0.4327705027712872"/>
  </r>
  <r>
    <s v="ORD-2024-578646"/>
    <d v="2024-05-27T00:00:00"/>
    <d v="2024-05-27T00:00:00"/>
    <d v="2024-06-17T00:00:00"/>
    <d v="2024-06-17T00:00:00"/>
    <n v="21"/>
    <s v="Not Met"/>
    <s v="05-2024"/>
    <s v="Q2-2024"/>
    <d v="2023-01-29T00:00:00"/>
    <x v="0"/>
    <s v="Asia"/>
    <x v="3"/>
    <s v="Delhi"/>
    <s v="Delhi"/>
    <s v="Small Business"/>
    <s v="Online"/>
    <s v="Online"/>
    <s v="H. Kim"/>
    <s v="H. Kim"/>
    <s v="Accessories"/>
    <s v="Low"/>
    <s v="ACC-7240"/>
    <s v="B"/>
    <n v="465.02"/>
    <n v="651.55999999999995"/>
    <n v="651.55999999999995"/>
    <n v="4.2000000000000003E-2"/>
    <n v="4.2000000000000003E-2"/>
    <s v="Low"/>
    <n v="19"/>
    <n v="11859.695119999998"/>
    <n v="8835.3799999999992"/>
    <n v="3024.3151199999993"/>
    <n v="0.25500783025187918"/>
  </r>
  <r>
    <s v="ORD-2024-134084"/>
    <d v="2024-06-04T00:00:00"/>
    <d v="2024-06-04T00:00:00"/>
    <d v="2024-06-16T00:00:00"/>
    <d v="2024-06-16T00:00:00"/>
    <n v="12"/>
    <s v="Not Met"/>
    <s v="06-2024"/>
    <s v="Q2-2024"/>
    <d v="2023-01-12T00:00:00"/>
    <x v="0"/>
    <s v="Asia"/>
    <x v="10"/>
    <s v="Shanghai"/>
    <s v="Shanghai"/>
    <s v="Corporate"/>
    <s v="Retail"/>
    <s v="Retail"/>
    <s v="J. Njeri"/>
    <s v="J. Njeri"/>
    <s v="Printers"/>
    <s v="Medium"/>
    <s v="PRN-4097"/>
    <s v="B"/>
    <n v="918.42"/>
    <n v="1511.71"/>
    <n v="1511.71"/>
    <n v="0.02"/>
    <n v="0.02"/>
    <s v="Low"/>
    <n v="8"/>
    <n v="11851.806399999999"/>
    <n v="7347.36"/>
    <n v="4504.4463999999998"/>
    <n v="0.38006412254590999"/>
  </r>
  <r>
    <s v="ORD-2024-604471"/>
    <d v="2024-01-21T00:00:00"/>
    <d v="2024-01-21T00:00:00"/>
    <d v="2024-01-25T00:00:00"/>
    <d v="2024-01-25T00:00:00"/>
    <n v="4"/>
    <s v="Met"/>
    <s v="01-2024"/>
    <s v="Q1-2024"/>
    <d v="2023-01-29T00:00:00"/>
    <x v="0"/>
    <s v="Asia"/>
    <x v="3"/>
    <s v="Delhi"/>
    <s v="Delhi"/>
    <s v="Consumer"/>
    <s v="Direct"/>
    <s v="Direct"/>
    <s v="C. Otieno"/>
    <s v="C. Otieno"/>
    <s v="Monitors"/>
    <s v="Medium"/>
    <s v="MON-8973"/>
    <s v="B"/>
    <n v="523.70000000000005"/>
    <n v="1109.92"/>
    <n v="1109.92"/>
    <n v="0.03"/>
    <n v="0.03"/>
    <s v="Low"/>
    <n v="11"/>
    <n v="11842.8464"/>
    <n v="5760.7000000000007"/>
    <n v="6082.1463999999996"/>
    <n v="0.51357133197302973"/>
  </r>
  <r>
    <s v="ORD-2025-248586"/>
    <d v="2025-09-12T00:00:00"/>
    <d v="2025-09-12T00:00:00"/>
    <d v="2025-09-30T00:00:00"/>
    <d v="2025-09-30T00:00:00"/>
    <n v="18"/>
    <s v="Not Met"/>
    <s v="09-2025"/>
    <s v="Q3-2025"/>
    <d v="2023-03-03T00:00:00"/>
    <x v="1"/>
    <s v="Asia"/>
    <x v="7"/>
    <s v="Nagoya"/>
    <s v="Nagoya"/>
    <s v="Non-Profit"/>
    <s v="Marketplace"/>
    <s v="Marketplace"/>
    <s v="F. Müller"/>
    <s v="F. Müller"/>
    <s v="Monitors"/>
    <s v="High"/>
    <s v="MON-2998"/>
    <s v="B"/>
    <n v="1212.99"/>
    <n v="1653.64"/>
    <n v="1653.64"/>
    <n v="0.107"/>
    <n v="0.107"/>
    <s v="Low"/>
    <n v="8"/>
    <n v="11813.604160000001"/>
    <n v="9703.92"/>
    <n v="2109.6841600000007"/>
    <n v="0.17858090819931455"/>
  </r>
  <r>
    <s v="ORD-2025-993993"/>
    <d v="2025-08-30T00:00:00"/>
    <d v="2025-08-30T00:00:00"/>
    <d v="2025-09-22T00:00:00"/>
    <d v="2025-09-22T00:00:00"/>
    <n v="23"/>
    <s v="Not Met"/>
    <s v="08-2025"/>
    <s v="Q3-2025"/>
    <d v="2023-01-10T00:00:00"/>
    <x v="0"/>
    <s v="Europe"/>
    <x v="11"/>
    <s v="Marseille"/>
    <s v="Marseille"/>
    <s v="Corporate"/>
    <s v="Direct"/>
    <s v="Direct"/>
    <s v="E. Garcia"/>
    <s v="E. Garcia"/>
    <s v="Components"/>
    <s v="Medium"/>
    <s v="CMP-5311"/>
    <s v="B"/>
    <n v="663.9"/>
    <n v="947.77"/>
    <n v="947.77"/>
    <n v="0.17399999999999999"/>
    <n v="0.17399999999999999"/>
    <s v="Low"/>
    <n v="15"/>
    <n v="11742.8703"/>
    <n v="9958.5"/>
    <n v="1784.3703000000005"/>
    <n v="0.1519535049280073"/>
  </r>
  <r>
    <s v="ORD-2025-983096"/>
    <d v="2025-05-17T00:00:00"/>
    <d v="2025-05-17T00:00:00"/>
    <d v="2025-05-28T00:00:00"/>
    <d v="2025-05-28T00:00:00"/>
    <n v="11"/>
    <s v="Not Met"/>
    <s v="05-2025"/>
    <s v="Q2-2025"/>
    <d v="2023-01-29T00:00:00"/>
    <x v="0"/>
    <s v="Asia"/>
    <x v="3"/>
    <s v="Bengaluru"/>
    <s v="Bengaluru"/>
    <s v="Corporate"/>
    <s v="Distributor"/>
    <s v="Distributor"/>
    <s v="B. Chen"/>
    <s v="B. Chen"/>
    <s v="Laptops"/>
    <s v="Medium"/>
    <s v="LAP-9016"/>
    <s v="B"/>
    <n v="623.4"/>
    <n v="1100.0899999999999"/>
    <n v="1100.0899999999999"/>
    <n v="0.114"/>
    <n v="0.114"/>
    <s v="Low"/>
    <n v="12"/>
    <n v="11696.156879999999"/>
    <n v="7480.7999999999993"/>
    <n v="4215.3568799999994"/>
    <n v="0.36040529579490388"/>
  </r>
  <r>
    <s v="ORD-2024-834983"/>
    <d v="2024-03-16T00:00:00"/>
    <d v="2024-03-16T00:00:00"/>
    <d v="2024-04-13T00:00:00"/>
    <d v="2024-04-13T00:00:00"/>
    <n v="28"/>
    <s v="Not Met"/>
    <s v="03-2024"/>
    <s v="Q1-2024"/>
    <d v="2023-01-10T00:00:00"/>
    <x v="0"/>
    <s v="Europe"/>
    <x v="11"/>
    <s v="Paris"/>
    <s v="Paris"/>
    <s v="Small Business"/>
    <s v="Online"/>
    <s v="Online"/>
    <s v="K. Singh"/>
    <s v="K. Singh"/>
    <s v="Printers"/>
    <s v="Low"/>
    <s v="PRN-8758"/>
    <s v="B"/>
    <n v="287.61"/>
    <n v="628.54"/>
    <n v="628.54"/>
    <n v="0.13500000000000001"/>
    <n v="0.13500000000000001"/>
    <s v="Low"/>
    <n v="21"/>
    <n v="11417.429099999999"/>
    <n v="6039.81"/>
    <n v="5377.619099999999"/>
    <n v="0.47100087531964613"/>
  </r>
  <r>
    <s v="ORD-2023-700699"/>
    <d v="2023-01-12T00:00:00"/>
    <d v="2023-01-12T00:00:00"/>
    <d v="2023-01-26T00:00:00"/>
    <d v="2023-01-26T00:00:00"/>
    <n v="14"/>
    <s v="Not Met"/>
    <s v="01-2023"/>
    <s v="Q1-2023"/>
    <d v="2023-01-12T00:00:00"/>
    <x v="0"/>
    <s v="Asia"/>
    <x v="10"/>
    <s v="Shenzhen"/>
    <s v="Shenzhen"/>
    <s v="Non-Profit"/>
    <s v="Retail"/>
    <s v="Retail"/>
    <s v="M. Rossi"/>
    <s v="M. Rossi"/>
    <s v="Printers"/>
    <s v="Medium"/>
    <s v="PRN-1641"/>
    <s v="B"/>
    <n v="1083.0899999999999"/>
    <n v="1425.87"/>
    <n v="1425.87"/>
    <n v="0"/>
    <n v="0"/>
    <s v="Low"/>
    <n v="8"/>
    <n v="11406.96"/>
    <n v="8664.7199999999993"/>
    <n v="2742.24"/>
    <n v="0.24040059752992909"/>
  </r>
  <r>
    <s v="ORD-2025-192876"/>
    <d v="2025-01-31T00:00:00"/>
    <d v="2025-01-31T00:00:00"/>
    <d v="2025-02-17T00:00:00"/>
    <d v="2025-02-17T00:00:00"/>
    <n v="17"/>
    <s v="Not Met"/>
    <s v="01-2025"/>
    <s v="Q1-2025"/>
    <d v="2023-01-19T00:00:00"/>
    <x v="0"/>
    <s v="Europe"/>
    <x v="1"/>
    <s v="London"/>
    <s v="London"/>
    <s v="Enterprise"/>
    <s v="Retail"/>
    <s v="Retail"/>
    <s v="H. Kim"/>
    <s v="H. Kim"/>
    <s v="Components"/>
    <s v="Low"/>
    <s v="CMP-5820"/>
    <s v="B"/>
    <n v="378.26"/>
    <n v="541.55999999999995"/>
    <n v="541.55999999999995"/>
    <n v="0.16300000000000001"/>
    <n v="0.16300000000000001"/>
    <s v="Low"/>
    <n v="25"/>
    <n v="11332.142999999998"/>
    <n v="9456.5"/>
    <n v="1875.6429999999982"/>
    <n v="0.16551529573885526"/>
  </r>
  <r>
    <s v="ORD-2024-968374"/>
    <d v="2024-02-11T00:00:00"/>
    <d v="2024-02-11T00:00:00"/>
    <d v="2024-03-03T00:00:00"/>
    <d v="2024-03-03T00:00:00"/>
    <n v="21"/>
    <s v="Not Met"/>
    <s v="02-2024"/>
    <s v="Q1-2024"/>
    <d v="2023-01-20T00:00:00"/>
    <x v="0"/>
    <s v="Africa"/>
    <x v="5"/>
    <s v="Kisumu"/>
    <s v="Kisumu"/>
    <s v="Enterprise"/>
    <s v="Online"/>
    <s v="Online"/>
    <s v="B. Chen"/>
    <s v="B. Chen"/>
    <s v="Phones"/>
    <s v="Medium"/>
    <s v="PHN-5082"/>
    <s v="B"/>
    <n v="516.86"/>
    <n v="852.54"/>
    <n v="852.54"/>
    <n v="5.0999999999999997E-2"/>
    <n v="5.0999999999999997E-2"/>
    <s v="Low"/>
    <n v="14"/>
    <n v="11326.846439999999"/>
    <n v="7236.04"/>
    <n v="4090.8064399999994"/>
    <n v="0.36116022775355994"/>
  </r>
  <r>
    <s v="ORD-2024-251426"/>
    <d v="2024-03-09T00:00:00"/>
    <d v="2024-03-09T00:00:00"/>
    <d v="2024-03-26T00:00:00"/>
    <d v="2024-03-26T00:00:00"/>
    <n v="17"/>
    <s v="Not Met"/>
    <s v="03-2024"/>
    <s v="Q1-2024"/>
    <d v="2023-01-13T00:00:00"/>
    <x v="0"/>
    <s v="Americas"/>
    <x v="6"/>
    <s v="San Francisco"/>
    <s v="San Francisco"/>
    <s v="Education"/>
    <s v="Direct"/>
    <s v="Direct"/>
    <s v="I. Johnson"/>
    <s v="I. Johnson"/>
    <s v="Phones"/>
    <s v="High"/>
    <s v="PHN-3398"/>
    <s v="B"/>
    <n v="1137.4100000000001"/>
    <n v="1680.93"/>
    <n v="1680.93"/>
    <n v="0.254"/>
    <n v="0.254"/>
    <s v="High"/>
    <n v="9"/>
    <n v="11285.764020000001"/>
    <n v="10236.69"/>
    <n v="1049.07402"/>
    <n v="9.2955516183121464E-2"/>
  </r>
  <r>
    <s v="ORD-2023-890605"/>
    <d v="2023-06-24T00:00:00"/>
    <d v="2023-06-22T00:00:00"/>
    <d v="2023-06-22T00:00:00"/>
    <d v="2023-06-24T00:00:00"/>
    <n v="2"/>
    <s v="Met"/>
    <s v="06-2023"/>
    <s v="Q2-2023"/>
    <d v="2023-01-02T00:00:00"/>
    <x v="0"/>
    <s v="Americas"/>
    <x v="0"/>
    <s v="Toronto"/>
    <s v="Toronto"/>
    <s v="Non-Profit"/>
    <s v="Retail"/>
    <s v="Retail"/>
    <s v="M. Rossi"/>
    <s v="M. Rossi"/>
    <s v="Accessories"/>
    <s v="Medium"/>
    <s v="ACC-2903"/>
    <s v="B"/>
    <n v="471.42"/>
    <n v="824.81"/>
    <n v="824.81"/>
    <n v="8.7999999999999995E-2"/>
    <n v="8.7999999999999995E-2"/>
    <s v="Low"/>
    <n v="15"/>
    <n v="11283.400799999999"/>
    <n v="7071.3"/>
    <n v="4212.1007999999993"/>
    <n v="0.37330064531608231"/>
  </r>
  <r>
    <s v="ORD-2023-842488"/>
    <d v="2023-10-31T00:00:00"/>
    <d v="2023-10-31T00:00:00"/>
    <d v="2023-11-02T00:00:00"/>
    <d v="2023-11-02T00:00:00"/>
    <n v="2"/>
    <s v="Met"/>
    <s v="10-2023"/>
    <s v="Q4-2023"/>
    <d v="2023-01-20T00:00:00"/>
    <x v="0"/>
    <s v="Africa"/>
    <x v="5"/>
    <s v="Kisumu"/>
    <s v="Kisumu"/>
    <s v="Education"/>
    <s v="Retail"/>
    <s v="Retail"/>
    <s v="O. Wang"/>
    <s v="O. Wang"/>
    <s v="Accessories"/>
    <s v="Medium"/>
    <s v="ACC-4124"/>
    <s v="B"/>
    <n v="867.89"/>
    <n v="1349.94"/>
    <n v="1349.94"/>
    <n v="0.184"/>
    <n v="0.184"/>
    <s v="Low"/>
    <n v="10"/>
    <n v="11015.510400000003"/>
    <n v="8678.9"/>
    <n v="2336.6104000000032"/>
    <n v="0.21212003031652557"/>
  </r>
  <r>
    <s v="ORD-2023-824839"/>
    <d v="2023-12-06T00:00:00"/>
    <d v="2023-12-06T00:00:00"/>
    <d v="2023-12-31T00:00:00"/>
    <d v="2023-12-31T00:00:00"/>
    <n v="25"/>
    <s v="Not Met"/>
    <s v="12-2023"/>
    <s v="Q4-2023"/>
    <d v="2023-03-03T00:00:00"/>
    <x v="1"/>
    <s v="Asia"/>
    <x v="7"/>
    <s v="Osaka"/>
    <s v="Osaka"/>
    <s v="Consumer"/>
    <s v="Retail"/>
    <s v="Retail"/>
    <s v="L. Okafor"/>
    <s v="L. Okafor"/>
    <s v="Printers"/>
    <s v="Low"/>
    <s v="PRN-8041"/>
    <s v="B"/>
    <n v="663.03"/>
    <n v="813.51"/>
    <n v="813.51"/>
    <n v="0.10199999999999999"/>
    <n v="0.10199999999999999"/>
    <s v="Low"/>
    <n v="15"/>
    <n v="10957.9797"/>
    <n v="9945.4499999999989"/>
    <n v="1012.529700000001"/>
    <n v="9.2401129379715952E-2"/>
  </r>
  <r>
    <s v="ORD-2025-526650"/>
    <d v="2025-04-27T00:00:00"/>
    <d v="2025-04-27T00:00:00"/>
    <d v="2025-05-25T00:00:00"/>
    <d v="2025-05-25T00:00:00"/>
    <n v="28"/>
    <s v="Not Met"/>
    <s v="04-2025"/>
    <s v="Q2-2025"/>
    <d v="2023-01-10T00:00:00"/>
    <x v="0"/>
    <s v="Europe"/>
    <x v="11"/>
    <s v="Paris"/>
    <s v="Paris"/>
    <s v="Small Business"/>
    <s v="Marketplace"/>
    <s v="Marketplace"/>
    <s v="I. Johnson"/>
    <s v="I. Johnson"/>
    <s v="Phones"/>
    <s v="Medium"/>
    <s v="PHN-8350"/>
    <s v="B"/>
    <n v="603.45000000000005"/>
    <n v="1244.08"/>
    <n v="1244.08"/>
    <n v="0.2"/>
    <n v="0.2"/>
    <s v="Low"/>
    <n v="11"/>
    <n v="10947.904"/>
    <n v="6637.9500000000007"/>
    <n v="4309.9539999999997"/>
    <n v="0.39367846119220623"/>
  </r>
  <r>
    <s v="ORD-2024-202877"/>
    <d v="2024-07-13T00:00:00"/>
    <d v="2024-07-13T00:00:00"/>
    <d v="2024-08-03T00:00:00"/>
    <d v="2024-08-03T00:00:00"/>
    <n v="21"/>
    <s v="Not Met"/>
    <s v="07-2024"/>
    <s v="Q3-2024"/>
    <d v="2023-01-29T00:00:00"/>
    <x v="0"/>
    <s v="Americas"/>
    <x v="9"/>
    <s v="Rio de Janeiro"/>
    <s v="Rio de Janeiro"/>
    <s v="Corporate"/>
    <s v="Marketplace"/>
    <s v="Marketplace"/>
    <s v="M. Rossi"/>
    <s v="M. Rossi"/>
    <s v="Monitors"/>
    <s v="Medium"/>
    <s v="MON-6287"/>
    <s v="B"/>
    <n v="702.98"/>
    <n v="1104.8"/>
    <n v="1104.8"/>
    <n v="0.17499999999999999"/>
    <n v="0.17499999999999999"/>
    <s v="Low"/>
    <n v="12"/>
    <n v="10937.519999999999"/>
    <n v="8435.76"/>
    <n v="2501.7599999999984"/>
    <n v="0.22873192460448061"/>
  </r>
  <r>
    <s v="ORD-2025-580047"/>
    <d v="2025-06-14T00:00:00"/>
    <d v="2025-06-14T00:00:00"/>
    <d v="2025-06-29T00:00:00"/>
    <d v="2025-06-29T00:00:00"/>
    <n v="15"/>
    <s v="Not Met"/>
    <s v="06-2025"/>
    <s v="Q2-2025"/>
    <d v="2023-01-13T00:00:00"/>
    <x v="0"/>
    <s v="Africa"/>
    <x v="2"/>
    <s v="Port Harcourt"/>
    <s v="Port Harcourt"/>
    <s v="Consumer"/>
    <s v="Marketplace"/>
    <s v="Marketplace"/>
    <s v="M. Rossi"/>
    <s v="M. Rossi"/>
    <s v="Accessories"/>
    <s v="Medium"/>
    <s v="ACC-3961"/>
    <s v="B"/>
    <n v="730.99"/>
    <n v="1242.8399999999999"/>
    <n v="1242.8399999999999"/>
    <n v="0.12"/>
    <n v="0.12"/>
    <s v="Low"/>
    <n v="10"/>
    <n v="10936.992"/>
    <n v="7309.9"/>
    <n v="3627.0920000000006"/>
    <n v="0.33163524303574515"/>
  </r>
  <r>
    <s v="ORD-2024-655710"/>
    <d v="2024-11-30T00:00:00"/>
    <d v="2024-11-30T00:00:00"/>
    <d v="2024-12-10T00:00:00"/>
    <d v="2024-12-10T00:00:00"/>
    <n v="10"/>
    <s v="Not Met"/>
    <s v="11-2024"/>
    <s v="Q4-2024"/>
    <d v="2023-01-29T00:00:00"/>
    <x v="0"/>
    <s v="Asia"/>
    <x v="3"/>
    <s v="Hyderabad"/>
    <s v="Hyderabad"/>
    <s v="Small Business"/>
    <s v="Retail"/>
    <s v="Retail"/>
    <s v="F. Müller"/>
    <s v="F. Müller"/>
    <s v="Accessories"/>
    <s v="Medium"/>
    <s v="ACC-1075"/>
    <s v="B"/>
    <n v="851.49"/>
    <n v="901.79"/>
    <n v="901.79"/>
    <n v="0.245"/>
    <n v="0.245"/>
    <s v="High"/>
    <n v="16"/>
    <n v="10893.6232"/>
    <n v="13623.84"/>
    <n v="2730.2168000000001"/>
    <n v="0.25062522816100341"/>
  </r>
  <r>
    <s v="ORD-2023-744942"/>
    <d v="2023-02-23T00:00:00"/>
    <d v="2023-02-23T00:00:00"/>
    <d v="2023-03-18T00:00:00"/>
    <d v="2023-03-18T00:00:00"/>
    <n v="23"/>
    <s v="Not Met"/>
    <s v="02-2023"/>
    <s v="Q1-2023"/>
    <d v="2023-01-12T00:00:00"/>
    <x v="0"/>
    <s v="Asia"/>
    <x v="10"/>
    <s v="Beijing"/>
    <s v="Beijing"/>
    <s v="Education"/>
    <s v="Distributor"/>
    <s v="Distributor"/>
    <s v="K. Singh"/>
    <s v="K. Singh"/>
    <s v="Printers"/>
    <s v="High"/>
    <s v="PRN-1060"/>
    <s v="B"/>
    <n v="770.11"/>
    <n v="1667.82"/>
    <n v="1667.82"/>
    <n v="6.9000000000000006E-2"/>
    <n v="6.9000000000000006E-2"/>
    <s v="Low"/>
    <n v="7"/>
    <n v="10869.182940000001"/>
    <n v="5390.77"/>
    <n v="5478.4129400000002"/>
    <n v="0.50403171703355287"/>
  </r>
  <r>
    <s v="ORD-2025-635337"/>
    <d v="2025-08-05T00:00:00"/>
    <d v="2025-08-05T00:00:00"/>
    <d v="2025-08-28T00:00:00"/>
    <d v="2025-08-28T00:00:00"/>
    <n v="23"/>
    <s v="Not Met"/>
    <s v="08-2025"/>
    <s v="Q3-2025"/>
    <d v="2023-01-29T00:00:00"/>
    <x v="0"/>
    <s v="Asia"/>
    <x v="3"/>
    <s v="Mumbai"/>
    <s v="Mumbai"/>
    <s v="Non-Profit"/>
    <s v="Distributor"/>
    <s v="Distributor"/>
    <s v="N. Brown"/>
    <s v="N. Brown"/>
    <s v="Laptops"/>
    <s v="Medium"/>
    <s v="LAP-3905"/>
    <s v="B"/>
    <n v="638.54"/>
    <n v="987.24"/>
    <n v="987.24"/>
    <n v="0"/>
    <n v="0"/>
    <s v="Low"/>
    <n v="11"/>
    <n v="10859.64"/>
    <n v="7023.94"/>
    <n v="3835.7"/>
    <n v="0.35320692030306716"/>
  </r>
  <r>
    <s v="ORD-2024-588972"/>
    <d v="2024-11-02T00:00:00"/>
    <d v="2024-11-02T00:00:00"/>
    <d v="2024-11-29T00:00:00"/>
    <d v="2024-11-29T00:00:00"/>
    <n v="27"/>
    <s v="Not Met"/>
    <s v="11-2024"/>
    <s v="Q4-2024"/>
    <d v="2023-01-29T00:00:00"/>
    <x v="0"/>
    <s v="Americas"/>
    <x v="9"/>
    <s v="Brasília"/>
    <s v="Brasília"/>
    <s v="Small Business"/>
    <s v="Direct"/>
    <s v="Direct"/>
    <s v="I. Johnson"/>
    <s v="I. Johnson"/>
    <s v="Networking"/>
    <s v="Medium"/>
    <s v="NET-8561"/>
    <s v="B"/>
    <n v="1363.51"/>
    <n v="1433.9"/>
    <n v="1433.9"/>
    <n v="5.7000000000000002E-2"/>
    <n v="5.7000000000000002E-2"/>
    <s v="Low"/>
    <n v="8"/>
    <n v="10817.3416"/>
    <n v="10908.08"/>
    <n v="90.738400000000183"/>
    <n v="8.3882346842037592E-3"/>
  </r>
  <r>
    <s v="ORD-2025-960931"/>
    <d v="2025-08-20T00:00:00"/>
    <d v="2025-08-20T00:00:00"/>
    <d v="2025-08-26T00:00:00"/>
    <d v="2025-08-26T00:00:00"/>
    <n v="6"/>
    <s v="Met"/>
    <s v="08-2025"/>
    <s v="Q3-2025"/>
    <d v="2023-01-13T00:00:00"/>
    <x v="0"/>
    <s v="Americas"/>
    <x v="6"/>
    <s v="New York"/>
    <s v="New York"/>
    <s v="Corporate"/>
    <s v="Retail"/>
    <s v="Retail"/>
    <s v="M. Rossi"/>
    <s v="M. Rossi"/>
    <s v="Networking"/>
    <s v="High"/>
    <s v="NET-5196"/>
    <s v="B"/>
    <n v="1304.95"/>
    <n v="1712.03"/>
    <n v="1712.03"/>
    <n v="0.21199999999999999"/>
    <n v="0.21199999999999999"/>
    <s v="High"/>
    <n v="8"/>
    <n v="10792.637119999999"/>
    <n v="10439.6"/>
    <n v="353.03711999999905"/>
    <n v="3.2710922833287949E-2"/>
  </r>
  <r>
    <s v="ORD-2023-502205"/>
    <d v="2023-10-09T00:00:00"/>
    <d v="2023-10-09T00:00:00"/>
    <d v="2023-10-11T00:00:00"/>
    <d v="2023-10-11T00:00:00"/>
    <n v="2"/>
    <s v="Met"/>
    <s v="10-2023"/>
    <s v="Q4-2023"/>
    <d v="2023-01-13T00:00:00"/>
    <x v="0"/>
    <s v="Africa"/>
    <x v="2"/>
    <s v="Port Harcourt"/>
    <s v="Port Harcourt"/>
    <s v="Education"/>
    <s v="Marketplace"/>
    <s v="Marketplace"/>
    <s v="K. Singh"/>
    <s v="K. Singh"/>
    <s v="Networking"/>
    <s v="Medium"/>
    <s v="NET-8856"/>
    <s v="B"/>
    <n v="391.16"/>
    <n v="902.47"/>
    <n v="902.47"/>
    <n v="4.0000000000000001E-3"/>
    <n v="4.0000000000000001E-3"/>
    <s v="Low"/>
    <n v="12"/>
    <n v="10786.32144"/>
    <n v="4693.92"/>
    <n v="6092.4014399999996"/>
    <n v="0.56482661618139207"/>
  </r>
  <r>
    <s v="ORD-2025-649633"/>
    <d v="2025-07-19T00:00:00"/>
    <d v="2025-07-19T00:00:00"/>
    <d v="2025-07-31T00:00:00"/>
    <d v="2025-07-31T00:00:00"/>
    <n v="12"/>
    <s v="Not Met"/>
    <s v="07-2025"/>
    <s v="Q3-2025"/>
    <d v="2023-01-20T00:00:00"/>
    <x v="0"/>
    <s v="Africa"/>
    <x v="5"/>
    <s v="Nairobi"/>
    <s v="Nairobi"/>
    <s v="Small Business"/>
    <s v="Marketplace"/>
    <s v="Marketplace"/>
    <s v="O. Wang"/>
    <s v="O. Wang"/>
    <s v="Accessories"/>
    <s v="Medium"/>
    <s v="ACC-1028"/>
    <s v="B"/>
    <n v="619.64"/>
    <n v="861.16"/>
    <n v="861.16"/>
    <n v="0.113"/>
    <n v="0.113"/>
    <s v="Low"/>
    <n v="14"/>
    <n v="10693.88488"/>
    <n v="8674.9599999999991"/>
    <n v="2018.9248800000005"/>
    <n v="0.18879246435276761"/>
  </r>
  <r>
    <s v="ORD-2025-820255"/>
    <d v="2025-05-29T00:00:00"/>
    <d v="2025-05-29T00:00:00"/>
    <d v="2025-06-20T00:00:00"/>
    <d v="2025-06-20T00:00:00"/>
    <n v="22"/>
    <s v="Not Met"/>
    <s v="05-2025"/>
    <s v="Q2-2025"/>
    <d v="2023-01-21T00:00:00"/>
    <x v="0"/>
    <s v="Europe"/>
    <x v="4"/>
    <s v="Berlin"/>
    <s v="Berlin"/>
    <s v="Corporate"/>
    <s v="Direct"/>
    <s v="Direct"/>
    <s v="A. Patel"/>
    <s v="A. Patel"/>
    <s v="Printers"/>
    <s v="Medium"/>
    <s v="PRN-9787"/>
    <s v="B"/>
    <n v="483.47"/>
    <n v="1135.43"/>
    <n v="1135.43"/>
    <n v="0.14599999999999999"/>
    <n v="0.14599999999999999"/>
    <s v="Low"/>
    <n v="11"/>
    <n v="10666.229420000001"/>
    <n v="5318.17"/>
    <n v="5348.0594200000014"/>
    <n v="0.50140112399719983"/>
  </r>
  <r>
    <s v="ORD-2024-287210"/>
    <d v="2024-03-18T00:00:00"/>
    <d v="2024-03-18T00:00:00"/>
    <d v="2024-03-21T00:00:00"/>
    <d v="2024-03-21T00:00:00"/>
    <n v="3"/>
    <s v="Met"/>
    <s v="03-2024"/>
    <s v="Q1-2024"/>
    <d v="2023-01-21T00:00:00"/>
    <x v="0"/>
    <s v="Europe"/>
    <x v="4"/>
    <s v="Munich"/>
    <s v="Munich"/>
    <s v="Small Business"/>
    <s v="Online"/>
    <s v="Online"/>
    <s v="M. Rossi"/>
    <s v="M. Rossi"/>
    <s v="Accessories"/>
    <s v="Medium"/>
    <s v="ACC-2761"/>
    <s v="B"/>
    <n v="910.63"/>
    <n v="1269.4000000000001"/>
    <n v="1269.4000000000001"/>
    <n v="6.8000000000000005E-2"/>
    <n v="6.8000000000000005E-2"/>
    <s v="Low"/>
    <n v="9"/>
    <n v="10647.727199999999"/>
    <n v="8195.67"/>
    <n v="2452.0571999999993"/>
    <n v="0.23028925834989455"/>
  </r>
  <r>
    <s v="ORD-2024-296582"/>
    <d v="2024-01-11T00:00:00"/>
    <d v="2024-01-11T00:00:00"/>
    <d v="2024-02-02T00:00:00"/>
    <d v="2024-02-02T00:00:00"/>
    <n v="22"/>
    <s v="Not Met"/>
    <s v="01-2024"/>
    <s v="Q1-2024"/>
    <d v="2023-01-07T00:00:00"/>
    <x v="0"/>
    <s v="Africa"/>
    <x v="8"/>
    <s v="Durban"/>
    <s v="Durban"/>
    <s v="Consumer"/>
    <s v="Online"/>
    <s v="Online"/>
    <s v="K. Singh"/>
    <s v="K. Singh"/>
    <s v="Networking"/>
    <s v="High"/>
    <s v="NET-1412"/>
    <s v="B"/>
    <n v="1206.2"/>
    <n v="1759.79"/>
    <n v="1759.79"/>
    <n v="0"/>
    <n v="0"/>
    <s v="Low"/>
    <n v="6"/>
    <n v="10558.74"/>
    <n v="7237.2000000000007"/>
    <n v="3321.5399999999991"/>
    <n v="0.31457730751964713"/>
  </r>
  <r>
    <s v="ORD-2024-687073"/>
    <d v="2024-03-11T00:00:00"/>
    <d v="2024-03-11T00:00:00"/>
    <d v="2024-03-29T00:00:00"/>
    <d v="2024-03-29T00:00:00"/>
    <n v="18"/>
    <s v="Not Met"/>
    <s v="03-2024"/>
    <s v="Q1-2024"/>
    <d v="2023-01-13T00:00:00"/>
    <x v="0"/>
    <s v="Americas"/>
    <x v="6"/>
    <s v="New York"/>
    <s v="New York"/>
    <s v="Corporate"/>
    <s v="Retail"/>
    <s v="Retail"/>
    <s v="M. Rossi"/>
    <s v="M. Rossi"/>
    <s v="Monitors"/>
    <s v="Medium"/>
    <s v="MON-7099"/>
    <s v="B"/>
    <n v="710.98"/>
    <n v="1481.45"/>
    <n v="1481.45"/>
    <n v="0.21099999999999999"/>
    <n v="0.21099999999999999"/>
    <s v="High"/>
    <n v="9"/>
    <n v="10519.776450000001"/>
    <n v="6398.82"/>
    <n v="4120.9564500000015"/>
    <n v="0.39173422264120461"/>
  </r>
  <r>
    <s v="ORD-2025-532859"/>
    <d v="2025-03-11T00:00:00"/>
    <d v="2025-03-11T00:00:00"/>
    <d v="2025-03-27T00:00:00"/>
    <d v="2025-03-27T00:00:00"/>
    <n v="16"/>
    <s v="Not Met"/>
    <s v="03-2025"/>
    <s v="Q1-2025"/>
    <d v="2023-03-03T00:00:00"/>
    <x v="1"/>
    <s v="Asia"/>
    <x v="7"/>
    <s v="Tokyo"/>
    <s v="Tokyo"/>
    <s v="Enterprise"/>
    <s v="Distributor"/>
    <s v="Distributor"/>
    <s v="B. Chen"/>
    <s v="B. Chen"/>
    <s v="Printers"/>
    <s v="High"/>
    <s v="PRN-5264"/>
    <s v="B"/>
    <n v="1317.58"/>
    <n v="1897.74"/>
    <n v="1897.74"/>
    <n v="8.1000000000000003E-2"/>
    <n v="8.1000000000000003E-2"/>
    <s v="Low"/>
    <n v="6"/>
    <n v="10464.138360000001"/>
    <n v="7905.48"/>
    <n v="2558.6583600000013"/>
    <n v="0.24451687009230266"/>
  </r>
  <r>
    <s v="ORD-2023-369150"/>
    <d v="2023-07-18T00:00:00"/>
    <d v="2023-07-18T00:00:00"/>
    <d v="2023-08-10T00:00:00"/>
    <d v="2023-08-10T00:00:00"/>
    <n v="23"/>
    <s v="Not Met"/>
    <s v="07-2023"/>
    <s v="Q3-2023"/>
    <d v="2023-01-07T00:00:00"/>
    <x v="0"/>
    <s v="Africa"/>
    <x v="8"/>
    <s v="Johannesburg"/>
    <s v="Johannesburg"/>
    <s v="Small Business"/>
    <s v="Retail"/>
    <s v="Retail"/>
    <s v="L. Okafor"/>
    <s v="L. Okafor"/>
    <s v="Components"/>
    <s v="Medium"/>
    <s v="CMP-8659"/>
    <s v="B"/>
    <n v="1271.56"/>
    <n v="995.47"/>
    <n v="995.47"/>
    <n v="0.192"/>
    <n v="0.192"/>
    <s v="Low"/>
    <n v="13"/>
    <n v="10456.416880000001"/>
    <n v="16530.28"/>
    <n v="6073.8631199999982"/>
    <n v="0.58087423155607754"/>
  </r>
  <r>
    <s v="ORD-2023-290279"/>
    <d v="2023-06-14T00:00:00"/>
    <d v="2023-06-14T00:00:00"/>
    <d v="2023-06-16T00:00:00"/>
    <d v="2023-06-16T00:00:00"/>
    <n v="2"/>
    <s v="Met"/>
    <s v="06-2023"/>
    <s v="Q2-2023"/>
    <d v="2023-01-19T00:00:00"/>
    <x v="0"/>
    <s v="Europe"/>
    <x v="1"/>
    <s v="Manchester"/>
    <s v="Manchester"/>
    <s v="Non-Profit"/>
    <s v="Direct"/>
    <s v="Direct"/>
    <s v="K. Singh"/>
    <s v="K. Singh"/>
    <s v="Components"/>
    <s v="Low"/>
    <s v="CMP-5820"/>
    <s v="B"/>
    <n v="357.36"/>
    <n v="703.62"/>
    <n v="703.62"/>
    <n v="0.25700000000000001"/>
    <n v="0.25700000000000001"/>
    <s v="High"/>
    <n v="20"/>
    <n v="10455.7932"/>
    <n v="7147.2000000000007"/>
    <n v="3308.5931999999993"/>
    <n v="0.31643636563125593"/>
  </r>
  <r>
    <s v="ORD-2023-931633"/>
    <d v="2023-05-14T00:00:00"/>
    <d v="2023-05-14T00:00:00"/>
    <d v="2023-05-22T00:00:00"/>
    <d v="2023-05-22T00:00:00"/>
    <n v="8"/>
    <s v="Not Met"/>
    <s v="05-2023"/>
    <s v="Q2-2023"/>
    <d v="2023-01-20T00:00:00"/>
    <x v="0"/>
    <s v="Africa"/>
    <x v="5"/>
    <s v="Mombasa"/>
    <s v="Mombasa"/>
    <s v="Small Business"/>
    <s v="Distributor"/>
    <s v="Distributor"/>
    <s v="F. Müller"/>
    <s v="F. Müller"/>
    <s v="Printers"/>
    <s v="Medium"/>
    <s v="PRN-9488"/>
    <s v="B"/>
    <n v="432.01"/>
    <n v="913.78"/>
    <n v="913.78"/>
    <n v="4.9000000000000002E-2"/>
    <n v="4.9000000000000002E-2"/>
    <s v="Low"/>
    <n v="12"/>
    <n v="10428.057360000001"/>
    <n v="5184.12"/>
    <n v="5243.9373600000008"/>
    <n v="0.50286809699711899"/>
  </r>
  <r>
    <s v="ORD-2023-399631"/>
    <d v="2023-06-22T00:00:00"/>
    <d v="2023-06-22T00:00:00"/>
    <d v="2023-07-21T00:00:00"/>
    <d v="2023-07-21T00:00:00"/>
    <n v="29"/>
    <s v="Not Met"/>
    <s v="06-2023"/>
    <s v="Q2-2023"/>
    <d v="2023-01-10T00:00:00"/>
    <x v="0"/>
    <s v="Europe"/>
    <x v="11"/>
    <s v="Lyon"/>
    <s v="Lyon"/>
    <s v="Corporate"/>
    <s v="Retail"/>
    <s v="Retail"/>
    <s v="J. Njeri"/>
    <s v="J. Njeri"/>
    <s v="Accessories"/>
    <s v="Medium"/>
    <s v="ACC-3385"/>
    <s v="B"/>
    <n v="734.34"/>
    <n v="887.9"/>
    <n v="887.9"/>
    <n v="2.5000000000000001E-2"/>
    <n v="2.5000000000000001E-2"/>
    <s v="Low"/>
    <n v="12"/>
    <n v="10388.429999999998"/>
    <n v="8812.08"/>
    <n v="1576.3499999999985"/>
    <n v="0.15174092716608753"/>
  </r>
  <r>
    <s v="ORD-2025-766923"/>
    <d v="2025-02-15T00:00:00"/>
    <d v="2025-02-15T00:00:00"/>
    <d v="2025-02-15T00:00:00"/>
    <d v="2025-02-15T00:00:00"/>
    <n v="0"/>
    <s v="Met"/>
    <s v="02-2025"/>
    <s v="Q1-2025"/>
    <d v="2023-01-21T00:00:00"/>
    <x v="0"/>
    <s v="Europe"/>
    <x v="4"/>
    <s v="Frankfurt"/>
    <s v="Frankfurt"/>
    <s v="Small Business"/>
    <s v="Marketplace"/>
    <s v="Marketplace"/>
    <s v="L. Okafor"/>
    <s v="L. Okafor"/>
    <s v="Accessories"/>
    <s v="High"/>
    <s v="ACC-3989"/>
    <s v="B"/>
    <n v="815.83"/>
    <n v="1982.18"/>
    <n v="1982.18"/>
    <n v="0.127"/>
    <n v="0.127"/>
    <s v="Low"/>
    <n v="6"/>
    <n v="10382.65884"/>
    <n v="4894.9800000000005"/>
    <n v="5487.6788399999996"/>
    <n v="0.52854272923408507"/>
  </r>
  <r>
    <s v="ORD-2025-515515"/>
    <d v="2025-01-03T00:00:00"/>
    <d v="2025-01-03T00:00:00"/>
    <d v="2025-01-23T00:00:00"/>
    <d v="2025-01-23T00:00:00"/>
    <n v="20"/>
    <s v="Not Met"/>
    <s v="01-2025"/>
    <s v="Q1-2025"/>
    <d v="2023-03-03T00:00:00"/>
    <x v="1"/>
    <s v="Asia"/>
    <x v="7"/>
    <s v="Osaka"/>
    <s v="Osaka"/>
    <s v="Corporate"/>
    <s v="Distributor"/>
    <s v="Distributor"/>
    <s v="F. Müller"/>
    <s v="F. Müller"/>
    <s v="Phones"/>
    <s v="Low"/>
    <s v="PHN-7019"/>
    <s v="B"/>
    <n v="908.6"/>
    <n v="691.37"/>
    <n v="691.37"/>
    <n v="0.25"/>
    <n v="0.25"/>
    <s v="High"/>
    <n v="20"/>
    <n v="10370.549999999999"/>
    <n v="18172"/>
    <n v="7801.4500000000007"/>
    <n v="0.75226964818645115"/>
  </r>
  <r>
    <s v="ORD-2023-664790"/>
    <d v="2023-04-16T00:00:00"/>
    <d v="2023-04-16T00:00:00"/>
    <d v="2023-04-23T00:00:00"/>
    <d v="2023-04-23T00:00:00"/>
    <n v="7"/>
    <s v="Met"/>
    <s v="04-2023"/>
    <s v="Q2-2023"/>
    <d v="2023-01-13T00:00:00"/>
    <x v="0"/>
    <s v="Americas"/>
    <x v="6"/>
    <s v="Austin"/>
    <s v="Austin"/>
    <s v="Corporate"/>
    <s v="Distributor"/>
    <s v="Distributor"/>
    <s v="O. Wang"/>
    <s v="O. Wang"/>
    <s v="Printers"/>
    <s v="Medium"/>
    <s v="PRN-9249"/>
    <s v="B"/>
    <n v="1099.1500000000001"/>
    <n v="1431.37"/>
    <n v="1431.37"/>
    <n v="0.104"/>
    <n v="0.104"/>
    <s v="Low"/>
    <n v="8"/>
    <n v="10260.060159999999"/>
    <n v="8793.2000000000007"/>
    <n v="1466.8601599999984"/>
    <n v="0.14296798821109433"/>
  </r>
  <r>
    <s v="ORD-2025-680118"/>
    <d v="2025-03-10T00:00:00"/>
    <d v="2025-03-10T00:00:00"/>
    <d v="2025-03-27T00:00:00"/>
    <d v="2025-03-27T00:00:00"/>
    <n v="17"/>
    <s v="Not Met"/>
    <s v="03-2025"/>
    <s v="Q1-2025"/>
    <d v="2023-01-29T00:00:00"/>
    <x v="0"/>
    <s v="Americas"/>
    <x v="9"/>
    <s v="Rio de Janeiro"/>
    <s v="Rio de Janeiro"/>
    <s v="Enterprise"/>
    <s v="Direct"/>
    <s v="Direct"/>
    <s v="F. Müller"/>
    <s v="F. Müller"/>
    <s v="Networking"/>
    <s v="Medium"/>
    <s v="NET-6269"/>
    <s v="B"/>
    <n v="996.73"/>
    <n v="1217.43"/>
    <n v="1217.43"/>
    <n v="7.0000000000000007E-2"/>
    <n v="7.0000000000000007E-2"/>
    <s v="Low"/>
    <n v="9"/>
    <n v="10189.8891"/>
    <n v="8970.57"/>
    <n v="1219.3191000000006"/>
    <n v="0.11965970267527255"/>
  </r>
  <r>
    <s v="ORD-2025-659650"/>
    <d v="2025-02-04T00:00:00"/>
    <d v="2025-02-04T00:00:00"/>
    <d v="2025-02-08T00:00:00"/>
    <d v="2025-02-08T00:00:00"/>
    <n v="4"/>
    <s v="Met"/>
    <s v="02-2025"/>
    <s v="Q1-2025"/>
    <d v="2023-01-19T00:00:00"/>
    <x v="0"/>
    <s v="Europe"/>
    <x v="1"/>
    <s v="Manchester"/>
    <s v="Manchester"/>
    <s v="Enterprise"/>
    <s v="Marketplace"/>
    <s v="Marketplace"/>
    <s v="L. Okafor"/>
    <s v="L. Okafor"/>
    <s v="Networking"/>
    <s v="Low"/>
    <s v="NET-2502"/>
    <s v="B"/>
    <n v="586.21"/>
    <n v="727.22"/>
    <n v="727.22"/>
    <n v="6.8000000000000005E-2"/>
    <n v="6.8000000000000005E-2"/>
    <s v="Low"/>
    <n v="15"/>
    <n v="10166.535600000001"/>
    <n v="8793.1500000000015"/>
    <n v="1373.3855999999996"/>
    <n v="0.13508884973559721"/>
  </r>
  <r>
    <s v="ORD-2023-374486"/>
    <d v="2023-06-24T00:00:00"/>
    <d v="2023-06-23T00:00:00"/>
    <d v="2023-06-23T00:00:00"/>
    <d v="2023-06-24T00:00:00"/>
    <n v="1"/>
    <s v="Met"/>
    <s v="06-2023"/>
    <s v="Q2-2023"/>
    <d v="2023-01-29T00:00:00"/>
    <x v="0"/>
    <s v="Americas"/>
    <x v="9"/>
    <s v="Rio de Janeiro"/>
    <s v="Rio de Janeiro"/>
    <s v="Non-Profit"/>
    <s v="Retail"/>
    <s v="Retail"/>
    <s v="E. Garcia"/>
    <s v="E. Garcia"/>
    <s v="Printers"/>
    <s v="Medium"/>
    <s v="PRN-6490"/>
    <s v="B"/>
    <n v="804.01"/>
    <n v="1405.07"/>
    <n v="1405.07"/>
    <n v="9.6000000000000002E-2"/>
    <n v="9.6000000000000002E-2"/>
    <s v="Low"/>
    <n v="8"/>
    <n v="10161.46624"/>
    <n v="6432.08"/>
    <n v="3729.3862399999998"/>
    <n v="0.36701260939287439"/>
  </r>
  <r>
    <s v="ORD-2025-276968"/>
    <d v="2025-02-25T00:00:00"/>
    <d v="2025-02-25T00:00:00"/>
    <d v="2025-03-17T00:00:00"/>
    <d v="2025-03-17T00:00:00"/>
    <n v="20"/>
    <s v="Not Met"/>
    <s v="02-2025"/>
    <s v="Q1-2025"/>
    <d v="2023-01-13T00:00:00"/>
    <x v="0"/>
    <s v="Americas"/>
    <x v="6"/>
    <s v="San Francisco"/>
    <s v="San Francisco"/>
    <s v="Non-Profit"/>
    <s v="Marketplace"/>
    <s v="Marketplace"/>
    <s v="H. Kim"/>
    <s v="H. Kim"/>
    <s v="Phones"/>
    <s v="High"/>
    <s v="PHN-1044"/>
    <s v="B"/>
    <n v="1205.26"/>
    <n v="1696.35"/>
    <n v="1696.35"/>
    <n v="1.9E-2"/>
    <n v="1.9E-2"/>
    <s v="Low"/>
    <n v="6"/>
    <n v="9984.7160999999978"/>
    <n v="7231.5599999999995"/>
    <n v="2753.1560999999983"/>
    <n v="0.27573704374028213"/>
  </r>
  <r>
    <s v="ORD-2024-389102"/>
    <d v="2024-06-15T00:00:00"/>
    <d v="2024-06-15T00:00:00"/>
    <d v="2024-07-06T00:00:00"/>
    <d v="2024-07-06T00:00:00"/>
    <n v="21"/>
    <s v="Not Met"/>
    <s v="06-2024"/>
    <s v="Q2-2024"/>
    <d v="2023-01-02T00:00:00"/>
    <x v="0"/>
    <s v="Americas"/>
    <x v="0"/>
    <s v="Toronto"/>
    <s v="Toronto"/>
    <s v="Enterprise"/>
    <s v="Distributor"/>
    <s v="Distributor"/>
    <s v="L. Okafor"/>
    <s v="L. Okafor"/>
    <s v="Printers"/>
    <s v="Medium"/>
    <s v="PRN-4453"/>
    <s v="B"/>
    <n v="817.23"/>
    <n v="1467.17"/>
    <n v="1467.17"/>
    <n v="0.245"/>
    <n v="0.245"/>
    <s v="High"/>
    <n v="9"/>
    <n v="9969.4201499999999"/>
    <n v="7355.07"/>
    <n v="2614.3501500000002"/>
    <n v="0.26223693160328893"/>
  </r>
  <r>
    <s v="ORD-2023-166668"/>
    <d v="2023-10-05T00:00:00"/>
    <d v="2023-10-05T00:00:00"/>
    <d v="2023-10-31T00:00:00"/>
    <d v="2023-10-31T00:00:00"/>
    <n v="26"/>
    <s v="Not Met"/>
    <s v="10-2023"/>
    <s v="Q4-2023"/>
    <d v="2023-01-12T00:00:00"/>
    <x v="0"/>
    <s v="Asia"/>
    <x v="10"/>
    <s v="Shanghai"/>
    <s v="Shanghai"/>
    <s v="Consumer"/>
    <m/>
    <s v="Marketplace"/>
    <s v="J. Njeri"/>
    <s v="J. Njeri"/>
    <s v="Printers"/>
    <s v="Medium"/>
    <s v="PRN-6520"/>
    <s v="B"/>
    <n v="649.91"/>
    <n v="1360.12"/>
    <n v="1360.12"/>
    <n v="0.19400000000000001"/>
    <n v="0.19400000000000001"/>
    <s v="Low"/>
    <n v="9"/>
    <n v="9866.3104799999983"/>
    <n v="5849.19"/>
    <n v="4017.1204799999987"/>
    <n v="0.40715528749506769"/>
  </r>
  <r>
    <s v="ORD-2023-884192"/>
    <d v="2023-01-10T00:00:00"/>
    <d v="2023-01-10T00:00:00"/>
    <d v="2023-01-29T00:00:00"/>
    <d v="2023-01-29T00:00:00"/>
    <n v="19"/>
    <s v="Not Met"/>
    <s v="01-2023"/>
    <s v="Q1-2023"/>
    <d v="2023-01-10T00:00:00"/>
    <x v="0"/>
    <s v="Europe"/>
    <x v="11"/>
    <s v="Lyon"/>
    <s v="Lyon"/>
    <s v="Non-Profit"/>
    <s v="Direct"/>
    <s v="Direct"/>
    <s v="D. Smith"/>
    <s v="D. Smith"/>
    <s v="Laptops"/>
    <s v="Low"/>
    <s v="LAP-4551"/>
    <s v="B"/>
    <n v="401.66"/>
    <n v="772.09"/>
    <n v="772.09"/>
    <n v="8.8999999999999996E-2"/>
    <n v="8.8999999999999996E-2"/>
    <s v="Low"/>
    <n v="14"/>
    <n v="9847.2358600000007"/>
    <n v="5623.2400000000007"/>
    <n v="4223.99586"/>
    <n v="0.42895244107619046"/>
  </r>
  <r>
    <s v="ORD-2023-144816"/>
    <d v="2023-05-07T00:00:00"/>
    <d v="2023-05-07T00:00:00"/>
    <d v="2023-05-29T00:00:00"/>
    <d v="2023-05-29T00:00:00"/>
    <n v="22"/>
    <s v="Not Met"/>
    <s v="05-2023"/>
    <s v="Q2-2023"/>
    <d v="2023-01-07T00:00:00"/>
    <x v="0"/>
    <s v="Africa"/>
    <x v="8"/>
    <s v="Durban"/>
    <s v="Durban"/>
    <s v="Education"/>
    <s v="Distributor"/>
    <s v="Distributor"/>
    <s v="K. Singh"/>
    <s v="K. Singh"/>
    <s v="Accessories"/>
    <s v="Medium"/>
    <s v="ACC-2364"/>
    <s v="B"/>
    <n v="653.86"/>
    <n v="931.84"/>
    <n v="931.84"/>
    <n v="0.121"/>
    <n v="0.121"/>
    <s v="Low"/>
    <n v="12"/>
    <n v="9829.0483199999999"/>
    <n v="7846.32"/>
    <n v="1982.7283200000002"/>
    <n v="0.20172129136506273"/>
  </r>
  <r>
    <s v="ORD-2024-402240"/>
    <d v="2024-05-01T00:00:00"/>
    <d v="2024-05-01T00:00:00"/>
    <d v="2024-05-26T00:00:00"/>
    <d v="2024-05-26T00:00:00"/>
    <n v="25"/>
    <s v="Not Met"/>
    <s v="05-2024"/>
    <s v="Q2-2024"/>
    <d v="2023-01-21T00:00:00"/>
    <x v="0"/>
    <s v="Europe"/>
    <x v="4"/>
    <s v="Berlin"/>
    <s v="Berlin"/>
    <s v="Non-Profit"/>
    <s v="Retail"/>
    <s v="Retail"/>
    <s v="B. Chen"/>
    <s v="B. Chen"/>
    <s v="Networking"/>
    <s v="Medium"/>
    <s v="NET-4228"/>
    <s v="B"/>
    <n v="930.71"/>
    <n v="1625.42"/>
    <n v="1625.42"/>
    <n v="0.13800000000000001"/>
    <n v="0.13800000000000001"/>
    <s v="Low"/>
    <n v="7"/>
    <n v="9807.7842799999999"/>
    <n v="6514.97"/>
    <n v="3292.8142799999996"/>
    <n v="0.33573477821231196"/>
  </r>
  <r>
    <s v="ORD-2024-170313"/>
    <d v="2024-12-27T00:00:00"/>
    <d v="2024-12-27T00:00:00"/>
    <d v="2025-01-15T00:00:00"/>
    <d v="2025-01-15T00:00:00"/>
    <n v="19"/>
    <s v="Not Met"/>
    <s v="12-2024"/>
    <s v="Q4-2024"/>
    <d v="2023-01-29T00:00:00"/>
    <x v="0"/>
    <s v="Asia"/>
    <x v="3"/>
    <s v="Delhi"/>
    <s v="Delhi"/>
    <s v="Non-Profit"/>
    <s v="Distributor"/>
    <s v="Distributor"/>
    <s v="G. Dubois"/>
    <s v="G. Dubois"/>
    <s v="Components"/>
    <s v="Low"/>
    <s v="CMP-6919"/>
    <s v="B"/>
    <n v="495.59"/>
    <n v="631.78"/>
    <n v="631.78"/>
    <n v="8.6999999999999994E-2"/>
    <n v="8.6999999999999994E-2"/>
    <s v="Low"/>
    <n v="17"/>
    <n v="9805.8573800000013"/>
    <n v="8425.0299999999988"/>
    <n v="1380.8273800000024"/>
    <n v="0.14081658813601899"/>
  </r>
  <r>
    <s v="ORD-2024-544865"/>
    <d v="2024-02-16T00:00:00"/>
    <d v="2024-02-16T00:00:00"/>
    <d v="2024-03-04T00:00:00"/>
    <d v="2024-03-04T00:00:00"/>
    <n v="17"/>
    <s v="Not Met"/>
    <s v="02-2024"/>
    <s v="Q1-2024"/>
    <d v="2023-01-02T00:00:00"/>
    <x v="0"/>
    <s v="Americas"/>
    <x v="0"/>
    <s v="Montreal"/>
    <s v="Montreal"/>
    <s v="Non-Profit"/>
    <s v="Retail"/>
    <s v="Retail"/>
    <s v="D. Smith"/>
    <s v="D. Smith"/>
    <s v="Laptops"/>
    <s v="High"/>
    <s v="LAP-2774"/>
    <s v="B"/>
    <n v="1350.98"/>
    <n v="2210.4"/>
    <n v="2210.4"/>
    <n v="0.26300000000000001"/>
    <n v="0.26300000000000001"/>
    <s v="High"/>
    <n v="6"/>
    <n v="9774.3888000000006"/>
    <n v="8105.88"/>
    <n v="1668.5088000000005"/>
    <n v="0.17070211080615091"/>
  </r>
  <r>
    <s v="ORD-2023-580751"/>
    <d v="2023-12-24T00:00:00"/>
    <d v="2023-12-24T00:00:00"/>
    <d v="2024-01-13T00:00:00"/>
    <d v="2024-01-13T00:00:00"/>
    <n v="20"/>
    <s v="Not Met"/>
    <s v="12-2023"/>
    <s v="Q4-2023"/>
    <d v="2023-03-03T00:00:00"/>
    <x v="1"/>
    <s v="Asia"/>
    <x v="7"/>
    <s v="Nagoya"/>
    <s v="Nagoya"/>
    <s v="Education"/>
    <s v="Direct"/>
    <s v="Direct"/>
    <s v="B. Chen"/>
    <s v="B. Chen"/>
    <s v="Laptops"/>
    <s v="Medium"/>
    <s v="LAP-1946"/>
    <s v="B"/>
    <n v="625.37"/>
    <n v="1319.04"/>
    <n v="1319.04"/>
    <n v="7.3999999999999996E-2"/>
    <n v="7.3999999999999996E-2"/>
    <s v="Low"/>
    <n v="8"/>
    <n v="9771.4483199999995"/>
    <n v="5002.96"/>
    <n v="4768.4883199999995"/>
    <n v="0.48800220436513547"/>
  </r>
  <r>
    <s v="ORD-2024-836421"/>
    <d v="2024-12-14T00:00:00"/>
    <d v="2024-12-14T00:00:00"/>
    <d v="2025-01-12T00:00:00"/>
    <d v="2025-01-12T00:00:00"/>
    <n v="29"/>
    <s v="Not Met"/>
    <s v="12-2024"/>
    <s v="Q4-2024"/>
    <d v="2023-01-12T00:00:00"/>
    <x v="0"/>
    <s v="Asia"/>
    <x v="10"/>
    <s v="Shenzhen"/>
    <s v="Shenzhen"/>
    <s v="Education"/>
    <s v="Online"/>
    <s v="Online"/>
    <s v="J. Njeri"/>
    <s v="J. Njeri"/>
    <s v="Components"/>
    <s v="Medium"/>
    <s v="CMP-3720"/>
    <s v="B"/>
    <n v="1412.15"/>
    <n v="1631.04"/>
    <n v="1631.04"/>
    <n v="8.9999999999999993E-3"/>
    <n v="8.9999999999999993E-3"/>
    <s v="Low"/>
    <n v="6"/>
    <n v="9698.1638399999993"/>
    <n v="8472.9000000000015"/>
    <n v="1225.2638399999978"/>
    <n v="0.12633977526203535"/>
  </r>
  <r>
    <s v="ORD-2025-509940"/>
    <d v="2025-05-16T00:00:00"/>
    <d v="2025-05-16T00:00:00"/>
    <d v="2025-05-27T00:00:00"/>
    <d v="2025-05-27T00:00:00"/>
    <n v="11"/>
    <s v="Not Met"/>
    <s v="05-2025"/>
    <s v="Q2-2025"/>
    <d v="2023-01-12T00:00:00"/>
    <x v="0"/>
    <s v="Asia"/>
    <x v="10"/>
    <s v="Beijing"/>
    <s v="Beijing"/>
    <s v="Enterprise"/>
    <s v="Online"/>
    <s v="Online"/>
    <s v="F. Müller"/>
    <s v="F. Müller"/>
    <s v="Phones"/>
    <s v="Medium"/>
    <s v="PHN-3800"/>
    <s v="B"/>
    <n v="918.12"/>
    <n v="1337.69"/>
    <n v="1337.69"/>
    <n v="9.5000000000000001E-2"/>
    <n v="9.5000000000000001E-2"/>
    <s v="Low"/>
    <n v="8"/>
    <n v="9684.8756000000012"/>
    <n v="7344.96"/>
    <n v="2339.9156000000012"/>
    <n v="0.24160512707050164"/>
  </r>
  <r>
    <s v="ORD-2025-474710"/>
    <d v="2025-07-24T00:00:00"/>
    <d v="2025-07-24T00:00:00"/>
    <d v="2025-08-06T00:00:00"/>
    <d v="2025-08-06T00:00:00"/>
    <n v="13"/>
    <s v="Not Met"/>
    <s v="07-2025"/>
    <s v="Q3-2025"/>
    <d v="2023-01-07T00:00:00"/>
    <x v="0"/>
    <s v="Africa"/>
    <x v="8"/>
    <s v="Johannesburg"/>
    <s v="Johannesburg"/>
    <s v="Education"/>
    <s v="Marketplace"/>
    <s v="Marketplace"/>
    <s v="D. Smith"/>
    <s v="D. Smith"/>
    <s v="Networking"/>
    <s v="High"/>
    <s v="NET-7966"/>
    <s v="B"/>
    <n v="1463.9"/>
    <n v="2633.02"/>
    <n v="2633.02"/>
    <n v="8.4000000000000005E-2"/>
    <n v="8.4000000000000005E-2"/>
    <s v="Low"/>
    <n v="4"/>
    <n v="9647.3852800000004"/>
    <n v="5855.6"/>
    <n v="3791.7852800000001"/>
    <n v="0.39303761277791527"/>
  </r>
  <r>
    <s v="ORD-2025-254721"/>
    <d v="2025-05-15T00:00:00"/>
    <d v="2025-05-15T00:00:00"/>
    <d v="2025-06-05T00:00:00"/>
    <d v="2025-06-05T00:00:00"/>
    <n v="21"/>
    <s v="Not Met"/>
    <s v="05-2025"/>
    <s v="Q2-2025"/>
    <d v="2023-03-03T00:00:00"/>
    <x v="1"/>
    <s v="Asia"/>
    <x v="7"/>
    <s v="Osaka"/>
    <s v="Osaka"/>
    <s v="Enterprise"/>
    <s v="Direct"/>
    <s v="Direct"/>
    <s v="H. Kim"/>
    <s v="H. Kim"/>
    <s v="Phones"/>
    <s v="High"/>
    <s v="PHN-6480"/>
    <s v="B"/>
    <n v="1466.5"/>
    <n v="2778.74"/>
    <n v="2778.74"/>
    <n v="0.13500000000000001"/>
    <n v="0.13500000000000001"/>
    <s v="Low"/>
    <n v="4"/>
    <n v="9614.4403999999995"/>
    <n v="5866"/>
    <n v="3748.4403999999995"/>
    <n v="0.38987608680792279"/>
  </r>
  <r>
    <s v="ORD-2025-866565"/>
    <d v="2025-05-12T00:00:00"/>
    <d v="2025-05-12T00:00:00"/>
    <d v="2025-05-26T00:00:00"/>
    <d v="2025-05-26T00:00:00"/>
    <n v="14"/>
    <s v="Not Met"/>
    <s v="05-2025"/>
    <s v="Q2-2025"/>
    <d v="2023-01-29T00:00:00"/>
    <x v="0"/>
    <s v="Asia"/>
    <x v="3"/>
    <s v="Hyderabad"/>
    <s v="Hyderabad"/>
    <s v="Corporate"/>
    <s v="Marketplace"/>
    <s v="Marketplace"/>
    <s v="G. Dubois"/>
    <s v="G. Dubois"/>
    <s v="Printers"/>
    <s v="Low"/>
    <s v="PRN-8850"/>
    <s v="B"/>
    <n v="320.12"/>
    <n v="594.41999999999996"/>
    <n v="594.41999999999996"/>
    <n v="0.104"/>
    <n v="0.104"/>
    <s v="Low"/>
    <n v="18"/>
    <n v="9586.8057599999993"/>
    <n v="5762.16"/>
    <n v="3824.6457599999994"/>
    <n v="0.39894891538931104"/>
  </r>
  <r>
    <s v="ORD-2024-749242"/>
    <d v="2024-01-16T00:00:00"/>
    <d v="2024-01-16T00:00:00"/>
    <d v="2024-02-11T00:00:00"/>
    <d v="2024-02-11T00:00:00"/>
    <n v="26"/>
    <s v="Not Met"/>
    <s v="01-2024"/>
    <s v="Q1-2024"/>
    <d v="2023-01-21T00:00:00"/>
    <x v="0"/>
    <s v="Europe"/>
    <x v="4"/>
    <s v="Frankfurt"/>
    <s v="Frankfurt"/>
    <s v="Non-Profit"/>
    <s v="Distributor"/>
    <s v="Distributor"/>
    <s v="E. Garcia"/>
    <s v="E. Garcia"/>
    <s v="Monitors"/>
    <s v="Medium"/>
    <s v="MON-4195"/>
    <s v="B"/>
    <n v="504.93"/>
    <n v="819.06"/>
    <n v="819.06"/>
    <n v="0.22600000000000001"/>
    <n v="0.22600000000000001"/>
    <s v="High"/>
    <n v="15"/>
    <n v="9509.2865999999995"/>
    <n v="7573.95"/>
    <n v="1935.3365999999996"/>
    <n v="0.20352069312959814"/>
  </r>
  <r>
    <s v="ORD-2024-800947"/>
    <d v="2024-12-15T00:00:00"/>
    <d v="2024-12-15T00:00:00"/>
    <d v="2024-12-20T00:00:00"/>
    <d v="2024-12-20T00:00:00"/>
    <n v="5"/>
    <s v="Met"/>
    <s v="12-2024"/>
    <s v="Q4-2024"/>
    <d v="2023-01-12T00:00:00"/>
    <x v="0"/>
    <s v="Asia"/>
    <x v="10"/>
    <s v="Shenzhen"/>
    <s v="Shenzhen"/>
    <s v="Small Business"/>
    <s v="Direct"/>
    <s v="Direct"/>
    <s v="J. Njeri"/>
    <s v="J. Njeri"/>
    <s v="Networking"/>
    <s v="Low"/>
    <s v="NET-1846"/>
    <s v="B"/>
    <n v="717.55"/>
    <n v="546.42999999999995"/>
    <n v="546.42999999999995"/>
    <n v="4.7E-2"/>
    <n v="4.7E-2"/>
    <s v="Low"/>
    <n v="18"/>
    <n v="9373.460219999999"/>
    <n v="12915.9"/>
    <n v="3542.4397800000006"/>
    <n v="0.37792231437026369"/>
  </r>
  <r>
    <s v="ORD-2024-532184"/>
    <d v="2024-01-25T00:00:00"/>
    <d v="2024-01-25T00:00:00"/>
    <d v="2024-02-08T00:00:00"/>
    <d v="2024-02-08T00:00:00"/>
    <n v="14"/>
    <s v="Not Met"/>
    <s v="01-2024"/>
    <s v="Q1-2024"/>
    <d v="2023-03-03T00:00:00"/>
    <x v="1"/>
    <s v="Asia"/>
    <x v="7"/>
    <s v="Osaka"/>
    <s v="Osaka"/>
    <s v="Consumer"/>
    <s v="Marketplace"/>
    <s v="Marketplace"/>
    <s v="I. Johnson"/>
    <s v="I. Johnson"/>
    <s v="Networking"/>
    <s v="Medium"/>
    <s v="NET-9569"/>
    <s v="B"/>
    <n v="937.16"/>
    <n v="1069.77"/>
    <n v="1069.77"/>
    <n v="3.7999999999999999E-2"/>
    <n v="3.7999999999999999E-2"/>
    <s v="Low"/>
    <n v="9"/>
    <n v="9262.0686600000008"/>
    <n v="8434.44"/>
    <n v="827.62866000000031"/>
    <n v="8.9356783066645962E-2"/>
  </r>
  <r>
    <s v="ORD-2024-741404"/>
    <d v="2024-10-19T00:00:00"/>
    <d v="2024-10-19T00:00:00"/>
    <d v="2024-11-06T00:00:00"/>
    <d v="2024-11-06T00:00:00"/>
    <n v="18"/>
    <s v="Not Met"/>
    <s v="10-2024"/>
    <s v="Q4-2024"/>
    <d v="2023-01-13T00:00:00"/>
    <x v="0"/>
    <s v="Americas"/>
    <x v="6"/>
    <s v="Chicago"/>
    <s v="Chicago"/>
    <s v="Education"/>
    <m/>
    <s v="Direct"/>
    <s v="C. Otieno"/>
    <s v="C. Otieno"/>
    <s v="Monitors"/>
    <s v="Medium"/>
    <s v="MON-8129"/>
    <s v="B"/>
    <n v="942.02"/>
    <n v="1028.46"/>
    <n v="1028.46"/>
    <n v="0"/>
    <n v="0"/>
    <s v="Low"/>
    <n v="9"/>
    <n v="9256.14"/>
    <n v="8478.18"/>
    <n v="777.95999999999913"/>
    <n v="8.4047994088248354E-2"/>
  </r>
  <r>
    <s v="ORD-2023-913592"/>
    <d v="2023-05-10T00:00:00"/>
    <d v="2023-05-10T00:00:00"/>
    <d v="2023-05-14T00:00:00"/>
    <d v="2023-05-14T00:00:00"/>
    <n v="4"/>
    <s v="Met"/>
    <s v="05-2023"/>
    <s v="Q2-2023"/>
    <d v="2023-01-29T00:00:00"/>
    <x v="0"/>
    <s v="Asia"/>
    <x v="3"/>
    <s v="Delhi"/>
    <s v="Delhi"/>
    <s v="Non-Profit"/>
    <s v="Distributor"/>
    <s v="Distributor"/>
    <s v="C. Otieno"/>
    <s v="C. Otieno"/>
    <s v="Monitors"/>
    <s v="Medium"/>
    <s v="MON-2465"/>
    <s v="B"/>
    <n v="622.6"/>
    <n v="833.69"/>
    <n v="833.69"/>
    <n v="0.20899999999999999"/>
    <n v="0.20899999999999999"/>
    <s v="High"/>
    <n v="14"/>
    <n v="9232.2830599999998"/>
    <n v="8716.4"/>
    <n v="515.88306000000011"/>
    <n v="5.5878167582959715E-2"/>
  </r>
  <r>
    <s v="ORD-2023-363031"/>
    <d v="2023-05-06T00:00:00"/>
    <d v="2023-05-06T00:00:00"/>
    <d v="2023-05-14T00:00:00"/>
    <d v="2023-05-14T00:00:00"/>
    <n v="8"/>
    <s v="Not Met"/>
    <s v="05-2023"/>
    <s v="Q2-2023"/>
    <d v="2023-03-03T00:00:00"/>
    <x v="1"/>
    <s v="Asia"/>
    <x v="7"/>
    <s v="Osaka"/>
    <s v="Osaka"/>
    <s v="Enterprise"/>
    <s v="Marketplace"/>
    <s v="Marketplace"/>
    <s v="B. Chen"/>
    <s v="B. Chen"/>
    <s v="Phones"/>
    <s v="Low"/>
    <s v="PHN-6131"/>
    <s v="B"/>
    <n v="291.18"/>
    <n v="479.54"/>
    <n v="479.54"/>
    <n v="0.14099999999999999"/>
    <n v="0.14099999999999999"/>
    <s v="Low"/>
    <n v="22"/>
    <n v="9062.34692"/>
    <n v="6405.96"/>
    <n v="2656.3869199999999"/>
    <n v="0.29312350801066001"/>
  </r>
  <r>
    <s v="ORD-2023-727290"/>
    <d v="2023-04-03T00:00:00"/>
    <d v="2023-04-03T00:00:00"/>
    <d v="2023-04-16T00:00:00"/>
    <d v="2023-04-16T00:00:00"/>
    <n v="13"/>
    <s v="Not Met"/>
    <s v="04-2023"/>
    <s v="Q2-2023"/>
    <d v="2023-01-10T00:00:00"/>
    <x v="0"/>
    <s v="Europe"/>
    <x v="11"/>
    <s v="Marseille"/>
    <s v="Marseille"/>
    <s v="Non-Profit"/>
    <s v="Marketplace"/>
    <s v="Marketplace"/>
    <s v="M. Rossi"/>
    <s v="M. Rossi"/>
    <s v="Accessories"/>
    <s v="Low"/>
    <s v="ACC-4815"/>
    <s v="B"/>
    <n v="790.54"/>
    <n v="601.49"/>
    <n v="601.49"/>
    <n v="0"/>
    <n v="0"/>
    <s v="Low"/>
    <n v="15"/>
    <n v="9022.35"/>
    <n v="11858.099999999999"/>
    <n v="2835.7499999999982"/>
    <n v="0.31430281467688553"/>
  </r>
  <r>
    <s v="ORD-2024-647473"/>
    <d v="2024-02-17T00:00:00"/>
    <d v="2024-02-17T00:00:00"/>
    <d v="2024-03-04T00:00:00"/>
    <d v="2024-03-04T00:00:00"/>
    <n v="16"/>
    <s v="Not Met"/>
    <s v="02-2024"/>
    <s v="Q1-2024"/>
    <d v="2023-01-29T00:00:00"/>
    <x v="0"/>
    <s v="Asia"/>
    <x v="3"/>
    <s v="Delhi"/>
    <s v="Delhi"/>
    <s v="Small Business"/>
    <s v="Marketplace"/>
    <s v="Marketplace"/>
    <s v="F. Müller"/>
    <s v="F. Müller"/>
    <s v="Phones"/>
    <s v="High"/>
    <s v="PHN-1717"/>
    <s v="B"/>
    <n v="1231.8"/>
    <n v="2015.99"/>
    <n v="2015.99"/>
    <n v="0.26100000000000001"/>
    <n v="0.26100000000000001"/>
    <s v="High"/>
    <n v="6"/>
    <n v="8938.8996600000009"/>
    <n v="7390.7999999999993"/>
    <n v="1548.0996600000017"/>
    <n v="0.17318682599464391"/>
  </r>
  <r>
    <s v="ORD-2023-809913"/>
    <d v="2023-04-21T00:00:00"/>
    <d v="2023-04-21T00:00:00"/>
    <d v="2023-05-10T00:00:00"/>
    <d v="2023-05-10T00:00:00"/>
    <n v="19"/>
    <s v="Not Met"/>
    <s v="04-2023"/>
    <s v="Q2-2023"/>
    <d v="2023-01-12T00:00:00"/>
    <x v="0"/>
    <s v="Asia"/>
    <x v="10"/>
    <s v="Shanghai"/>
    <s v="Shanghai"/>
    <s v="Corporate"/>
    <s v="Retail"/>
    <s v="Retail"/>
    <s v="A. Patel"/>
    <s v="A. Patel"/>
    <s v="Components"/>
    <s v="High"/>
    <s v="CMP-7371"/>
    <s v="B"/>
    <n v="882.33"/>
    <n v="1880.15"/>
    <n v="1880.15"/>
    <n v="0.05"/>
    <n v="0.05"/>
    <s v="Low"/>
    <n v="5"/>
    <n v="8930.7124999999996"/>
    <n v="4411.6500000000005"/>
    <n v="4519.0624999999991"/>
    <n v="0.50601365792482955"/>
  </r>
  <r>
    <s v="ORD-2023-450877"/>
    <d v="2023-09-21T00:00:00"/>
    <d v="2023-09-21T00:00:00"/>
    <d v="2023-10-10T00:00:00"/>
    <d v="2023-10-10T00:00:00"/>
    <n v="19"/>
    <s v="Not Met"/>
    <s v="09-2023"/>
    <s v="Q3-2023"/>
    <d v="2023-03-03T00:00:00"/>
    <x v="1"/>
    <s v="Asia"/>
    <x v="7"/>
    <s v="Tokyo"/>
    <s v="Tokyo"/>
    <s v="Education"/>
    <s v="Online"/>
    <s v="Online"/>
    <s v="D. Smith"/>
    <s v="D. Smith"/>
    <s v="Components"/>
    <s v="High"/>
    <s v="CMP-5211"/>
    <s v="B"/>
    <n v="845.63"/>
    <n v="2062.12"/>
    <n v="2062.12"/>
    <n v="0.13400000000000001"/>
    <n v="0.13400000000000001"/>
    <s v="Low"/>
    <n v="5"/>
    <n v="8928.9795999999988"/>
    <n v="4228.1499999999996"/>
    <n v="4700.8295999999991"/>
    <n v="0.52646884757133949"/>
  </r>
  <r>
    <s v="ORD-2023-883066"/>
    <d v="2023-08-12T00:00:00"/>
    <d v="2023-08-12T00:00:00"/>
    <d v="2023-09-06T00:00:00"/>
    <d v="2023-09-06T00:00:00"/>
    <n v="25"/>
    <s v="Not Met"/>
    <s v="08-2023"/>
    <s v="Q3-2023"/>
    <d v="2023-01-12T00:00:00"/>
    <x v="0"/>
    <s v="Asia"/>
    <x v="10"/>
    <s v="Shanghai"/>
    <s v="Shanghai"/>
    <s v="Small Business"/>
    <s v="Retail"/>
    <s v="Retail"/>
    <s v="B. Chen"/>
    <s v="B. Chen"/>
    <s v="Components"/>
    <s v="Low"/>
    <s v="CMP-6352"/>
    <s v="B"/>
    <n v="950.77"/>
    <n v="694.78"/>
    <n v="694.78"/>
    <n v="8.4000000000000005E-2"/>
    <n v="8.4000000000000005E-2"/>
    <s v="Low"/>
    <n v="14"/>
    <n v="8909.8587200000002"/>
    <n v="13310.779999999999"/>
    <n v="4400.9212799999987"/>
    <n v="0.49393839097821279"/>
  </r>
  <r>
    <s v="ORD-2024-136321"/>
    <d v="2024-08-07T00:00:00"/>
    <d v="2024-08-07T00:00:00"/>
    <d v="2024-08-17T00:00:00"/>
    <d v="2024-08-17T00:00:00"/>
    <n v="10"/>
    <s v="Not Met"/>
    <s v="08-2024"/>
    <s v="Q3-2024"/>
    <d v="2023-03-03T00:00:00"/>
    <x v="1"/>
    <s v="Asia"/>
    <x v="7"/>
    <s v="Osaka"/>
    <s v="Osaka"/>
    <s v="Consumer"/>
    <s v="Online"/>
    <s v="Online"/>
    <s v="K. Singh"/>
    <s v="K. Singh"/>
    <s v="Networking"/>
    <s v="Low"/>
    <s v="NET-7924"/>
    <s v="B"/>
    <n v="436.58"/>
    <n v="527.48"/>
    <n v="527.48"/>
    <n v="0.111"/>
    <n v="0.111"/>
    <s v="Low"/>
    <n v="19"/>
    <n v="8909.6646800000017"/>
    <n v="8295.02"/>
    <n v="614.64468000000124"/>
    <n v="6.8986286473802644E-2"/>
  </r>
  <r>
    <s v="ORD-2023-211715"/>
    <d v="2023-10-30T00:00:00"/>
    <d v="2023-10-30T00:00:00"/>
    <d v="2023-11-14T00:00:00"/>
    <d v="2023-11-14T00:00:00"/>
    <n v="15"/>
    <s v="Not Met"/>
    <s v="10-2023"/>
    <s v="Q4-2023"/>
    <d v="2023-01-29T00:00:00"/>
    <x v="0"/>
    <s v="Asia"/>
    <x v="3"/>
    <s v="Bengaluru"/>
    <s v="Bengaluru"/>
    <s v="Corporate"/>
    <s v="Online"/>
    <s v="Online"/>
    <s v="F. Müller"/>
    <s v="F. Müller"/>
    <s v="Laptops"/>
    <s v="High"/>
    <s v="LAP-2378"/>
    <s v="B"/>
    <n v="953.46"/>
    <n v="2066.75"/>
    <n v="2066.75"/>
    <n v="0.13800000000000001"/>
    <n v="0.13800000000000001"/>
    <s v="Low"/>
    <n v="5"/>
    <n v="8907.6924999999992"/>
    <n v="4767.3"/>
    <n v="4140.392499999999"/>
    <n v="0.46481089238318446"/>
  </r>
  <r>
    <s v="ORD-2025-487025"/>
    <d v="2025-04-11T00:00:00"/>
    <d v="2025-04-11T00:00:00"/>
    <d v="2025-05-04T00:00:00"/>
    <d v="2025-05-04T00:00:00"/>
    <n v="23"/>
    <s v="Not Met"/>
    <s v="04-2025"/>
    <s v="Q2-2025"/>
    <d v="2023-03-03T00:00:00"/>
    <x v="1"/>
    <s v="Asia"/>
    <x v="7"/>
    <s v="Osaka"/>
    <s v="Osaka"/>
    <s v="Small Business"/>
    <s v="Online"/>
    <s v="Online"/>
    <s v="M. Rossi"/>
    <s v="M. Rossi"/>
    <s v="Components"/>
    <s v="Medium"/>
    <s v="CMP-3743"/>
    <s v="B"/>
    <n v="786.2"/>
    <n v="1075.3"/>
    <n v="1075.3"/>
    <n v="0.08"/>
    <n v="0.08"/>
    <s v="Low"/>
    <n v="9"/>
    <n v="8903.4839999999986"/>
    <n v="7075.8"/>
    <n v="1827.6839999999984"/>
    <n v="0.20527739478163815"/>
  </r>
  <r>
    <s v="ORD-2025-231184"/>
    <d v="2025-06-01T00:00:00"/>
    <d v="2025-06-01T00:00:00"/>
    <d v="2025-06-06T00:00:00"/>
    <d v="2025-06-06T00:00:00"/>
    <n v="5"/>
    <s v="Met"/>
    <s v="06-2025"/>
    <s v="Q2-2025"/>
    <d v="2023-01-10T00:00:00"/>
    <x v="0"/>
    <s v="Europe"/>
    <x v="11"/>
    <s v="Paris"/>
    <s v="Paris"/>
    <s v="Consumer"/>
    <s v="Distributor"/>
    <s v="Distributor"/>
    <s v="G. Dubois"/>
    <s v="G. Dubois"/>
    <s v="Components"/>
    <s v="Low"/>
    <s v="CMP-4093"/>
    <s v="B"/>
    <n v="379.45"/>
    <n v="742.23"/>
    <n v="742.23"/>
    <n v="0.09"/>
    <n v="0.09"/>
    <s v="Low"/>
    <n v="13"/>
    <n v="8780.5809000000008"/>
    <n v="4932.8499999999995"/>
    <n v="3847.7309000000014"/>
    <n v="0.43820915083192286"/>
  </r>
  <r>
    <s v="ORD-2025-737787"/>
    <d v="2025-09-14T00:00:00"/>
    <d v="2025-09-14T00:00:00"/>
    <d v="2025-09-26T00:00:00"/>
    <d v="2025-09-26T00:00:00"/>
    <n v="12"/>
    <s v="Not Met"/>
    <s v="09-2025"/>
    <s v="Q3-2025"/>
    <d v="2023-01-19T00:00:00"/>
    <x v="0"/>
    <s v="Europe"/>
    <x v="1"/>
    <s v="London"/>
    <s v="London"/>
    <s v="Small Business"/>
    <s v="Direct"/>
    <s v="Direct"/>
    <s v="N. Brown"/>
    <s v="N. Brown"/>
    <s v="Networking"/>
    <s v="Medium"/>
    <s v="NET-9003"/>
    <s v="B"/>
    <n v="425.15"/>
    <n v="885.92"/>
    <n v="885.92"/>
    <n v="0.23899999999999999"/>
    <n v="0.23899999999999999"/>
    <s v="High"/>
    <n v="13"/>
    <n v="8764.4065599999994"/>
    <n v="5526.95"/>
    <n v="3237.4565599999996"/>
    <n v="0.3693868532725848"/>
  </r>
  <r>
    <s v="ORD-2023-197661"/>
    <d v="2023-08-08T00:00:00"/>
    <d v="2023-08-08T00:00:00"/>
    <d v="2023-08-22T00:00:00"/>
    <d v="2023-08-22T00:00:00"/>
    <n v="14"/>
    <s v="Not Met"/>
    <s v="08-2023"/>
    <s v="Q3-2023"/>
    <d v="2023-01-19T00:00:00"/>
    <x v="0"/>
    <s v="Europe"/>
    <x v="1"/>
    <s v="Birmingham"/>
    <s v="Birmingham"/>
    <s v="Non-Profit"/>
    <s v="Direct"/>
    <s v="Direct"/>
    <s v="N. Brown"/>
    <s v="N. Brown"/>
    <s v="Monitors"/>
    <s v="Medium"/>
    <s v="MON-7511"/>
    <s v="B"/>
    <n v="446.69"/>
    <n v="967.25"/>
    <n v="967.25"/>
    <n v="9.4E-2"/>
    <n v="9.4E-2"/>
    <s v="Low"/>
    <n v="10"/>
    <n v="8763.2849999999999"/>
    <n v="4466.8999999999996"/>
    <n v="4296.3850000000002"/>
    <n v="0.49027105702941309"/>
  </r>
  <r>
    <s v="ORD-2023-334213"/>
    <d v="2023-08-19T00:00:00"/>
    <d v="2023-08-19T00:00:00"/>
    <d v="2023-08-23T00:00:00"/>
    <d v="2023-08-23T00:00:00"/>
    <n v="4"/>
    <s v="Met"/>
    <s v="08-2023"/>
    <s v="Q3-2023"/>
    <d v="2023-01-13T00:00:00"/>
    <x v="0"/>
    <s v="Africa"/>
    <x v="2"/>
    <s v="Abuja"/>
    <s v="Abuja"/>
    <s v="Small Business"/>
    <s v="Online"/>
    <s v="Online"/>
    <s v="J. Njeri"/>
    <s v="J. Njeri"/>
    <s v="Monitors"/>
    <s v="Medium"/>
    <s v="MON-5517"/>
    <s v="B"/>
    <n v="790.63"/>
    <n v="1382.31"/>
    <n v="1382.31"/>
    <n v="0.10100000000000001"/>
    <n v="0.10100000000000001"/>
    <s v="Low"/>
    <n v="7"/>
    <n v="8698.8768300000011"/>
    <n v="5534.41"/>
    <n v="3164.4668300000012"/>
    <n v="0.36377878338116448"/>
  </r>
  <r>
    <s v="ORD-2023-749324"/>
    <d v="2023-08-19T00:00:00"/>
    <d v="2023-08-19T00:00:00"/>
    <d v="2023-09-07T00:00:00"/>
    <d v="2023-09-07T00:00:00"/>
    <n v="19"/>
    <s v="Not Met"/>
    <s v="08-2023"/>
    <s v="Q3-2023"/>
    <d v="2023-01-07T00:00:00"/>
    <x v="0"/>
    <s v="Africa"/>
    <x v="8"/>
    <s v="Johannesburg"/>
    <s v="Johannesburg"/>
    <s v="Enterprise"/>
    <s v="Retail"/>
    <s v="Retail"/>
    <s v="D. Smith"/>
    <s v="D. Smith"/>
    <s v="Monitors"/>
    <s v="Low"/>
    <s v="MON-2296"/>
    <s v="B"/>
    <n v="494.61"/>
    <n v="605.23"/>
    <n v="605.23"/>
    <n v="0.20399999999999999"/>
    <n v="0.20399999999999999"/>
    <s v="High"/>
    <n v="18"/>
    <n v="8671.7354400000004"/>
    <n v="8902.98"/>
    <n v="231.24455999999918"/>
    <n v="2.6666468505639647E-2"/>
  </r>
  <r>
    <s v="ORD-2023-406606"/>
    <d v="2023-10-25T00:00:00"/>
    <d v="2023-10-25T00:00:00"/>
    <d v="2023-10-28T00:00:00"/>
    <d v="2023-10-28T00:00:00"/>
    <n v="3"/>
    <s v="Met"/>
    <s v="10-2023"/>
    <s v="Q4-2023"/>
    <d v="2023-01-29T00:00:00"/>
    <x v="0"/>
    <s v="Americas"/>
    <x v="9"/>
    <s v="Brasília"/>
    <s v="Brasília"/>
    <s v="Corporate"/>
    <s v="Distributor"/>
    <s v="Distributor"/>
    <s v="L. Okafor"/>
    <s v="L. Okafor"/>
    <s v="Accessories"/>
    <s v="Medium"/>
    <s v="ACC-2867"/>
    <s v="B"/>
    <n v="509.31"/>
    <n v="1145.9000000000001"/>
    <n v="1145.9000000000001"/>
    <n v="5.7000000000000002E-2"/>
    <n v="5.7000000000000002E-2"/>
    <s v="Low"/>
    <n v="8"/>
    <n v="8644.6696000000011"/>
    <n v="4074.48"/>
    <n v="4570.1896000000015"/>
    <n v="0.52867140231709964"/>
  </r>
  <r>
    <s v="ORD-2025-331237"/>
    <d v="2025-03-24T00:00:00"/>
    <d v="2025-03-24T00:00:00"/>
    <d v="2025-03-25T00:00:00"/>
    <d v="2025-03-25T00:00:00"/>
    <n v="1"/>
    <s v="Met"/>
    <s v="03-2025"/>
    <s v="Q1-2025"/>
    <d v="2023-01-12T00:00:00"/>
    <x v="0"/>
    <s v="Asia"/>
    <x v="10"/>
    <s v="Beijing"/>
    <s v="Beijing"/>
    <s v="Non-Profit"/>
    <s v="Online"/>
    <s v="Online"/>
    <s v="G. Dubois"/>
    <s v="G. Dubois"/>
    <s v="Networking"/>
    <s v="High"/>
    <s v="NET-8329"/>
    <s v="B"/>
    <n v="1133.03"/>
    <n v="1921.51"/>
    <n v="1921.51"/>
    <n v="0.10100000000000001"/>
    <n v="0.10100000000000001"/>
    <s v="Low"/>
    <n v="5"/>
    <n v="8637.1874499999994"/>
    <n v="5665.15"/>
    <n v="2972.0374499999998"/>
    <n v="0.3440978289755654"/>
  </r>
  <r>
    <s v="ORD-2024-215294"/>
    <d v="2024-06-30T00:00:00"/>
    <d v="2024-06-30T00:00:00"/>
    <d v="2024-07-14T00:00:00"/>
    <d v="2024-07-14T00:00:00"/>
    <n v="14"/>
    <s v="Not Met"/>
    <s v="06-2024"/>
    <s v="Q2-2024"/>
    <d v="2023-01-29T00:00:00"/>
    <x v="0"/>
    <s v="Americas"/>
    <x v="9"/>
    <s v="Brasília"/>
    <s v="Brasília"/>
    <s v="Education"/>
    <s v="Retail"/>
    <s v="Retail"/>
    <s v="C. Otieno"/>
    <s v="C. Otieno"/>
    <s v="Accessories"/>
    <s v="High"/>
    <s v="ACC-8683"/>
    <s v="B"/>
    <n v="1491.85"/>
    <n v="2583.02"/>
    <n v="2583.02"/>
    <n v="0.16800000000000001"/>
    <n v="0.16800000000000001"/>
    <s v="Low"/>
    <n v="4"/>
    <n v="8596.2905599999995"/>
    <n v="5967.4"/>
    <n v="2628.8905599999998"/>
    <n v="0.30581685689321325"/>
  </r>
  <r>
    <s v="ORD-2024-503082"/>
    <d v="2024-05-19T00:00:00"/>
    <d v="2024-05-19T00:00:00"/>
    <d v="2024-06-08T00:00:00"/>
    <d v="2024-06-08T00:00:00"/>
    <n v="20"/>
    <s v="Not Met"/>
    <s v="05-2024"/>
    <s v="Q2-2024"/>
    <d v="2023-01-29T00:00:00"/>
    <x v="0"/>
    <s v="Americas"/>
    <x v="9"/>
    <s v="Brasília"/>
    <s v="Brasília"/>
    <s v="Small Business"/>
    <s v="Retail"/>
    <s v="Retail"/>
    <s v="E. Garcia"/>
    <s v="E. Garcia"/>
    <s v="Monitors"/>
    <s v="Medium"/>
    <s v="MON-4271"/>
    <s v="B"/>
    <n v="1075.9000000000001"/>
    <n v="1242.1500000000001"/>
    <n v="1242.1500000000001"/>
    <n v="1.2E-2"/>
    <n v="1.2E-2"/>
    <s v="Low"/>
    <n v="7"/>
    <n v="8590.7094000000016"/>
    <n v="7531.3000000000011"/>
    <n v="1059.4094000000005"/>
    <n v="0.12332036280961853"/>
  </r>
  <r>
    <s v="ORD-2024-499009"/>
    <d v="2024-01-25T00:00:00"/>
    <d v="2024-01-25T00:00:00"/>
    <d v="2024-01-27T00:00:00"/>
    <d v="2024-01-27T00:00:00"/>
    <n v="2"/>
    <s v="Met"/>
    <s v="01-2024"/>
    <s v="Q1-2024"/>
    <d v="2023-01-29T00:00:00"/>
    <x v="0"/>
    <s v="Americas"/>
    <x v="9"/>
    <s v="São Paulo"/>
    <s v="São Paulo"/>
    <s v="Non-Profit"/>
    <s v="Marketplace"/>
    <s v="Marketplace"/>
    <s v="N. Brown"/>
    <s v="N. Brown"/>
    <s v="Laptops"/>
    <s v="High"/>
    <s v="LAP-7056"/>
    <s v="B"/>
    <n v="1410.97"/>
    <n v="1650.75"/>
    <n v="1650.75"/>
    <n v="0.13500000000000001"/>
    <n v="0.13500000000000001"/>
    <s v="Low"/>
    <n v="6"/>
    <n v="8567.3924999999999"/>
    <n v="8465.82"/>
    <n v="101.57250000000022"/>
    <n v="1.1855707556295596E-2"/>
  </r>
  <r>
    <s v="ORD-2023-356427"/>
    <d v="2023-04-13T00:00:00"/>
    <d v="2023-04-13T00:00:00"/>
    <d v="2023-05-02T00:00:00"/>
    <d v="2023-05-02T00:00:00"/>
    <n v="19"/>
    <s v="Not Met"/>
    <s v="04-2023"/>
    <s v="Q2-2023"/>
    <d v="2023-01-02T00:00:00"/>
    <x v="0"/>
    <s v="Americas"/>
    <x v="0"/>
    <s v="Montreal"/>
    <s v="Montreal"/>
    <s v="Consumer"/>
    <s v="Distributor"/>
    <s v="Distributor"/>
    <s v="E. Garcia"/>
    <s v="E. Garcia"/>
    <s v="Monitors"/>
    <s v="High"/>
    <s v="MON-6053"/>
    <s v="B"/>
    <n v="671.05"/>
    <n v="1645.48"/>
    <n v="1645.48"/>
    <n v="0.13700000000000001"/>
    <n v="0.13700000000000001"/>
    <s v="Low"/>
    <n v="6"/>
    <n v="8520.2954399999999"/>
    <n v="4026.2999999999997"/>
    <n v="4493.9954400000006"/>
    <n v="0.52744596377517172"/>
  </r>
  <r>
    <s v="ORD-2025-856556"/>
    <d v="2025-06-15T00:00:00"/>
    <d v="2025-06-15T00:00:00"/>
    <d v="2025-07-12T00:00:00"/>
    <d v="2025-07-12T00:00:00"/>
    <n v="27"/>
    <s v="Not Met"/>
    <s v="06-2025"/>
    <s v="Q2-2025"/>
    <d v="2023-01-10T00:00:00"/>
    <x v="0"/>
    <s v="Europe"/>
    <x v="11"/>
    <s v="Marseille"/>
    <s v="Marseille"/>
    <s v="Consumer"/>
    <s v="Direct"/>
    <s v="Direct"/>
    <s v="C. Otieno"/>
    <s v="C. Otieno"/>
    <s v="Accessories"/>
    <s v="Low"/>
    <s v="ACC-7906"/>
    <s v="B"/>
    <n v="318.83"/>
    <n v="699.5"/>
    <n v="699.5"/>
    <n v="0.08"/>
    <n v="0.08"/>
    <s v="Low"/>
    <n v="13"/>
    <n v="8366.02"/>
    <n v="4144.79"/>
    <n v="4221.2300000000005"/>
    <n v="0.50456848059172699"/>
  </r>
  <r>
    <s v="ORD-2023-575584"/>
    <d v="2023-01-30T00:00:00"/>
    <d v="2023-01-30T00:00:00"/>
    <d v="2023-02-21T00:00:00"/>
    <d v="2023-02-21T00:00:00"/>
    <n v="22"/>
    <s v="Not Met"/>
    <s v="01-2023"/>
    <s v="Q1-2023"/>
    <d v="2023-01-21T00:00:00"/>
    <x v="0"/>
    <s v="Europe"/>
    <x v="4"/>
    <s v="Munich"/>
    <s v="Munich"/>
    <s v="Small Business"/>
    <s v="Marketplace"/>
    <s v="Marketplace"/>
    <s v="G. Dubois"/>
    <s v="G. Dubois"/>
    <s v="Networking"/>
    <s v="Medium"/>
    <s v="NET-3460"/>
    <s v="B"/>
    <n v="1142.8800000000001"/>
    <n v="1465.29"/>
    <n v="1465.29"/>
    <n v="0.186"/>
    <n v="0.186"/>
    <s v="Low"/>
    <n v="7"/>
    <n v="8349.2224200000001"/>
    <n v="8000.1600000000008"/>
    <n v="349.06241999999929"/>
    <n v="4.1807775915017401E-2"/>
  </r>
  <r>
    <s v="ORD-2023-430904"/>
    <d v="2023-01-27T00:00:00"/>
    <d v="2023-01-27T00:00:00"/>
    <d v="2023-01-31T00:00:00"/>
    <d v="2023-01-31T00:00:00"/>
    <n v="4"/>
    <s v="Met"/>
    <s v="01-2023"/>
    <s v="Q1-2023"/>
    <d v="2023-01-19T00:00:00"/>
    <x v="0"/>
    <s v="Europe"/>
    <x v="1"/>
    <s v="Manchester"/>
    <s v="Manchester"/>
    <s v="Enterprise"/>
    <s v="Online"/>
    <s v="Online"/>
    <s v="N. Brown"/>
    <s v="N. Brown"/>
    <s v="Laptops"/>
    <s v="Low"/>
    <s v="LAP-9782"/>
    <s v="B"/>
    <n v="941.2"/>
    <n v="668.02"/>
    <n v="668.02"/>
    <n v="0.22"/>
    <n v="0.22"/>
    <s v="High"/>
    <n v="16"/>
    <n v="8336.8896000000004"/>
    <n v="15059.2"/>
    <n v="6722.3104000000003"/>
    <n v="0.80633314371825193"/>
  </r>
  <r>
    <s v="ORD-2024-647571"/>
    <d v="2024-02-06T00:00:00"/>
    <d v="2024-02-06T00:00:00"/>
    <d v="2024-02-28T00:00:00"/>
    <d v="2024-02-28T00:00:00"/>
    <n v="22"/>
    <s v="Not Met"/>
    <s v="02-2024"/>
    <s v="Q1-2024"/>
    <d v="2023-01-20T00:00:00"/>
    <x v="0"/>
    <s v="Africa"/>
    <x v="5"/>
    <s v="Kisumu"/>
    <s v="Kisumu"/>
    <s v="Non-Profit"/>
    <s v="Online"/>
    <s v="Online"/>
    <s v="K. Singh"/>
    <s v="K. Singh"/>
    <s v="Monitors"/>
    <s v="Medium"/>
    <s v="MON-2462"/>
    <s v="B"/>
    <n v="834.93"/>
    <n v="1588.53"/>
    <n v="1588.53"/>
    <n v="0.126"/>
    <n v="0.126"/>
    <s v="Low"/>
    <n v="6"/>
    <n v="8330.2513199999994"/>
    <n v="5009.58"/>
    <n v="3320.6713199999995"/>
    <n v="0.39862798761274343"/>
  </r>
  <r>
    <s v="ORD-2024-364080"/>
    <d v="2024-04-16T00:00:00"/>
    <d v="2024-04-16T00:00:00"/>
    <d v="2024-04-27T00:00:00"/>
    <d v="2024-04-27T00:00:00"/>
    <n v="11"/>
    <s v="Not Met"/>
    <s v="04-2024"/>
    <s v="Q2-2024"/>
    <d v="2023-01-20T00:00:00"/>
    <x v="0"/>
    <s v="Africa"/>
    <x v="5"/>
    <s v="Nakuru"/>
    <s v="Nakuru"/>
    <s v="Enterprise"/>
    <s v="Online"/>
    <s v="Online"/>
    <s v="D. Smith"/>
    <s v="D. Smith"/>
    <s v="Printers"/>
    <s v="Medium"/>
    <s v="PRN-2641"/>
    <s v="B"/>
    <n v="401.3"/>
    <n v="826.47"/>
    <n v="826.47"/>
    <n v="0.22500000000000001"/>
    <n v="0.22500000000000001"/>
    <s v="High"/>
    <n v="13"/>
    <n v="8326.6852500000005"/>
    <n v="5216.9000000000005"/>
    <n v="3109.7852499999999"/>
    <n v="0.37347217489696755"/>
  </r>
  <r>
    <s v="ORD-2025-626047"/>
    <d v="2025-04-28T00:00:00"/>
    <d v="2025-04-28T00:00:00"/>
    <d v="2025-05-15T00:00:00"/>
    <d v="2025-05-15T00:00:00"/>
    <n v="17"/>
    <s v="Not Met"/>
    <s v="04-2025"/>
    <s v="Q2-2025"/>
    <d v="2023-03-03T00:00:00"/>
    <x v="1"/>
    <s v="Asia"/>
    <x v="7"/>
    <s v="Nagoya"/>
    <s v="Nagoya"/>
    <s v="Education"/>
    <s v="Direct"/>
    <s v="Direct"/>
    <s v="N. Brown"/>
    <s v="N. Brown"/>
    <s v="Networking"/>
    <s v="Medium"/>
    <s v="NET-1966"/>
    <s v="B"/>
    <n v="691.19"/>
    <n v="1284.3"/>
    <n v="1284.3"/>
    <n v="7.3999999999999996E-2"/>
    <n v="7.3999999999999996E-2"/>
    <s v="Low"/>
    <n v="7"/>
    <n v="8324.8326000000015"/>
    <n v="4838.33"/>
    <n v="3486.5026000000016"/>
    <n v="0.41880753253825198"/>
  </r>
  <r>
    <s v="ORD-2024-776337"/>
    <d v="2024-11-12T00:00:00"/>
    <d v="2024-11-12T00:00:00"/>
    <d v="2024-11-21T00:00:00"/>
    <d v="2024-11-21T00:00:00"/>
    <n v="9"/>
    <s v="Not Met"/>
    <s v="11-2024"/>
    <s v="Q4-2024"/>
    <d v="2023-01-29T00:00:00"/>
    <x v="0"/>
    <s v="Asia"/>
    <x v="3"/>
    <s v="Mumbai"/>
    <s v="Mumbai"/>
    <s v="Corporate"/>
    <s v="Direct"/>
    <s v="Direct"/>
    <s v="H. Kim"/>
    <s v="H. Kim"/>
    <s v="Laptops"/>
    <s v="High"/>
    <s v="LAP-5078"/>
    <s v="B"/>
    <n v="903.41"/>
    <n v="1860.41"/>
    <n v="1860.41"/>
    <n v="0.108"/>
    <n v="0.108"/>
    <s v="Low"/>
    <n v="5"/>
    <n v="8297.4286000000011"/>
    <n v="4517.05"/>
    <n v="3780.3786000000009"/>
    <n v="0.455608451996803"/>
  </r>
  <r>
    <s v="ORD-2024-902741"/>
    <d v="2024-12-23T00:00:00"/>
    <d v="2024-12-23T00:00:00"/>
    <d v="2025-01-11T00:00:00"/>
    <d v="2025-01-11T00:00:00"/>
    <n v="19"/>
    <s v="Not Met"/>
    <s v="12-2024"/>
    <s v="Q4-2024"/>
    <d v="2023-01-21T00:00:00"/>
    <x v="0"/>
    <s v="Europe"/>
    <x v="4"/>
    <s v="Berlin"/>
    <s v="Berlin"/>
    <s v="Education"/>
    <s v="Retail"/>
    <s v="Retail"/>
    <s v="K. Singh"/>
    <s v="K. Singh"/>
    <s v="Phones"/>
    <s v="Medium"/>
    <s v="PHN-8057"/>
    <s v="B"/>
    <n v="501.81"/>
    <n v="921.62"/>
    <n v="921.62"/>
    <n v="0.01"/>
    <n v="0.01"/>
    <s v="Low"/>
    <n v="9"/>
    <n v="8211.6342000000004"/>
    <n v="4516.29"/>
    <n v="3695.3442000000005"/>
    <n v="0.45001325071202031"/>
  </r>
  <r>
    <s v="ORD-2023-630430"/>
    <d v="2023-08-04T00:00:00"/>
    <d v="2023-08-04T00:00:00"/>
    <d v="2023-08-24T00:00:00"/>
    <d v="2023-08-24T00:00:00"/>
    <n v="20"/>
    <s v="Not Met"/>
    <s v="08-2023"/>
    <s v="Q3-2023"/>
    <d v="2023-01-29T00:00:00"/>
    <x v="0"/>
    <s v="Americas"/>
    <x v="9"/>
    <s v="Brasília"/>
    <s v="Brasília"/>
    <s v="Non-Profit"/>
    <s v="Direct"/>
    <s v="Direct"/>
    <m/>
    <s v="H. Kim"/>
    <s v="Networking"/>
    <s v="Medium"/>
    <s v="NET-9125"/>
    <s v="B"/>
    <n v="582.88"/>
    <n v="1044.1400000000001"/>
    <n v="1044.1400000000001"/>
    <n v="0.216"/>
    <n v="0.216"/>
    <s v="High"/>
    <n v="10"/>
    <n v="8186.057600000001"/>
    <n v="5828.8"/>
    <n v="2357.2576000000008"/>
    <n v="0.28796005539956138"/>
  </r>
  <r>
    <s v="ORD-2024-219735"/>
    <d v="2024-04-03T00:00:00"/>
    <d v="2024-04-03T00:00:00"/>
    <d v="2024-04-07T00:00:00"/>
    <d v="2024-04-07T00:00:00"/>
    <n v="4"/>
    <s v="Met"/>
    <s v="04-2024"/>
    <s v="Q2-2024"/>
    <d v="2023-01-29T00:00:00"/>
    <x v="0"/>
    <s v="Americas"/>
    <x v="9"/>
    <s v="Brasília"/>
    <s v="Brasília"/>
    <s v="Non-Profit"/>
    <s v="Direct"/>
    <s v="Direct"/>
    <s v="N. Brown"/>
    <s v="N. Brown"/>
    <s v="Phones"/>
    <s v="Medium"/>
    <s v="PHN-5445"/>
    <s v="B"/>
    <n v="1023.27"/>
    <n v="1343.64"/>
    <n v="1343.64"/>
    <n v="0.13300000000000001"/>
    <n v="0.13300000000000001"/>
    <s v="Low"/>
    <n v="7"/>
    <n v="8154.5511600000009"/>
    <n v="7162.8899999999994"/>
    <n v="991.66116000000147"/>
    <n v="0.12160830688810116"/>
  </r>
  <r>
    <s v="ORD-2025-705398"/>
    <d v="2025-02-17T00:00:00"/>
    <d v="2025-02-15T00:00:00"/>
    <d v="2025-02-15T00:00:00"/>
    <d v="2025-02-17T00:00:00"/>
    <n v="2"/>
    <s v="Met"/>
    <s v="02-2025"/>
    <s v="Q1-2025"/>
    <d v="2023-01-02T00:00:00"/>
    <x v="0"/>
    <s v="Americas"/>
    <x v="0"/>
    <s v="Toronto"/>
    <s v="Toronto"/>
    <s v="Small Business"/>
    <s v="Retail"/>
    <s v="Retail"/>
    <s v="D. Smith"/>
    <s v="D. Smith"/>
    <s v="Components"/>
    <s v="High"/>
    <s v="CMP-5065"/>
    <s v="B"/>
    <n v="1133.47"/>
    <n v="1698.75"/>
    <n v="1698.75"/>
    <n v="4.2999999999999997E-2"/>
    <n v="4.2999999999999997E-2"/>
    <s v="Low"/>
    <n v="5"/>
    <n v="8128.5187499999993"/>
    <n v="5667.35"/>
    <n v="2461.1687499999989"/>
    <n v="0.30278194904821976"/>
  </r>
  <r>
    <s v="ORD-2025-278048"/>
    <d v="2025-06-22T00:00:00"/>
    <d v="2025-06-22T00:00:00"/>
    <d v="2025-07-08T00:00:00"/>
    <d v="2025-07-08T00:00:00"/>
    <n v="16"/>
    <s v="Not Met"/>
    <s v="06-2025"/>
    <s v="Q2-2025"/>
    <d v="2023-01-19T00:00:00"/>
    <x v="0"/>
    <s v="Europe"/>
    <x v="1"/>
    <s v="London"/>
    <s v="London"/>
    <s v="Education"/>
    <s v="Direct"/>
    <s v="Direct"/>
    <s v="A. Patel"/>
    <s v="A. Patel"/>
    <s v="Phones"/>
    <s v="Medium"/>
    <s v="PHN-5316"/>
    <s v="B"/>
    <n v="892.73"/>
    <n v="979.84"/>
    <n v="979.84"/>
    <n v="0.17399999999999999"/>
    <n v="0.17399999999999999"/>
    <s v="Low"/>
    <n v="10"/>
    <n v="8093.4784"/>
    <n v="8927.2999999999993"/>
    <n v="833.82159999999931"/>
    <n v="0.10302388649112838"/>
  </r>
  <r>
    <s v="ORD-2025-411385"/>
    <d v="2025-06-05T00:00:00"/>
    <d v="2025-06-05T00:00:00"/>
    <d v="2025-06-14T00:00:00"/>
    <d v="2025-06-14T00:00:00"/>
    <n v="9"/>
    <s v="Not Met"/>
    <s v="06-2025"/>
    <s v="Q2-2025"/>
    <d v="2023-01-29T00:00:00"/>
    <x v="0"/>
    <s v="Asia"/>
    <x v="3"/>
    <s v="Delhi"/>
    <s v="Delhi"/>
    <s v="Non-Profit"/>
    <s v="Retail"/>
    <s v="Retail"/>
    <s v="A. Patel"/>
    <s v="A. Patel"/>
    <s v="Accessories"/>
    <s v="Low"/>
    <s v="ACC-2902"/>
    <s v="B"/>
    <n v="618.69000000000005"/>
    <n v="796.15"/>
    <n v="796.15"/>
    <n v="0.09"/>
    <n v="0.09"/>
    <s v="Low"/>
    <n v="11"/>
    <n v="7969.4615000000003"/>
    <n v="6805.59"/>
    <n v="1163.8715000000002"/>
    <n v="0.14604142325049191"/>
  </r>
  <r>
    <s v="ORD-2025-246470"/>
    <d v="2025-04-16T00:00:00"/>
    <d v="2025-04-16T00:00:00"/>
    <d v="2025-05-16T00:00:00"/>
    <d v="2025-05-16T00:00:00"/>
    <n v="30"/>
    <s v="Not Met"/>
    <s v="04-2025"/>
    <s v="Q2-2025"/>
    <d v="2023-01-02T00:00:00"/>
    <x v="0"/>
    <s v="Americas"/>
    <x v="0"/>
    <s v="Montreal"/>
    <s v="Montreal"/>
    <s v="Enterprise"/>
    <s v="Distributor"/>
    <s v="Distributor"/>
    <s v="K. Singh"/>
    <s v="K. Singh"/>
    <s v="Printers"/>
    <s v="Low"/>
    <s v="PRN-6178"/>
    <s v="B"/>
    <n v="763.32"/>
    <n v="568.29"/>
    <n v="568.29"/>
    <n v="0.13100000000000001"/>
    <n v="0.13100000000000001"/>
    <s v="Low"/>
    <n v="16"/>
    <n v="7901.5041599999995"/>
    <n v="12213.12"/>
    <n v="4311.6158400000013"/>
    <n v="0.54567026134426555"/>
  </r>
  <r>
    <s v="ORD-2023-880296"/>
    <d v="2023-05-02T00:00:00"/>
    <d v="2023-05-02T00:00:00"/>
    <d v="2023-05-19T00:00:00"/>
    <d v="2023-05-19T00:00:00"/>
    <n v="17"/>
    <s v="Not Met"/>
    <s v="05-2023"/>
    <s v="Q2-2023"/>
    <d v="2023-01-12T00:00:00"/>
    <x v="0"/>
    <s v="Asia"/>
    <x v="10"/>
    <s v="Shanghai"/>
    <s v="Shanghai"/>
    <s v="Non-Profit"/>
    <s v="Direct"/>
    <s v="Direct"/>
    <s v="J. Njeri"/>
    <s v="J. Njeri"/>
    <s v="Monitors"/>
    <s v="Low"/>
    <s v="MON-5086"/>
    <s v="B"/>
    <n v="714.28"/>
    <n v="757.59"/>
    <n v="757.59"/>
    <n v="0.13600000000000001"/>
    <n v="0.13600000000000001"/>
    <s v="Low"/>
    <n v="12"/>
    <n v="7854.6931199999999"/>
    <n v="8571.36"/>
    <n v="716.66688000000067"/>
    <n v="9.1240595787910383E-2"/>
  </r>
  <r>
    <s v="ORD-2023-653343"/>
    <d v="2023-11-10T00:00:00"/>
    <d v="2023-11-10T00:00:00"/>
    <d v="2023-11-28T00:00:00"/>
    <d v="2023-11-28T00:00:00"/>
    <n v="18"/>
    <s v="Not Met"/>
    <s v="11-2023"/>
    <s v="Q4-2023"/>
    <d v="2023-01-29T00:00:00"/>
    <x v="0"/>
    <s v="Americas"/>
    <x v="9"/>
    <s v="Brasília"/>
    <s v="Brasília"/>
    <s v="Education"/>
    <s v="Marketplace"/>
    <s v="Marketplace"/>
    <s v="L. Okafor"/>
    <s v="L. Okafor"/>
    <s v="Accessories"/>
    <s v="Low"/>
    <s v="ACC-5260"/>
    <s v="B"/>
    <n v="388.51"/>
    <n v="776.46"/>
    <n v="776.46"/>
    <n v="0.157"/>
    <n v="0.157"/>
    <s v="Low"/>
    <n v="12"/>
    <n v="7854.6693599999999"/>
    <n v="4662.12"/>
    <n v="3192.54936"/>
    <n v="0.40645241876864946"/>
  </r>
  <r>
    <s v="ORD-2025-909340"/>
    <d v="2025-01-20T00:00:00"/>
    <d v="2025-01-20T00:00:00"/>
    <d v="2025-02-03T00:00:00"/>
    <d v="2025-02-03T00:00:00"/>
    <n v="14"/>
    <s v="Not Met"/>
    <s v="01-2025"/>
    <s v="Q1-2025"/>
    <d v="2023-01-29T00:00:00"/>
    <x v="0"/>
    <s v="Americas"/>
    <x v="9"/>
    <s v="Brasília"/>
    <s v="Brasília"/>
    <s v="Enterprise"/>
    <s v="Marketplace"/>
    <s v="Marketplace"/>
    <s v="F. Müller"/>
    <s v="F. Müller"/>
    <s v="Components"/>
    <s v="Medium"/>
    <s v="CMP-8658"/>
    <s v="B"/>
    <n v="974.11"/>
    <n v="880.99"/>
    <n v="880.99"/>
    <n v="0.111"/>
    <n v="0.111"/>
    <s v="Low"/>
    <n v="10"/>
    <n v="7832.0010999999995"/>
    <n v="9741.1"/>
    <n v="1909.0989000000009"/>
    <n v="0.2437562093805121"/>
  </r>
  <r>
    <s v="ORD-2023-215819"/>
    <d v="2023-07-01T00:00:00"/>
    <d v="2023-07-01T00:00:00"/>
    <d v="2023-07-11T00:00:00"/>
    <d v="2023-07-11T00:00:00"/>
    <n v="10"/>
    <s v="Not Met"/>
    <s v="07-2023"/>
    <s v="Q3-2023"/>
    <d v="2023-01-10T00:00:00"/>
    <x v="0"/>
    <s v="Europe"/>
    <x v="11"/>
    <s v="Paris"/>
    <s v="Paris"/>
    <s v="Corporate"/>
    <s v="Direct"/>
    <s v="Direct"/>
    <s v="F. Müller"/>
    <s v="F. Müller"/>
    <s v="Networking"/>
    <s v="Low"/>
    <s v="NET-6533"/>
    <s v="B"/>
    <n v="479.5"/>
    <n v="656.66"/>
    <n v="656.66"/>
    <n v="0.14899999999999999"/>
    <n v="0.14899999999999999"/>
    <s v="Low"/>
    <n v="14"/>
    <n v="7823.4472399999995"/>
    <n v="6713"/>
    <n v="1110.4472399999995"/>
    <n v="0.14193835606412289"/>
  </r>
  <r>
    <s v="ORD-2023-431328"/>
    <d v="2023-12-20T00:00:00"/>
    <d v="2023-12-20T00:00:00"/>
    <d v="2024-01-14T00:00:00"/>
    <d v="2024-01-14T00:00:00"/>
    <n v="25"/>
    <s v="Not Met"/>
    <s v="12-2023"/>
    <s v="Q4-2023"/>
    <d v="2023-01-29T00:00:00"/>
    <x v="0"/>
    <s v="Asia"/>
    <x v="3"/>
    <s v="Mumbai"/>
    <s v="Mumbai"/>
    <s v="Non-Profit"/>
    <s v="Marketplace"/>
    <s v="Marketplace"/>
    <s v="L. Okafor"/>
    <s v="L. Okafor"/>
    <s v="Monitors"/>
    <s v="Medium"/>
    <s v="MON-1572"/>
    <s v="B"/>
    <n v="1085.6099999999999"/>
    <n v="1246.4100000000001"/>
    <n v="1246.4100000000001"/>
    <n v="0.113"/>
    <n v="0.113"/>
    <s v="Low"/>
    <n v="7"/>
    <n v="7738.9596900000006"/>
    <n v="7599.2699999999995"/>
    <n v="139.68969000000106"/>
    <n v="1.8050189637310417E-2"/>
  </r>
  <r>
    <s v="ORD-2025-650719"/>
    <d v="2025-02-12T00:00:00"/>
    <d v="2025-02-12T00:00:00"/>
    <d v="2025-02-28T00:00:00"/>
    <d v="2025-02-28T00:00:00"/>
    <n v="16"/>
    <s v="Not Met"/>
    <s v="02-2025"/>
    <s v="Q1-2025"/>
    <d v="2023-01-29T00:00:00"/>
    <x v="0"/>
    <s v="Americas"/>
    <x v="9"/>
    <s v="São Paulo"/>
    <s v="São Paulo"/>
    <s v="Non-Profit"/>
    <s v="Direct"/>
    <s v="Direct"/>
    <s v="B. Chen"/>
    <s v="B. Chen"/>
    <s v="Monitors"/>
    <s v="Medium"/>
    <s v="MON-5179"/>
    <s v="B"/>
    <n v="414.95"/>
    <n v="1027.73"/>
    <n v="1027.73"/>
    <n v="6.3E-2"/>
    <n v="6.3E-2"/>
    <s v="Low"/>
    <n v="8"/>
    <n v="7703.8640800000003"/>
    <n v="3319.6"/>
    <n v="4384.2640800000008"/>
    <n v="0.56909935513815568"/>
  </r>
  <r>
    <s v="ORD-2025-898843"/>
    <d v="2025-02-02T00:00:00"/>
    <d v="2025-02-02T00:00:00"/>
    <d v="2025-03-04T00:00:00"/>
    <d v="2025-03-04T00:00:00"/>
    <n v="30"/>
    <s v="Not Met"/>
    <s v="02-2025"/>
    <s v="Q1-2025"/>
    <d v="2023-03-03T00:00:00"/>
    <x v="1"/>
    <s v="Asia"/>
    <x v="7"/>
    <s v="Osaka"/>
    <s v="Osaka"/>
    <s v="Education"/>
    <s v="Distributor"/>
    <s v="Distributor"/>
    <s v="L. Okafor"/>
    <s v="L. Okafor"/>
    <s v="Accessories"/>
    <s v="High"/>
    <s v="ACC-9591"/>
    <s v="B"/>
    <n v="766.59"/>
    <n v="1912.8"/>
    <n v="1912.8"/>
    <n v="0.19600000000000001"/>
    <n v="0.19600000000000001"/>
    <s v="Low"/>
    <n v="5"/>
    <n v="7689.4560000000001"/>
    <n v="3832.9500000000003"/>
    <n v="3856.5059999999999"/>
    <n v="0.50153170783472845"/>
  </r>
  <r>
    <s v="ORD-2024-885858"/>
    <d v="2024-01-10T00:00:00"/>
    <d v="2024-01-10T00:00:00"/>
    <d v="2024-01-23T00:00:00"/>
    <d v="2024-01-23T00:00:00"/>
    <n v="13"/>
    <s v="Not Met"/>
    <s v="01-2024"/>
    <s v="Q1-2024"/>
    <d v="2023-01-10T00:00:00"/>
    <x v="0"/>
    <s v="Europe"/>
    <x v="11"/>
    <s v="Marseille"/>
    <s v="Marseille"/>
    <s v="Corporate"/>
    <s v="Direct"/>
    <s v="Direct"/>
    <s v="A. Patel"/>
    <s v="A. Patel"/>
    <s v="Printers"/>
    <s v="Medium"/>
    <s v="PRN-6776"/>
    <s v="B"/>
    <n v="720"/>
    <n v="907.59"/>
    <n v="907.59"/>
    <n v="0.154"/>
    <n v="0.154"/>
    <s v="Low"/>
    <n v="10"/>
    <n v="7678.2113999999992"/>
    <n v="7200"/>
    <n v="478.21139999999923"/>
    <n v="6.2281614179052078E-2"/>
  </r>
  <r>
    <s v="ORD-2023-191563"/>
    <d v="2023-11-30T00:00:00"/>
    <d v="2023-11-30T00:00:00"/>
    <d v="2023-12-10T00:00:00"/>
    <d v="2023-12-10T00:00:00"/>
    <n v="10"/>
    <s v="Not Met"/>
    <s v="11-2023"/>
    <s v="Q4-2023"/>
    <d v="2023-01-21T00:00:00"/>
    <x v="0"/>
    <s v="Europe"/>
    <x v="4"/>
    <s v="Munich"/>
    <s v="Munich"/>
    <s v="Small Business"/>
    <s v="Direct"/>
    <s v="Direct"/>
    <s v="F. Müller"/>
    <s v="F. Müller"/>
    <s v="Laptops"/>
    <s v="Low"/>
    <s v="LAP-4899"/>
    <s v="B"/>
    <n v="174.74"/>
    <n v="415.96"/>
    <n v="415.96"/>
    <n v="0.125"/>
    <n v="0.125"/>
    <s v="Low"/>
    <n v="21"/>
    <n v="7643.2649999999994"/>
    <n v="3669.54"/>
    <n v="3973.7249999999995"/>
    <n v="0.51989889137691803"/>
  </r>
  <r>
    <s v="ORD-2025-840976"/>
    <d v="2025-09-01T00:00:00"/>
    <d v="2025-09-01T00:00:00"/>
    <d v="2025-09-30T00:00:00"/>
    <d v="2025-09-30T00:00:00"/>
    <n v="29"/>
    <s v="Not Met"/>
    <s v="09-2025"/>
    <s v="Q3-2025"/>
    <d v="2023-01-29T00:00:00"/>
    <x v="0"/>
    <s v="Americas"/>
    <x v="9"/>
    <s v="Brasília"/>
    <s v="Brasília"/>
    <s v="Education"/>
    <s v="Retail"/>
    <s v="Retail"/>
    <s v="K. Singh"/>
    <s v="K. Singh"/>
    <s v="Accessories"/>
    <s v="Low"/>
    <s v="ACC-1663"/>
    <s v="B"/>
    <n v="780.59"/>
    <n v="631.57000000000005"/>
    <n v="631.57000000000005"/>
    <n v="0"/>
    <n v="0"/>
    <s v="Low"/>
    <n v="12"/>
    <n v="7578.84"/>
    <n v="9367.08"/>
    <n v="1788.2399999999998"/>
    <n v="0.23595167598207639"/>
  </r>
  <r>
    <s v="ORD-2023-888140"/>
    <d v="2023-10-11T00:00:00"/>
    <d v="2023-10-11T00:00:00"/>
    <d v="2023-10-13T00:00:00"/>
    <d v="2023-10-13T00:00:00"/>
    <n v="2"/>
    <s v="Met"/>
    <s v="10-2023"/>
    <s v="Q4-2023"/>
    <d v="2023-01-29T00:00:00"/>
    <x v="0"/>
    <s v="Americas"/>
    <x v="9"/>
    <s v="Brasília"/>
    <s v="Brasília"/>
    <s v="Consumer"/>
    <s v="Distributor"/>
    <s v="Distributor"/>
    <m/>
    <s v="H. Kim"/>
    <s v="Accessories"/>
    <s v="Low"/>
    <s v="ACC-3567"/>
    <s v="B"/>
    <n v="715.94"/>
    <n v="550.07000000000005"/>
    <n v="550.07000000000005"/>
    <n v="0.14000000000000001"/>
    <n v="0.14000000000000001"/>
    <s v="Low"/>
    <n v="16"/>
    <n v="7568.9632000000001"/>
    <n v="11455.04"/>
    <n v="3886.0768000000007"/>
    <n v="0.51342260456491595"/>
  </r>
  <r>
    <s v="ORD-2025-703623"/>
    <d v="2025-07-23T00:00:00"/>
    <d v="2025-07-23T00:00:00"/>
    <d v="2025-08-19T00:00:00"/>
    <d v="2025-08-19T00:00:00"/>
    <n v="27"/>
    <s v="Not Met"/>
    <s v="07-2025"/>
    <s v="Q3-2025"/>
    <d v="2023-03-03T00:00:00"/>
    <x v="1"/>
    <s v="Asia"/>
    <x v="7"/>
    <s v="Nagoya"/>
    <s v="Nagoya"/>
    <s v="Consumer"/>
    <s v="Marketplace"/>
    <s v="Marketplace"/>
    <s v="B. Chen"/>
    <s v="B. Chen"/>
    <s v="Accessories"/>
    <s v="Low"/>
    <s v="ACC-1596"/>
    <s v="B"/>
    <n v="896.09"/>
    <n v="744.27"/>
    <n v="744.27"/>
    <n v="8.3000000000000004E-2"/>
    <n v="8.3000000000000004E-2"/>
    <s v="Low"/>
    <n v="11"/>
    <n v="7507.4514899999995"/>
    <n v="9856.99"/>
    <n v="2349.5385100000003"/>
    <n v="0.31296086469950679"/>
  </r>
  <r>
    <s v="ORD-2024-719055"/>
    <d v="2024-01-02T00:00:00"/>
    <d v="2024-01-01T00:00:00"/>
    <d v="2024-01-01T00:00:00"/>
    <d v="2024-01-02T00:00:00"/>
    <n v="1"/>
    <s v="Met"/>
    <s v="01-2024"/>
    <s v="Q1-2024"/>
    <d v="2023-01-13T00:00:00"/>
    <x v="0"/>
    <s v="Americas"/>
    <x v="6"/>
    <s v="Chicago"/>
    <s v="Chicago"/>
    <s v="Education"/>
    <s v="Marketplace"/>
    <s v="Marketplace"/>
    <s v="B. Chen"/>
    <s v="B. Chen"/>
    <s v="Networking"/>
    <s v="Low"/>
    <s v="NET-4554"/>
    <s v="B"/>
    <n v="404.77"/>
    <n v="433.88"/>
    <n v="433.88"/>
    <n v="0.215"/>
    <n v="0.215"/>
    <s v="High"/>
    <n v="22"/>
    <n v="7493.1076000000012"/>
    <n v="8904.9399999999987"/>
    <n v="1411.8323999999975"/>
    <n v="0.18841747314558746"/>
  </r>
  <r>
    <s v="ORD-2024-550400"/>
    <d v="2024-08-19T00:00:00"/>
    <d v="2024-08-19T00:00:00"/>
    <d v="2024-09-02T00:00:00"/>
    <d v="2024-09-02T00:00:00"/>
    <n v="14"/>
    <s v="Not Met"/>
    <s v="08-2024"/>
    <s v="Q3-2024"/>
    <d v="2023-01-02T00:00:00"/>
    <x v="0"/>
    <s v="Americas"/>
    <x v="0"/>
    <s v="Toronto"/>
    <s v="Toronto"/>
    <s v="Consumer"/>
    <s v="Distributor"/>
    <s v="Distributor"/>
    <s v="C. Otieno"/>
    <s v="C. Otieno"/>
    <s v="Printers"/>
    <s v="Medium"/>
    <s v="PRN-9793"/>
    <s v="B"/>
    <n v="1337.01"/>
    <n v="1269.78"/>
    <n v="1269.78"/>
    <n v="0.16"/>
    <n v="0.16"/>
    <s v="Low"/>
    <n v="7"/>
    <n v="7466.3063999999986"/>
    <n v="9359.07"/>
    <n v="1892.7636000000011"/>
    <n v="0.25350735672996244"/>
  </r>
  <r>
    <s v="ORD-2023-949710"/>
    <d v="2023-03-07T00:00:00"/>
    <d v="2023-03-07T00:00:00"/>
    <d v="2023-04-01T00:00:00"/>
    <d v="2023-04-01T00:00:00"/>
    <n v="25"/>
    <s v="Not Met"/>
    <s v="03-2023"/>
    <s v="Q1-2023"/>
    <d v="2023-01-20T00:00:00"/>
    <x v="0"/>
    <s v="Africa"/>
    <x v="5"/>
    <s v="Nairobi"/>
    <s v="Nairobi"/>
    <s v="Consumer"/>
    <s v="Marketplace"/>
    <s v="Marketplace"/>
    <s v="D. Smith"/>
    <s v="D. Smith"/>
    <s v="Printers"/>
    <s v="Medium"/>
    <s v="PRN-7049"/>
    <s v="B"/>
    <n v="1024.0999999999999"/>
    <n v="918.19"/>
    <n v="918.19"/>
    <n v="0.189"/>
    <n v="0.189"/>
    <s v="Low"/>
    <n v="10"/>
    <n v="7446.5209000000004"/>
    <n v="10241"/>
    <n v="2794.4790999999996"/>
    <n v="0.37527311579827827"/>
  </r>
  <r>
    <s v="ORD-2024-567435"/>
    <d v="2024-04-26T00:00:00"/>
    <d v="2024-04-24T00:00:00"/>
    <d v="2024-04-24T00:00:00"/>
    <d v="2024-04-26T00:00:00"/>
    <n v="2"/>
    <s v="Met"/>
    <s v="04-2024"/>
    <s v="Q2-2024"/>
    <d v="2023-01-19T00:00:00"/>
    <x v="0"/>
    <s v="Europe"/>
    <x v="1"/>
    <s v="London"/>
    <s v="London"/>
    <s v="Non-Profit"/>
    <s v="Distributor"/>
    <s v="Distributor"/>
    <s v="N. Brown"/>
    <s v="N. Brown"/>
    <s v="Phones"/>
    <s v="Medium"/>
    <s v="PHN-9107"/>
    <s v="B"/>
    <n v="1232.77"/>
    <n v="891.73"/>
    <n v="891.73"/>
    <n v="0.16700000000000001"/>
    <n v="0.16700000000000001"/>
    <s v="Low"/>
    <n v="10"/>
    <n v="7428.1108999999988"/>
    <n v="12327.7"/>
    <n v="4899.589100000002"/>
    <n v="0.65960096260813805"/>
  </r>
  <r>
    <s v="ORD-2024-892879"/>
    <d v="2024-07-09T00:00:00"/>
    <d v="2024-07-09T00:00:00"/>
    <d v="2024-08-08T00:00:00"/>
    <d v="2024-08-08T00:00:00"/>
    <n v="30"/>
    <s v="Not Met"/>
    <s v="07-2024"/>
    <s v="Q3-2024"/>
    <d v="2023-01-10T00:00:00"/>
    <x v="0"/>
    <s v="Europe"/>
    <x v="11"/>
    <s v="Marseille"/>
    <s v="Marseille"/>
    <s v="Corporate"/>
    <s v="Direct"/>
    <s v="Direct"/>
    <s v="J. Njeri"/>
    <s v="J. Njeri"/>
    <s v="Components"/>
    <s v="Medium"/>
    <s v="CMP-5825"/>
    <s v="B"/>
    <n v="1062.3800000000001"/>
    <n v="1503.96"/>
    <n v="1503.96"/>
    <n v="0.18"/>
    <n v="0.18"/>
    <s v="Low"/>
    <n v="6"/>
    <n v="7399.4832000000006"/>
    <n v="6374.2800000000007"/>
    <n v="1025.2031999999999"/>
    <n v="0.13855064905073369"/>
  </r>
  <r>
    <s v="ORD-2023-375011"/>
    <d v="2023-08-23T00:00:00"/>
    <d v="2023-08-23T00:00:00"/>
    <d v="2023-09-22T00:00:00"/>
    <d v="2023-09-22T00:00:00"/>
    <n v="30"/>
    <s v="Not Met"/>
    <s v="08-2023"/>
    <s v="Q3-2023"/>
    <d v="2023-01-19T00:00:00"/>
    <x v="0"/>
    <s v="Europe"/>
    <x v="1"/>
    <s v="London"/>
    <s v="London"/>
    <s v="Consumer"/>
    <s v="Distributor"/>
    <s v="Distributor"/>
    <s v="O. Wang"/>
    <s v="O. Wang"/>
    <s v="Accessories"/>
    <s v="Low"/>
    <s v="ACC-1492"/>
    <s v="B"/>
    <n v="209.81"/>
    <n v="523"/>
    <n v="523"/>
    <n v="5.8999999999999997E-2"/>
    <n v="5.8999999999999997E-2"/>
    <s v="Low"/>
    <n v="15"/>
    <n v="7382.1450000000004"/>
    <n v="3147.15"/>
    <n v="4234.9950000000008"/>
    <n v="0.57368082041195356"/>
  </r>
  <r>
    <s v="ORD-2023-752962"/>
    <d v="2023-04-21T00:00:00"/>
    <d v="2023-04-19T00:00:00"/>
    <d v="2023-04-19T00:00:00"/>
    <d v="2023-04-21T00:00:00"/>
    <n v="2"/>
    <s v="Met"/>
    <s v="04-2023"/>
    <s v="Q2-2023"/>
    <d v="2023-03-03T00:00:00"/>
    <x v="1"/>
    <s v="Asia"/>
    <x v="7"/>
    <s v="Nagoya"/>
    <s v="Nagoya"/>
    <s v="Small Business"/>
    <s v="Direct"/>
    <s v="Direct"/>
    <s v="M. Rossi"/>
    <s v="M. Rossi"/>
    <s v="Components"/>
    <s v="Medium"/>
    <s v="CMP-8604"/>
    <s v="B"/>
    <n v="607.04"/>
    <n v="1229.3399999999999"/>
    <n v="1229.3399999999999"/>
    <n v="0.14699999999999999"/>
    <n v="0.14699999999999999"/>
    <s v="Low"/>
    <n v="7"/>
    <n v="7340.3891399999993"/>
    <n v="4249.28"/>
    <n v="3091.1091399999996"/>
    <n v="0.42110970972310058"/>
  </r>
  <r>
    <s v="ORD-2024-343877"/>
    <d v="2024-03-09T00:00:00"/>
    <d v="2024-03-09T00:00:00"/>
    <d v="2024-03-26T00:00:00"/>
    <d v="2024-03-26T00:00:00"/>
    <n v="17"/>
    <s v="Not Met"/>
    <s v="03-2024"/>
    <s v="Q1-2024"/>
    <d v="2023-01-12T00:00:00"/>
    <x v="0"/>
    <s v="Asia"/>
    <x v="10"/>
    <s v="Shenzhen"/>
    <s v="Shenzhen"/>
    <s v="Enterprise"/>
    <s v="Online"/>
    <s v="Online"/>
    <s v="K. Singh"/>
    <s v="K. Singh"/>
    <s v="Monitors"/>
    <s v="Medium"/>
    <s v="MON-5749"/>
    <s v="B"/>
    <n v="1029.67"/>
    <n v="1118.43"/>
    <n v="1118.43"/>
    <n v="0.27200000000000002"/>
    <n v="0.27200000000000002"/>
    <s v="High"/>
    <n v="9"/>
    <n v="7327.9533600000004"/>
    <n v="9267.0300000000007"/>
    <n v="1939.0766400000002"/>
    <n v="0.26461367106736061"/>
  </r>
  <r>
    <s v="ORD-2023-253245"/>
    <d v="2023-08-03T00:00:00"/>
    <d v="2023-08-03T00:00:00"/>
    <d v="2023-08-14T00:00:00"/>
    <d v="2023-08-14T00:00:00"/>
    <n v="11"/>
    <s v="Not Met"/>
    <s v="08-2023"/>
    <s v="Q3-2023"/>
    <d v="2023-01-29T00:00:00"/>
    <x v="0"/>
    <s v="Americas"/>
    <x v="9"/>
    <s v="Brasília"/>
    <s v="Brasília"/>
    <s v="Corporate"/>
    <s v="Direct"/>
    <s v="Direct"/>
    <s v="J. Njeri"/>
    <s v="J. Njeri"/>
    <s v="Accessories"/>
    <s v="Low"/>
    <s v="ACC-3951"/>
    <s v="B"/>
    <n v="232.73"/>
    <n v="334.19"/>
    <n v="334.19"/>
    <n v="0.13400000000000001"/>
    <n v="0.13400000000000001"/>
    <s v="Low"/>
    <n v="25"/>
    <n v="7235.2134999999998"/>
    <n v="5818.25"/>
    <n v="1416.9634999999998"/>
    <n v="0.1958426658729559"/>
  </r>
  <r>
    <s v="ORD-2024-764468"/>
    <d v="2024-02-01T00:00:00"/>
    <d v="2024-02-01T00:00:00"/>
    <d v="2024-02-21T00:00:00"/>
    <d v="2024-02-21T00:00:00"/>
    <n v="20"/>
    <s v="Not Met"/>
    <s v="02-2024"/>
    <s v="Q1-2024"/>
    <d v="2023-01-10T00:00:00"/>
    <x v="0"/>
    <s v="Europe"/>
    <x v="11"/>
    <s v="Paris"/>
    <s v="Paris"/>
    <s v="Small Business"/>
    <s v="Marketplace"/>
    <s v="Marketplace"/>
    <s v="A. Patel"/>
    <s v="A. Patel"/>
    <s v="Networking"/>
    <s v="Medium"/>
    <s v="NET-8761"/>
    <s v="B"/>
    <n v="656.2"/>
    <n v="1467.17"/>
    <n v="1467.17"/>
    <n v="1.7999999999999999E-2"/>
    <n v="1.7999999999999999E-2"/>
    <s v="Low"/>
    <n v="5"/>
    <n v="7203.8047000000006"/>
    <n v="3281"/>
    <n v="3922.8047000000006"/>
    <n v="0.54454623124360946"/>
  </r>
  <r>
    <s v="ORD-2025-155182"/>
    <d v="2025-07-11T00:00:00"/>
    <d v="2025-07-11T00:00:00"/>
    <d v="2025-08-03T00:00:00"/>
    <d v="2025-08-03T00:00:00"/>
    <n v="23"/>
    <s v="Not Met"/>
    <s v="07-2025"/>
    <s v="Q3-2025"/>
    <d v="2023-01-20T00:00:00"/>
    <x v="0"/>
    <s v="Africa"/>
    <x v="5"/>
    <s v="Nakuru"/>
    <s v="Nakuru"/>
    <s v="Small Business"/>
    <s v="Retail"/>
    <s v="Retail"/>
    <s v="C. Otieno"/>
    <s v="C. Otieno"/>
    <s v="Phones"/>
    <s v="Low"/>
    <s v="PHN-7636"/>
    <s v="B"/>
    <n v="389.93"/>
    <n v="486.13"/>
    <n v="486.13"/>
    <n v="0.13200000000000001"/>
    <n v="0.13200000000000001"/>
    <s v="Low"/>
    <n v="17"/>
    <n v="7173.3342799999991"/>
    <n v="6628.81"/>
    <n v="544.52427999999873"/>
    <n v="7.5909508569562828E-2"/>
  </r>
  <r>
    <s v="ORD-2023-128295"/>
    <d v="2023-06-23T00:00:00"/>
    <d v="2023-06-23T00:00:00"/>
    <d v="2023-07-03T00:00:00"/>
    <d v="2023-07-03T00:00:00"/>
    <n v="10"/>
    <s v="Not Met"/>
    <s v="06-2023"/>
    <s v="Q2-2023"/>
    <d v="2023-01-13T00:00:00"/>
    <x v="0"/>
    <s v="Africa"/>
    <x v="2"/>
    <s v="Abuja"/>
    <s v="Abuja"/>
    <s v="Consumer"/>
    <s v="Online"/>
    <s v="Online"/>
    <s v="J. Njeri"/>
    <s v="J. Njeri"/>
    <s v="Printers"/>
    <s v="Low"/>
    <s v="PRN-2542"/>
    <s v="B"/>
    <n v="337.75"/>
    <n v="548.89"/>
    <n v="548.89"/>
    <n v="0"/>
    <n v="0"/>
    <s v="Low"/>
    <n v="13"/>
    <n v="7135.57"/>
    <n v="4390.75"/>
    <n v="2744.8199999999997"/>
    <n v="0.38466723751571352"/>
  </r>
  <r>
    <s v="ORD-2025-484073"/>
    <d v="2025-02-19T00:00:00"/>
    <d v="2025-02-19T00:00:00"/>
    <d v="2025-03-09T00:00:00"/>
    <d v="2025-03-09T00:00:00"/>
    <n v="18"/>
    <s v="Not Met"/>
    <s v="02-2025"/>
    <s v="Q1-2025"/>
    <d v="2023-01-29T00:00:00"/>
    <x v="0"/>
    <s v="Asia"/>
    <x v="3"/>
    <s v="Delhi"/>
    <s v="Delhi"/>
    <s v="Small Business"/>
    <s v="Direct"/>
    <s v="Direct"/>
    <s v="O. Wang"/>
    <s v="O. Wang"/>
    <s v="Monitors"/>
    <s v="Low"/>
    <s v="MON-1436"/>
    <s v="B"/>
    <n v="325.87"/>
    <n v="538.79"/>
    <n v="538.79"/>
    <n v="0.17399999999999999"/>
    <n v="0.17399999999999999"/>
    <s v="Low"/>
    <n v="16"/>
    <n v="7120.6486400000003"/>
    <n v="5213.92"/>
    <n v="1906.7286400000003"/>
    <n v="0.26777457172778013"/>
  </r>
  <r>
    <s v="ORD-2023-944052"/>
    <d v="2023-08-30T00:00:00"/>
    <d v="2023-08-30T00:00:00"/>
    <d v="2023-09-03T00:00:00"/>
    <d v="2023-09-03T00:00:00"/>
    <n v="4"/>
    <s v="Met"/>
    <s v="08-2023"/>
    <s v="Q3-2023"/>
    <d v="2023-01-29T00:00:00"/>
    <x v="0"/>
    <s v="Asia"/>
    <x v="3"/>
    <s v="Delhi"/>
    <s v="Delhi"/>
    <s v="Small Business"/>
    <s v="Marketplace"/>
    <s v="Marketplace"/>
    <s v="L. Okafor"/>
    <s v="L. Okafor"/>
    <s v="Accessories"/>
    <s v="High"/>
    <s v="ACC-3068"/>
    <s v="B"/>
    <n v="1082.25"/>
    <n v="2433.34"/>
    <n v="2433.34"/>
    <n v="0.27"/>
    <n v="0.27"/>
    <s v="High"/>
    <n v="4"/>
    <n v="7105.3528000000006"/>
    <n v="4329"/>
    <n v="2776.3528000000006"/>
    <n v="0.3907410199251472"/>
  </r>
  <r>
    <s v="ORD-2023-987700"/>
    <d v="2023-04-05T00:00:00"/>
    <d v="2023-04-05T00:00:00"/>
    <d v="2023-04-16T00:00:00"/>
    <d v="2023-04-16T00:00:00"/>
    <n v="11"/>
    <s v="Not Met"/>
    <s v="04-2023"/>
    <s v="Q2-2023"/>
    <d v="2023-01-02T00:00:00"/>
    <x v="0"/>
    <s v="Americas"/>
    <x v="0"/>
    <s v="Vancouver"/>
    <s v="Vancouver"/>
    <s v="Non-Profit"/>
    <s v="Online"/>
    <s v="Online"/>
    <s v="O. Wang"/>
    <s v="O. Wang"/>
    <s v="Monitors"/>
    <s v="Low"/>
    <s v="MON-5259"/>
    <s v="B"/>
    <n v="213.1"/>
    <n v="501.31"/>
    <n v="501.31"/>
    <n v="5.6000000000000001E-2"/>
    <n v="5.6000000000000001E-2"/>
    <s v="Low"/>
    <n v="15"/>
    <n v="7098.5495999999994"/>
    <n v="3196.5"/>
    <n v="3902.0495999999994"/>
    <n v="0.54969674368409005"/>
  </r>
  <r>
    <s v="ORD-2023-937291"/>
    <d v="2023-04-23T00:00:00"/>
    <d v="2023-04-22T00:00:00"/>
    <d v="2023-04-22T00:00:00"/>
    <d v="2023-04-23T00:00:00"/>
    <n v="1"/>
    <s v="Met"/>
    <s v="04-2023"/>
    <s v="Q2-2023"/>
    <d v="2023-01-20T00:00:00"/>
    <x v="0"/>
    <s v="Africa"/>
    <x v="5"/>
    <s v="Nairobi"/>
    <s v="Nairobi"/>
    <s v="Small Business"/>
    <s v="Direct"/>
    <s v="Direct"/>
    <s v="E. Garcia"/>
    <s v="E. Garcia"/>
    <s v="Laptops"/>
    <s v="Medium"/>
    <s v="LAP-1698"/>
    <s v="B"/>
    <n v="756.51"/>
    <n v="850.8"/>
    <n v="850.8"/>
    <n v="7.3999999999999996E-2"/>
    <n v="7.3999999999999996E-2"/>
    <s v="Low"/>
    <n v="9"/>
    <n v="7090.5672000000004"/>
    <n v="6808.59"/>
    <n v="281.97720000000027"/>
    <n v="3.9767932810791252E-2"/>
  </r>
  <r>
    <s v="ORD-2023-552115"/>
    <d v="2023-09-17T00:00:00"/>
    <d v="2023-09-17T00:00:00"/>
    <d v="2023-10-02T00:00:00"/>
    <d v="2023-10-02T00:00:00"/>
    <n v="15"/>
    <s v="Not Met"/>
    <s v="09-2023"/>
    <s v="Q3-2023"/>
    <d v="2023-01-29T00:00:00"/>
    <x v="0"/>
    <s v="Americas"/>
    <x v="9"/>
    <s v="Rio de Janeiro"/>
    <s v="Rio de Janeiro"/>
    <s v="Small Business"/>
    <s v="Retail"/>
    <s v="Retail"/>
    <s v="B. Chen"/>
    <s v="B. Chen"/>
    <s v="Laptops"/>
    <s v="Low"/>
    <s v="LAP-4932"/>
    <s v="B"/>
    <n v="689.33"/>
    <n v="668.27"/>
    <n v="668.27"/>
    <n v="0.186"/>
    <n v="0.186"/>
    <s v="Low"/>
    <n v="13"/>
    <n v="7071.6331400000008"/>
    <n v="8961.2900000000009"/>
    <n v="1889.6568600000001"/>
    <n v="0.26721647214861033"/>
  </r>
  <r>
    <s v="ORD-2024-988736"/>
    <d v="2024-09-09T00:00:00"/>
    <d v="2024-09-09T00:00:00"/>
    <d v="2024-10-01T00:00:00"/>
    <d v="2024-10-01T00:00:00"/>
    <n v="22"/>
    <s v="Not Met"/>
    <s v="09-2024"/>
    <s v="Q3-2024"/>
    <d v="2023-01-12T00:00:00"/>
    <x v="0"/>
    <s v="Asia"/>
    <x v="10"/>
    <s v="Shenzhen"/>
    <s v="Shenzhen"/>
    <s v="Consumer"/>
    <s v="Direct"/>
    <s v="Direct"/>
    <s v="L. Okafor"/>
    <s v="L. Okafor"/>
    <s v="Printers"/>
    <s v="Medium"/>
    <s v="PRN-3014"/>
    <s v="B"/>
    <n v="1166.18"/>
    <n v="1335.02"/>
    <n v="1335.02"/>
    <n v="0.128"/>
    <n v="0.128"/>
    <s v="Low"/>
    <n v="6"/>
    <n v="6984.8246399999998"/>
    <n v="6997.08"/>
    <n v="12.25536000000011"/>
    <n v="1.7545694604582242E-3"/>
  </r>
  <r>
    <s v="ORD-2023-967239"/>
    <d v="2023-12-24T00:00:00"/>
    <d v="2023-12-24T00:00:00"/>
    <d v="2024-01-01T00:00:00"/>
    <d v="2024-01-01T00:00:00"/>
    <n v="8"/>
    <s v="Not Met"/>
    <s v="12-2023"/>
    <s v="Q4-2023"/>
    <d v="2023-01-29T00:00:00"/>
    <x v="0"/>
    <s v="Americas"/>
    <x v="9"/>
    <s v="São Paulo"/>
    <s v="São Paulo"/>
    <s v="Education"/>
    <s v="Direct"/>
    <s v="Direct"/>
    <s v="C. Otieno"/>
    <s v="C. Otieno"/>
    <s v="Phones"/>
    <s v="Low"/>
    <s v="PHN-3014"/>
    <s v="B"/>
    <n v="526.49"/>
    <n v="496.2"/>
    <n v="496.2"/>
    <n v="0"/>
    <n v="0"/>
    <s v="Low"/>
    <n v="14"/>
    <n v="6946.8"/>
    <n v="7370.8600000000006"/>
    <n v="424.0600000000004"/>
    <n v="6.1043933897621985E-2"/>
  </r>
  <r>
    <s v="ORD-2024-375848"/>
    <d v="2024-05-18T00:00:00"/>
    <d v="2024-05-18T00:00:00"/>
    <d v="2024-05-21T00:00:00"/>
    <d v="2024-05-21T00:00:00"/>
    <n v="3"/>
    <s v="Met"/>
    <s v="05-2024"/>
    <s v="Q2-2024"/>
    <d v="2023-01-10T00:00:00"/>
    <x v="0"/>
    <s v="Europe"/>
    <x v="11"/>
    <s v="Marseille"/>
    <s v="Marseille"/>
    <s v="Non-Profit"/>
    <s v="Marketplace"/>
    <s v="Marketplace"/>
    <s v="D. Smith"/>
    <s v="D. Smith"/>
    <s v="Printers"/>
    <s v="Medium"/>
    <s v="PRN-1725"/>
    <s v="B"/>
    <n v="663.66"/>
    <n v="824.26"/>
    <n v="824.26"/>
    <n v="0.23899999999999999"/>
    <n v="0.23899999999999999"/>
    <s v="High"/>
    <n v="11"/>
    <n v="6899.8804600000003"/>
    <n v="7300.2599999999993"/>
    <n v="400.379539999999"/>
    <n v="5.8027025587048933E-2"/>
  </r>
  <r>
    <s v="ORD-2023-722117"/>
    <d v="2023-09-18T00:00:00"/>
    <d v="2023-09-18T00:00:00"/>
    <d v="2023-10-08T00:00:00"/>
    <d v="2023-10-08T00:00:00"/>
    <n v="20"/>
    <s v="Not Met"/>
    <s v="09-2023"/>
    <s v="Q3-2023"/>
    <d v="2023-01-29T00:00:00"/>
    <x v="0"/>
    <s v="Asia"/>
    <x v="3"/>
    <s v="Delhi"/>
    <s v="Delhi"/>
    <s v="Small Business"/>
    <s v="Direct"/>
    <s v="Direct"/>
    <s v="B. Chen"/>
    <s v="B. Chen"/>
    <s v="Components"/>
    <s v="Medium"/>
    <s v="CMP-1009"/>
    <s v="B"/>
    <n v="825.64"/>
    <n v="1108.43"/>
    <n v="1108.43"/>
    <n v="0.114"/>
    <n v="0.114"/>
    <s v="Low"/>
    <n v="7"/>
    <n v="6874.4828600000001"/>
    <n v="5779.48"/>
    <n v="1095.0028600000005"/>
    <n v="0.15928512475773349"/>
  </r>
  <r>
    <s v="ORD-2023-304451"/>
    <d v="2023-10-07T00:00:00"/>
    <d v="2023-10-07T00:00:00"/>
    <d v="2023-10-23T00:00:00"/>
    <d v="2023-10-23T00:00:00"/>
    <n v="16"/>
    <s v="Not Met"/>
    <s v="10-2023"/>
    <s v="Q4-2023"/>
    <d v="2023-01-29T00:00:00"/>
    <x v="0"/>
    <s v="Asia"/>
    <x v="3"/>
    <s v="Hyderabad"/>
    <s v="Hyderabad"/>
    <s v="Consumer"/>
    <s v="Retail"/>
    <s v="Retail"/>
    <s v="G. Dubois"/>
    <s v="G. Dubois"/>
    <s v="Monitors"/>
    <s v="Medium"/>
    <s v="MON-7602"/>
    <s v="B"/>
    <n v="906.81"/>
    <n v="1395.56"/>
    <n v="1395.56"/>
    <n v="0.185"/>
    <n v="0.185"/>
    <s v="Low"/>
    <n v="6"/>
    <n v="6824.2884000000004"/>
    <n v="5440.86"/>
    <n v="1383.4284000000007"/>
    <n v="0.20272126834498974"/>
  </r>
  <r>
    <s v="ORD-2024-250862"/>
    <d v="2024-10-25T00:00:00"/>
    <d v="2024-10-25T00:00:00"/>
    <d v="2024-11-05T00:00:00"/>
    <d v="2024-11-05T00:00:00"/>
    <n v="11"/>
    <s v="Not Met"/>
    <s v="10-2024"/>
    <s v="Q4-2024"/>
    <d v="2023-01-13T00:00:00"/>
    <x v="0"/>
    <s v="Americas"/>
    <x v="6"/>
    <s v="New York"/>
    <s v="New York"/>
    <s v="Corporate"/>
    <s v="Distributor"/>
    <s v="Distributor"/>
    <s v="N. Brown"/>
    <s v="N. Brown"/>
    <s v="Components"/>
    <s v="Low"/>
    <s v="CMP-9498"/>
    <s v="B"/>
    <n v="446.66"/>
    <n v="527.64"/>
    <n v="527.64"/>
    <n v="0.14499999999999999"/>
    <n v="0.14499999999999999"/>
    <s v="Low"/>
    <n v="15"/>
    <n v="6766.9829999999993"/>
    <n v="6699.9000000000005"/>
    <n v="67.082999999998719"/>
    <n v="9.9132804087137105E-3"/>
  </r>
  <r>
    <s v="ORD-2023-173313"/>
    <d v="2023-06-15T00:00:00"/>
    <d v="2023-06-15T00:00:00"/>
    <d v="2023-07-12T00:00:00"/>
    <d v="2023-07-12T00:00:00"/>
    <n v="27"/>
    <s v="Not Met"/>
    <s v="06-2023"/>
    <s v="Q2-2023"/>
    <d v="2023-01-19T00:00:00"/>
    <x v="0"/>
    <s v="Europe"/>
    <x v="1"/>
    <s v="Manchester"/>
    <s v="Manchester"/>
    <s v="Consumer"/>
    <s v="Direct"/>
    <s v="Direct"/>
    <s v="I. Johnson"/>
    <s v="I. Johnson"/>
    <s v="Accessories"/>
    <s v="Medium"/>
    <s v="ACC-3833"/>
    <s v="B"/>
    <n v="751.28"/>
    <n v="1111.8800000000001"/>
    <n v="1111.8800000000001"/>
    <n v="0.13500000000000001"/>
    <n v="0.13500000000000001"/>
    <s v="Low"/>
    <n v="7"/>
    <n v="6732.4334000000008"/>
    <n v="5258.96"/>
    <n v="1473.4734000000008"/>
    <n v="0.21886193482433863"/>
  </r>
  <r>
    <s v="ORD-2023-920483"/>
    <d v="2023-07-02T00:00:00"/>
    <d v="2023-07-02T00:00:00"/>
    <d v="2023-08-01T00:00:00"/>
    <d v="2023-08-01T00:00:00"/>
    <n v="30"/>
    <s v="Not Met"/>
    <s v="07-2023"/>
    <s v="Q3-2023"/>
    <d v="2023-01-19T00:00:00"/>
    <x v="0"/>
    <s v="Europe"/>
    <x v="1"/>
    <s v="Birmingham"/>
    <s v="Birmingham"/>
    <s v="Small Business"/>
    <s v="Retail"/>
    <s v="Retail"/>
    <s v="B. Chen"/>
    <s v="B. Chen"/>
    <s v="Components"/>
    <s v="Low"/>
    <s v="CMP-7256"/>
    <s v="B"/>
    <n v="137.46"/>
    <n v="188.3"/>
    <n v="188.3"/>
    <n v="3.7999999999999999E-2"/>
    <n v="3.7999999999999999E-2"/>
    <s v="Low"/>
    <n v="37"/>
    <n v="6702.3501999999999"/>
    <n v="5086.0200000000004"/>
    <n v="1616.3301999999994"/>
    <n v="0.24115872071262398"/>
  </r>
  <r>
    <s v="ORD-2023-964434"/>
    <d v="2023-11-28T00:00:00"/>
    <d v="2023-11-28T00:00:00"/>
    <d v="2023-12-07T00:00:00"/>
    <d v="2023-12-07T00:00:00"/>
    <n v="9"/>
    <s v="Not Met"/>
    <s v="11-2023"/>
    <s v="Q4-2023"/>
    <d v="2023-01-29T00:00:00"/>
    <x v="0"/>
    <s v="Asia"/>
    <x v="3"/>
    <s v="Delhi"/>
    <s v="Delhi"/>
    <s v="Enterprise"/>
    <s v="Marketplace"/>
    <s v="Marketplace"/>
    <s v="L. Okafor"/>
    <s v="L. Okafor"/>
    <s v="Phones"/>
    <s v="Medium"/>
    <s v="PHN-2447"/>
    <s v="B"/>
    <n v="699.33"/>
    <n v="873.75"/>
    <n v="873.75"/>
    <n v="0.23499999999999999"/>
    <n v="0.23499999999999999"/>
    <s v="High"/>
    <n v="10"/>
    <n v="6684.1875"/>
    <n v="6993.3"/>
    <n v="309.11250000000018"/>
    <n v="4.6245336475076469E-2"/>
  </r>
  <r>
    <s v="ORD-2025-779530"/>
    <d v="2025-05-19T00:00:00"/>
    <d v="2025-05-17T00:00:00"/>
    <d v="2025-05-17T00:00:00"/>
    <d v="2025-05-19T00:00:00"/>
    <n v="2"/>
    <s v="Met"/>
    <s v="05-2025"/>
    <s v="Q2-2025"/>
    <d v="2023-01-29T00:00:00"/>
    <x v="0"/>
    <s v="Americas"/>
    <x v="9"/>
    <s v="São Paulo"/>
    <s v="São Paulo"/>
    <s v="Small Business"/>
    <s v="Distributor"/>
    <s v="Distributor"/>
    <s v="L. Okafor"/>
    <s v="L. Okafor"/>
    <s v="Monitors"/>
    <s v="Medium"/>
    <s v="MON-2993"/>
    <s v="B"/>
    <n v="383.77"/>
    <n v="952.56"/>
    <n v="952.56"/>
    <n v="0.34599999999999997"/>
    <n v="0.3"/>
    <s v="High"/>
    <n v="10"/>
    <n v="6667.9199999999983"/>
    <n v="3837.7"/>
    <n v="2830.2199999999984"/>
    <n v="0.42445320279787385"/>
  </r>
  <r>
    <s v="ORD-2024-792353"/>
    <d v="2024-08-19T00:00:00"/>
    <d v="2024-08-19T00:00:00"/>
    <d v="2024-09-07T00:00:00"/>
    <d v="2024-09-07T00:00:00"/>
    <n v="19"/>
    <s v="Not Met"/>
    <s v="08-2024"/>
    <s v="Q3-2024"/>
    <d v="2023-01-10T00:00:00"/>
    <x v="0"/>
    <s v="Europe"/>
    <x v="11"/>
    <s v="Lyon"/>
    <s v="Lyon"/>
    <s v="Corporate"/>
    <s v="Direct"/>
    <s v="Direct"/>
    <s v="J. Njeri"/>
    <s v="J. Njeri"/>
    <s v="Components"/>
    <s v="Low"/>
    <s v="CMP-5435"/>
    <s v="B"/>
    <n v="297.58999999999997"/>
    <n v="666.41"/>
    <n v="666.41"/>
    <n v="0"/>
    <n v="0"/>
    <s v="Low"/>
    <n v="10"/>
    <n v="6664.0999999999995"/>
    <n v="2975.8999999999996"/>
    <n v="3688.2"/>
    <n v="0.55344307558409989"/>
  </r>
  <r>
    <s v="ORD-2023-864121"/>
    <d v="2023-03-27T00:00:00"/>
    <d v="2023-03-27T00:00:00"/>
    <d v="2023-04-22T00:00:00"/>
    <d v="2023-04-22T00:00:00"/>
    <n v="26"/>
    <s v="Not Met"/>
    <s v="03-2023"/>
    <s v="Q1-2023"/>
    <d v="2023-01-29T00:00:00"/>
    <x v="0"/>
    <s v="Asia"/>
    <x v="3"/>
    <s v="Delhi"/>
    <s v="Delhi"/>
    <s v="Non-Profit"/>
    <s v="Marketplace"/>
    <s v="Marketplace"/>
    <s v="J. Njeri"/>
    <s v="J. Njeri"/>
    <s v="Printers"/>
    <s v="Low"/>
    <s v="PRN-4506"/>
    <s v="B"/>
    <n v="178.53"/>
    <n v="199.37"/>
    <n v="199.37"/>
    <n v="0.10100000000000001"/>
    <n v="0.10100000000000001"/>
    <s v="Low"/>
    <n v="37"/>
    <n v="6631.6443100000006"/>
    <n v="6605.61"/>
    <n v="26.034310000000914"/>
    <n v="3.9257699573457538E-3"/>
  </r>
  <r>
    <s v="ORD-2025-636162"/>
    <d v="2025-01-07T00:00:00"/>
    <d v="2025-01-07T00:00:00"/>
    <d v="2025-01-20T00:00:00"/>
    <d v="2025-01-20T00:00:00"/>
    <n v="13"/>
    <s v="Not Met"/>
    <s v="01-2025"/>
    <s v="Q1-2025"/>
    <d v="2023-01-07T00:00:00"/>
    <x v="0"/>
    <s v="Africa"/>
    <x v="8"/>
    <s v="Cape Town"/>
    <s v="Cape Town"/>
    <s v="Corporate"/>
    <s v="Direct"/>
    <s v="Direct"/>
    <s v="K. Singh"/>
    <s v="K. Singh"/>
    <s v="Networking"/>
    <s v="Medium"/>
    <s v="NET-7901"/>
    <s v="B"/>
    <n v="432.13"/>
    <n v="1034.6600000000001"/>
    <n v="1034.6600000000001"/>
    <n v="9.1999999999999998E-2"/>
    <n v="9.1999999999999998E-2"/>
    <s v="Low"/>
    <n v="7"/>
    <n v="6576.298960000001"/>
    <n v="3024.91"/>
    <n v="3551.3889600000011"/>
    <n v="0.54002851476204794"/>
  </r>
  <r>
    <s v="ORD-2024-720756"/>
    <d v="2024-10-11T00:00:00"/>
    <d v="2024-10-11T00:00:00"/>
    <d v="2024-11-09T00:00:00"/>
    <d v="2024-11-09T00:00:00"/>
    <n v="29"/>
    <s v="Not Met"/>
    <s v="10-2024"/>
    <s v="Q4-2024"/>
    <d v="2023-01-12T00:00:00"/>
    <x v="0"/>
    <s v="Asia"/>
    <x v="10"/>
    <s v="Shanghai"/>
    <s v="Shanghai"/>
    <s v="Non-Profit"/>
    <s v="Online"/>
    <s v="Online"/>
    <s v="F. Müller"/>
    <s v="F. Müller"/>
    <s v="Printers"/>
    <s v="Low"/>
    <s v="PRN-5666"/>
    <s v="C"/>
    <n v="391.64"/>
    <n v="504.76"/>
    <n v="504.76"/>
    <n v="4.0000000000000001E-3"/>
    <n v="4.0000000000000001E-3"/>
    <s v="Low"/>
    <n v="13"/>
    <n v="6535.6324800000002"/>
    <n v="5091.32"/>
    <n v="1444.3124800000005"/>
    <n v="0.22099046793402319"/>
  </r>
  <r>
    <s v="ORD-2024-350100"/>
    <d v="2024-10-27T00:00:00"/>
    <d v="2024-10-27T00:00:00"/>
    <d v="2024-11-20T00:00:00"/>
    <d v="2024-11-20T00:00:00"/>
    <n v="24"/>
    <s v="Not Met"/>
    <s v="10-2024"/>
    <s v="Q4-2024"/>
    <d v="2023-03-03T00:00:00"/>
    <x v="1"/>
    <s v="Asia"/>
    <x v="7"/>
    <s v="Nagoya"/>
    <s v="Nagoya"/>
    <s v="Non-Profit"/>
    <s v="Online"/>
    <s v="Online"/>
    <s v="H. Kim"/>
    <s v="H. Kim"/>
    <s v="Monitors"/>
    <s v="Low"/>
    <s v="MON-8939"/>
    <s v="C"/>
    <n v="317.25"/>
    <n v="758.92"/>
    <n v="758.92"/>
    <n v="5.2999999999999999E-2"/>
    <n v="5.2999999999999999E-2"/>
    <s v="Low"/>
    <n v="9"/>
    <n v="6468.2751599999992"/>
    <n v="2855.25"/>
    <n v="3613.0251599999992"/>
    <n v="0.5585762928489888"/>
  </r>
  <r>
    <s v="ORD-2024-206311"/>
    <d v="2024-01-13T00:00:00"/>
    <d v="2024-01-13T00:00:00"/>
    <d v="2024-01-15T00:00:00"/>
    <d v="2024-01-15T00:00:00"/>
    <n v="2"/>
    <s v="Met"/>
    <s v="01-2024"/>
    <s v="Q1-2024"/>
    <d v="2023-01-13T00:00:00"/>
    <x v="0"/>
    <s v="Americas"/>
    <x v="6"/>
    <s v="San Francisco"/>
    <s v="San Francisco"/>
    <s v="Non-Profit"/>
    <s v="Direct"/>
    <s v="Direct"/>
    <s v="E. Garcia"/>
    <s v="E. Garcia"/>
    <s v="Components"/>
    <s v="High"/>
    <s v="CMP-2410"/>
    <s v="C"/>
    <n v="1061.3699999999999"/>
    <n v="1938.33"/>
    <n v="1938.33"/>
    <n v="0.17"/>
    <n v="0.17"/>
    <s v="Low"/>
    <n v="4"/>
    <n v="6435.2555999999995"/>
    <n v="4245.4799999999996"/>
    <n v="2189.7755999999999"/>
    <n v="0.34027795259600879"/>
  </r>
  <r>
    <s v="ORD-2025-640677"/>
    <d v="2025-04-09T00:00:00"/>
    <d v="2025-04-09T00:00:00"/>
    <d v="2025-05-06T00:00:00"/>
    <d v="2025-05-06T00:00:00"/>
    <n v="27"/>
    <s v="Not Met"/>
    <s v="04-2025"/>
    <s v="Q2-2025"/>
    <d v="2023-01-29T00:00:00"/>
    <x v="0"/>
    <s v="Americas"/>
    <x v="9"/>
    <s v="Brasília"/>
    <s v="Brasília"/>
    <s v="Enterprise"/>
    <s v="Marketplace"/>
    <s v="Marketplace"/>
    <s v="F. Müller"/>
    <s v="F. Müller"/>
    <s v="Laptops"/>
    <s v="Low"/>
    <s v="LAP-4517"/>
    <s v="C"/>
    <n v="264.19"/>
    <n v="620.92999999999995"/>
    <n v="620.92999999999995"/>
    <n v="0.14199999999999999"/>
    <n v="0.14199999999999999"/>
    <s v="Low"/>
    <n v="12"/>
    <n v="6393.0952799999995"/>
    <n v="3170.2799999999997"/>
    <n v="3222.8152799999998"/>
    <n v="0.50410875152794532"/>
  </r>
  <r>
    <s v="ORD-2024-851883"/>
    <d v="2024-01-13T00:00:00"/>
    <d v="2024-01-13T00:00:00"/>
    <d v="2024-01-22T00:00:00"/>
    <d v="2024-01-22T00:00:00"/>
    <n v="9"/>
    <s v="Not Met"/>
    <s v="01-2024"/>
    <s v="Q1-2024"/>
    <d v="2023-01-29T00:00:00"/>
    <x v="0"/>
    <s v="Asia"/>
    <x v="3"/>
    <s v="Mumbai"/>
    <s v="Mumbai"/>
    <s v="Enterprise"/>
    <s v="Marketplace"/>
    <s v="Marketplace"/>
    <s v="J. Njeri"/>
    <s v="J. Njeri"/>
    <s v="Components"/>
    <s v="Low"/>
    <s v="CMP-8141"/>
    <s v="C"/>
    <n v="313.60000000000002"/>
    <n v="334.28"/>
    <n v="334.28"/>
    <n v="0.14000000000000001"/>
    <n v="0.14000000000000001"/>
    <s v="Low"/>
    <n v="22"/>
    <n v="6324.5775999999996"/>
    <n v="6899.2000000000007"/>
    <n v="574.62240000000111"/>
    <n v="9.0855458868905517E-2"/>
  </r>
  <r>
    <s v="ORD-2023-244375"/>
    <d v="2023-06-03T00:00:00"/>
    <d v="2023-06-03T00:00:00"/>
    <d v="2023-07-01T00:00:00"/>
    <d v="2023-07-01T00:00:00"/>
    <n v="28"/>
    <s v="Not Met"/>
    <s v="06-2023"/>
    <s v="Q2-2023"/>
    <d v="2023-01-29T00:00:00"/>
    <x v="0"/>
    <s v="Americas"/>
    <x v="9"/>
    <s v="Brasília"/>
    <s v="Brasília"/>
    <s v="Small Business"/>
    <s v="Marketplace"/>
    <s v="Marketplace"/>
    <s v="A. Patel"/>
    <s v="A. Patel"/>
    <s v="Components"/>
    <s v="High"/>
    <s v="CMP-1223"/>
    <s v="C"/>
    <n v="860.4"/>
    <n v="2066.6"/>
    <n v="2066.6"/>
    <n v="0.01"/>
    <n v="0.01"/>
    <s v="Low"/>
    <n v="3"/>
    <n v="6137.8019999999988"/>
    <n v="2581.1999999999998"/>
    <n v="3556.601999999999"/>
    <n v="0.57945857491004105"/>
  </r>
  <r>
    <s v="ORD-2025-678328"/>
    <d v="2025-06-24T00:00:00"/>
    <d v="2025-06-24T00:00:00"/>
    <d v="2025-07-14T00:00:00"/>
    <d v="2025-07-14T00:00:00"/>
    <n v="20"/>
    <s v="Not Met"/>
    <s v="06-2025"/>
    <s v="Q2-2025"/>
    <d v="2023-01-21T00:00:00"/>
    <x v="0"/>
    <s v="Europe"/>
    <x v="4"/>
    <s v="Berlin"/>
    <s v="Berlin"/>
    <s v="Corporate"/>
    <s v="Direct"/>
    <s v="Direct"/>
    <s v="O. Wang"/>
    <s v="O. Wang"/>
    <s v="Accessories"/>
    <s v="Medium"/>
    <s v="ACC-8094"/>
    <s v="C"/>
    <n v="385.08"/>
    <n v="893.19"/>
    <n v="893.19"/>
    <n v="0.151"/>
    <n v="0.151"/>
    <s v="Low"/>
    <n v="8"/>
    <n v="6066.54648"/>
    <n v="3080.64"/>
    <n v="2985.9064800000001"/>
    <n v="0.49219213762621666"/>
  </r>
  <r>
    <s v="ORD-2024-382152"/>
    <d v="2024-12-08T00:00:00"/>
    <d v="2024-12-08T00:00:00"/>
    <d v="2024-12-08T00:00:00"/>
    <d v="2024-12-08T00:00:00"/>
    <n v="0"/>
    <s v="Met"/>
    <s v="12-2024"/>
    <s v="Q4-2024"/>
    <d v="2023-01-10T00:00:00"/>
    <x v="0"/>
    <s v="Europe"/>
    <x v="11"/>
    <s v="Lyon"/>
    <s v="Lyon"/>
    <s v="Enterprise"/>
    <s v="Retail"/>
    <s v="Retail"/>
    <s v="H. Kim"/>
    <s v="H. Kim"/>
    <s v="Components"/>
    <s v="Low"/>
    <s v="CMP-2335"/>
    <s v="C"/>
    <n v="257.44"/>
    <n v="290.33"/>
    <n v="290.33"/>
    <n v="9.1999999999999998E-2"/>
    <n v="9.1999999999999998E-2"/>
    <s v="Low"/>
    <n v="23"/>
    <n v="6063.2517199999993"/>
    <n v="5921.12"/>
    <n v="142.1317199999994"/>
    <n v="2.3441500792581216E-2"/>
  </r>
  <r>
    <s v="ORD-2024-585443"/>
    <d v="2024-08-17T00:00:00"/>
    <d v="2024-08-15T00:00:00"/>
    <d v="2024-08-15T00:00:00"/>
    <d v="2024-08-17T00:00:00"/>
    <n v="2"/>
    <s v="Met"/>
    <s v="08-2024"/>
    <s v="Q3-2024"/>
    <d v="2023-01-29T00:00:00"/>
    <x v="0"/>
    <s v="Americas"/>
    <x v="9"/>
    <s v="Rio de Janeiro"/>
    <s v="Rio de Janeiro"/>
    <s v="Consumer"/>
    <s v="Direct"/>
    <s v="Direct"/>
    <s v="M. Rossi"/>
    <s v="M. Rossi"/>
    <s v="Monitors"/>
    <s v="Low"/>
    <s v="MON-2849"/>
    <s v="C"/>
    <n v="165.3"/>
    <n v="275.07"/>
    <n v="275.07"/>
    <n v="0.13300000000000001"/>
    <n v="0.13300000000000001"/>
    <s v="Low"/>
    <n v="25"/>
    <n v="5962.1422499999999"/>
    <n v="4132.5"/>
    <n v="1829.6422499999999"/>
    <n v="0.30687665159280625"/>
  </r>
  <r>
    <s v="ORD-2024-478165"/>
    <d v="2024-12-05T00:00:00"/>
    <d v="2024-12-05T00:00:00"/>
    <d v="2024-12-28T00:00:00"/>
    <d v="2024-12-28T00:00:00"/>
    <n v="23"/>
    <s v="Not Met"/>
    <s v="12-2024"/>
    <s v="Q4-2024"/>
    <d v="2023-01-02T00:00:00"/>
    <x v="0"/>
    <s v="Americas"/>
    <x v="0"/>
    <s v="Vancouver"/>
    <s v="Vancouver"/>
    <s v="Corporate"/>
    <s v="Direct"/>
    <s v="Direct"/>
    <s v="F. Müller"/>
    <s v="F. Müller"/>
    <s v="Accessories"/>
    <s v="Low"/>
    <s v="ACC-2386"/>
    <s v="C"/>
    <n v="107.03"/>
    <n v="242.29"/>
    <n v="242.29"/>
    <n v="0.18"/>
    <n v="0.18"/>
    <s v="Low"/>
    <n v="30"/>
    <n v="5960.3340000000007"/>
    <n v="3210.9"/>
    <n v="2749.4340000000007"/>
    <n v="0.46128857879440988"/>
  </r>
  <r>
    <s v="ORD-2024-745424"/>
    <d v="2024-08-22T00:00:00"/>
    <d v="2024-08-22T00:00:00"/>
    <d v="2024-09-04T00:00:00"/>
    <d v="2024-09-04T00:00:00"/>
    <n v="13"/>
    <s v="Not Met"/>
    <s v="08-2024"/>
    <s v="Q3-2024"/>
    <d v="2023-01-21T00:00:00"/>
    <x v="0"/>
    <s v="Europe"/>
    <x v="4"/>
    <s v="Frankfurt"/>
    <s v="Frankfurt"/>
    <s v="Non-Profit"/>
    <s v="Retail"/>
    <s v="Retail"/>
    <s v="L. Okafor"/>
    <s v="L. Okafor"/>
    <s v="Printers"/>
    <s v="Low"/>
    <s v="PRN-4892"/>
    <s v="C"/>
    <n v="90.04"/>
    <n v="194.62"/>
    <n v="194.62"/>
    <n v="4.2999999999999997E-2"/>
    <n v="4.2999999999999997E-2"/>
    <s v="Low"/>
    <n v="32"/>
    <n v="5960.04288"/>
    <n v="2881.28"/>
    <n v="3078.7628799999998"/>
    <n v="0.51656723650954672"/>
  </r>
  <r>
    <s v="ORD-2024-878493"/>
    <d v="2024-06-19T00:00:00"/>
    <d v="2024-06-19T00:00:00"/>
    <d v="2024-06-20T00:00:00"/>
    <d v="2024-06-20T00:00:00"/>
    <n v="1"/>
    <s v="Met"/>
    <s v="06-2024"/>
    <s v="Q2-2024"/>
    <d v="2023-01-20T00:00:00"/>
    <x v="0"/>
    <s v="Africa"/>
    <x v="5"/>
    <s v="Kisumu"/>
    <s v="Kisumu"/>
    <s v="Small Business"/>
    <s v="Direct"/>
    <s v="Direct"/>
    <s v="J. Njeri"/>
    <s v="J. Njeri"/>
    <s v="Laptops"/>
    <s v="Low"/>
    <s v="LAP-4607"/>
    <s v="C"/>
    <n v="231.63"/>
    <n v="537.39"/>
    <n v="537.39"/>
    <n v="0.08"/>
    <n v="0.08"/>
    <s v="Low"/>
    <n v="12"/>
    <n v="5932.7856000000002"/>
    <n v="2779.56"/>
    <n v="3153.2256000000002"/>
    <n v="0.53149158129024587"/>
  </r>
  <r>
    <s v="ORD-2025-757957"/>
    <d v="2025-04-24T00:00:00"/>
    <d v="2025-04-24T00:00:00"/>
    <d v="2025-05-06T00:00:00"/>
    <d v="2025-05-06T00:00:00"/>
    <n v="12"/>
    <s v="Not Met"/>
    <s v="04-2025"/>
    <s v="Q2-2025"/>
    <d v="2023-01-29T00:00:00"/>
    <x v="0"/>
    <s v="Americas"/>
    <x v="9"/>
    <s v="Brasília"/>
    <s v="Brasília"/>
    <s v="Consumer"/>
    <s v="Online"/>
    <s v="Online"/>
    <s v="C. Otieno"/>
    <s v="C. Otieno"/>
    <s v="Phones"/>
    <s v="Medium"/>
    <s v="PHN-2787"/>
    <s v="C"/>
    <n v="394.13"/>
    <n v="932.29"/>
    <n v="932.29"/>
    <n v="0.109"/>
    <n v="0.109"/>
    <s v="Low"/>
    <n v="7"/>
    <n v="5814.6927299999998"/>
    <n v="2758.91"/>
    <n v="3055.7827299999999"/>
    <n v="0.5255278089303268"/>
  </r>
  <r>
    <s v="ORD-2023-419187"/>
    <d v="2023-03-31T00:00:00"/>
    <d v="2023-03-31T00:00:00"/>
    <d v="2023-04-05T00:00:00"/>
    <d v="2023-04-05T00:00:00"/>
    <n v="5"/>
    <s v="Met"/>
    <s v="03-2023"/>
    <s v="Q1-2023"/>
    <d v="2023-01-20T00:00:00"/>
    <x v="0"/>
    <s v="Africa"/>
    <x v="5"/>
    <s v="Nakuru"/>
    <s v="Nakuru"/>
    <s v="Education"/>
    <s v="Marketplace"/>
    <s v="Marketplace"/>
    <s v="B. Chen"/>
    <s v="B. Chen"/>
    <s v="Laptops"/>
    <s v="Low"/>
    <s v="LAP-7819"/>
    <s v="C"/>
    <n v="533.26"/>
    <n v="385.72"/>
    <n v="385.72"/>
    <n v="0"/>
    <n v="0"/>
    <s v="Low"/>
    <n v="15"/>
    <n v="5785.8"/>
    <n v="7998.9"/>
    <n v="2213.0999999999995"/>
    <n v="0.38250544436378708"/>
  </r>
  <r>
    <s v="ORD-2023-427304"/>
    <d v="2023-06-09T00:00:00"/>
    <d v="2023-06-09T00:00:00"/>
    <d v="2023-06-19T00:00:00"/>
    <d v="2023-06-19T00:00:00"/>
    <n v="10"/>
    <s v="Not Met"/>
    <s v="06-2023"/>
    <s v="Q2-2023"/>
    <d v="2023-01-12T00:00:00"/>
    <x v="0"/>
    <s v="Asia"/>
    <x v="10"/>
    <s v="Beijing"/>
    <s v="Beijing"/>
    <s v="Enterprise"/>
    <s v="Retail"/>
    <s v="Retail"/>
    <s v="F. Müller"/>
    <s v="F. Müller"/>
    <s v="Monitors"/>
    <s v="Low"/>
    <s v="MON-9194"/>
    <s v="C"/>
    <n v="339.61"/>
    <n v="621.02"/>
    <n v="621.02"/>
    <n v="7.0999999999999994E-2"/>
    <n v="7.0999999999999994E-2"/>
    <s v="Low"/>
    <n v="10"/>
    <n v="5769.2758000000003"/>
    <n v="3396.1000000000004"/>
    <n v="2373.1758"/>
    <n v="0.41134726129750981"/>
  </r>
  <r>
    <s v="ORD-2024-947056"/>
    <d v="2024-07-31T00:00:00"/>
    <d v="2024-07-31T00:00:00"/>
    <d v="2024-08-15T00:00:00"/>
    <d v="2024-08-15T00:00:00"/>
    <n v="15"/>
    <s v="Not Met"/>
    <s v="07-2024"/>
    <s v="Q3-2024"/>
    <d v="2023-03-03T00:00:00"/>
    <x v="1"/>
    <s v="Asia"/>
    <x v="7"/>
    <s v="Tokyo"/>
    <s v="Tokyo"/>
    <s v="Corporate"/>
    <s v="Marketplace"/>
    <s v="Marketplace"/>
    <s v="F. Müller"/>
    <s v="F. Müller"/>
    <s v="Monitors"/>
    <s v="Medium"/>
    <s v="MON-1564"/>
    <s v="C"/>
    <n v="1252.52"/>
    <n v="1417.24"/>
    <n v="1417.24"/>
    <n v="0.192"/>
    <n v="0.192"/>
    <s v="Low"/>
    <n v="5"/>
    <n v="5725.6496000000006"/>
    <n v="6262.6"/>
    <n v="536.95039999999972"/>
    <n v="9.3779821943696953E-2"/>
  </r>
  <r>
    <s v="ORD-2024-357368"/>
    <d v="2024-10-30T00:00:00"/>
    <d v="2024-10-30T00:00:00"/>
    <d v="2024-11-24T00:00:00"/>
    <d v="2024-11-24T00:00:00"/>
    <n v="25"/>
    <s v="Not Met"/>
    <s v="10-2024"/>
    <s v="Q4-2024"/>
    <d v="2023-01-12T00:00:00"/>
    <x v="0"/>
    <s v="Asia"/>
    <x v="10"/>
    <s v="Shenzhen"/>
    <s v="Shenzhen"/>
    <s v="Small Business"/>
    <s v="Online"/>
    <s v="Online"/>
    <s v="E. Garcia"/>
    <s v="E. Garcia"/>
    <s v="Components"/>
    <s v="Medium"/>
    <s v="CMP-4610"/>
    <s v="C"/>
    <n v="811.05"/>
    <n v="1217.71"/>
    <n v="1217.71"/>
    <n v="7.1999999999999995E-2"/>
    <n v="7.1999999999999995E-2"/>
    <s v="Low"/>
    <n v="5"/>
    <n v="5650.1744000000008"/>
    <n v="4055.25"/>
    <n v="1594.9244000000008"/>
    <n v="0.28227879125288602"/>
  </r>
  <r>
    <s v="ORD-2023-181257"/>
    <d v="2023-11-15T00:00:00"/>
    <d v="2023-11-15T00:00:00"/>
    <d v="2023-12-06T00:00:00"/>
    <d v="2023-12-06T00:00:00"/>
    <n v="21"/>
    <s v="Not Met"/>
    <s v="11-2023"/>
    <s v="Q4-2023"/>
    <d v="2023-01-19T00:00:00"/>
    <x v="0"/>
    <s v="Europe"/>
    <x v="1"/>
    <s v="Manchester"/>
    <s v="Manchester"/>
    <s v="Education"/>
    <s v="Direct"/>
    <s v="Direct"/>
    <s v="H. Kim"/>
    <s v="H. Kim"/>
    <s v="Accessories"/>
    <s v="Medium"/>
    <s v="ACC-1060"/>
    <s v="C"/>
    <n v="1184.99"/>
    <n v="1154.3399999999999"/>
    <n v="1154.3399999999999"/>
    <n v="2.8000000000000001E-2"/>
    <n v="2.8000000000000001E-2"/>
    <s v="Low"/>
    <n v="5"/>
    <n v="5610.0923999999995"/>
    <n v="5924.95"/>
    <n v="314.85760000000028"/>
    <n v="5.6123424990290764E-2"/>
  </r>
  <r>
    <s v="ORD-2025-473192"/>
    <d v="2025-03-30T00:00:00"/>
    <d v="2025-03-30T00:00:00"/>
    <d v="2025-04-29T00:00:00"/>
    <d v="2025-04-29T00:00:00"/>
    <n v="30"/>
    <s v="Not Met"/>
    <s v="03-2025"/>
    <s v="Q1-2025"/>
    <d v="2023-01-07T00:00:00"/>
    <x v="0"/>
    <s v="Africa"/>
    <x v="8"/>
    <s v="Durban"/>
    <s v="Durban"/>
    <s v="Consumer"/>
    <s v="Marketplace"/>
    <s v="Marketplace"/>
    <s v="J. Njeri"/>
    <s v="J. Njeri"/>
    <s v="Monitors"/>
    <s v="Low"/>
    <s v="MON-7106"/>
    <s v="C"/>
    <n v="194.6"/>
    <n v="314.87"/>
    <n v="314.87"/>
    <n v="0.29299999999999998"/>
    <n v="0.29299999999999998"/>
    <s v="High"/>
    <n v="25"/>
    <n v="5565.3272500000003"/>
    <n v="4865"/>
    <n v="700.32725000000028"/>
    <n v="0.1258375686712763"/>
  </r>
  <r>
    <s v="ORD-2024-972318"/>
    <d v="2024-12-24T00:00:00"/>
    <d v="2024-12-24T00:00:00"/>
    <d v="2025-01-13T00:00:00"/>
    <d v="2025-01-13T00:00:00"/>
    <n v="20"/>
    <s v="Not Met"/>
    <s v="12-2024"/>
    <s v="Q4-2024"/>
    <d v="2023-01-29T00:00:00"/>
    <x v="0"/>
    <s v="Asia"/>
    <x v="3"/>
    <s v="Bengaluru"/>
    <s v="Bengaluru"/>
    <s v="Corporate"/>
    <s v="Marketplace"/>
    <s v="Marketplace"/>
    <s v="D. Smith"/>
    <s v="D. Smith"/>
    <s v="Networking"/>
    <s v="Low"/>
    <s v="NET-9832"/>
    <s v="C"/>
    <n v="126.15"/>
    <n v="284.23"/>
    <n v="284.23"/>
    <n v="0.113"/>
    <n v="0.113"/>
    <s v="Low"/>
    <n v="22"/>
    <n v="5546.4642200000008"/>
    <n v="2775.3"/>
    <n v="2771.1642200000006"/>
    <n v="0.49962716968541088"/>
  </r>
  <r>
    <s v="ORD-2023-302041"/>
    <d v="2023-10-04T00:00:00"/>
    <d v="2023-10-04T00:00:00"/>
    <d v="2023-10-29T00:00:00"/>
    <d v="2023-10-29T00:00:00"/>
    <n v="25"/>
    <s v="Not Met"/>
    <s v="10-2023"/>
    <s v="Q4-2023"/>
    <d v="2023-01-13T00:00:00"/>
    <x v="0"/>
    <s v="Americas"/>
    <x v="6"/>
    <s v="San Francisco"/>
    <s v="San Francisco"/>
    <s v="Small Business"/>
    <s v="Distributor"/>
    <s v="Distributor"/>
    <s v="O. Wang"/>
    <s v="O. Wang"/>
    <s v="Accessories"/>
    <s v="Medium"/>
    <s v="ACC-5079"/>
    <s v="C"/>
    <n v="1239.8399999999999"/>
    <n v="1482.75"/>
    <n v="1482.75"/>
    <n v="6.7000000000000004E-2"/>
    <n v="6.7000000000000004E-2"/>
    <s v="Low"/>
    <n v="4"/>
    <n v="5533.6230000000005"/>
    <n v="4959.3599999999997"/>
    <n v="574.26300000000083"/>
    <n v="0.10377703721413634"/>
  </r>
  <r>
    <s v="ORD-2025-725646"/>
    <d v="2025-09-10T00:00:00"/>
    <d v="2025-09-10T00:00:00"/>
    <d v="2025-09-30T00:00:00"/>
    <d v="2025-09-30T00:00:00"/>
    <n v="20"/>
    <s v="Not Met"/>
    <s v="09-2025"/>
    <s v="Q3-2025"/>
    <d v="2023-01-20T00:00:00"/>
    <x v="0"/>
    <s v="Africa"/>
    <x v="5"/>
    <s v="Mombasa"/>
    <s v="Mombasa"/>
    <s v="Corporate"/>
    <s v="Direct"/>
    <s v="Direct"/>
    <s v="L. Okafor"/>
    <s v="L. Okafor"/>
    <s v="Phones"/>
    <s v="Medium"/>
    <s v="PHN-6954"/>
    <s v="C"/>
    <n v="1009.48"/>
    <n v="1088.81"/>
    <n v="1088.81"/>
    <n v="0.16"/>
    <n v="0.16"/>
    <s v="Low"/>
    <n v="6"/>
    <n v="5487.6023999999998"/>
    <n v="6056.88"/>
    <n v="569.27760000000035"/>
    <n v="0.10373885688219693"/>
  </r>
  <r>
    <s v="ORD-2023-294716"/>
    <d v="2023-04-10T00:00:00"/>
    <d v="2023-04-10T00:00:00"/>
    <d v="2023-04-25T00:00:00"/>
    <d v="2023-04-25T00:00:00"/>
    <n v="15"/>
    <s v="Not Met"/>
    <s v="04-2023"/>
    <s v="Q2-2023"/>
    <d v="2023-01-19T00:00:00"/>
    <x v="0"/>
    <s v="Europe"/>
    <x v="1"/>
    <s v="London"/>
    <s v="London"/>
    <s v="Small Business"/>
    <s v="Retail"/>
    <s v="Retail"/>
    <s v="D. Smith"/>
    <s v="D. Smith"/>
    <s v="Printers"/>
    <s v="Medium"/>
    <s v="PRN-5067"/>
    <s v="C"/>
    <n v="405.66"/>
    <n v="962.51"/>
    <n v="962.51"/>
    <n v="0.19"/>
    <n v="0.19"/>
    <s v="Low"/>
    <n v="7"/>
    <n v="5457.4317000000001"/>
    <n v="2839.6200000000003"/>
    <n v="2617.8116999999997"/>
    <n v="0.47967832561239376"/>
  </r>
  <r>
    <s v="ORD-2025-415018"/>
    <d v="2025-01-22T00:00:00"/>
    <d v="2025-01-22T00:00:00"/>
    <d v="2025-02-04T00:00:00"/>
    <d v="2025-02-04T00:00:00"/>
    <n v="13"/>
    <s v="Not Met"/>
    <s v="01-2025"/>
    <s v="Q1-2025"/>
    <d v="2023-03-03T00:00:00"/>
    <x v="1"/>
    <s v="Asia"/>
    <x v="7"/>
    <s v="Tokyo"/>
    <s v="Tokyo"/>
    <s v="Small Business"/>
    <s v="Distributor"/>
    <s v="Distributor"/>
    <s v="L. Okafor"/>
    <s v="L. Okafor"/>
    <s v="Printers"/>
    <s v="Low"/>
    <s v="PRN-2991"/>
    <s v="C"/>
    <n v="122.29"/>
    <n v="224.95"/>
    <n v="224.95"/>
    <n v="0.153"/>
    <n v="0.153"/>
    <s v="Low"/>
    <n v="28"/>
    <n v="5334.9141999999993"/>
    <n v="3424.1200000000003"/>
    <n v="1910.7941999999989"/>
    <n v="0.3581677471026618"/>
  </r>
  <r>
    <s v="ORD-2025-114382"/>
    <d v="2025-05-14T00:00:00"/>
    <d v="2025-05-14T00:00:00"/>
    <d v="2025-05-24T00:00:00"/>
    <d v="2025-05-24T00:00:00"/>
    <n v="10"/>
    <s v="Not Met"/>
    <s v="05-2025"/>
    <s v="Q2-2025"/>
    <d v="2023-01-10T00:00:00"/>
    <x v="0"/>
    <s v="Europe"/>
    <x v="11"/>
    <s v="Paris"/>
    <s v="Paris"/>
    <s v="Small Business"/>
    <s v="Marketplace"/>
    <s v="Marketplace"/>
    <s v="K. Singh"/>
    <s v="K. Singh"/>
    <s v="Components"/>
    <s v="Low"/>
    <s v="CMP-2865"/>
    <s v="C"/>
    <n v="170.39"/>
    <n v="388.04"/>
    <n v="388.04"/>
    <n v="8.4000000000000005E-2"/>
    <n v="8.4000000000000005E-2"/>
    <s v="Low"/>
    <n v="15"/>
    <n v="5331.6696000000002"/>
    <n v="2555.85"/>
    <n v="2775.8196000000003"/>
    <n v="0.52062858508711796"/>
  </r>
  <r>
    <s v="ORD-2025-541501"/>
    <d v="2025-07-22T00:00:00"/>
    <d v="2025-07-22T00:00:00"/>
    <d v="2025-08-18T00:00:00"/>
    <d v="2025-08-18T00:00:00"/>
    <n v="27"/>
    <s v="Not Met"/>
    <s v="07-2025"/>
    <s v="Q3-2025"/>
    <d v="2023-01-12T00:00:00"/>
    <x v="0"/>
    <s v="Asia"/>
    <x v="10"/>
    <s v="Shenzhen"/>
    <s v="Shenzhen"/>
    <s v="Non-Profit"/>
    <s v="Marketplace"/>
    <s v="Marketplace"/>
    <s v="M. Rossi"/>
    <s v="M. Rossi"/>
    <s v="Networking"/>
    <s v="Low"/>
    <s v="NET-1804"/>
    <s v="C"/>
    <n v="547.32000000000005"/>
    <n v="419.17"/>
    <n v="419.17"/>
    <n v="9.1999999999999998E-2"/>
    <n v="9.1999999999999998E-2"/>
    <s v="Low"/>
    <n v="14"/>
    <n v="5328.4890400000004"/>
    <n v="7662.4800000000005"/>
    <n v="2333.9909600000001"/>
    <n v="0.43802116181137907"/>
  </r>
  <r>
    <s v="ORD-2024-542244"/>
    <d v="2024-08-30T00:00:00"/>
    <d v="2024-08-30T00:00:00"/>
    <d v="2024-09-05T00:00:00"/>
    <d v="2024-09-05T00:00:00"/>
    <n v="6"/>
    <s v="Met"/>
    <s v="08-2024"/>
    <s v="Q3-2024"/>
    <d v="2023-03-03T00:00:00"/>
    <x v="1"/>
    <s v="Asia"/>
    <x v="7"/>
    <s v="Nagoya"/>
    <s v="Nagoya"/>
    <s v="Education"/>
    <s v="Online"/>
    <s v="Online"/>
    <s v="N. Brown"/>
    <s v="N. Brown"/>
    <s v="Laptops"/>
    <s v="Medium"/>
    <s v="LAP-7009"/>
    <s v="C"/>
    <n v="466.16"/>
    <n v="876.81"/>
    <n v="876.81"/>
    <n v="0.24099999999999999"/>
    <n v="0.24099999999999999"/>
    <s v="High"/>
    <n v="8"/>
    <n v="5323.9903199999999"/>
    <n v="3729.28"/>
    <n v="1594.7103199999997"/>
    <n v="0.29953291124691594"/>
  </r>
  <r>
    <s v="ORD-2024-569164"/>
    <d v="2024-09-05T00:00:00"/>
    <d v="2024-09-05T00:00:00"/>
    <d v="2024-09-25T00:00:00"/>
    <d v="2024-09-25T00:00:00"/>
    <n v="20"/>
    <s v="Not Met"/>
    <s v="09-2024"/>
    <s v="Q3-2024"/>
    <d v="2023-03-03T00:00:00"/>
    <x v="1"/>
    <s v="Asia"/>
    <x v="7"/>
    <s v="Osaka"/>
    <s v="Osaka"/>
    <s v="Enterprise"/>
    <s v="Distributor"/>
    <s v="Distributor"/>
    <s v="D. Smith"/>
    <s v="D. Smith"/>
    <s v="Monitors"/>
    <s v="Low"/>
    <s v="MON-5249"/>
    <s v="C"/>
    <n v="195.54"/>
    <n v="405.97"/>
    <n v="405.97"/>
    <n v="0.187"/>
    <n v="0.187"/>
    <s v="Low"/>
    <n v="16"/>
    <n v="5280.8577599999999"/>
    <n v="3128.64"/>
    <n v="2152.21776"/>
    <n v="0.40755079152141377"/>
  </r>
  <r>
    <s v="ORD-2024-678110"/>
    <d v="2024-07-24T00:00:00"/>
    <d v="2024-07-24T00:00:00"/>
    <d v="2024-08-08T00:00:00"/>
    <d v="2024-08-08T00:00:00"/>
    <n v="15"/>
    <s v="Not Met"/>
    <s v="07-2024"/>
    <s v="Q3-2024"/>
    <d v="2023-01-10T00:00:00"/>
    <x v="0"/>
    <s v="Europe"/>
    <x v="11"/>
    <s v="Marseille"/>
    <s v="Marseille"/>
    <s v="Enterprise"/>
    <s v="Marketplace"/>
    <s v="Marketplace"/>
    <s v="H. Kim"/>
    <s v="H. Kim"/>
    <s v="Laptops"/>
    <s v="Medium"/>
    <s v="LAP-9901"/>
    <s v="C"/>
    <n v="501.5"/>
    <n v="1201.47"/>
    <n v="1201.47"/>
    <n v="0.126"/>
    <n v="0.126"/>
    <s v="Low"/>
    <n v="5"/>
    <n v="5250.4239000000007"/>
    <n v="2507.5"/>
    <n v="2742.9239000000007"/>
    <n v="0.52241951359394057"/>
  </r>
  <r>
    <s v="ORD-2025-168148"/>
    <d v="2025-03-29T00:00:00"/>
    <d v="2025-03-29T00:00:00"/>
    <d v="2025-04-02T00:00:00"/>
    <d v="2025-04-02T00:00:00"/>
    <n v="4"/>
    <s v="Met"/>
    <s v="03-2025"/>
    <s v="Q1-2025"/>
    <d v="2023-01-13T00:00:00"/>
    <x v="0"/>
    <s v="Africa"/>
    <x v="2"/>
    <s v="Lagos"/>
    <s v="Lagos"/>
    <s v="Non-Profit"/>
    <s v="Marketplace"/>
    <s v="Marketplace"/>
    <s v="G. Dubois"/>
    <s v="G. Dubois"/>
    <s v="Phones"/>
    <s v="Low"/>
    <s v="PHN-4556"/>
    <s v="C"/>
    <n v="259.93"/>
    <n v="255.94"/>
    <n v="255.94"/>
    <n v="7.1999999999999995E-2"/>
    <n v="7.1999999999999995E-2"/>
    <s v="Low"/>
    <n v="22"/>
    <n v="5225.2710400000005"/>
    <n v="5718.46"/>
    <n v="493.1889599999995"/>
    <n v="9.4385335463861311E-2"/>
  </r>
  <r>
    <s v="ORD-2023-349264"/>
    <d v="2023-06-01T00:00:00"/>
    <d v="2023-06-01T00:00:00"/>
    <d v="2023-06-08T00:00:00"/>
    <d v="2023-06-08T00:00:00"/>
    <n v="7"/>
    <s v="Met"/>
    <s v="06-2023"/>
    <s v="Q2-2023"/>
    <d v="2023-01-21T00:00:00"/>
    <x v="0"/>
    <s v="Europe"/>
    <x v="4"/>
    <s v="Frankfurt"/>
    <s v="Frankfurt"/>
    <s v="Consumer"/>
    <s v="Online"/>
    <s v="Online"/>
    <s v="A. Patel"/>
    <s v="A. Patel"/>
    <s v="Phones"/>
    <s v="Medium"/>
    <s v="PHN-1924"/>
    <s v="C"/>
    <n v="804.17"/>
    <n v="1072.29"/>
    <n v="1072.29"/>
    <n v="3.2000000000000001E-2"/>
    <n v="3.2000000000000001E-2"/>
    <s v="Low"/>
    <n v="5"/>
    <n v="5189.8836000000001"/>
    <n v="4020.85"/>
    <n v="1169.0336000000002"/>
    <n v="0.2252523736755869"/>
  </r>
  <r>
    <s v="ORD-2023-597666"/>
    <d v="2023-10-25T00:00:00"/>
    <d v="2023-10-25T00:00:00"/>
    <d v="2023-11-24T00:00:00"/>
    <d v="2023-11-24T00:00:00"/>
    <n v="30"/>
    <s v="Not Met"/>
    <s v="10-2023"/>
    <s v="Q4-2023"/>
    <d v="2023-01-10T00:00:00"/>
    <x v="0"/>
    <s v="Europe"/>
    <x v="11"/>
    <s v="Paris"/>
    <s v="Paris"/>
    <s v="Enterprise"/>
    <s v="Distributor"/>
    <s v="Distributor"/>
    <s v="C. Otieno"/>
    <s v="C. Otieno"/>
    <s v="Phones"/>
    <s v="Low"/>
    <s v="PHN-5938"/>
    <s v="C"/>
    <n v="287.85000000000002"/>
    <n v="602.91999999999996"/>
    <n v="602.91999999999996"/>
    <n v="0.222"/>
    <n v="0.222"/>
    <s v="High"/>
    <n v="11"/>
    <n v="5159.7893599999998"/>
    <n v="3166.3500000000004"/>
    <n v="1993.4393599999994"/>
    <n v="0.38634122847216373"/>
  </r>
  <r>
    <s v="ORD-2025-252117"/>
    <d v="2025-04-28T00:00:00"/>
    <d v="2025-04-28T00:00:00"/>
    <d v="2025-05-19T00:00:00"/>
    <d v="2025-05-19T00:00:00"/>
    <n v="21"/>
    <s v="Not Met"/>
    <s v="04-2025"/>
    <s v="Q2-2025"/>
    <d v="2023-01-21T00:00:00"/>
    <x v="0"/>
    <s v="Europe"/>
    <x v="4"/>
    <s v="Berlin"/>
    <s v="Berlin"/>
    <s v="Corporate"/>
    <s v="Distributor"/>
    <s v="Distributor"/>
    <s v="B. Chen"/>
    <s v="B. Chen"/>
    <s v="Phones"/>
    <s v="Low"/>
    <s v="PHN-2462"/>
    <s v="C"/>
    <n v="350.76"/>
    <n v="492.18"/>
    <n v="492.18"/>
    <n v="5.2999999999999999E-2"/>
    <n v="5.2999999999999999E-2"/>
    <s v="Low"/>
    <n v="11"/>
    <n v="5127.0390600000001"/>
    <n v="3858.3599999999997"/>
    <n v="1268.6790600000004"/>
    <n v="0.24744868239798437"/>
  </r>
  <r>
    <s v="ORD-2023-548934"/>
    <d v="2023-08-03T00:00:00"/>
    <d v="2023-08-03T00:00:00"/>
    <d v="2023-08-30T00:00:00"/>
    <d v="2023-08-30T00:00:00"/>
    <n v="27"/>
    <s v="Not Met"/>
    <s v="08-2023"/>
    <s v="Q3-2023"/>
    <d v="2023-01-12T00:00:00"/>
    <x v="0"/>
    <s v="Asia"/>
    <x v="10"/>
    <s v="Shanghai"/>
    <s v="Shanghai"/>
    <s v="Consumer"/>
    <s v="Distributor"/>
    <s v="Distributor"/>
    <s v="N. Brown"/>
    <s v="N. Brown"/>
    <s v="Monitors"/>
    <s v="Low"/>
    <s v="MON-3773"/>
    <s v="C"/>
    <n v="226.04"/>
    <n v="545.72"/>
    <n v="545.72"/>
    <n v="0.151"/>
    <n v="0.151"/>
    <s v="Low"/>
    <n v="11"/>
    <n v="5096.4790800000001"/>
    <n v="2486.44"/>
    <n v="2610.03908"/>
    <n v="0.51212592831834014"/>
  </r>
  <r>
    <s v="ORD-2024-427031"/>
    <d v="2024-06-08T00:00:00"/>
    <d v="2024-06-08T00:00:00"/>
    <d v="2024-06-24T00:00:00"/>
    <d v="2024-06-24T00:00:00"/>
    <n v="16"/>
    <s v="Not Met"/>
    <s v="06-2024"/>
    <s v="Q2-2024"/>
    <d v="2023-01-07T00:00:00"/>
    <x v="0"/>
    <s v="Africa"/>
    <x v="8"/>
    <s v="Durban"/>
    <s v="Durban"/>
    <s v="Education"/>
    <s v="Distributor"/>
    <s v="Distributor"/>
    <s v="H. Kim"/>
    <s v="H. Kim"/>
    <s v="Monitors"/>
    <s v="Low"/>
    <s v="MON-1389"/>
    <s v="C"/>
    <n v="597.85"/>
    <n v="741.92"/>
    <n v="741.92"/>
    <n v="3.1E-2"/>
    <n v="3.1E-2"/>
    <s v="Low"/>
    <n v="7"/>
    <n v="5032.4433599999993"/>
    <n v="4184.95"/>
    <n v="847.49335999999948"/>
    <n v="0.16840594108544515"/>
  </r>
  <r>
    <s v="ORD-2025-487261"/>
    <d v="2025-03-06T00:00:00"/>
    <d v="2025-03-06T00:00:00"/>
    <d v="2025-03-31T00:00:00"/>
    <d v="2025-03-31T00:00:00"/>
    <n v="25"/>
    <s v="Not Met"/>
    <s v="03-2025"/>
    <s v="Q1-2025"/>
    <d v="2023-01-29T00:00:00"/>
    <x v="0"/>
    <s v="Americas"/>
    <x v="9"/>
    <s v="Brasília"/>
    <s v="Brasília"/>
    <s v="Non-Profit"/>
    <s v="Online"/>
    <s v="Online"/>
    <s v="J. Njeri"/>
    <s v="J. Njeri"/>
    <s v="Components"/>
    <s v="Low"/>
    <s v="CMP-3693"/>
    <s v="C"/>
    <n v="331.57"/>
    <n v="548.4"/>
    <n v="548.4"/>
    <n v="9.4E-2"/>
    <n v="9.4E-2"/>
    <s v="Low"/>
    <n v="10"/>
    <n v="4968.5039999999999"/>
    <n v="3315.7"/>
    <n v="1652.8040000000001"/>
    <n v="0.33265626836568918"/>
  </r>
  <r>
    <s v="ORD-2024-192263"/>
    <d v="2024-11-21T00:00:00"/>
    <d v="2024-11-21T00:00:00"/>
    <d v="2024-12-21T00:00:00"/>
    <d v="2024-12-21T00:00:00"/>
    <n v="30"/>
    <s v="Not Met"/>
    <s v="11-2024"/>
    <s v="Q4-2024"/>
    <d v="2023-01-10T00:00:00"/>
    <x v="0"/>
    <s v="Europe"/>
    <x v="11"/>
    <s v="Marseille"/>
    <s v="Marseille"/>
    <s v="Small Business"/>
    <s v="Direct"/>
    <s v="Direct"/>
    <s v="I. Johnson"/>
    <s v="I. Johnson"/>
    <s v="Monitors"/>
    <s v="High"/>
    <s v="MON-7943"/>
    <s v="C"/>
    <n v="1122.68"/>
    <n v="1997.19"/>
    <n v="1997.19"/>
    <n v="0.186"/>
    <n v="0.186"/>
    <s v="Low"/>
    <n v="3"/>
    <n v="4877.1379800000004"/>
    <n v="3368.04"/>
    <n v="1509.0979800000005"/>
    <n v="0.30942285951073306"/>
  </r>
  <r>
    <s v="ORD-2024-275203"/>
    <d v="2024-03-11T00:00:00"/>
    <d v="2024-03-11T00:00:00"/>
    <d v="2024-04-06T00:00:00"/>
    <d v="2024-04-06T00:00:00"/>
    <n v="26"/>
    <s v="Not Met"/>
    <s v="03-2024"/>
    <s v="Q1-2024"/>
    <d v="2023-01-20T00:00:00"/>
    <x v="0"/>
    <s v="Africa"/>
    <x v="5"/>
    <s v="Kisumu"/>
    <s v="Kisumu"/>
    <s v="Corporate"/>
    <s v="Retail"/>
    <s v="Retail"/>
    <s v="C. Otieno"/>
    <s v="C. Otieno"/>
    <s v="Components"/>
    <s v="Low"/>
    <s v="CMP-8270"/>
    <s v="C"/>
    <n v="279.24"/>
    <n v="608.9"/>
    <n v="608.9"/>
    <n v="0.112"/>
    <n v="0.112"/>
    <s v="Low"/>
    <n v="9"/>
    <n v="4866.3287999999993"/>
    <n v="2513.16"/>
    <n v="2353.1687999999995"/>
    <n v="0.48356140670149533"/>
  </r>
  <r>
    <s v="ORD-2025-323492"/>
    <d v="2025-04-27T00:00:00"/>
    <d v="2025-04-27T00:00:00"/>
    <d v="2025-05-27T00:00:00"/>
    <d v="2025-05-27T00:00:00"/>
    <n v="30"/>
    <s v="Not Met"/>
    <s v="04-2025"/>
    <s v="Q2-2025"/>
    <d v="2023-01-29T00:00:00"/>
    <x v="0"/>
    <s v="Asia"/>
    <x v="3"/>
    <m/>
    <s v="Delhi"/>
    <s v="Enterprise"/>
    <s v="Marketplace"/>
    <s v="Marketplace"/>
    <s v="H. Kim"/>
    <s v="H. Kim"/>
    <s v="Phones"/>
    <s v="Medium"/>
    <s v="PHN-3854"/>
    <s v="C"/>
    <n v="481.32"/>
    <n v="1135.99"/>
    <n v="1135.99"/>
    <n v="0.14499999999999999"/>
    <n v="0.14499999999999999"/>
    <s v="Low"/>
    <n v="5"/>
    <n v="4856.35725"/>
    <n v="2406.6"/>
    <n v="2449.7572500000001"/>
    <n v="0.50444337677175621"/>
  </r>
  <r>
    <s v="ORD-2025-542939"/>
    <d v="2025-01-13T00:00:00"/>
    <d v="2025-01-13T00:00:00"/>
    <d v="2025-02-08T00:00:00"/>
    <d v="2025-02-08T00:00:00"/>
    <n v="26"/>
    <s v="Not Met"/>
    <s v="01-2025"/>
    <s v="Q1-2025"/>
    <d v="2023-01-10T00:00:00"/>
    <x v="0"/>
    <s v="Europe"/>
    <x v="11"/>
    <s v="Paris"/>
    <s v="Paris"/>
    <s v="Non-Profit"/>
    <m/>
    <s v="Distributor"/>
    <s v="E. Garcia"/>
    <s v="E. Garcia"/>
    <s v="Monitors"/>
    <s v="Medium"/>
    <s v="MON-1593"/>
    <s v="C"/>
    <n v="594.74"/>
    <n v="1020.69"/>
    <n v="1020.69"/>
    <n v="0.21099999999999999"/>
    <n v="0.21099999999999999"/>
    <s v="High"/>
    <n v="6"/>
    <n v="4831.9464600000001"/>
    <n v="3568.44"/>
    <n v="1263.5064600000001"/>
    <n v="0.26149016146176424"/>
  </r>
  <r>
    <s v="ORD-2024-419248"/>
    <d v="2024-03-04T00:00:00"/>
    <d v="2024-03-04T00:00:00"/>
    <d v="2024-03-16T00:00:00"/>
    <d v="2024-03-16T00:00:00"/>
    <n v="12"/>
    <s v="Not Met"/>
    <s v="03-2024"/>
    <s v="Q1-2024"/>
    <d v="2023-01-07T00:00:00"/>
    <x v="0"/>
    <s v="Africa"/>
    <x v="8"/>
    <s v="Johannesburg"/>
    <s v="Johannesburg"/>
    <s v="Enterprise"/>
    <s v="Distributor"/>
    <s v="Distributor"/>
    <s v="M. Rossi"/>
    <s v="M. Rossi"/>
    <s v="Monitors"/>
    <s v="Medium"/>
    <s v="MON-8422"/>
    <s v="C"/>
    <n v="441.08"/>
    <n v="1054.29"/>
    <n v="1054.29"/>
    <n v="0.23699999999999999"/>
    <n v="0.23699999999999999"/>
    <s v="High"/>
    <n v="6"/>
    <n v="4826.5396199999996"/>
    <n v="2646.48"/>
    <n v="2180.0596199999995"/>
    <n v="0.45168169985932899"/>
  </r>
  <r>
    <s v="ORD-2025-591006"/>
    <d v="2025-06-25T00:00:00"/>
    <d v="2025-06-25T00:00:00"/>
    <d v="2025-07-10T00:00:00"/>
    <d v="2025-07-10T00:00:00"/>
    <n v="15"/>
    <s v="Not Met"/>
    <s v="06-2025"/>
    <s v="Q2-2025"/>
    <d v="2023-01-19T00:00:00"/>
    <x v="0"/>
    <s v="Europe"/>
    <x v="1"/>
    <s v="Birmingham"/>
    <s v="Birmingham"/>
    <s v="Non-Profit"/>
    <s v="Marketplace"/>
    <s v="Marketplace"/>
    <s v="D. Smith"/>
    <s v="D. Smith"/>
    <s v="Phones"/>
    <s v="Low"/>
    <s v="PHN-5383"/>
    <s v="C"/>
    <n v="546.83000000000004"/>
    <n v="400.84"/>
    <n v="400.84"/>
    <n v="7.8E-2"/>
    <n v="7.8E-2"/>
    <s v="Low"/>
    <n v="13"/>
    <n v="4804.4682400000002"/>
    <n v="7108.7900000000009"/>
    <n v="2304.3217600000007"/>
    <n v="0.47962056254533608"/>
  </r>
  <r>
    <s v="ORD-2024-289089"/>
    <d v="2024-12-17T00:00:00"/>
    <d v="2024-12-17T00:00:00"/>
    <d v="2024-12-18T00:00:00"/>
    <d v="2024-12-18T00:00:00"/>
    <n v="1"/>
    <s v="Met"/>
    <s v="12-2024"/>
    <s v="Q4-2024"/>
    <d v="2023-01-21T00:00:00"/>
    <x v="0"/>
    <s v="Europe"/>
    <x v="4"/>
    <s v="Munich"/>
    <s v="Munich"/>
    <s v="Education"/>
    <s v="Retail"/>
    <s v="Retail"/>
    <s v="L. Okafor"/>
    <s v="L. Okafor"/>
    <s v="Accessories"/>
    <s v="Low"/>
    <s v="ACC-5780"/>
    <s v="C"/>
    <n v="346.82"/>
    <n v="701.95"/>
    <n v="701.95"/>
    <n v="0.14699999999999999"/>
    <n v="0.14699999999999999"/>
    <s v="Low"/>
    <n v="8"/>
    <n v="4790.1068000000005"/>
    <n v="2774.56"/>
    <n v="2015.5468000000005"/>
    <n v="0.42077283120284509"/>
  </r>
  <r>
    <s v="ORD-2024-207792"/>
    <d v="2024-09-03T00:00:00"/>
    <d v="2024-09-03T00:00:00"/>
    <d v="2024-09-07T00:00:00"/>
    <d v="2024-09-07T00:00:00"/>
    <n v="4"/>
    <s v="Met"/>
    <s v="09-2024"/>
    <s v="Q3-2024"/>
    <d v="2023-03-03T00:00:00"/>
    <x v="1"/>
    <s v="Asia"/>
    <x v="7"/>
    <s v="Tokyo"/>
    <s v="Tokyo"/>
    <s v="Small Business"/>
    <s v="Distributor"/>
    <s v="Distributor"/>
    <s v="N. Brown"/>
    <s v="N. Brown"/>
    <s v="Printers"/>
    <s v="Low"/>
    <s v="PRN-3917"/>
    <s v="C"/>
    <n v="43.23"/>
    <n v="94.78"/>
    <n v="94.78"/>
    <n v="9.0999999999999998E-2"/>
    <n v="9.0999999999999998E-2"/>
    <s v="Low"/>
    <n v="55"/>
    <n v="4738.5261"/>
    <n v="2377.6499999999996"/>
    <n v="2360.8761000000004"/>
    <n v="0.49823005090127082"/>
  </r>
  <r>
    <s v="ORD-2023-960380"/>
    <d v="2023-02-11T00:00:00"/>
    <d v="2023-02-11T00:00:00"/>
    <d v="2023-02-12T00:00:00"/>
    <d v="2023-02-12T00:00:00"/>
    <n v="1"/>
    <s v="Met"/>
    <s v="02-2023"/>
    <s v="Q1-2023"/>
    <d v="2023-01-13T00:00:00"/>
    <x v="0"/>
    <s v="Africa"/>
    <x v="2"/>
    <s v="Port Harcourt"/>
    <s v="Port Harcourt"/>
    <s v="Non-Profit"/>
    <s v="Direct"/>
    <s v="Direct"/>
    <s v="D. Smith"/>
    <s v="D. Smith"/>
    <s v="Accessories"/>
    <s v="Medium"/>
    <s v="ACC-8242"/>
    <s v="C"/>
    <n v="944.61"/>
    <n v="839.04"/>
    <n v="839.04"/>
    <n v="5.8999999999999997E-2"/>
    <n v="5.8999999999999997E-2"/>
    <s v="Low"/>
    <n v="6"/>
    <n v="4737.2198399999997"/>
    <n v="5667.66"/>
    <n v="930.44016000000011"/>
    <n v="0.19641059343363726"/>
  </r>
  <r>
    <s v="ORD-2023-382272"/>
    <d v="2023-05-20T00:00:00"/>
    <d v="2023-05-18T00:00:00"/>
    <d v="2023-05-18T00:00:00"/>
    <d v="2023-05-20T00:00:00"/>
    <n v="2"/>
    <s v="Met"/>
    <s v="05-2023"/>
    <s v="Q2-2023"/>
    <d v="2023-01-07T00:00:00"/>
    <x v="0"/>
    <s v="Africa"/>
    <x v="8"/>
    <s v="Durban"/>
    <s v="Durban"/>
    <s v="Corporate"/>
    <s v="Distributor"/>
    <s v="Distributor"/>
    <s v="A. Patel"/>
    <s v="A. Patel"/>
    <s v="Components"/>
    <s v="Medium"/>
    <s v="CMP-5208"/>
    <s v="C"/>
    <n v="917.88"/>
    <n v="1347.92"/>
    <n v="1347.92"/>
    <n v="0.34300000000000003"/>
    <n v="0.3"/>
    <s v="High"/>
    <n v="5"/>
    <n v="4717.72"/>
    <n v="4589.3999999999996"/>
    <n v="128.32000000000062"/>
    <n v="2.7199579457873848E-2"/>
  </r>
  <r>
    <s v="ORD-2024-433936"/>
    <d v="2024-08-04T00:00:00"/>
    <d v="2024-08-04T00:00:00"/>
    <d v="2024-08-17T00:00:00"/>
    <d v="2024-08-17T00:00:00"/>
    <n v="13"/>
    <s v="Not Met"/>
    <s v="08-2024"/>
    <s v="Q3-2024"/>
    <d v="2023-01-13T00:00:00"/>
    <x v="0"/>
    <s v="Americas"/>
    <x v="6"/>
    <s v="Austin"/>
    <s v="Austin"/>
    <s v="Consumer"/>
    <s v="Retail"/>
    <s v="Retail"/>
    <s v="D. Smith"/>
    <s v="D. Smith"/>
    <s v="Monitors"/>
    <s v="Low"/>
    <s v="MON-8867"/>
    <s v="C"/>
    <n v="352.79"/>
    <n v="754.22"/>
    <n v="754.22"/>
    <n v="0.113"/>
    <n v="0.113"/>
    <s v="Low"/>
    <n v="7"/>
    <n v="4682.9519799999998"/>
    <n v="2469.5300000000002"/>
    <n v="2213.4219799999996"/>
    <n v="0.47265528014233443"/>
  </r>
  <r>
    <s v="ORD-2025-512310"/>
    <d v="2025-03-08T00:00:00"/>
    <d v="2025-03-08T00:00:00"/>
    <d v="2025-03-15T00:00:00"/>
    <d v="2025-03-15T00:00:00"/>
    <n v="7"/>
    <s v="Met"/>
    <s v="03-2025"/>
    <s v="Q1-2025"/>
    <d v="2023-01-29T00:00:00"/>
    <x v="0"/>
    <s v="Asia"/>
    <x v="3"/>
    <s v="Bengaluru"/>
    <s v="Bengaluru"/>
    <s v="Corporate"/>
    <s v="Distributor"/>
    <s v="Distributor"/>
    <s v="K. Singh"/>
    <s v="K. Singh"/>
    <s v="Laptops"/>
    <s v="Low"/>
    <s v="LAP-8119"/>
    <s v="C"/>
    <n v="475.66"/>
    <n v="529.14"/>
    <n v="529.14"/>
    <n v="0.19600000000000001"/>
    <n v="0.19600000000000001"/>
    <s v="Low"/>
    <n v="11"/>
    <n v="4679.7141600000004"/>
    <n v="5232.26"/>
    <n v="552.54583999999977"/>
    <n v="0.11807256193613323"/>
  </r>
  <r>
    <s v="ORD-2024-999607"/>
    <d v="2024-01-12T00:00:00"/>
    <d v="2024-01-12T00:00:00"/>
    <d v="2024-01-29T00:00:00"/>
    <d v="2024-01-29T00:00:00"/>
    <n v="17"/>
    <s v="Not Met"/>
    <s v="01-2024"/>
    <s v="Q1-2024"/>
    <d v="2023-01-13T00:00:00"/>
    <x v="0"/>
    <s v="Americas"/>
    <x v="6"/>
    <s v="Chicago"/>
    <s v="Chicago"/>
    <s v="Education"/>
    <s v="Distributor"/>
    <s v="Distributor"/>
    <s v="A. Patel"/>
    <s v="A. Patel"/>
    <s v="Printers"/>
    <s v="Low"/>
    <s v="PRN-8604"/>
    <s v="C"/>
    <n v="493.76"/>
    <n v="625.04"/>
    <n v="625.04"/>
    <n v="0.25800000000000001"/>
    <n v="0.25800000000000001"/>
    <s v="High"/>
    <n v="10"/>
    <n v="4637.7968000000001"/>
    <n v="4937.6000000000004"/>
    <n v="299.80320000000029"/>
    <n v="6.464345311549663E-2"/>
  </r>
  <r>
    <s v="ORD-2023-868460"/>
    <d v="2023-06-01T00:00:00"/>
    <d v="2023-06-01T00:00:00"/>
    <d v="2023-06-01T00:00:00"/>
    <d v="2023-06-01T00:00:00"/>
    <n v="0"/>
    <s v="Met"/>
    <s v="06-2023"/>
    <s v="Q2-2023"/>
    <d v="2023-01-29T00:00:00"/>
    <x v="0"/>
    <s v="Asia"/>
    <x v="3"/>
    <s v="Bengaluru"/>
    <s v="Bengaluru"/>
    <s v="Corporate"/>
    <s v="Retail"/>
    <s v="Retail"/>
    <s v="E. Garcia"/>
    <s v="E. Garcia"/>
    <s v="Accessories"/>
    <s v="Medium"/>
    <s v="ACC-4587"/>
    <s v="C"/>
    <n v="669.37"/>
    <n v="997.2"/>
    <n v="997.2"/>
    <n v="8.2000000000000003E-2"/>
    <n v="8.2000000000000003E-2"/>
    <s v="Low"/>
    <n v="5"/>
    <n v="4577.1480000000001"/>
    <n v="3346.85"/>
    <n v="1230.2980000000002"/>
    <n v="0.26879139586484863"/>
  </r>
  <r>
    <s v="ORD-2025-762301"/>
    <d v="2025-05-02T00:00:00"/>
    <d v="2025-05-02T00:00:00"/>
    <d v="2025-05-13T00:00:00"/>
    <d v="2025-05-13T00:00:00"/>
    <n v="11"/>
    <s v="Not Met"/>
    <s v="05-2025"/>
    <s v="Q2-2025"/>
    <d v="2023-01-20T00:00:00"/>
    <x v="0"/>
    <s v="Africa"/>
    <x v="5"/>
    <s v="Nakuru"/>
    <s v="Nakuru"/>
    <s v="Small Business"/>
    <s v="Online"/>
    <s v="Online"/>
    <s v="A. Patel"/>
    <s v="A. Patel"/>
    <s v="Accessories"/>
    <s v="Medium"/>
    <s v="ACC-2252"/>
    <s v="C"/>
    <n v="1057.5999999999999"/>
    <n v="1437.06"/>
    <n v="1437.06"/>
    <n v="0.20499999999999999"/>
    <n v="0.20499999999999999"/>
    <s v="High"/>
    <n v="4"/>
    <n v="4569.8508000000002"/>
    <n v="4230.3999999999996"/>
    <n v="339.45080000000053"/>
    <n v="7.4280499485891424E-2"/>
  </r>
  <r>
    <s v="ORD-2025-306903"/>
    <d v="2025-06-24T00:00:00"/>
    <d v="2025-06-24T00:00:00"/>
    <d v="2025-07-23T00:00:00"/>
    <d v="2025-07-23T00:00:00"/>
    <n v="29"/>
    <s v="Not Met"/>
    <s v="06-2025"/>
    <s v="Q2-2025"/>
    <d v="2023-01-02T00:00:00"/>
    <x v="0"/>
    <s v="Americas"/>
    <x v="0"/>
    <s v="Vancouver"/>
    <s v="Vancouver"/>
    <s v="Non-Profit"/>
    <s v="Marketplace"/>
    <s v="Marketplace"/>
    <s v="I. Johnson"/>
    <s v="I. Johnson"/>
    <s v="Printers"/>
    <s v="Low"/>
    <s v="PRN-3775"/>
    <s v="C"/>
    <n v="255.4"/>
    <n v="322.70999999999998"/>
    <n v="322.70999999999998"/>
    <n v="0.115"/>
    <n v="0.115"/>
    <s v="Low"/>
    <n v="16"/>
    <n v="4569.5735999999997"/>
    <n v="4086.4"/>
    <n v="483.17359999999962"/>
    <n v="0.10573713048412212"/>
  </r>
  <r>
    <s v="ORD-2023-713375"/>
    <d v="2023-08-26T00:00:00"/>
    <d v="2023-08-26T00:00:00"/>
    <d v="2023-09-10T00:00:00"/>
    <d v="2023-09-10T00:00:00"/>
    <n v="15"/>
    <s v="Not Met"/>
    <s v="08-2023"/>
    <s v="Q3-2023"/>
    <d v="2023-01-07T00:00:00"/>
    <x v="0"/>
    <s v="Africa"/>
    <x v="8"/>
    <s v="Cape Town"/>
    <s v="Cape Town"/>
    <s v="Non-Profit"/>
    <s v="Direct"/>
    <s v="Direct"/>
    <s v="N. Brown"/>
    <s v="N. Brown"/>
    <s v="Components"/>
    <s v="Low"/>
    <s v="CMP-7063"/>
    <s v="C"/>
    <n v="241.14"/>
    <n v="496.52"/>
    <n v="496.52"/>
    <n v="9.2999999999999999E-2"/>
    <n v="9.2999999999999999E-2"/>
    <s v="Low"/>
    <n v="10"/>
    <n v="4503.4363999999996"/>
    <n v="2411.3999999999996"/>
    <n v="2092.0364"/>
    <n v="0.46454223268257994"/>
  </r>
  <r>
    <s v="ORD-2023-517216"/>
    <d v="2023-09-19T00:00:00"/>
    <d v="2023-09-19T00:00:00"/>
    <d v="2023-10-08T00:00:00"/>
    <d v="2023-10-08T00:00:00"/>
    <n v="19"/>
    <s v="Not Met"/>
    <s v="09-2023"/>
    <s v="Q3-2023"/>
    <d v="2023-01-29T00:00:00"/>
    <x v="0"/>
    <s v="Asia"/>
    <x v="3"/>
    <s v="Bengaluru"/>
    <s v="Bengaluru"/>
    <s v="Education"/>
    <s v="Direct"/>
    <s v="Direct"/>
    <s v="J. Njeri"/>
    <s v="J. Njeri"/>
    <s v="Printers"/>
    <s v="Low"/>
    <s v="PRN-5005"/>
    <s v="C"/>
    <n v="385.32"/>
    <n v="606.76"/>
    <n v="606.76"/>
    <n v="8.5999999999999993E-2"/>
    <n v="8.5999999999999993E-2"/>
    <s v="Low"/>
    <n v="8"/>
    <n v="4436.6291200000005"/>
    <n v="3082.56"/>
    <n v="1354.0691200000006"/>
    <n v="0.30520223425842735"/>
  </r>
  <r>
    <s v="ORD-2025-652467"/>
    <d v="2025-08-21T00:00:00"/>
    <d v="2025-08-21T00:00:00"/>
    <d v="2025-09-12T00:00:00"/>
    <d v="2025-09-12T00:00:00"/>
    <n v="22"/>
    <s v="Not Met"/>
    <s v="08-2025"/>
    <s v="Q3-2025"/>
    <d v="2023-01-12T00:00:00"/>
    <x v="0"/>
    <s v="Asia"/>
    <x v="10"/>
    <s v="Shenzhen"/>
    <s v="Shenzhen"/>
    <s v="Education"/>
    <s v="Retail"/>
    <s v="Retail"/>
    <s v="B. Chen"/>
    <s v="B. Chen"/>
    <s v="Printers"/>
    <s v="Low"/>
    <s v="PRN-8137"/>
    <s v="C"/>
    <n v="352.66"/>
    <n v="411.18"/>
    <n v="411.18"/>
    <n v="0.17299999999999999"/>
    <n v="0.17299999999999999"/>
    <s v="Low"/>
    <n v="13"/>
    <n v="4420.5961799999995"/>
    <n v="4584.58"/>
    <n v="163.98382000000038"/>
    <n v="3.7095408248758066E-2"/>
  </r>
  <r>
    <s v="ORD-2025-501927"/>
    <d v="2025-03-03T00:00:00"/>
    <d v="2025-03-03T00:00:00"/>
    <d v="2025-03-24T00:00:00"/>
    <d v="2025-03-24T00:00:00"/>
    <n v="21"/>
    <s v="Not Met"/>
    <s v="03-2025"/>
    <s v="Q1-2025"/>
    <d v="2023-01-13T00:00:00"/>
    <x v="0"/>
    <s v="Africa"/>
    <x v="2"/>
    <s v="Abuja"/>
    <s v="Abuja"/>
    <s v="Enterprise"/>
    <s v="Direct"/>
    <s v="Direct"/>
    <s v="H. Kim"/>
    <s v="H. Kim"/>
    <s v="Accessories"/>
    <s v="Low"/>
    <s v="ACC-4056"/>
    <s v="C"/>
    <n v="555.95000000000005"/>
    <n v="468.09"/>
    <n v="468.09"/>
    <n v="0.14199999999999999"/>
    <n v="0.14199999999999999"/>
    <s v="Low"/>
    <n v="11"/>
    <n v="4417.8334199999999"/>
    <n v="6115.4500000000007"/>
    <n v="1697.6165800000008"/>
    <n v="0.38426450674095375"/>
  </r>
  <r>
    <s v="ORD-2025-683247"/>
    <d v="2025-03-10T00:00:00"/>
    <d v="2025-03-10T00:00:00"/>
    <d v="2025-04-04T00:00:00"/>
    <d v="2025-04-04T00:00:00"/>
    <n v="25"/>
    <s v="Not Met"/>
    <s v="03-2025"/>
    <s v="Q1-2025"/>
    <d v="2023-03-03T00:00:00"/>
    <x v="1"/>
    <s v="Asia"/>
    <x v="7"/>
    <s v="Osaka"/>
    <s v="Osaka"/>
    <s v="Corporate"/>
    <s v="Direct"/>
    <s v="Direct"/>
    <s v="H. Kim"/>
    <s v="H. Kim"/>
    <s v="Printers"/>
    <s v="Medium"/>
    <s v="PRN-9867"/>
    <s v="C"/>
    <n v="783.72"/>
    <n v="1355.94"/>
    <n v="1355.94"/>
    <n v="0.187"/>
    <n v="0.187"/>
    <s v="Low"/>
    <n v="4"/>
    <n v="4409.5168800000001"/>
    <n v="3134.88"/>
    <n v="1274.63688"/>
    <n v="0.28906497348525856"/>
  </r>
  <r>
    <s v="ORD-2023-925146"/>
    <d v="2023-10-15T00:00:00"/>
    <d v="2023-10-15T00:00:00"/>
    <d v="2023-11-13T00:00:00"/>
    <d v="2023-11-13T00:00:00"/>
    <n v="29"/>
    <s v="Not Met"/>
    <s v="10-2023"/>
    <s v="Q4-2023"/>
    <d v="2023-01-12T00:00:00"/>
    <x v="0"/>
    <s v="Asia"/>
    <x v="10"/>
    <s v="Shenzhen"/>
    <s v="Shenzhen"/>
    <s v="Non-Profit"/>
    <s v="Distributor"/>
    <s v="Distributor"/>
    <s v="J. Njeri"/>
    <s v="J. Njeri"/>
    <s v="Printers"/>
    <s v="Low"/>
    <s v="PRN-4983"/>
    <s v="C"/>
    <n v="986.44"/>
    <n v="790.61"/>
    <n v="790.61"/>
    <n v="7.1999999999999995E-2"/>
    <n v="7.1999999999999995E-2"/>
    <s v="Low"/>
    <n v="6"/>
    <n v="4402.1164799999997"/>
    <n v="5918.64"/>
    <n v="1516.5235200000006"/>
    <n v="0.34449872621271499"/>
  </r>
  <r>
    <s v="ORD-2025-184754"/>
    <d v="2025-06-27T00:00:00"/>
    <d v="2025-06-27T00:00:00"/>
    <d v="2025-07-05T00:00:00"/>
    <d v="2025-07-05T00:00:00"/>
    <n v="8"/>
    <s v="Not Met"/>
    <s v="06-2025"/>
    <s v="Q2-2025"/>
    <d v="2023-01-21T00:00:00"/>
    <x v="0"/>
    <s v="Europe"/>
    <x v="4"/>
    <s v="Munich"/>
    <s v="Munich"/>
    <s v="Small Business"/>
    <s v="Direct"/>
    <s v="Direct"/>
    <s v="G. Dubois"/>
    <s v="G. Dubois"/>
    <s v="Monitors"/>
    <s v="Low"/>
    <s v="MON-7626"/>
    <s v="C"/>
    <n v="314.93"/>
    <n v="687.95"/>
    <n v="687.95"/>
    <n v="0.20499999999999999"/>
    <n v="0.20499999999999999"/>
    <s v="High"/>
    <n v="8"/>
    <n v="4375.3620000000001"/>
    <n v="2519.44"/>
    <n v="1855.922"/>
    <n v="0.424175645352316"/>
  </r>
  <r>
    <s v="ORD-2023-613287"/>
    <d v="2023-03-31T00:00:00"/>
    <d v="2023-03-31T00:00:00"/>
    <d v="2023-04-12T00:00:00"/>
    <d v="2023-04-12T00:00:00"/>
    <n v="12"/>
    <s v="Not Met"/>
    <s v="03-2023"/>
    <s v="Q1-2023"/>
    <d v="2023-01-20T00:00:00"/>
    <x v="0"/>
    <s v="Africa"/>
    <x v="5"/>
    <s v="Mombasa"/>
    <s v="Mombasa"/>
    <s v="Small Business"/>
    <s v="Online"/>
    <s v="Online"/>
    <s v="C. Otieno"/>
    <s v="C. Otieno"/>
    <s v="Phones"/>
    <s v="Low"/>
    <s v="PHN-8014"/>
    <s v="C"/>
    <n v="304.22000000000003"/>
    <n v="393.31"/>
    <n v="393.31"/>
    <n v="0.26500000000000001"/>
    <n v="0.26500000000000001"/>
    <s v="High"/>
    <n v="15"/>
    <n v="4336.2427499999994"/>
    <n v="4563.3"/>
    <n v="227.05725000000075"/>
    <n v="5.2362670424759034E-2"/>
  </r>
  <r>
    <s v="ORD-2024-496601"/>
    <d v="2024-11-11T00:00:00"/>
    <d v="2024-11-11T00:00:00"/>
    <d v="2024-11-24T00:00:00"/>
    <d v="2024-11-24T00:00:00"/>
    <n v="13"/>
    <s v="Not Met"/>
    <s v="11-2024"/>
    <s v="Q4-2024"/>
    <d v="2023-01-19T00:00:00"/>
    <x v="0"/>
    <s v="Europe"/>
    <x v="1"/>
    <s v="London"/>
    <s v="London"/>
    <s v="Corporate"/>
    <s v="Retail"/>
    <s v="Retail"/>
    <s v="E. Garcia"/>
    <s v="E. Garcia"/>
    <s v="Networking"/>
    <s v="Low"/>
    <s v="NET-2932"/>
    <s v="C"/>
    <n v="164.53"/>
    <n v="327.72"/>
    <n v="327.72"/>
    <n v="6.7000000000000004E-2"/>
    <n v="6.7000000000000004E-2"/>
    <s v="Low"/>
    <n v="14"/>
    <n v="4280.6786400000001"/>
    <n v="2303.42"/>
    <n v="1977.25864"/>
    <n v="0.46190307805960412"/>
  </r>
  <r>
    <s v="ORD-2024-792137"/>
    <d v="2024-03-02T00:00:00"/>
    <d v="2024-03-02T00:00:00"/>
    <d v="2024-03-16T00:00:00"/>
    <d v="2024-03-16T00:00:00"/>
    <n v="14"/>
    <s v="Not Met"/>
    <s v="03-2024"/>
    <s v="Q1-2024"/>
    <d v="2023-01-02T00:00:00"/>
    <x v="0"/>
    <s v="Americas"/>
    <x v="0"/>
    <s v="Vancouver"/>
    <s v="Vancouver"/>
    <s v="Non-Profit"/>
    <s v="Direct"/>
    <s v="Direct"/>
    <s v="O. Wang"/>
    <s v="O. Wang"/>
    <s v="Printers"/>
    <s v="Low"/>
    <s v="PRN-7976"/>
    <s v="C"/>
    <n v="248.24"/>
    <n v="464.05"/>
    <n v="464.05"/>
    <n v="0.16900000000000001"/>
    <n v="0.16900000000000001"/>
    <s v="Low"/>
    <n v="11"/>
    <n v="4241.88105"/>
    <n v="2730.6400000000003"/>
    <n v="1511.2410499999996"/>
    <n v="0.3562667203975462"/>
  </r>
  <r>
    <s v="ORD-2024-207669"/>
    <d v="2024-01-24T00:00:00"/>
    <d v="2024-01-24T00:00:00"/>
    <d v="2024-02-04T00:00:00"/>
    <d v="2024-02-04T00:00:00"/>
    <n v="11"/>
    <s v="Not Met"/>
    <s v="01-2024"/>
    <s v="Q1-2024"/>
    <d v="2023-01-19T00:00:00"/>
    <x v="0"/>
    <s v="Europe"/>
    <x v="1"/>
    <s v="Manchester"/>
    <s v="Manchester"/>
    <s v="Consumer"/>
    <s v="Retail"/>
    <s v="Retail"/>
    <s v="B. Chen"/>
    <s v="B. Chen"/>
    <s v="Laptops"/>
    <s v="Medium"/>
    <s v="LAP-5689"/>
    <s v="C"/>
    <n v="525.34"/>
    <n v="1233.79"/>
    <n v="1233.79"/>
    <n v="0.14299999999999999"/>
    <n v="0.14299999999999999"/>
    <s v="Low"/>
    <n v="4"/>
    <n v="4229.4321199999995"/>
    <n v="2101.36"/>
    <n v="2128.0721199999994"/>
    <n v="0.50315788494082736"/>
  </r>
  <r>
    <s v="ORD-2023-799597"/>
    <d v="2023-03-14T00:00:00"/>
    <d v="2023-03-14T00:00:00"/>
    <d v="2023-03-18T00:00:00"/>
    <d v="2023-03-18T00:00:00"/>
    <n v="4"/>
    <s v="Met"/>
    <s v="03-2023"/>
    <s v="Q1-2023"/>
    <d v="2023-01-21T00:00:00"/>
    <x v="0"/>
    <s v="Europe"/>
    <x v="4"/>
    <s v="Frankfurt"/>
    <s v="Frankfurt"/>
    <s v="Enterprise"/>
    <s v="Direct"/>
    <s v="Direct"/>
    <s v="A. Patel"/>
    <s v="A. Patel"/>
    <s v="Components"/>
    <s v="Low"/>
    <s v="CMP-8675"/>
    <s v="C"/>
    <n v="472.33"/>
    <n v="360.34"/>
    <n v="360.34"/>
    <n v="0.16500000000000001"/>
    <n v="0.16500000000000001"/>
    <s v="Low"/>
    <n v="14"/>
    <n v="4212.3745999999992"/>
    <n v="6612.62"/>
    <n v="2400.2454000000007"/>
    <n v="0.56980815523861561"/>
  </r>
  <r>
    <s v="ORD-2023-723587"/>
    <d v="2023-01-02T00:00:00"/>
    <d v="2023-01-02T00:00:00"/>
    <d v="2023-01-05T00:00:00"/>
    <d v="2023-01-05T00:00:00"/>
    <n v="3"/>
    <s v="Met"/>
    <s v="01-2023"/>
    <s v="Q1-2023"/>
    <d v="2023-01-02T00:00:00"/>
    <x v="0"/>
    <s v="Americas"/>
    <x v="0"/>
    <s v="Toronto"/>
    <s v="Toronto"/>
    <s v="Corporate"/>
    <s v="Distributor"/>
    <s v="Distributor"/>
    <s v="B. Chen"/>
    <s v="B. Chen"/>
    <s v="Laptops"/>
    <s v="Low"/>
    <s v="LAP-8555"/>
    <s v="C"/>
    <n v="315.87"/>
    <n v="591.67999999999995"/>
    <n v="591.67999999999995"/>
    <n v="0"/>
    <n v="0"/>
    <s v="Low"/>
    <n v="7"/>
    <n v="4141.7599999999993"/>
    <n v="2211.09"/>
    <n v="1930.6699999999992"/>
    <n v="0.46614724175229844"/>
  </r>
  <r>
    <s v="ORD-2023-596758"/>
    <d v="2023-12-07T00:00:00"/>
    <d v="2023-12-05T00:00:00"/>
    <d v="2023-12-05T00:00:00"/>
    <d v="2023-12-07T00:00:00"/>
    <n v="2"/>
    <s v="Met"/>
    <s v="12-2023"/>
    <s v="Q4-2023"/>
    <d v="2023-03-03T00:00:00"/>
    <x v="1"/>
    <s v="Asia"/>
    <x v="7"/>
    <s v="Tokyo"/>
    <s v="Tokyo"/>
    <s v="Non-Profit"/>
    <s v="Marketplace"/>
    <s v="Marketplace"/>
    <s v="H. Kim"/>
    <s v="H. Kim"/>
    <s v="Printers"/>
    <s v="Medium"/>
    <s v="PRN-8175"/>
    <s v="C"/>
    <n v="1097.5899999999999"/>
    <n v="845.55"/>
    <n v="845.55"/>
    <n v="0.184"/>
    <n v="0.184"/>
    <s v="Low"/>
    <n v="6"/>
    <n v="4139.8127999999997"/>
    <n v="6585.5399999999991"/>
    <n v="2445.7271999999994"/>
    <n v="0.59078207594314402"/>
  </r>
  <r>
    <s v="ORD-2023-813340"/>
    <d v="2023-12-26T00:00:00"/>
    <d v="2023-12-26T00:00:00"/>
    <d v="2024-01-03T00:00:00"/>
    <d v="2024-01-03T00:00:00"/>
    <n v="8"/>
    <s v="Not Met"/>
    <s v="12-2023"/>
    <s v="Q4-2023"/>
    <d v="2023-01-10T00:00:00"/>
    <x v="0"/>
    <s v="Europe"/>
    <x v="11"/>
    <s v="Lyon"/>
    <s v="Lyon"/>
    <s v="Small Business"/>
    <s v="Retail"/>
    <s v="Retail"/>
    <s v="M. Rossi"/>
    <s v="M. Rossi"/>
    <s v="Laptops"/>
    <s v="Low"/>
    <s v="LAP-2942"/>
    <s v="C"/>
    <n v="492.75"/>
    <n v="731.29"/>
    <n v="731.29"/>
    <n v="5.8000000000000003E-2"/>
    <n v="5.8000000000000003E-2"/>
    <s v="Low"/>
    <n v="6"/>
    <n v="4133.25108"/>
    <n v="2956.5"/>
    <n v="1176.75108"/>
    <n v="0.28470350753528384"/>
  </r>
  <r>
    <s v="ORD-2023-735274"/>
    <d v="2023-02-23T00:00:00"/>
    <d v="2023-02-23T00:00:00"/>
    <d v="2023-03-08T00:00:00"/>
    <d v="2023-03-08T00:00:00"/>
    <n v="13"/>
    <s v="Not Met"/>
    <s v="02-2023"/>
    <s v="Q1-2023"/>
    <d v="2023-01-19T00:00:00"/>
    <x v="0"/>
    <s v="Europe"/>
    <x v="1"/>
    <s v="Manchester"/>
    <s v="Manchester"/>
    <s v="Small Business"/>
    <s v="Direct"/>
    <s v="Direct"/>
    <s v="C. Otieno"/>
    <s v="C. Otieno"/>
    <s v="Printers"/>
    <s v="Low"/>
    <s v="PRN-7410"/>
    <s v="C"/>
    <n v="307.37"/>
    <n v="462.61"/>
    <n v="462.61"/>
    <n v="0.188"/>
    <n v="0.188"/>
    <s v="Low"/>
    <n v="11"/>
    <n v="4132.0325200000007"/>
    <n v="3381.07"/>
    <n v="750.9625200000005"/>
    <n v="0.18174167709599739"/>
  </r>
  <r>
    <s v="ORD-2025-269934"/>
    <d v="2025-04-04T00:00:00"/>
    <d v="2025-04-04T00:00:00"/>
    <d v="2025-04-10T00:00:00"/>
    <d v="2025-04-10T00:00:00"/>
    <n v="6"/>
    <s v="Met"/>
    <s v="04-2025"/>
    <s v="Q2-2025"/>
    <d v="2023-01-19T00:00:00"/>
    <x v="0"/>
    <s v="Europe"/>
    <x v="1"/>
    <s v="Birmingham"/>
    <s v="Birmingham"/>
    <s v="Non-Profit"/>
    <s v="Direct"/>
    <s v="Direct"/>
    <s v="N. Brown"/>
    <s v="N. Brown"/>
    <s v="Printers"/>
    <s v="Low"/>
    <s v="PRN-8657"/>
    <s v="C"/>
    <n v="290.14"/>
    <n v="250.73"/>
    <n v="250.73"/>
    <n v="3.4000000000000002E-2"/>
    <n v="3.4000000000000002E-2"/>
    <s v="Low"/>
    <n v="17"/>
    <n v="4117.4880599999997"/>
    <n v="4932.38"/>
    <n v="814.89194000000043"/>
    <n v="0.19790997038131072"/>
  </r>
  <r>
    <s v="ORD-2024-961756"/>
    <d v="2024-11-25T00:00:00"/>
    <d v="2024-11-25T00:00:00"/>
    <d v="2024-12-07T00:00:00"/>
    <d v="2024-12-07T00:00:00"/>
    <n v="12"/>
    <s v="Not Met"/>
    <s v="11-2024"/>
    <s v="Q4-2024"/>
    <d v="2023-01-12T00:00:00"/>
    <x v="0"/>
    <s v="Asia"/>
    <x v="10"/>
    <s v="Shanghai"/>
    <s v="Shanghai"/>
    <s v="Corporate"/>
    <s v="Distributor"/>
    <s v="Distributor"/>
    <s v="A. Patel"/>
    <s v="A. Patel"/>
    <s v="Accessories"/>
    <s v="Low"/>
    <s v="ACC-7047"/>
    <s v="C"/>
    <n v="769.9"/>
    <n v="814.36"/>
    <n v="814.36"/>
    <n v="0"/>
    <n v="0"/>
    <s v="Low"/>
    <n v="5"/>
    <n v="4071.8"/>
    <n v="3849.5"/>
    <n v="222.30000000000018"/>
    <n v="5.4595019401738831E-2"/>
  </r>
  <r>
    <s v="ORD-2024-356812"/>
    <d v="2024-03-07T00:00:00"/>
    <d v="2024-03-07T00:00:00"/>
    <d v="2024-04-03T00:00:00"/>
    <d v="2024-04-03T00:00:00"/>
    <n v="27"/>
    <s v="Not Met"/>
    <s v="03-2024"/>
    <s v="Q1-2024"/>
    <d v="2023-01-21T00:00:00"/>
    <x v="0"/>
    <s v="Europe"/>
    <x v="4"/>
    <s v="Frankfurt"/>
    <s v="Frankfurt"/>
    <s v="Corporate"/>
    <s v="Direct"/>
    <s v="Direct"/>
    <s v="M. Rossi"/>
    <s v="M. Rossi"/>
    <s v="Printers"/>
    <s v="Medium"/>
    <s v="PRN-6911"/>
    <s v="C"/>
    <n v="738.16"/>
    <n v="956.49"/>
    <n v="956.49"/>
    <n v="0.152"/>
    <n v="0.152"/>
    <s v="Low"/>
    <n v="5"/>
    <n v="4055.5175999999997"/>
    <n v="3690.7999999999997"/>
    <n v="364.71759999999995"/>
    <n v="8.9931208780847108E-2"/>
  </r>
  <r>
    <s v="ORD-2024-973420"/>
    <d v="2024-05-12T00:00:00"/>
    <d v="2024-05-12T00:00:00"/>
    <d v="2024-05-24T00:00:00"/>
    <d v="2024-05-24T00:00:00"/>
    <n v="12"/>
    <s v="Not Met"/>
    <s v="05-2024"/>
    <s v="Q2-2024"/>
    <d v="2023-01-19T00:00:00"/>
    <x v="0"/>
    <s v="Europe"/>
    <x v="1"/>
    <s v="Manchester"/>
    <s v="Manchester"/>
    <s v="Education"/>
    <s v="Marketplace"/>
    <s v="Marketplace"/>
    <s v="K. Singh"/>
    <s v="K. Singh"/>
    <s v="Printers"/>
    <s v="Low"/>
    <s v="PRN-5813"/>
    <s v="C"/>
    <n v="111.02"/>
    <n v="172.88"/>
    <n v="172.88"/>
    <n v="0.19700000000000001"/>
    <n v="0.19700000000000001"/>
    <s v="Low"/>
    <n v="29"/>
    <n v="4025.8565599999993"/>
    <n v="3219.58"/>
    <n v="806.27655999999934"/>
    <n v="0.20027453735212053"/>
  </r>
  <r>
    <s v="ORD-2024-855073"/>
    <d v="2024-07-19T00:00:00"/>
    <d v="2024-07-19T00:00:00"/>
    <d v="2024-07-19T00:00:00"/>
    <d v="2024-07-19T00:00:00"/>
    <n v="0"/>
    <s v="Met"/>
    <s v="07-2024"/>
    <s v="Q3-2024"/>
    <d v="2023-01-20T00:00:00"/>
    <x v="0"/>
    <s v="Africa"/>
    <x v="5"/>
    <s v="Kisumu"/>
    <s v="Kisumu"/>
    <s v="Small Business"/>
    <s v="Retail"/>
    <s v="Retail"/>
    <s v="A. Patel"/>
    <s v="A. Patel"/>
    <s v="Phones"/>
    <s v="Low"/>
    <s v="PHN-6854"/>
    <s v="C"/>
    <n v="857.24"/>
    <n v="758.23"/>
    <n v="758.23"/>
    <n v="0.125"/>
    <n v="0.125"/>
    <s v="Low"/>
    <n v="6"/>
    <n v="3980.7075"/>
    <n v="5143.4400000000005"/>
    <n v="1162.7325000000005"/>
    <n v="0.29209192084572921"/>
  </r>
  <r>
    <s v="ORD-2023-610470"/>
    <d v="2023-06-24T00:00:00"/>
    <d v="2023-06-24T00:00:00"/>
    <d v="2023-07-21T00:00:00"/>
    <d v="2023-07-21T00:00:00"/>
    <n v="27"/>
    <s v="Not Met"/>
    <s v="06-2023"/>
    <s v="Q2-2023"/>
    <d v="2023-03-03T00:00:00"/>
    <x v="1"/>
    <s v="Asia"/>
    <x v="7"/>
    <s v="Nagoya"/>
    <s v="Nagoya"/>
    <s v="Consumer"/>
    <s v="Marketplace"/>
    <s v="Marketplace"/>
    <s v="J. Njeri"/>
    <s v="J. Njeri"/>
    <s v="Phones"/>
    <s v="Low"/>
    <s v="PHN-6818"/>
    <s v="C"/>
    <n v="554.76"/>
    <n v="728.69"/>
    <n v="728.69"/>
    <n v="0.22"/>
    <n v="0.22"/>
    <s v="High"/>
    <n v="7"/>
    <n v="3978.6474000000003"/>
    <n v="3883.3199999999997"/>
    <n v="95.32740000000058"/>
    <n v="2.395975074343119E-2"/>
  </r>
  <r>
    <s v="ORD-2023-177794"/>
    <d v="2023-05-04T00:00:00"/>
    <d v="2023-05-04T00:00:00"/>
    <d v="2023-05-26T00:00:00"/>
    <d v="2023-05-26T00:00:00"/>
    <n v="22"/>
    <s v="Not Met"/>
    <s v="05-2023"/>
    <s v="Q2-2023"/>
    <d v="2023-01-13T00:00:00"/>
    <x v="0"/>
    <s v="Americas"/>
    <x v="6"/>
    <s v="San Francisco"/>
    <s v="San Francisco"/>
    <s v="Enterprise"/>
    <s v="Online"/>
    <s v="Online"/>
    <s v="J. Njeri"/>
    <s v="J. Njeri"/>
    <s v="Networking"/>
    <s v="Low"/>
    <s v="NET-5941"/>
    <s v="C"/>
    <n v="249.71"/>
    <n v="361.33"/>
    <n v="361.33"/>
    <n v="9.4E-2"/>
    <n v="9.4E-2"/>
    <s v="Low"/>
    <n v="12"/>
    <n v="3928.3797600000003"/>
    <n v="2996.52"/>
    <n v="931.85976000000028"/>
    <n v="0.23721223937881206"/>
  </r>
  <r>
    <s v="ORD-2023-867166"/>
    <d v="2023-04-13T00:00:00"/>
    <d v="2023-04-13T00:00:00"/>
    <d v="2023-04-20T00:00:00"/>
    <d v="2023-04-20T00:00:00"/>
    <n v="7"/>
    <s v="Met"/>
    <s v="04-2023"/>
    <s v="Q2-2023"/>
    <d v="2023-01-10T00:00:00"/>
    <x v="0"/>
    <s v="Europe"/>
    <x v="11"/>
    <s v="Lyon"/>
    <s v="Lyon"/>
    <s v="Small Business"/>
    <s v="Online"/>
    <s v="Online"/>
    <s v="A. Patel"/>
    <s v="A. Patel"/>
    <s v="Laptops"/>
    <s v="Low"/>
    <s v="LAP-3565"/>
    <s v="C"/>
    <n v="227.02"/>
    <n v="434.72"/>
    <n v="434.72"/>
    <n v="9.8000000000000004E-2"/>
    <n v="9.8000000000000004E-2"/>
    <s v="Low"/>
    <n v="10"/>
    <n v="3921.1744000000008"/>
    <n v="2270.2000000000003"/>
    <n v="1650.9744000000005"/>
    <n v="0.42104079838938052"/>
  </r>
  <r>
    <s v="ORD-2023-897079"/>
    <d v="2023-04-14T00:00:00"/>
    <d v="2023-04-14T00:00:00"/>
    <d v="2023-05-14T00:00:00"/>
    <d v="2023-05-14T00:00:00"/>
    <n v="30"/>
    <s v="Not Met"/>
    <s v="04-2023"/>
    <s v="Q2-2023"/>
    <d v="2023-01-20T00:00:00"/>
    <x v="0"/>
    <s v="Africa"/>
    <x v="5"/>
    <s v="Nakuru"/>
    <s v="Nakuru"/>
    <s v="Consumer"/>
    <s v="Marketplace"/>
    <s v="Marketplace"/>
    <s v="M. Rossi"/>
    <s v="M. Rossi"/>
    <s v="Phones"/>
    <s v="Low"/>
    <s v="PHN-1784"/>
    <s v="C"/>
    <n v="209.25"/>
    <n v="434.8"/>
    <n v="434.8"/>
    <n v="0"/>
    <n v="0"/>
    <s v="Low"/>
    <n v="9"/>
    <n v="3913.2000000000003"/>
    <n v="1883.25"/>
    <n v="2029.9500000000003"/>
    <n v="0.51874425022999082"/>
  </r>
  <r>
    <s v="ORD-2024-689872"/>
    <d v="2024-08-03T00:00:00"/>
    <d v="2024-08-03T00:00:00"/>
    <d v="2024-08-09T00:00:00"/>
    <d v="2024-08-09T00:00:00"/>
    <n v="6"/>
    <s v="Met"/>
    <s v="08-2024"/>
    <s v="Q3-2024"/>
    <d v="2023-01-20T00:00:00"/>
    <x v="0"/>
    <s v="Africa"/>
    <x v="5"/>
    <s v="Mombasa"/>
    <s v="Mombasa"/>
    <s v="Consumer"/>
    <s v="Marketplace"/>
    <s v="Marketplace"/>
    <s v="H. Kim"/>
    <s v="H. Kim"/>
    <s v="Laptops"/>
    <s v="Medium"/>
    <s v="LAP-1969"/>
    <s v="C"/>
    <n v="643.21"/>
    <n v="1112.81"/>
    <n v="1112.81"/>
    <n v="0.14099999999999999"/>
    <n v="0.14099999999999999"/>
    <s v="Low"/>
    <n v="4"/>
    <n v="3823.6151599999998"/>
    <n v="2572.84"/>
    <n v="1250.7751599999997"/>
    <n v="0.32711847496702562"/>
  </r>
  <r>
    <s v="ORD-2024-897622"/>
    <d v="2024-03-30T00:00:00"/>
    <d v="2024-03-30T00:00:00"/>
    <d v="2024-04-24T00:00:00"/>
    <d v="2024-04-24T00:00:00"/>
    <n v="25"/>
    <s v="Not Met"/>
    <s v="03-2024"/>
    <s v="Q1-2024"/>
    <d v="2023-01-13T00:00:00"/>
    <x v="0"/>
    <s v="Americas"/>
    <x v="6"/>
    <s v="Austin"/>
    <s v="Austin"/>
    <s v="Non-Profit"/>
    <s v="Online"/>
    <s v="Online"/>
    <s v="G. Dubois"/>
    <s v="G. Dubois"/>
    <s v="Laptops"/>
    <s v="Low"/>
    <s v="LAP-2846"/>
    <s v="C"/>
    <n v="160.82"/>
    <n v="258.52"/>
    <n v="258.52"/>
    <n v="0.13"/>
    <n v="0.13"/>
    <s v="Low"/>
    <n v="17"/>
    <n v="3823.5108"/>
    <n v="2733.94"/>
    <n v="1089.5708"/>
    <n v="0.28496605789631874"/>
  </r>
  <r>
    <s v="ORD-2023-536542"/>
    <d v="2023-06-10T00:00:00"/>
    <d v="2023-06-10T00:00:00"/>
    <d v="2023-06-18T00:00:00"/>
    <d v="2023-06-18T00:00:00"/>
    <n v="8"/>
    <s v="Not Met"/>
    <s v="06-2023"/>
    <s v="Q2-2023"/>
    <d v="2023-01-20T00:00:00"/>
    <x v="0"/>
    <s v="Africa"/>
    <x v="5"/>
    <s v="Nakuru"/>
    <s v="Nakuru"/>
    <s v="Enterprise"/>
    <s v="Direct"/>
    <s v="Direct"/>
    <s v="H. Kim"/>
    <s v="H. Kim"/>
    <s v="Phones"/>
    <s v="Medium"/>
    <s v="PHN-2337"/>
    <s v="C"/>
    <n v="894.23"/>
    <n v="1421.55"/>
    <n v="1421.55"/>
    <n v="0.109"/>
    <n v="0.109"/>
    <s v="Low"/>
    <n v="3"/>
    <n v="3799.8031499999997"/>
    <n v="2682.69"/>
    <n v="1117.1131499999997"/>
    <n v="0.29399237431549574"/>
  </r>
  <r>
    <s v="ORD-2025-364852"/>
    <d v="2025-05-18T00:00:00"/>
    <d v="2025-05-18T00:00:00"/>
    <d v="2025-06-09T00:00:00"/>
    <d v="2025-06-09T00:00:00"/>
    <n v="22"/>
    <s v="Not Met"/>
    <s v="05-2025"/>
    <s v="Q2-2025"/>
    <d v="2023-01-13T00:00:00"/>
    <x v="0"/>
    <s v="Americas"/>
    <x v="6"/>
    <s v="New York"/>
    <s v="New York"/>
    <s v="Consumer"/>
    <s v="Retail"/>
    <s v="Retail"/>
    <s v="H. Kim"/>
    <s v="H. Kim"/>
    <s v="Networking"/>
    <s v="Low"/>
    <s v="NET-3749"/>
    <s v="C"/>
    <n v="382.96"/>
    <n v="552.84"/>
    <n v="552.84"/>
    <n v="0.17599999999999999"/>
    <n v="0.17599999999999999"/>
    <s v="Low"/>
    <n v="8"/>
    <n v="3644.3212800000006"/>
    <n v="3063.68"/>
    <n v="580.64128000000073"/>
    <n v="0.15932768693763483"/>
  </r>
  <r>
    <s v="ORD-2024-320972"/>
    <d v="2024-11-08T00:00:00"/>
    <d v="2024-11-08T00:00:00"/>
    <d v="2024-11-08T00:00:00"/>
    <d v="2024-11-08T00:00:00"/>
    <n v="0"/>
    <s v="Met"/>
    <s v="11-2024"/>
    <s v="Q4-2024"/>
    <d v="2023-01-20T00:00:00"/>
    <x v="0"/>
    <s v="Africa"/>
    <x v="5"/>
    <s v="Nakuru"/>
    <s v="Nakuru"/>
    <s v="Enterprise"/>
    <s v="Marketplace"/>
    <s v="Marketplace"/>
    <s v="M. Rossi"/>
    <s v="M. Rossi"/>
    <s v="Networking"/>
    <s v="Medium"/>
    <s v="NET-2628"/>
    <s v="C"/>
    <n v="803.28"/>
    <n v="1009"/>
    <n v="1009"/>
    <n v="0.11"/>
    <n v="0.11"/>
    <s v="Low"/>
    <n v="4"/>
    <n v="3592.04"/>
    <n v="3213.12"/>
    <n v="378.92000000000007"/>
    <n v="0.10548880302001093"/>
  </r>
  <r>
    <s v="ORD-2025-244832"/>
    <d v="2025-09-11T00:00:00"/>
    <d v="2025-09-11T00:00:00"/>
    <d v="2025-09-28T00:00:00"/>
    <d v="2025-09-28T00:00:00"/>
    <n v="17"/>
    <s v="Not Met"/>
    <s v="09-2025"/>
    <s v="Q3-2025"/>
    <d v="2023-01-20T00:00:00"/>
    <x v="0"/>
    <s v="Africa"/>
    <x v="5"/>
    <s v="Nairobi"/>
    <s v="Nairobi"/>
    <s v="Non-Profit"/>
    <s v="Distributor"/>
    <s v="Distributor"/>
    <s v="J. Njeri"/>
    <s v="J. Njeri"/>
    <s v="Laptops"/>
    <s v="Low"/>
    <s v="LAP-3278"/>
    <s v="C"/>
    <n v="891.46"/>
    <n v="728.61"/>
    <n v="728.61"/>
    <n v="0.185"/>
    <n v="0.185"/>
    <s v="Low"/>
    <n v="6"/>
    <n v="3562.9028999999996"/>
    <n v="5348.76"/>
    <n v="1785.8571000000006"/>
    <n v="0.50123653383874167"/>
  </r>
  <r>
    <s v="ORD-2023-651638"/>
    <d v="2023-06-17T00:00:00"/>
    <d v="2023-06-17T00:00:00"/>
    <d v="2023-06-24T00:00:00"/>
    <d v="2023-06-24T00:00:00"/>
    <n v="7"/>
    <s v="Met"/>
    <s v="06-2023"/>
    <s v="Q2-2023"/>
    <d v="2023-01-13T00:00:00"/>
    <x v="0"/>
    <s v="Americas"/>
    <x v="6"/>
    <s v="San Francisco"/>
    <s v="San Francisco"/>
    <s v="Corporate"/>
    <s v="Retail"/>
    <s v="Retail"/>
    <s v="I. Johnson"/>
    <s v="I. Johnson"/>
    <s v="Printers"/>
    <s v="Low"/>
    <s v="PRN-6536"/>
    <s v="C"/>
    <n v="313.99"/>
    <n v="454.42"/>
    <n v="454.42"/>
    <n v="0.129"/>
    <n v="0.129"/>
    <s v="Low"/>
    <n v="9"/>
    <n v="3562.1983800000003"/>
    <n v="2825.91"/>
    <n v="736.28838000000042"/>
    <n v="0.20669493988147858"/>
  </r>
  <r>
    <s v="ORD-2024-961501"/>
    <d v="2024-03-02T00:00:00"/>
    <d v="2024-03-02T00:00:00"/>
    <d v="2024-03-23T00:00:00"/>
    <d v="2024-03-23T00:00:00"/>
    <n v="21"/>
    <s v="Not Met"/>
    <s v="03-2024"/>
    <s v="Q1-2024"/>
    <d v="2023-01-13T00:00:00"/>
    <x v="0"/>
    <s v="Americas"/>
    <x v="6"/>
    <s v="Chicago"/>
    <s v="Chicago"/>
    <s v="Small Business"/>
    <s v="Online"/>
    <s v="Online"/>
    <s v="F. Müller"/>
    <s v="F. Müller"/>
    <s v="Components"/>
    <s v="Low"/>
    <s v="CMP-3223"/>
    <s v="C"/>
    <n v="225.01"/>
    <n v="333.48"/>
    <n v="333.48"/>
    <n v="0.11899999999999999"/>
    <n v="0.11899999999999999"/>
    <s v="Low"/>
    <n v="12"/>
    <n v="3525.5505600000001"/>
    <n v="2700.12"/>
    <n v="825.43056000000024"/>
    <n v="0.23412813004729685"/>
  </r>
  <r>
    <s v="ORD-2025-354346"/>
    <d v="2025-01-09T00:00:00"/>
    <d v="2025-01-09T00:00:00"/>
    <d v="2025-01-15T00:00:00"/>
    <d v="2025-01-15T00:00:00"/>
    <n v="6"/>
    <s v="Met"/>
    <s v="01-2025"/>
    <s v="Q1-2025"/>
    <d v="2023-01-12T00:00:00"/>
    <x v="0"/>
    <s v="Asia"/>
    <x v="10"/>
    <s v="Beijing"/>
    <s v="Beijing"/>
    <s v="Education"/>
    <s v="Online"/>
    <s v="Online"/>
    <s v="C. Otieno"/>
    <s v="C. Otieno"/>
    <s v="Phones"/>
    <s v="Low"/>
    <s v="PHN-2875"/>
    <s v="C"/>
    <n v="304.77999999999997"/>
    <n v="537.27"/>
    <n v="537.27"/>
    <n v="0.187"/>
    <n v="0.187"/>
    <s v="Low"/>
    <n v="8"/>
    <n v="3494.4040799999998"/>
    <n v="2438.2399999999998"/>
    <n v="1056.16408"/>
    <n v="0.3022444044307549"/>
  </r>
  <r>
    <s v="ORD-2025-169093"/>
    <d v="2025-04-13T00:00:00"/>
    <d v="2025-04-13T00:00:00"/>
    <d v="2025-04-14T00:00:00"/>
    <d v="2025-04-14T00:00:00"/>
    <n v="1"/>
    <s v="Met"/>
    <s v="04-2025"/>
    <s v="Q2-2025"/>
    <d v="2023-03-03T00:00:00"/>
    <x v="1"/>
    <s v="Asia"/>
    <x v="7"/>
    <s v="Osaka"/>
    <s v="Osaka"/>
    <s v="Enterprise"/>
    <s v="Online"/>
    <s v="Online"/>
    <s v="G. Dubois"/>
    <s v="G. Dubois"/>
    <s v="Components"/>
    <s v="Low"/>
    <s v="CMP-6495"/>
    <s v="C"/>
    <n v="138.9"/>
    <n v="289.92"/>
    <n v="289.92"/>
    <n v="2.9000000000000001E-2"/>
    <n v="2.9000000000000001E-2"/>
    <s v="Low"/>
    <n v="12"/>
    <n v="3378.1478400000001"/>
    <n v="1666.8000000000002"/>
    <n v="1711.3478399999999"/>
    <n v="0.50659353025828491"/>
  </r>
  <r>
    <s v="ORD-2023-811823"/>
    <d v="2023-01-26T00:00:00"/>
    <d v="2023-01-26T00:00:00"/>
    <d v="2023-02-15T00:00:00"/>
    <d v="2023-02-15T00:00:00"/>
    <n v="20"/>
    <s v="Not Met"/>
    <s v="01-2023"/>
    <s v="Q1-2023"/>
    <d v="2023-01-21T00:00:00"/>
    <x v="0"/>
    <s v="Europe"/>
    <x v="4"/>
    <s v="Berlin"/>
    <s v="Berlin"/>
    <s v="Small Business"/>
    <s v="Online"/>
    <s v="Online"/>
    <s v="O. Wang"/>
    <s v="O. Wang"/>
    <s v="Networking"/>
    <s v="Low"/>
    <s v="NET-8787"/>
    <s v="C"/>
    <n v="492.62"/>
    <n v="366.7"/>
    <n v="366.7"/>
    <n v="8.8999999999999996E-2"/>
    <n v="8.8999999999999996E-2"/>
    <s v="Low"/>
    <n v="10"/>
    <n v="3340.6370000000002"/>
    <n v="4926.2"/>
    <n v="1585.5629999999996"/>
    <n v="0.47462894052840809"/>
  </r>
  <r>
    <s v="ORD-2023-602648"/>
    <d v="2023-06-20T00:00:00"/>
    <d v="2023-06-20T00:00:00"/>
    <d v="2023-07-08T00:00:00"/>
    <d v="2023-07-08T00:00:00"/>
    <n v="18"/>
    <s v="Not Met"/>
    <s v="06-2023"/>
    <s v="Q2-2023"/>
    <d v="2023-01-13T00:00:00"/>
    <x v="0"/>
    <s v="Americas"/>
    <x v="6"/>
    <s v="Austin"/>
    <s v="Austin"/>
    <s v="Non-Profit"/>
    <s v="Direct"/>
    <s v="Direct"/>
    <s v="F. Müller"/>
    <s v="F. Müller"/>
    <s v="Monitors"/>
    <s v="Low"/>
    <s v="MON-4326"/>
    <s v="C"/>
    <n v="337"/>
    <n v="511.03"/>
    <n v="511.03"/>
    <n v="0.108"/>
    <n v="0.108"/>
    <s v="Low"/>
    <n v="7"/>
    <n v="3190.8713200000002"/>
    <n v="2359"/>
    <n v="831.8713200000002"/>
    <n v="0.26070349963219458"/>
  </r>
  <r>
    <s v="ORD-2024-892908"/>
    <d v="2024-07-13T00:00:00"/>
    <d v="2024-07-12T00:00:00"/>
    <d v="2024-07-12T00:00:00"/>
    <d v="2024-07-13T00:00:00"/>
    <n v="1"/>
    <s v="Met"/>
    <s v="07-2024"/>
    <s v="Q3-2024"/>
    <d v="2023-03-03T00:00:00"/>
    <x v="1"/>
    <s v="Asia"/>
    <x v="7"/>
    <s v="Nagoya"/>
    <s v="Nagoya"/>
    <s v="Small Business"/>
    <s v="Marketplace"/>
    <s v="Marketplace"/>
    <s v="F. Müller"/>
    <s v="F. Müller"/>
    <s v="Networking"/>
    <s v="Low"/>
    <s v="NET-9575"/>
    <s v="C"/>
    <n v="105.13"/>
    <n v="244.13"/>
    <n v="244.13"/>
    <n v="7.0999999999999994E-2"/>
    <n v="7.0999999999999994E-2"/>
    <s v="Low"/>
    <n v="14"/>
    <n v="3175.1547799999998"/>
    <n v="1471.82"/>
    <n v="1703.3347799999999"/>
    <n v="0.53645724319618837"/>
  </r>
  <r>
    <s v="ORD-2023-689428"/>
    <d v="2023-01-07T00:00:00"/>
    <d v="2023-01-07T00:00:00"/>
    <d v="2023-01-30T00:00:00"/>
    <d v="2023-01-30T00:00:00"/>
    <n v="23"/>
    <s v="Not Met"/>
    <s v="01-2023"/>
    <s v="Q1-2023"/>
    <d v="2023-01-07T00:00:00"/>
    <x v="0"/>
    <s v="Africa"/>
    <x v="8"/>
    <s v="Cape Town"/>
    <s v="Cape Town"/>
    <s v="Consumer"/>
    <s v="Online"/>
    <s v="Online"/>
    <s v="A. Patel"/>
    <s v="A. Patel"/>
    <s v="Printers"/>
    <s v="Low"/>
    <s v="PRN-4787"/>
    <s v="C"/>
    <n v="299.02"/>
    <n v="724.7"/>
    <n v="724.7"/>
    <n v="0.14000000000000001"/>
    <n v="0.14000000000000001"/>
    <s v="Low"/>
    <n v="5"/>
    <n v="3116.21"/>
    <n v="1495.1"/>
    <n v="1621.1100000000001"/>
    <n v="0.52021847051386139"/>
  </r>
  <r>
    <s v="ORD-2023-660608"/>
    <d v="2023-07-25T00:00:00"/>
    <d v="2023-07-25T00:00:00"/>
    <d v="2023-08-10T00:00:00"/>
    <d v="2023-08-10T00:00:00"/>
    <n v="16"/>
    <s v="Not Met"/>
    <s v="07-2023"/>
    <s v="Q3-2023"/>
    <d v="2023-01-13T00:00:00"/>
    <x v="0"/>
    <s v="Africa"/>
    <x v="2"/>
    <s v="Port Harcourt"/>
    <s v="Port Harcourt"/>
    <s v="Corporate"/>
    <s v="Distributor"/>
    <s v="Distributor"/>
    <s v="I. Johnson"/>
    <s v="I. Johnson"/>
    <s v="Accessories"/>
    <s v="Low"/>
    <s v="ACC-8178"/>
    <s v="C"/>
    <n v="506.83"/>
    <n v="441.74"/>
    <n v="441.74"/>
    <n v="0.24"/>
    <n v="0.24"/>
    <s v="High"/>
    <n v="9"/>
    <n v="3021.5016000000001"/>
    <n v="4561.47"/>
    <n v="1539.9684000000002"/>
    <n v="0.50966989393618067"/>
  </r>
  <r>
    <s v="ORD-2025-861401"/>
    <d v="2025-04-01T00:00:00"/>
    <d v="2025-04-01T00:00:00"/>
    <d v="2025-04-27T00:00:00"/>
    <d v="2025-04-27T00:00:00"/>
    <n v="26"/>
    <s v="Not Met"/>
    <s v="04-2025"/>
    <s v="Q2-2025"/>
    <d v="2023-01-13T00:00:00"/>
    <x v="0"/>
    <s v="Americas"/>
    <x v="6"/>
    <s v="San Francisco"/>
    <s v="San Francisco"/>
    <s v="Corporate"/>
    <s v="Direct"/>
    <s v="Direct"/>
    <s v="I. Johnson"/>
    <s v="I. Johnson"/>
    <s v="Monitors"/>
    <s v="Low"/>
    <s v="MON-9319"/>
    <s v="C"/>
    <n v="156.55000000000001"/>
    <n v="227.45"/>
    <n v="227.45"/>
    <n v="1.4E-2"/>
    <n v="1.4E-2"/>
    <s v="Low"/>
    <n v="13"/>
    <n v="2915.4540999999999"/>
    <n v="2035.15"/>
    <n v="880.30409999999983"/>
    <n v="0.3019440779396938"/>
  </r>
  <r>
    <s v="ORD-2024-853298"/>
    <d v="2024-03-06T00:00:00"/>
    <d v="2024-03-06T00:00:00"/>
    <d v="2024-03-26T00:00:00"/>
    <d v="2024-03-26T00:00:00"/>
    <n v="20"/>
    <s v="Not Met"/>
    <s v="03-2024"/>
    <s v="Q1-2024"/>
    <d v="2023-01-13T00:00:00"/>
    <x v="0"/>
    <s v="Africa"/>
    <x v="2"/>
    <s v="Port Harcourt"/>
    <s v="Port Harcourt"/>
    <s v="Consumer"/>
    <s v="Marketplace"/>
    <s v="Marketplace"/>
    <s v="I. Johnson"/>
    <s v="I. Johnson"/>
    <s v="Phones"/>
    <s v="Low"/>
    <s v="PHN-4741"/>
    <s v="C"/>
    <n v="65.64"/>
    <n v="151.88"/>
    <n v="151.88"/>
    <n v="0.16700000000000001"/>
    <n v="0.16700000000000001"/>
    <s v="Low"/>
    <n v="23"/>
    <n v="2909.8689199999999"/>
    <n v="1509.72"/>
    <n v="1400.1489199999999"/>
    <n v="0.48117250587356353"/>
  </r>
  <r>
    <s v="ORD-2024-336584"/>
    <d v="2024-12-27T00:00:00"/>
    <d v="2024-12-27T00:00:00"/>
    <d v="2025-01-14T00:00:00"/>
    <d v="2025-01-14T00:00:00"/>
    <n v="18"/>
    <s v="Not Met"/>
    <s v="12-2024"/>
    <s v="Q4-2024"/>
    <d v="2023-01-29T00:00:00"/>
    <x v="0"/>
    <s v="Asia"/>
    <x v="3"/>
    <s v="Bengaluru"/>
    <s v="Bengaluru"/>
    <s v="Small Business"/>
    <s v="Marketplace"/>
    <s v="Marketplace"/>
    <s v="E. Garcia"/>
    <s v="E. Garcia"/>
    <s v="Monitors"/>
    <s v="Medium"/>
    <s v="MON-8629"/>
    <s v="C"/>
    <n v="586.07000000000005"/>
    <n v="845.97"/>
    <n v="845.97"/>
    <n v="0.14699999999999999"/>
    <n v="0.14699999999999999"/>
    <s v="Low"/>
    <n v="4"/>
    <n v="2886.4496399999998"/>
    <n v="2344.2800000000002"/>
    <n v="542.16963999999962"/>
    <n v="0.18783270370862928"/>
  </r>
  <r>
    <s v="ORD-2024-423853"/>
    <d v="2024-09-03T00:00:00"/>
    <d v="2024-09-03T00:00:00"/>
    <d v="2024-09-08T00:00:00"/>
    <d v="2024-09-08T00:00:00"/>
    <n v="5"/>
    <s v="Met"/>
    <s v="09-2024"/>
    <s v="Q3-2024"/>
    <d v="2023-01-13T00:00:00"/>
    <x v="0"/>
    <s v="Africa"/>
    <x v="2"/>
    <s v="Lagos"/>
    <s v="Lagos"/>
    <s v="Small Business"/>
    <s v="Direct"/>
    <s v="Direct"/>
    <s v="K. Singh"/>
    <s v="K. Singh"/>
    <s v="Printers"/>
    <s v="Low"/>
    <s v="PRN-1141"/>
    <s v="C"/>
    <n v="197.63"/>
    <n v="325.79000000000002"/>
    <n v="325.79000000000002"/>
    <n v="0.11600000000000001"/>
    <n v="0.11600000000000001"/>
    <s v="Low"/>
    <n v="10"/>
    <n v="2879.9836"/>
    <n v="1976.3"/>
    <n v="903.68360000000007"/>
    <n v="0.31378081458519419"/>
  </r>
  <r>
    <s v="ORD-2023-156396"/>
    <d v="2023-02-21T00:00:00"/>
    <d v="2023-02-21T00:00:00"/>
    <d v="2023-03-12T00:00:00"/>
    <d v="2023-03-12T00:00:00"/>
    <n v="19"/>
    <s v="Not Met"/>
    <s v="02-2023"/>
    <s v="Q1-2023"/>
    <d v="2023-01-20T00:00:00"/>
    <x v="0"/>
    <s v="Africa"/>
    <x v="5"/>
    <s v="Nakuru"/>
    <s v="Nakuru"/>
    <s v="Corporate"/>
    <s v="Online"/>
    <s v="Online"/>
    <s v="F. Müller"/>
    <s v="F. Müller"/>
    <s v="Networking"/>
    <s v="Low"/>
    <s v="NET-2499"/>
    <s v="C"/>
    <n v="352.65"/>
    <n v="485.86"/>
    <n v="485.86"/>
    <n v="4.1000000000000002E-2"/>
    <n v="4.1000000000000002E-2"/>
    <s v="Low"/>
    <n v="6"/>
    <n v="2795.6384399999997"/>
    <n v="2115.8999999999996"/>
    <n v="679.73844000000008"/>
    <n v="0.24314247159943908"/>
  </r>
  <r>
    <s v="ORD-2024-266562"/>
    <d v="2024-11-27T00:00:00"/>
    <d v="2024-11-27T00:00:00"/>
    <d v="2024-12-24T00:00:00"/>
    <d v="2024-12-24T00:00:00"/>
    <n v="27"/>
    <s v="Not Met"/>
    <s v="11-2024"/>
    <s v="Q4-2024"/>
    <d v="2023-01-20T00:00:00"/>
    <x v="0"/>
    <s v="Africa"/>
    <x v="5"/>
    <s v="Mombasa"/>
    <s v="Mombasa"/>
    <s v="Corporate"/>
    <s v="Distributor"/>
    <s v="Distributor"/>
    <s v="B. Chen"/>
    <s v="B. Chen"/>
    <s v="Printers"/>
    <s v="Low"/>
    <s v="PRN-5569"/>
    <s v="C"/>
    <n v="143.33000000000001"/>
    <n v="233.51"/>
    <n v="233.51"/>
    <n v="0.16300000000000001"/>
    <n v="0.16300000000000001"/>
    <s v="Low"/>
    <n v="14"/>
    <n v="2736.27018"/>
    <n v="2006.6200000000001"/>
    <n v="729.65017999999986"/>
    <n v="0.26665867476580835"/>
  </r>
  <r>
    <s v="ORD-2024-787018"/>
    <d v="2024-06-23T00:00:00"/>
    <d v="2024-06-23T00:00:00"/>
    <d v="2024-06-28T00:00:00"/>
    <d v="2024-06-28T00:00:00"/>
    <n v="5"/>
    <s v="Met"/>
    <s v="06-2024"/>
    <s v="Q2-2024"/>
    <d v="2023-01-13T00:00:00"/>
    <x v="0"/>
    <s v="Africa"/>
    <x v="2"/>
    <s v="Port Harcourt"/>
    <s v="Port Harcourt"/>
    <s v="Non-Profit"/>
    <s v="Direct"/>
    <s v="Direct"/>
    <s v="M. Rossi"/>
    <s v="M. Rossi"/>
    <s v="Accessories"/>
    <s v="Low"/>
    <s v="ACC-7671"/>
    <s v="C"/>
    <n v="242.31"/>
    <n v="587.95000000000005"/>
    <n v="587.95000000000005"/>
    <n v="0.22900000000000001"/>
    <n v="0.22900000000000001"/>
    <s v="High"/>
    <n v="6"/>
    <n v="2719.8567000000003"/>
    <n v="1453.8600000000001"/>
    <n v="1265.9967000000001"/>
    <n v="0.46546448568411714"/>
  </r>
  <r>
    <s v="ORD-2024-605518"/>
    <d v="2024-05-30T00:00:00"/>
    <d v="2024-05-30T00:00:00"/>
    <d v="2024-06-13T00:00:00"/>
    <d v="2024-06-13T00:00:00"/>
    <n v="14"/>
    <s v="Not Met"/>
    <s v="05-2024"/>
    <s v="Q2-2024"/>
    <d v="2023-01-13T00:00:00"/>
    <x v="0"/>
    <s v="Americas"/>
    <x v="6"/>
    <s v="San Francisco"/>
    <s v="San Francisco"/>
    <s v="Small Business"/>
    <s v="Retail"/>
    <s v="Retail"/>
    <s v="F. Müller"/>
    <s v="F. Müller"/>
    <s v="Phones"/>
    <s v="Low"/>
    <s v="PHN-4356"/>
    <s v="C"/>
    <n v="157.78"/>
    <n v="361.1"/>
    <n v="361.1"/>
    <n v="0.187"/>
    <n v="0.187"/>
    <s v="Low"/>
    <n v="9"/>
    <n v="2642.1686999999997"/>
    <n v="1420.02"/>
    <n v="1222.1486999999997"/>
    <n v="0.46255513510549112"/>
  </r>
  <r>
    <s v="ORD-2023-659070"/>
    <d v="2023-10-21T00:00:00"/>
    <d v="2023-10-21T00:00:00"/>
    <d v="2023-10-21T00:00:00"/>
    <d v="2023-10-21T00:00:00"/>
    <n v="0"/>
    <s v="Met"/>
    <s v="10-2023"/>
    <s v="Q4-2023"/>
    <d v="2023-01-19T00:00:00"/>
    <x v="0"/>
    <s v="Europe"/>
    <x v="1"/>
    <s v="Manchester"/>
    <s v="Manchester"/>
    <s v="Enterprise"/>
    <s v="Distributor"/>
    <s v="Distributor"/>
    <s v="J. Njeri"/>
    <s v="J. Njeri"/>
    <s v="Monitors"/>
    <s v="Low"/>
    <s v="MON-8697"/>
    <s v="C"/>
    <n v="384.19"/>
    <n v="278.35000000000002"/>
    <n v="278.35000000000002"/>
    <n v="5.6000000000000001E-2"/>
    <n v="5.6000000000000001E-2"/>
    <s v="Low"/>
    <n v="10"/>
    <n v="2627.6239999999998"/>
    <n v="3841.9"/>
    <n v="1214.2760000000003"/>
    <n v="0.46211938998882657"/>
  </r>
  <r>
    <s v="ORD-2025-653781"/>
    <d v="2025-01-11T00:00:00"/>
    <d v="2025-01-11T00:00:00"/>
    <d v="2025-01-23T00:00:00"/>
    <d v="2025-01-23T00:00:00"/>
    <n v="12"/>
    <s v="Not Met"/>
    <s v="01-2025"/>
    <s v="Q1-2025"/>
    <d v="2023-01-13T00:00:00"/>
    <x v="0"/>
    <s v="Americas"/>
    <x v="6"/>
    <s v="Austin"/>
    <s v="Austin"/>
    <s v="Consumer"/>
    <s v="Distributor"/>
    <s v="Distributor"/>
    <s v="H. Kim"/>
    <s v="H. Kim"/>
    <s v="Phones"/>
    <s v="Low"/>
    <s v="PHN-6307"/>
    <s v="C"/>
    <n v="100.69"/>
    <n v="226.14"/>
    <n v="226.14"/>
    <n v="6.5000000000000002E-2"/>
    <n v="6.5000000000000002E-2"/>
    <s v="Low"/>
    <n v="12"/>
    <n v="2537.2908000000002"/>
    <n v="1208.28"/>
    <n v="1329.0108000000002"/>
    <n v="0.52379128162999689"/>
  </r>
  <r>
    <s v="ORD-2024-307849"/>
    <d v="2024-08-10T00:00:00"/>
    <d v="2024-08-10T00:00:00"/>
    <d v="2024-09-07T00:00:00"/>
    <d v="2024-09-07T00:00:00"/>
    <n v="28"/>
    <s v="Not Met"/>
    <s v="08-2024"/>
    <s v="Q3-2024"/>
    <d v="2023-01-10T00:00:00"/>
    <x v="0"/>
    <s v="Europe"/>
    <x v="11"/>
    <s v="Marseille"/>
    <s v="Marseille"/>
    <s v="Non-Profit"/>
    <s v="Direct"/>
    <s v="Direct"/>
    <s v="F. Müller"/>
    <s v="F. Müller"/>
    <s v="Printers"/>
    <s v="Low"/>
    <s v="PRN-1183"/>
    <s v="C"/>
    <n v="229.96"/>
    <n v="564.26"/>
    <n v="564.26"/>
    <n v="0.105"/>
    <n v="0.105"/>
    <s v="Low"/>
    <n v="5"/>
    <n v="2525.0635000000002"/>
    <n v="1149.8"/>
    <n v="1375.2635000000002"/>
    <n v="0.54464511486542821"/>
  </r>
  <r>
    <s v="ORD-2025-578007"/>
    <d v="2025-01-21T00:00:00"/>
    <d v="2025-01-21T00:00:00"/>
    <d v="2025-02-16T00:00:00"/>
    <d v="2025-02-16T00:00:00"/>
    <n v="26"/>
    <s v="Not Met"/>
    <s v="01-2025"/>
    <s v="Q1-2025"/>
    <d v="2023-01-10T00:00:00"/>
    <x v="0"/>
    <s v="Europe"/>
    <x v="11"/>
    <s v="Lyon"/>
    <s v="Lyon"/>
    <s v="Corporate"/>
    <s v="Distributor"/>
    <s v="Distributor"/>
    <s v="O. Wang"/>
    <s v="O. Wang"/>
    <s v="Laptops"/>
    <s v="Low"/>
    <s v="LAP-3779"/>
    <s v="C"/>
    <n v="204.11"/>
    <n v="236.87"/>
    <n v="236.87"/>
    <n v="0.182"/>
    <n v="0.182"/>
    <s v="Low"/>
    <n v="13"/>
    <n v="2518.8755800000004"/>
    <n v="2653.4300000000003"/>
    <n v="134.55441999999994"/>
    <n v="5.3418446337075494E-2"/>
  </r>
  <r>
    <s v="ORD-2023-256951"/>
    <d v="2023-04-19T00:00:00"/>
    <d v="2023-04-19T00:00:00"/>
    <d v="2023-05-07T00:00:00"/>
    <d v="2023-05-07T00:00:00"/>
    <n v="18"/>
    <s v="Not Met"/>
    <s v="04-2023"/>
    <s v="Q2-2023"/>
    <d v="2023-01-19T00:00:00"/>
    <x v="0"/>
    <s v="Europe"/>
    <x v="1"/>
    <s v="London"/>
    <s v="London"/>
    <s v="Non-Profit"/>
    <s v="Direct"/>
    <s v="Direct"/>
    <s v="H. Kim"/>
    <s v="H. Kim"/>
    <s v="Networking"/>
    <s v="Low"/>
    <s v="NET-2439"/>
    <s v="C"/>
    <n v="516.96"/>
    <n v="745.38"/>
    <n v="745.38"/>
    <n v="0.19700000000000001"/>
    <n v="0.19700000000000001"/>
    <s v="Low"/>
    <n v="4"/>
    <n v="2394.1605599999998"/>
    <n v="2067.84"/>
    <n v="326.32055999999966"/>
    <n v="0.13629852794835101"/>
  </r>
  <r>
    <s v="ORD-2024-153053"/>
    <d v="2024-01-12T00:00:00"/>
    <d v="2024-01-12T00:00:00"/>
    <d v="2024-01-29T00:00:00"/>
    <d v="2024-01-29T00:00:00"/>
    <n v="17"/>
    <s v="Not Met"/>
    <s v="01-2024"/>
    <s v="Q1-2024"/>
    <d v="2023-01-29T00:00:00"/>
    <x v="0"/>
    <s v="Asia"/>
    <x v="3"/>
    <s v="Hyderabad"/>
    <s v="Hyderabad"/>
    <s v="Small Business"/>
    <s v="Direct"/>
    <s v="Direct"/>
    <s v="B. Chen"/>
    <s v="B. Chen"/>
    <s v="Components"/>
    <s v="Low"/>
    <s v="CMP-5138"/>
    <s v="C"/>
    <n v="310.02"/>
    <n v="619.51"/>
    <n v="619.51"/>
    <n v="4.2000000000000003E-2"/>
    <n v="4.2000000000000003E-2"/>
    <s v="Low"/>
    <n v="4"/>
    <n v="2373.9623200000001"/>
    <n v="1240.08"/>
    <n v="1133.8823200000002"/>
    <n v="0.47763282106347843"/>
  </r>
  <r>
    <s v="ORD-2025-907040"/>
    <d v="2025-04-17T00:00:00"/>
    <d v="2025-04-17T00:00:00"/>
    <d v="2025-05-03T00:00:00"/>
    <d v="2025-05-03T00:00:00"/>
    <n v="16"/>
    <s v="Not Met"/>
    <s v="04-2025"/>
    <s v="Q2-2025"/>
    <d v="2023-01-29T00:00:00"/>
    <x v="0"/>
    <s v="Americas"/>
    <x v="9"/>
    <s v="Rio de Janeiro"/>
    <s v="Rio de Janeiro"/>
    <s v="Consumer"/>
    <s v="Marketplace"/>
    <s v="Marketplace"/>
    <s v="J. Njeri"/>
    <s v="J. Njeri"/>
    <s v="Networking"/>
    <s v="Low"/>
    <s v="NET-8610"/>
    <s v="C"/>
    <n v="168.68"/>
    <n v="413.34"/>
    <n v="413.34"/>
    <n v="0.186"/>
    <n v="0.186"/>
    <s v="Low"/>
    <n v="7"/>
    <n v="2355.2113199999999"/>
    <n v="1180.76"/>
    <n v="1174.4513199999999"/>
    <n v="0.49866069767361682"/>
  </r>
  <r>
    <s v="ORD-2024-942981"/>
    <d v="2024-10-09T00:00:00"/>
    <d v="2024-10-09T00:00:00"/>
    <d v="2024-11-08T00:00:00"/>
    <d v="2024-11-08T00:00:00"/>
    <n v="30"/>
    <s v="Not Met"/>
    <s v="10-2024"/>
    <s v="Q4-2024"/>
    <d v="2023-01-19T00:00:00"/>
    <x v="0"/>
    <s v="Europe"/>
    <x v="1"/>
    <s v="Manchester"/>
    <s v="Manchester"/>
    <s v="Small Business"/>
    <s v="Distributor"/>
    <s v="Distributor"/>
    <s v="J. Njeri"/>
    <s v="J. Njeri"/>
    <s v="Components"/>
    <s v="Low"/>
    <s v="CMP-1072"/>
    <s v="C"/>
    <n v="343.85"/>
    <n v="538.04"/>
    <n v="538.04"/>
    <n v="0.13900000000000001"/>
    <n v="0.13900000000000001"/>
    <s v="Low"/>
    <n v="5"/>
    <n v="2316.2621999999997"/>
    <n v="1719.25"/>
    <n v="597.01219999999967"/>
    <n v="0.25774810813732563"/>
  </r>
  <r>
    <s v="ORD-2023-613317"/>
    <d v="2023-01-22T00:00:00"/>
    <d v="2023-01-21T00:00:00"/>
    <d v="2023-01-21T00:00:00"/>
    <d v="2023-01-22T00:00:00"/>
    <n v="1"/>
    <s v="Met"/>
    <s v="01-2023"/>
    <s v="Q1-2023"/>
    <d v="2023-01-21T00:00:00"/>
    <x v="0"/>
    <s v="Europe"/>
    <x v="4"/>
    <s v="Munich"/>
    <s v="Munich"/>
    <s v="Corporate"/>
    <s v="Direct"/>
    <s v="Direct"/>
    <s v="F. Müller"/>
    <s v="F. Müller"/>
    <s v="Monitors"/>
    <s v="Low"/>
    <s v="MON-2537"/>
    <s v="C"/>
    <n v="150.86000000000001"/>
    <n v="346.96"/>
    <n v="346.96"/>
    <n v="0.19600000000000001"/>
    <n v="0.19600000000000001"/>
    <s v="Low"/>
    <n v="8"/>
    <n v="2231.6467200000002"/>
    <n v="1206.8800000000001"/>
    <n v="1024.7667200000001"/>
    <n v="0.45919755614365343"/>
  </r>
  <r>
    <s v="ORD-2023-898009"/>
    <d v="2023-05-04T00:00:00"/>
    <d v="2023-05-04T00:00:00"/>
    <d v="2023-05-16T00:00:00"/>
    <d v="2023-05-16T00:00:00"/>
    <n v="12"/>
    <s v="Not Met"/>
    <s v="05-2023"/>
    <s v="Q2-2023"/>
    <d v="2023-01-13T00:00:00"/>
    <x v="0"/>
    <s v="Africa"/>
    <x v="2"/>
    <s v="Abuja"/>
    <s v="Abuja"/>
    <s v="Small Business"/>
    <s v="Marketplace"/>
    <s v="Marketplace"/>
    <s v="J. Njeri"/>
    <s v="J. Njeri"/>
    <s v="Phones"/>
    <s v="Low"/>
    <s v="PHN-1670"/>
    <s v="C"/>
    <n v="77.739999999999995"/>
    <n v="147.12"/>
    <n v="147.12"/>
    <n v="0"/>
    <n v="0"/>
    <s v="Low"/>
    <n v="15"/>
    <n v="2206.8000000000002"/>
    <n v="1166.0999999999999"/>
    <n v="1040.7000000000003"/>
    <n v="0.47158781946710177"/>
  </r>
  <r>
    <s v="ORD-2025-460466"/>
    <d v="2025-02-07T00:00:00"/>
    <d v="2025-02-07T00:00:00"/>
    <d v="2025-02-16T00:00:00"/>
    <d v="2025-02-16T00:00:00"/>
    <n v="9"/>
    <s v="Not Met"/>
    <s v="02-2025"/>
    <s v="Q1-2025"/>
    <d v="2023-01-13T00:00:00"/>
    <x v="0"/>
    <s v="Africa"/>
    <x v="2"/>
    <s v="Lagos"/>
    <s v="Lagos"/>
    <s v="Small Business"/>
    <s v="Distributor"/>
    <s v="Distributor"/>
    <s v="C. Otieno"/>
    <s v="C. Otieno"/>
    <s v="Printers"/>
    <s v="Low"/>
    <s v="PRN-1882"/>
    <s v="C"/>
    <n v="90.68"/>
    <n v="118.17"/>
    <n v="118.17"/>
    <n v="0.13500000000000001"/>
    <n v="0.13500000000000001"/>
    <s v="Low"/>
    <n v="21"/>
    <n v="2146.5580500000001"/>
    <n v="1904.2800000000002"/>
    <n v="242.27804999999989"/>
    <n v="0.11286815653552899"/>
  </r>
  <r>
    <s v="ORD-2025-649239"/>
    <d v="2025-01-17T00:00:00"/>
    <d v="2025-01-17T00:00:00"/>
    <d v="2025-01-24T00:00:00"/>
    <d v="2025-01-24T00:00:00"/>
    <n v="7"/>
    <s v="Met"/>
    <s v="01-2025"/>
    <s v="Q1-2025"/>
    <d v="2023-01-13T00:00:00"/>
    <x v="0"/>
    <s v="Americas"/>
    <x v="6"/>
    <s v="Austin"/>
    <s v="Austin"/>
    <s v="Enterprise"/>
    <s v="Online"/>
    <s v="Online"/>
    <s v="G. Dubois"/>
    <s v="G. Dubois"/>
    <s v="Accessories"/>
    <s v="Low"/>
    <s v="ACC-4511"/>
    <s v="C"/>
    <n v="142.09"/>
    <n v="218.5"/>
    <n v="218.5"/>
    <n v="0.11899999999999999"/>
    <n v="0.11899999999999999"/>
    <s v="Low"/>
    <n v="11"/>
    <n v="2117.4834999999998"/>
    <n v="1562.99"/>
    <n v="554.49349999999981"/>
    <n v="0.26186437816398561"/>
  </r>
  <r>
    <s v="ORD-2024-838925"/>
    <d v="2024-01-28T00:00:00"/>
    <d v="2024-01-27T00:00:00"/>
    <d v="2024-01-27T00:00:00"/>
    <d v="2024-01-28T00:00:00"/>
    <n v="1"/>
    <s v="Met"/>
    <s v="01-2024"/>
    <s v="Q1-2024"/>
    <d v="2023-01-07T00:00:00"/>
    <x v="0"/>
    <s v="Africa"/>
    <x v="8"/>
    <s v="Cape Town"/>
    <s v="Cape Town"/>
    <s v="Enterprise"/>
    <s v="Direct"/>
    <s v="Direct"/>
    <s v="O. Wang"/>
    <s v="O. Wang"/>
    <s v="Components"/>
    <s v="Low"/>
    <s v="CMP-1470"/>
    <s v="C"/>
    <n v="109.75"/>
    <n v="124.25"/>
    <n v="124.25"/>
    <n v="0.12"/>
    <n v="0.12"/>
    <s v="Low"/>
    <n v="19"/>
    <n v="2077.46"/>
    <n v="2085.25"/>
    <n v="7.7899999999999636"/>
    <n v="3.7497713554051405E-3"/>
  </r>
  <r>
    <s v="ORD-2023-603238"/>
    <d v="2023-08-21T00:00:00"/>
    <d v="2023-08-21T00:00:00"/>
    <d v="2023-09-04T00:00:00"/>
    <d v="2023-09-04T00:00:00"/>
    <n v="14"/>
    <s v="Not Met"/>
    <s v="08-2023"/>
    <s v="Q3-2023"/>
    <d v="2023-01-02T00:00:00"/>
    <x v="0"/>
    <s v="Americas"/>
    <x v="0"/>
    <s v="Montreal"/>
    <s v="Montreal"/>
    <s v="Education"/>
    <s v="Distributor"/>
    <s v="Distributor"/>
    <s v="F. Müller"/>
    <s v="F. Müller"/>
    <s v="Components"/>
    <s v="Low"/>
    <s v="CMP-2136"/>
    <s v="C"/>
    <n v="178.19"/>
    <n v="284.43"/>
    <n v="284.43"/>
    <n v="8.8999999999999996E-2"/>
    <n v="8.8999999999999996E-2"/>
    <s v="Low"/>
    <n v="8"/>
    <n v="2072.9258400000003"/>
    <n v="1425.52"/>
    <n v="647.40584000000035"/>
    <n v="0.31231500302972742"/>
  </r>
  <r>
    <s v="ORD-2023-933238"/>
    <d v="2023-03-17T00:00:00"/>
    <d v="2023-03-17T00:00:00"/>
    <d v="2023-04-06T00:00:00"/>
    <d v="2023-04-06T00:00:00"/>
    <n v="20"/>
    <s v="Not Met"/>
    <s v="03-2023"/>
    <s v="Q1-2023"/>
    <d v="2023-01-21T00:00:00"/>
    <x v="0"/>
    <s v="Europe"/>
    <x v="4"/>
    <s v="Munich"/>
    <s v="Munich"/>
    <s v="Consumer"/>
    <s v="Retail"/>
    <s v="Retail"/>
    <s v="O. Wang"/>
    <s v="O. Wang"/>
    <s v="Phones"/>
    <s v="Medium"/>
    <s v="PHN-8483"/>
    <s v="C"/>
    <n v="692.18"/>
    <n v="1159.3499999999999"/>
    <n v="1159.3499999999999"/>
    <n v="0.112"/>
    <n v="0.112"/>
    <s v="Low"/>
    <n v="2"/>
    <n v="2059.0056"/>
    <n v="1384.36"/>
    <n v="674.64560000000006"/>
    <n v="0.32765602968734037"/>
  </r>
  <r>
    <s v="ORD-2024-970848"/>
    <d v="2024-05-23T00:00:00"/>
    <d v="2024-05-23T00:00:00"/>
    <d v="2024-06-03T00:00:00"/>
    <d v="2024-06-03T00:00:00"/>
    <n v="11"/>
    <s v="Not Met"/>
    <s v="05-2024"/>
    <s v="Q2-2024"/>
    <d v="2023-01-07T00:00:00"/>
    <x v="0"/>
    <s v="Africa"/>
    <x v="8"/>
    <s v="Johannesburg"/>
    <s v="Johannesburg"/>
    <s v="Small Business"/>
    <s v="Distributor"/>
    <s v="Distributor"/>
    <s v="F. Müller"/>
    <s v="F. Müller"/>
    <s v="Printers"/>
    <s v="Low"/>
    <s v="PRN-3785"/>
    <s v="C"/>
    <n v="180.89"/>
    <n v="249.57"/>
    <n v="249.57"/>
    <n v="2.1999999999999999E-2"/>
    <n v="2.1999999999999999E-2"/>
    <s v="Low"/>
    <n v="8"/>
    <n v="1952.6356799999999"/>
    <n v="1447.12"/>
    <n v="505.51567999999997"/>
    <n v="0.25888888806948362"/>
  </r>
  <r>
    <s v="ORD-2024-581530"/>
    <d v="2024-09-07T00:00:00"/>
    <d v="2024-09-07T00:00:00"/>
    <d v="2024-09-18T00:00:00"/>
    <d v="2024-09-18T00:00:00"/>
    <n v="11"/>
    <s v="Not Met"/>
    <s v="09-2024"/>
    <s v="Q3-2024"/>
    <d v="2023-01-12T00:00:00"/>
    <x v="0"/>
    <s v="Asia"/>
    <x v="10"/>
    <s v="Beijing"/>
    <s v="Beijing"/>
    <s v="Consumer"/>
    <s v="Distributor"/>
    <s v="Distributor"/>
    <s v="O. Wang"/>
    <s v="O. Wang"/>
    <s v="Networking"/>
    <s v="Low"/>
    <s v="NET-7998"/>
    <s v="C"/>
    <n v="181.74"/>
    <n v="190.84"/>
    <n v="190.84"/>
    <n v="0.214"/>
    <n v="0.214"/>
    <s v="High"/>
    <n v="13"/>
    <n v="1950.0031200000001"/>
    <n v="2362.62"/>
    <n v="412.61687999999981"/>
    <n v="0.21159806144310159"/>
  </r>
  <r>
    <s v="ORD-2023-769774"/>
    <d v="2023-06-13T00:00:00"/>
    <d v="2023-06-13T00:00:00"/>
    <d v="2023-06-24T00:00:00"/>
    <d v="2023-06-24T00:00:00"/>
    <n v="11"/>
    <s v="Not Met"/>
    <s v="06-2023"/>
    <s v="Q2-2023"/>
    <d v="2023-01-02T00:00:00"/>
    <x v="0"/>
    <s v="Americas"/>
    <x v="0"/>
    <s v="Toronto"/>
    <s v="Toronto"/>
    <s v="Corporate"/>
    <s v="Online"/>
    <s v="Online"/>
    <s v="C. Otieno"/>
    <s v="C. Otieno"/>
    <s v="Printers"/>
    <s v="Low"/>
    <s v="PRN-8008"/>
    <s v="C"/>
    <n v="247.07"/>
    <n v="495.19"/>
    <n v="495.19"/>
    <n v="2.8000000000000001E-2"/>
    <n v="2.8000000000000001E-2"/>
    <s v="Low"/>
    <n v="4"/>
    <n v="1925.29872"/>
    <n v="988.28"/>
    <n v="937.01872000000003"/>
    <n v="0.48668744764968214"/>
  </r>
  <r>
    <s v="ORD-2025-306251"/>
    <d v="2025-04-10T00:00:00"/>
    <d v="2025-04-10T00:00:00"/>
    <d v="2025-04-19T00:00:00"/>
    <d v="2025-04-19T00:00:00"/>
    <n v="9"/>
    <s v="Not Met"/>
    <s v="04-2025"/>
    <s v="Q2-2025"/>
    <d v="2023-01-07T00:00:00"/>
    <x v="0"/>
    <s v="Africa"/>
    <x v="8"/>
    <s v="Durban"/>
    <s v="Durban"/>
    <s v="Enterprise"/>
    <m/>
    <s v="Distributor"/>
    <s v="G. Dubois"/>
    <s v="G. Dubois"/>
    <s v="Networking"/>
    <s v="Low"/>
    <s v="NET-5270"/>
    <s v="C"/>
    <n v="113.74"/>
    <n v="165.7"/>
    <n v="165.7"/>
    <n v="0.124"/>
    <n v="0.124"/>
    <s v="Low"/>
    <n v="13"/>
    <n v="1886.9915999999998"/>
    <n v="1478.62"/>
    <n v="408.37159999999994"/>
    <n v="0.21641410592394794"/>
  </r>
  <r>
    <s v="ORD-2025-419532"/>
    <d v="2025-08-06T00:00:00"/>
    <d v="2025-08-06T00:00:00"/>
    <d v="2025-08-23T00:00:00"/>
    <d v="2025-08-23T00:00:00"/>
    <n v="17"/>
    <s v="Not Met"/>
    <s v="08-2025"/>
    <s v="Q3-2025"/>
    <d v="2023-01-29T00:00:00"/>
    <x v="0"/>
    <s v="Americas"/>
    <x v="9"/>
    <s v="Brasília"/>
    <s v="Brasília"/>
    <s v="Consumer"/>
    <s v="Distributor"/>
    <s v="Distributor"/>
    <s v="A. Patel"/>
    <s v="A. Patel"/>
    <s v="Monitors"/>
    <s v="Low"/>
    <s v="MON-4317"/>
    <s v="C"/>
    <n v="86.64"/>
    <n v="213.06"/>
    <n v="213.06"/>
    <n v="0.21199999999999999"/>
    <n v="0.21199999999999999"/>
    <s v="High"/>
    <n v="11"/>
    <n v="1846.8040799999999"/>
    <n v="953.04"/>
    <n v="893.76407999999992"/>
    <n v="0.48395175735154322"/>
  </r>
  <r>
    <s v="ORD-2025-496178"/>
    <d v="2025-07-27T00:00:00"/>
    <d v="2025-07-27T00:00:00"/>
    <d v="2025-08-15T00:00:00"/>
    <d v="2025-08-15T00:00:00"/>
    <n v="19"/>
    <s v="Not Met"/>
    <s v="07-2025"/>
    <s v="Q3-2025"/>
    <d v="2023-03-03T00:00:00"/>
    <x v="1"/>
    <s v="Asia"/>
    <x v="7"/>
    <s v="Tokyo"/>
    <s v="Tokyo"/>
    <s v="Small Business"/>
    <s v="Marketplace"/>
    <s v="Marketplace"/>
    <s v="J. Njeri"/>
    <s v="J. Njeri"/>
    <s v="Components"/>
    <s v="Low"/>
    <s v="CMP-5658"/>
    <s v="C"/>
    <n v="275.43"/>
    <n v="608.36"/>
    <n v="608.36"/>
    <n v="0.25700000000000001"/>
    <n v="0.25700000000000001"/>
    <s v="High"/>
    <n v="4"/>
    <n v="1808.04592"/>
    <n v="1101.72"/>
    <n v="706.32592"/>
    <n v="0.39065706915231446"/>
  </r>
  <r>
    <s v="ORD-2023-856322"/>
    <d v="2023-01-29T00:00:00"/>
    <d v="2023-01-29T00:00:00"/>
    <d v="2023-02-06T00:00:00"/>
    <d v="2023-02-06T00:00:00"/>
    <n v="8"/>
    <s v="Not Met"/>
    <s v="01-2023"/>
    <s v="Q1-2023"/>
    <d v="2023-01-29T00:00:00"/>
    <x v="0"/>
    <s v="Americas"/>
    <x v="9"/>
    <s v="Brasília"/>
    <s v="Brasília"/>
    <s v="Corporate"/>
    <s v="Marketplace"/>
    <s v="Marketplace"/>
    <s v="D. Smith"/>
    <s v="D. Smith"/>
    <s v="Monitors"/>
    <s v="Low"/>
    <s v="MON-7207"/>
    <s v="C"/>
    <n v="41.84"/>
    <n v="86.2"/>
    <n v="86.2"/>
    <n v="0.22600000000000001"/>
    <n v="0.22600000000000001"/>
    <s v="High"/>
    <n v="27"/>
    <n v="1801.4076000000002"/>
    <n v="1129.68"/>
    <n v="671.72760000000017"/>
    <n v="0.37289039970742882"/>
  </r>
  <r>
    <s v="ORD-2025-586799"/>
    <d v="2025-07-14T00:00:00"/>
    <d v="2025-07-14T00:00:00"/>
    <d v="2025-08-04T00:00:00"/>
    <d v="2025-08-04T00:00:00"/>
    <n v="21"/>
    <s v="Not Met"/>
    <s v="07-2025"/>
    <s v="Q3-2025"/>
    <d v="2023-01-02T00:00:00"/>
    <x v="0"/>
    <s v="Americas"/>
    <x v="0"/>
    <s v="Montreal"/>
    <s v="Montreal"/>
    <s v="Consumer"/>
    <s v="Online"/>
    <s v="Online"/>
    <s v="H. Kim"/>
    <s v="H. Kim"/>
    <s v="Monitors"/>
    <s v="Low"/>
    <s v="MON-7868"/>
    <s v="C"/>
    <n v="90.3"/>
    <n v="131.76"/>
    <n v="131.76"/>
    <n v="0.10199999999999999"/>
    <n v="0.10199999999999999"/>
    <s v="Low"/>
    <n v="15"/>
    <n v="1774.8072"/>
    <n v="1354.5"/>
    <n v="420.30719999999997"/>
    <n v="0.23681851189244668"/>
  </r>
  <r>
    <s v="ORD-2024-788105"/>
    <d v="2024-11-30T00:00:00"/>
    <d v="2024-11-30T00:00:00"/>
    <d v="2024-12-30T00:00:00"/>
    <d v="2024-12-30T00:00:00"/>
    <n v="30"/>
    <s v="Not Met"/>
    <s v="11-2024"/>
    <s v="Q4-2024"/>
    <d v="2023-01-10T00:00:00"/>
    <x v="0"/>
    <s v="Europe"/>
    <x v="11"/>
    <s v="Marseille"/>
    <s v="Marseille"/>
    <s v="Consumer"/>
    <s v="Marketplace"/>
    <s v="Marketplace"/>
    <s v="F. Müller"/>
    <s v="F. Müller"/>
    <s v="Printers"/>
    <s v="Low"/>
    <s v="PRN-4170"/>
    <s v="C"/>
    <n v="117.64"/>
    <n v="175.67"/>
    <n v="175.67"/>
    <n v="0"/>
    <n v="0"/>
    <s v="Low"/>
    <n v="10"/>
    <n v="1756.6999999999998"/>
    <n v="1176.4000000000001"/>
    <n v="580.29999999999973"/>
    <n v="0.33033528775545046"/>
  </r>
  <r>
    <s v="ORD-2023-539967"/>
    <d v="2023-07-09T00:00:00"/>
    <d v="2023-07-09T00:00:00"/>
    <d v="2023-07-19T00:00:00"/>
    <d v="2023-07-19T00:00:00"/>
    <n v="10"/>
    <s v="Not Met"/>
    <s v="07-2023"/>
    <s v="Q3-2023"/>
    <d v="2023-03-03T00:00:00"/>
    <x v="1"/>
    <s v="Asia"/>
    <x v="7"/>
    <s v="Tokyo"/>
    <s v="Tokyo"/>
    <s v="Enterprise"/>
    <s v="Distributor"/>
    <s v="Distributor"/>
    <s v="N. Brown"/>
    <s v="N. Brown"/>
    <s v="Components"/>
    <s v="Low"/>
    <s v="CMP-6649"/>
    <s v="C"/>
    <n v="141.26"/>
    <n v="206.88"/>
    <n v="206.88"/>
    <n v="0.107"/>
    <n v="0.107"/>
    <s v="Low"/>
    <n v="9"/>
    <n v="1662.6945600000001"/>
    <n v="1271.3399999999999"/>
    <n v="391.35456000000022"/>
    <n v="0.23537369365062469"/>
  </r>
  <r>
    <s v="ORD-2024-792558"/>
    <d v="2024-10-16T00:00:00"/>
    <d v="2024-10-16T00:00:00"/>
    <d v="2024-11-08T00:00:00"/>
    <d v="2024-11-08T00:00:00"/>
    <n v="23"/>
    <s v="Not Met"/>
    <s v="10-2024"/>
    <s v="Q4-2024"/>
    <d v="2023-03-03T00:00:00"/>
    <x v="1"/>
    <s v="Asia"/>
    <x v="7"/>
    <s v="Osaka"/>
    <s v="Osaka"/>
    <s v="Small Business"/>
    <s v="Retail"/>
    <s v="Retail"/>
    <s v="J. Njeri"/>
    <s v="J. Njeri"/>
    <s v="Networking"/>
    <s v="Low"/>
    <s v="NET-6387"/>
    <s v="C"/>
    <n v="82.14"/>
    <n v="166.04"/>
    <n v="166.04"/>
    <n v="0"/>
    <n v="0"/>
    <s v="Low"/>
    <n v="10"/>
    <n v="1660.3999999999999"/>
    <n v="821.4"/>
    <n v="838.99999999999989"/>
    <n v="0.50529992772825827"/>
  </r>
  <r>
    <s v="ORD-2025-863978"/>
    <d v="2025-08-07T00:00:00"/>
    <d v="2025-08-07T00:00:00"/>
    <d v="2025-08-19T00:00:00"/>
    <d v="2025-08-19T00:00:00"/>
    <n v="12"/>
    <s v="Not Met"/>
    <s v="08-2025"/>
    <s v="Q3-2025"/>
    <d v="2023-01-20T00:00:00"/>
    <x v="0"/>
    <s v="Africa"/>
    <x v="5"/>
    <s v="Nakuru"/>
    <s v="Nakuru"/>
    <s v="Corporate"/>
    <m/>
    <s v="Distributor"/>
    <s v="M. Rossi"/>
    <s v="M. Rossi"/>
    <s v="Components"/>
    <s v="Low"/>
    <s v="CMP-2854"/>
    <s v="C"/>
    <n v="601.51"/>
    <n v="679.35"/>
    <n v="679.35"/>
    <n v="0.188"/>
    <n v="0.188"/>
    <s v="Low"/>
    <n v="3"/>
    <n v="1654.8966000000003"/>
    <n v="1804.53"/>
    <n v="149.63339999999971"/>
    <n v="9.0418579626062243E-2"/>
  </r>
  <r>
    <s v="ORD-2025-138578"/>
    <d v="2025-04-09T00:00:00"/>
    <d v="2025-04-09T00:00:00"/>
    <d v="2025-04-12T00:00:00"/>
    <d v="2025-04-12T00:00:00"/>
    <n v="3"/>
    <s v="Met"/>
    <s v="04-2025"/>
    <s v="Q2-2025"/>
    <d v="2023-01-10T00:00:00"/>
    <x v="0"/>
    <s v="Europe"/>
    <x v="11"/>
    <s v="Lyon"/>
    <s v="Lyon"/>
    <s v="Small Business"/>
    <s v="Distributor"/>
    <s v="Distributor"/>
    <s v="H. Kim"/>
    <s v="H. Kim"/>
    <s v="Monitors"/>
    <s v="Low"/>
    <s v="MON-5276"/>
    <s v="C"/>
    <n v="86.68"/>
    <n v="213.32"/>
    <n v="213.32"/>
    <n v="3.7999999999999999E-2"/>
    <n v="3.7999999999999999E-2"/>
    <s v="Low"/>
    <n v="8"/>
    <n v="1641.7107199999998"/>
    <n v="693.44"/>
    <n v="948.27071999999976"/>
    <n v="0.57761133459614611"/>
  </r>
  <r>
    <s v="ORD-2024-247032"/>
    <d v="2024-04-21T00:00:00"/>
    <d v="2024-04-21T00:00:00"/>
    <d v="2024-05-19T00:00:00"/>
    <d v="2024-05-19T00:00:00"/>
    <n v="28"/>
    <s v="Not Met"/>
    <s v="04-2024"/>
    <s v="Q2-2024"/>
    <d v="2023-01-13T00:00:00"/>
    <x v="0"/>
    <s v="Africa"/>
    <x v="2"/>
    <s v="Lagos"/>
    <s v="Lagos"/>
    <s v="Corporate"/>
    <s v="Distributor"/>
    <s v="Distributor"/>
    <s v="A. Patel"/>
    <s v="A. Patel"/>
    <s v="Accessories"/>
    <s v="Low"/>
    <s v="ACC-2990"/>
    <s v="C"/>
    <n v="187.22"/>
    <n v="309.47000000000003"/>
    <n v="309.47000000000003"/>
    <n v="0"/>
    <n v="0"/>
    <s v="Low"/>
    <n v="5"/>
    <n v="1547.3500000000001"/>
    <n v="936.1"/>
    <n v="611.25000000000011"/>
    <n v="0.39503021294471197"/>
  </r>
  <r>
    <s v="ORD-2023-975863"/>
    <d v="2023-11-20T00:00:00"/>
    <d v="2023-11-20T00:00:00"/>
    <d v="2023-12-05T00:00:00"/>
    <d v="2023-12-05T00:00:00"/>
    <n v="15"/>
    <s v="Not Met"/>
    <s v="11-2023"/>
    <s v="Q4-2023"/>
    <d v="2023-03-03T00:00:00"/>
    <x v="1"/>
    <s v="Asia"/>
    <x v="7"/>
    <s v="Tokyo"/>
    <s v="Tokyo"/>
    <s v="Enterprise"/>
    <s v="Retail"/>
    <s v="Retail"/>
    <s v="L. Okafor"/>
    <s v="L. Okafor"/>
    <s v="Networking"/>
    <s v="Low"/>
    <s v="NET-3033"/>
    <s v="C"/>
    <n v="354.24"/>
    <n v="249.87"/>
    <n v="249.87"/>
    <n v="0"/>
    <n v="0"/>
    <s v="Low"/>
    <n v="6"/>
    <n v="1499.22"/>
    <n v="2125.44"/>
    <n v="626.22"/>
    <n v="0.41769720254532355"/>
  </r>
  <r>
    <s v="ORD-2024-232632"/>
    <d v="2024-02-14T00:00:00"/>
    <d v="2024-02-14T00:00:00"/>
    <d v="2024-02-14T00:00:00"/>
    <d v="2024-02-14T00:00:00"/>
    <n v="0"/>
    <s v="Met"/>
    <s v="02-2024"/>
    <s v="Q1-2024"/>
    <d v="2023-01-12T00:00:00"/>
    <x v="0"/>
    <s v="Asia"/>
    <x v="10"/>
    <s v="Beijing"/>
    <s v="Beijing"/>
    <s v="Corporate"/>
    <s v="Distributor"/>
    <s v="Distributor"/>
    <s v="L. Okafor"/>
    <s v="L. Okafor"/>
    <s v="Accessories"/>
    <s v="Low"/>
    <s v="ACC-1021"/>
    <s v="C"/>
    <n v="65.930000000000007"/>
    <n v="84.9"/>
    <n v="84.9"/>
    <n v="0.25900000000000001"/>
    <n v="0.25900000000000001"/>
    <s v="High"/>
    <n v="23"/>
    <n v="1446.9507000000001"/>
    <n v="1516.39"/>
    <n v="69.439300000000003"/>
    <n v="4.7990093926489688E-2"/>
  </r>
  <r>
    <s v="ORD-2024-225829"/>
    <d v="2024-11-07T00:00:00"/>
    <d v="2024-11-07T00:00:00"/>
    <d v="2024-11-26T00:00:00"/>
    <d v="2024-11-26T00:00:00"/>
    <n v="19"/>
    <s v="Not Met"/>
    <s v="11-2024"/>
    <s v="Q4-2024"/>
    <d v="2023-01-29T00:00:00"/>
    <x v="0"/>
    <s v="Americas"/>
    <x v="9"/>
    <s v="Rio de Janeiro"/>
    <s v="Rio de Janeiro"/>
    <s v="Non-Profit"/>
    <s v="Distributor"/>
    <s v="Distributor"/>
    <s v="J. Njeri"/>
    <s v="J. Njeri"/>
    <s v="Printers"/>
    <s v="Low"/>
    <s v="PRN-9960"/>
    <s v="C"/>
    <n v="55.35"/>
    <n v="128.68"/>
    <n v="128.68"/>
    <n v="0.128"/>
    <n v="0.128"/>
    <s v="Low"/>
    <n v="10"/>
    <n v="1122.0896000000002"/>
    <n v="553.5"/>
    <n v="568.58960000000025"/>
    <n v="0.50672388372550647"/>
  </r>
  <r>
    <s v="ORD-2023-766015"/>
    <d v="2023-04-13T00:00:00"/>
    <d v="2023-04-11T00:00:00"/>
    <d v="2023-04-11T00:00:00"/>
    <d v="2023-04-13T00:00:00"/>
    <n v="2"/>
    <s v="Met"/>
    <s v="04-2023"/>
    <s v="Q2-2023"/>
    <d v="2023-01-13T00:00:00"/>
    <x v="0"/>
    <s v="Americas"/>
    <x v="6"/>
    <s v="San Francisco"/>
    <s v="San Francisco"/>
    <s v="Education"/>
    <s v="Marketplace"/>
    <s v="Marketplace"/>
    <s v="G. Dubois"/>
    <s v="G. Dubois"/>
    <s v="Networking"/>
    <s v="Low"/>
    <s v="NET-1816"/>
    <s v="C"/>
    <n v="32.1"/>
    <n v="70.599999999999994"/>
    <n v="70.599999999999994"/>
    <n v="0.28199999999999997"/>
    <n v="0.28199999999999997"/>
    <s v="High"/>
    <n v="22"/>
    <n v="1115.1975999999997"/>
    <n v="706.2"/>
    <n v="408.99759999999969"/>
    <n v="0.36674899587301818"/>
  </r>
  <r>
    <s v="ORD-2025-752845"/>
    <d v="2025-03-30T00:00:00"/>
    <d v="2025-03-30T00:00:00"/>
    <d v="2025-04-07T00:00:00"/>
    <d v="2025-04-07T00:00:00"/>
    <n v="8"/>
    <s v="Not Met"/>
    <s v="03-2025"/>
    <s v="Q1-2025"/>
    <d v="2023-01-29T00:00:00"/>
    <x v="0"/>
    <s v="Americas"/>
    <x v="9"/>
    <s v="São Paulo"/>
    <s v="São Paulo"/>
    <s v="Non-Profit"/>
    <s v="Direct"/>
    <s v="Direct"/>
    <s v="L. Okafor"/>
    <s v="L. Okafor"/>
    <s v="Printers"/>
    <s v="Low"/>
    <s v="PRN-8763"/>
    <s v="C"/>
    <n v="71.62"/>
    <n v="118.37"/>
    <n v="118.37"/>
    <n v="0.156"/>
    <n v="0.156"/>
    <s v="Low"/>
    <n v="11"/>
    <n v="1098.9470800000001"/>
    <n v="787.82"/>
    <n v="311.12708000000009"/>
    <n v="0.28311379652603474"/>
  </r>
  <r>
    <s v="ORD-2025-189846"/>
    <d v="2025-08-11T00:00:00"/>
    <d v="2025-08-11T00:00:00"/>
    <d v="2025-08-28T00:00:00"/>
    <d v="2025-08-28T00:00:00"/>
    <n v="17"/>
    <s v="Not Met"/>
    <s v="08-2025"/>
    <s v="Q3-2025"/>
    <d v="2023-01-10T00:00:00"/>
    <x v="0"/>
    <s v="Europe"/>
    <x v="11"/>
    <s v="Paris"/>
    <s v="Paris"/>
    <s v="Education"/>
    <s v="Online"/>
    <s v="Online"/>
    <s v="F. Müller"/>
    <s v="F. Müller"/>
    <s v="Networking"/>
    <s v="Low"/>
    <s v="NET-6218"/>
    <s v="C"/>
    <n v="416.16"/>
    <n v="571.9"/>
    <n v="571.9"/>
    <n v="7.0999999999999994E-2"/>
    <n v="7.0999999999999994E-2"/>
    <s v="Low"/>
    <n v="2"/>
    <n v="1062.5902000000001"/>
    <n v="832.32"/>
    <n v="230.27020000000005"/>
    <n v="0.21670649701079497"/>
  </r>
  <r>
    <s v="ORD-2023-755337"/>
    <d v="2023-09-08T00:00:00"/>
    <d v="2023-09-08T00:00:00"/>
    <d v="2023-09-14T00:00:00"/>
    <d v="2023-09-14T00:00:00"/>
    <n v="6"/>
    <s v="Met"/>
    <s v="09-2023"/>
    <s v="Q3-2023"/>
    <d v="2023-01-20T00:00:00"/>
    <x v="0"/>
    <s v="Africa"/>
    <x v="5"/>
    <s v="Nakuru"/>
    <s v="Nakuru"/>
    <s v="Education"/>
    <s v="Direct"/>
    <s v="Direct"/>
    <s v="I. Johnson"/>
    <s v="I. Johnson"/>
    <s v="Accessories"/>
    <s v="Low"/>
    <s v="ACC-4766"/>
    <s v="C"/>
    <n v="251.03"/>
    <n v="411.48"/>
    <n v="411.48"/>
    <n v="0.16500000000000001"/>
    <n v="0.16500000000000001"/>
    <s v="Low"/>
    <n v="3"/>
    <n v="1030.7574"/>
    <n v="753.09"/>
    <n v="277.66739999999993"/>
    <n v="0.26938191275658069"/>
  </r>
  <r>
    <s v="ORD-2025-828263"/>
    <d v="2025-05-17T00:00:00"/>
    <d v="2025-05-17T00:00:00"/>
    <d v="2025-05-30T00:00:00"/>
    <d v="2025-05-30T00:00:00"/>
    <n v="13"/>
    <s v="Not Met"/>
    <s v="05-2025"/>
    <s v="Q2-2025"/>
    <d v="2023-01-13T00:00:00"/>
    <x v="0"/>
    <s v="Africa"/>
    <x v="2"/>
    <s v="Lagos"/>
    <s v="Lagos"/>
    <s v="Consumer"/>
    <s v="Distributor"/>
    <s v="Distributor"/>
    <s v="F. Müller"/>
    <s v="F. Müller"/>
    <s v="Accessories"/>
    <s v="Low"/>
    <s v="ACC-3349"/>
    <s v="C"/>
    <n v="66.400000000000006"/>
    <n v="141.43"/>
    <n v="141.43"/>
    <n v="0.107"/>
    <n v="0.107"/>
    <s v="Low"/>
    <n v="8"/>
    <n v="1010.3759200000001"/>
    <n v="531.20000000000005"/>
    <n v="479.17592000000002"/>
    <n v="0.47425508715607551"/>
  </r>
  <r>
    <s v="ORD-2024-641220"/>
    <d v="2024-05-10T00:00:00"/>
    <d v="2024-05-10T00:00:00"/>
    <d v="2024-05-16T00:00:00"/>
    <d v="2024-05-16T00:00:00"/>
    <n v="6"/>
    <s v="Met"/>
    <s v="05-2024"/>
    <s v="Q2-2024"/>
    <d v="2023-01-19T00:00:00"/>
    <x v="0"/>
    <s v="Europe"/>
    <x v="1"/>
    <s v="Birmingham"/>
    <s v="Birmingham"/>
    <s v="Non-Profit"/>
    <s v="Direct"/>
    <s v="Direct"/>
    <s v="G. Dubois"/>
    <s v="G. Dubois"/>
    <s v="Laptops"/>
    <s v="Low"/>
    <s v="LAP-1066"/>
    <s v="C"/>
    <n v="210.76"/>
    <n v="221.58"/>
    <n v="221.58"/>
    <n v="8.8999999999999996E-2"/>
    <n v="8.8999999999999996E-2"/>
    <s v="Low"/>
    <n v="5"/>
    <n v="1009.2969000000002"/>
    <n v="1053.8"/>
    <n v="44.50309999999979"/>
    <n v="4.4093170205912434E-2"/>
  </r>
  <r>
    <s v="ORD-2023-704111"/>
    <d v="2023-05-17T00:00:00"/>
    <d v="2023-05-17T00:00:00"/>
    <d v="2023-06-15T00:00:00"/>
    <d v="2023-06-15T00:00:00"/>
    <n v="29"/>
    <s v="Not Met"/>
    <s v="05-2023"/>
    <s v="Q2-2023"/>
    <d v="2023-01-07T00:00:00"/>
    <x v="0"/>
    <s v="Africa"/>
    <x v="8"/>
    <s v="Durban"/>
    <s v="Durban"/>
    <s v="Enterprise"/>
    <s v="Retail"/>
    <s v="Retail"/>
    <s v="K. Singh"/>
    <s v="K. Singh"/>
    <s v="Accessories"/>
    <s v="Low"/>
    <s v="ACC-5206"/>
    <s v="C"/>
    <n v="40.89"/>
    <n v="62.82"/>
    <n v="62.82"/>
    <n v="0.129"/>
    <n v="0.129"/>
    <s v="Low"/>
    <n v="17"/>
    <n v="930.17574000000002"/>
    <n v="695.13"/>
    <n v="235.04574000000002"/>
    <n v="0.25268960465470752"/>
  </r>
  <r>
    <s v="ORD-2023-271918"/>
    <d v="2023-09-25T00:00:00"/>
    <d v="2023-09-25T00:00:00"/>
    <d v="2023-10-02T00:00:00"/>
    <d v="2023-10-02T00:00:00"/>
    <n v="7"/>
    <s v="Met"/>
    <s v="09-2023"/>
    <s v="Q3-2023"/>
    <d v="2023-01-13T00:00:00"/>
    <x v="0"/>
    <s v="Americas"/>
    <x v="6"/>
    <s v="New York"/>
    <s v="New York"/>
    <s v="Education"/>
    <s v="Marketplace"/>
    <s v="Marketplace"/>
    <s v="I. Johnson"/>
    <s v="I. Johnson"/>
    <s v="Accessories"/>
    <s v="Low"/>
    <s v="ACC-3551"/>
    <s v="C"/>
    <n v="145.58000000000001"/>
    <n v="228.15"/>
    <n v="228.15"/>
    <n v="0.20399999999999999"/>
    <n v="0.20399999999999999"/>
    <s v="High"/>
    <n v="5"/>
    <n v="908.03700000000003"/>
    <n v="727.90000000000009"/>
    <n v="180.13699999999994"/>
    <n v="0.19838068272548359"/>
  </r>
  <r>
    <s v="ORD-2024-403664"/>
    <d v="2024-05-23T00:00:00"/>
    <d v="2024-05-23T00:00:00"/>
    <d v="2024-06-06T00:00:00"/>
    <d v="2024-06-06T00:00:00"/>
    <n v="14"/>
    <s v="Not Met"/>
    <s v="05-2024"/>
    <s v="Q2-2024"/>
    <d v="2023-01-29T00:00:00"/>
    <x v="0"/>
    <s v="Americas"/>
    <x v="9"/>
    <s v="Rio de Janeiro"/>
    <s v="Rio de Janeiro"/>
    <s v="Non-Profit"/>
    <s v="Online"/>
    <s v="Online"/>
    <s v="I. Johnson"/>
    <s v="I. Johnson"/>
    <s v="Networking"/>
    <s v="Low"/>
    <s v="NET-1166"/>
    <s v="C"/>
    <n v="51.13"/>
    <n v="57.53"/>
    <n v="57.53"/>
    <n v="4.4999999999999998E-2"/>
    <n v="4.4999999999999998E-2"/>
    <s v="Low"/>
    <n v="16"/>
    <n v="879.05840000000001"/>
    <n v="818.08"/>
    <n v="60.978399999999965"/>
    <n v="6.9367859973808302E-2"/>
  </r>
  <r>
    <s v="ORD-2023-125739"/>
    <d v="2023-05-01T00:00:00"/>
    <d v="2023-05-01T00:00:00"/>
    <d v="2023-05-18T00:00:00"/>
    <d v="2023-05-18T00:00:00"/>
    <n v="17"/>
    <s v="Not Met"/>
    <s v="05-2023"/>
    <s v="Q2-2023"/>
    <d v="2023-01-13T00:00:00"/>
    <x v="0"/>
    <s v="Africa"/>
    <x v="2"/>
    <s v="Port Harcourt"/>
    <s v="Port Harcourt"/>
    <s v="Corporate"/>
    <s v="Direct"/>
    <s v="Direct"/>
    <s v="F. Müller"/>
    <s v="F. Müller"/>
    <s v="Components"/>
    <s v="Low"/>
    <s v="CMP-5633"/>
    <s v="C"/>
    <n v="327.97"/>
    <n v="299.94"/>
    <n v="299.94"/>
    <n v="4.9000000000000002E-2"/>
    <n v="4.9000000000000002E-2"/>
    <s v="Low"/>
    <n v="3"/>
    <n v="855.72881999999993"/>
    <n v="983.91000000000008"/>
    <n v="128.18118000000015"/>
    <n v="0.14979182306843442"/>
  </r>
  <r>
    <s v="ORD-2025-537785"/>
    <d v="2025-08-05T00:00:00"/>
    <d v="2025-08-05T00:00:00"/>
    <d v="2025-08-14T00:00:00"/>
    <d v="2025-08-14T00:00:00"/>
    <n v="9"/>
    <s v="Not Met"/>
    <s v="08-2025"/>
    <s v="Q3-2025"/>
    <d v="2023-01-19T00:00:00"/>
    <x v="0"/>
    <s v="Europe"/>
    <x v="1"/>
    <s v="London"/>
    <s v="London"/>
    <s v="Non-Profit"/>
    <s v="Direct"/>
    <s v="Direct"/>
    <s v="E. Garcia"/>
    <s v="E. Garcia"/>
    <s v="Components"/>
    <s v="Low"/>
    <s v="CMP-6346"/>
    <s v="C"/>
    <n v="41.76"/>
    <n v="45.19"/>
    <n v="45.19"/>
    <n v="0.17899999999999999"/>
    <n v="0.17899999999999999"/>
    <s v="Low"/>
    <n v="23"/>
    <n v="853.32276999999988"/>
    <n v="960.4799999999999"/>
    <n v="107.15723000000003"/>
    <n v="0.12557643340514638"/>
  </r>
  <r>
    <s v="ORD-2024-930679"/>
    <d v="2024-12-17T00:00:00"/>
    <d v="2024-12-17T00:00:00"/>
    <d v="2025-01-16T00:00:00"/>
    <d v="2025-01-16T00:00:00"/>
    <n v="30"/>
    <s v="Not Met"/>
    <s v="12-2024"/>
    <s v="Q4-2024"/>
    <d v="2023-01-19T00:00:00"/>
    <x v="0"/>
    <s v="Europe"/>
    <x v="1"/>
    <s v="Manchester"/>
    <s v="Manchester"/>
    <s v="Corporate"/>
    <s v="Retail"/>
    <s v="Retail"/>
    <s v="D. Smith"/>
    <s v="D. Smith"/>
    <s v="Monitors"/>
    <s v="Low"/>
    <s v="MON-4215"/>
    <s v="C"/>
    <n v="722.87"/>
    <n v="-33.659999999999997"/>
    <n v="33.659999999999997"/>
    <n v="0.10199999999999999"/>
    <n v="0.10199999999999999"/>
    <s v="Low"/>
    <n v="28"/>
    <n v="846.34703999999988"/>
    <n v="20240.36"/>
    <n v="19394.01296"/>
    <n v="22.914965189693348"/>
  </r>
  <r>
    <s v="ORD-2025-177994"/>
    <d v="2025-03-24T00:00:00"/>
    <d v="2025-03-24T00:00:00"/>
    <d v="2025-04-04T00:00:00"/>
    <d v="2025-04-04T00:00:00"/>
    <n v="11"/>
    <s v="Not Met"/>
    <s v="03-2025"/>
    <s v="Q1-2025"/>
    <d v="2023-01-29T00:00:00"/>
    <x v="0"/>
    <s v="Asia"/>
    <x v="3"/>
    <s v="Mumbai"/>
    <s v="Mumbai"/>
    <s v="Education"/>
    <s v="Marketplace"/>
    <s v="Marketplace"/>
    <s v="J. Njeri"/>
    <s v="J. Njeri"/>
    <s v="Phones"/>
    <s v="Low"/>
    <s v="PHN-4395"/>
    <s v="C"/>
    <n v="23.83"/>
    <n v="47.29"/>
    <n v="47.29"/>
    <n v="6.4000000000000001E-2"/>
    <n v="6.4000000000000001E-2"/>
    <s v="Low"/>
    <n v="19"/>
    <n v="841.00536"/>
    <n v="452.77"/>
    <n v="388.23536000000001"/>
    <n v="0.46163244429262618"/>
  </r>
  <r>
    <s v="ORD-2025-698069"/>
    <d v="2025-06-03T00:00:00"/>
    <d v="2025-06-03T00:00:00"/>
    <d v="2025-06-10T00:00:00"/>
    <d v="2025-06-10T00:00:00"/>
    <n v="7"/>
    <s v="Met"/>
    <s v="06-2025"/>
    <s v="Q2-2025"/>
    <d v="2023-01-02T00:00:00"/>
    <x v="0"/>
    <s v="Americas"/>
    <x v="0"/>
    <s v="Toronto"/>
    <s v="Toronto"/>
    <s v="Consumer"/>
    <s v="Distributor"/>
    <s v="Distributor"/>
    <s v="O. Wang"/>
    <s v="O. Wang"/>
    <s v="Printers"/>
    <s v="Low"/>
    <s v="PRN-6429"/>
    <s v="C"/>
    <n v="75.180000000000007"/>
    <n v="53.45"/>
    <n v="53.45"/>
    <n v="0.157"/>
    <n v="0.157"/>
    <s v="Low"/>
    <n v="17"/>
    <n v="765.99195000000009"/>
    <n v="1278.0600000000002"/>
    <n v="512.06805000000008"/>
    <n v="0.66850317421743144"/>
  </r>
  <r>
    <s v="ORD-2024-866535"/>
    <d v="2024-12-04T00:00:00"/>
    <d v="2024-12-04T00:00:00"/>
    <d v="2024-12-12T00:00:00"/>
    <d v="2024-12-12T00:00:00"/>
    <n v="8"/>
    <s v="Not Met"/>
    <s v="12-2024"/>
    <s v="Q4-2024"/>
    <d v="2023-01-21T00:00:00"/>
    <x v="0"/>
    <s v="Europe"/>
    <x v="4"/>
    <s v="Frankfurt"/>
    <s v="Frankfurt"/>
    <s v="Enterprise"/>
    <s v="Marketplace"/>
    <s v="Marketplace"/>
    <s v="B. Chen"/>
    <s v="B. Chen"/>
    <s v="Printers"/>
    <s v="Low"/>
    <s v="PRN-5492"/>
    <s v="C"/>
    <n v="72.06"/>
    <n v="122.74"/>
    <n v="122.74"/>
    <n v="0.23799999999999999"/>
    <n v="0.23799999999999999"/>
    <s v="High"/>
    <n v="8"/>
    <n v="748.22303999999997"/>
    <n v="576.48"/>
    <n v="171.74303999999995"/>
    <n v="0.22953455162246802"/>
  </r>
  <r>
    <s v="ORD-2025-222035"/>
    <d v="2025-03-14T00:00:00"/>
    <d v="2025-03-14T00:00:00"/>
    <d v="2025-04-08T00:00:00"/>
    <d v="2025-04-08T00:00:00"/>
    <n v="25"/>
    <s v="Not Met"/>
    <s v="03-2025"/>
    <s v="Q1-2025"/>
    <d v="2023-01-12T00:00:00"/>
    <x v="0"/>
    <s v="Asia"/>
    <x v="10"/>
    <m/>
    <s v="Beijing"/>
    <s v="Corporate"/>
    <s v="Distributor"/>
    <s v="Distributor"/>
    <s v="D. Smith"/>
    <s v="D. Smith"/>
    <s v="Printers"/>
    <s v="Low"/>
    <s v="PRN-5815"/>
    <s v="C"/>
    <n v="80.59"/>
    <n v="157.82"/>
    <n v="157.82"/>
    <n v="0.217"/>
    <n v="0.217"/>
    <s v="High"/>
    <n v="6"/>
    <n v="741.43835999999999"/>
    <n v="483.54"/>
    <n v="257.89835999999997"/>
    <n v="0.34783519967863541"/>
  </r>
  <r>
    <s v="ORD-2024-206121"/>
    <d v="2024-02-18T00:00:00"/>
    <d v="2024-02-18T00:00:00"/>
    <d v="2024-03-11T00:00:00"/>
    <d v="2024-03-11T00:00:00"/>
    <n v="22"/>
    <s v="Not Met"/>
    <s v="02-2024"/>
    <s v="Q1-2024"/>
    <d v="2023-01-29T00:00:00"/>
    <x v="0"/>
    <s v="Americas"/>
    <x v="9"/>
    <s v="São Paulo"/>
    <s v="São Paulo"/>
    <s v="Consumer"/>
    <s v="Online"/>
    <s v="Online"/>
    <s v="A. Patel"/>
    <s v="A. Patel"/>
    <s v="Components"/>
    <s v="Low"/>
    <s v="CMP-9801"/>
    <s v="C"/>
    <n v="80.48"/>
    <n v="65.650000000000006"/>
    <n v="65.650000000000006"/>
    <n v="0.17599999999999999"/>
    <n v="0.17599999999999999"/>
    <s v="Low"/>
    <n v="13"/>
    <n v="703.2428000000001"/>
    <n v="1046.24"/>
    <n v="342.99719999999991"/>
    <n v="0.48773652570634191"/>
  </r>
  <r>
    <s v="ORD-2023-112666"/>
    <d v="2023-01-15T00:00:00"/>
    <d v="2023-01-13T00:00:00"/>
    <d v="2023-01-13T00:00:00"/>
    <d v="2023-01-15T00:00:00"/>
    <n v="2"/>
    <s v="Met"/>
    <s v="01-2023"/>
    <s v="Q1-2023"/>
    <d v="2023-01-13T00:00:00"/>
    <x v="0"/>
    <s v="Africa"/>
    <x v="2"/>
    <s v="Abuja"/>
    <s v="Abuja"/>
    <s v="Education"/>
    <s v="Online"/>
    <s v="Online"/>
    <s v="O. Wang"/>
    <s v="O. Wang"/>
    <s v="Printers"/>
    <s v="Low"/>
    <s v="PRN-6276"/>
    <s v="C"/>
    <n v="28.38"/>
    <n v="47.22"/>
    <n v="47.22"/>
    <n v="0.19400000000000001"/>
    <n v="0.19400000000000001"/>
    <s v="Low"/>
    <n v="18"/>
    <n v="685.06776000000002"/>
    <n v="510.84"/>
    <n v="174.22776000000005"/>
    <n v="0.25432193743871417"/>
  </r>
  <r>
    <s v="ORD-2023-274037"/>
    <d v="2023-08-15T00:00:00"/>
    <d v="2023-08-15T00:00:00"/>
    <d v="2023-08-25T00:00:00"/>
    <d v="2023-08-25T00:00:00"/>
    <n v="10"/>
    <s v="Not Met"/>
    <s v="08-2023"/>
    <s v="Q3-2023"/>
    <d v="2023-01-20T00:00:00"/>
    <x v="0"/>
    <s v="Africa"/>
    <x v="5"/>
    <s v="Nairobi"/>
    <s v="Nairobi"/>
    <s v="Small Business"/>
    <s v="Retail"/>
    <s v="Retail"/>
    <s v="N. Brown"/>
    <s v="N. Brown"/>
    <s v="Phones"/>
    <s v="Low"/>
    <s v="PHN-1234"/>
    <s v="C"/>
    <n v="91.85"/>
    <n v="111.29"/>
    <n v="111.29"/>
    <n v="0"/>
    <n v="0"/>
    <s v="Low"/>
    <n v="6"/>
    <n v="667.74"/>
    <n v="551.09999999999991"/>
    <n v="116.6400000000001"/>
    <n v="0.17467876718483258"/>
  </r>
  <r>
    <s v="ORD-2023-603650"/>
    <d v="2023-05-23T00:00:00"/>
    <d v="2023-05-23T00:00:00"/>
    <d v="2023-06-10T00:00:00"/>
    <d v="2023-06-10T00:00:00"/>
    <n v="18"/>
    <s v="Not Met"/>
    <s v="05-2023"/>
    <s v="Q2-2023"/>
    <d v="2023-01-12T00:00:00"/>
    <x v="0"/>
    <s v="Asia"/>
    <x v="10"/>
    <s v="Shanghai"/>
    <s v="Shanghai"/>
    <s v="Corporate"/>
    <s v="Distributor"/>
    <s v="Distributor"/>
    <s v="E. Garcia"/>
    <s v="E. Garcia"/>
    <s v="Components"/>
    <s v="Low"/>
    <s v="CMP-6925"/>
    <s v="C"/>
    <n v="54.62"/>
    <n v="48.94"/>
    <n v="48.94"/>
    <n v="0.14799999999999999"/>
    <n v="0.14799999999999999"/>
    <s v="Low"/>
    <n v="16"/>
    <n v="667.15008"/>
    <n v="873.92"/>
    <n v="206.76991999999996"/>
    <n v="0.3099301434543783"/>
  </r>
  <r>
    <s v="ORD-2023-258768"/>
    <d v="2023-06-29T00:00:00"/>
    <d v="2023-06-29T00:00:00"/>
    <d v="2023-07-02T00:00:00"/>
    <d v="2023-07-02T00:00:00"/>
    <n v="3"/>
    <s v="Met"/>
    <s v="06-2023"/>
    <s v="Q2-2023"/>
    <d v="2023-03-03T00:00:00"/>
    <x v="1"/>
    <s v="Asia"/>
    <x v="7"/>
    <s v="Nagoya"/>
    <s v="Nagoya"/>
    <s v="Education"/>
    <s v="Marketplace"/>
    <s v="Marketplace"/>
    <s v="F. Müller"/>
    <s v="F. Müller"/>
    <s v="Monitors"/>
    <s v="Low"/>
    <s v="MON-2990"/>
    <s v="C"/>
    <n v="55.65"/>
    <n v="83.57"/>
    <n v="83.57"/>
    <n v="6.6000000000000003E-2"/>
    <n v="6.6000000000000003E-2"/>
    <s v="Low"/>
    <n v="8"/>
    <n v="624.43503999999996"/>
    <n v="445.2"/>
    <n v="179.23503999999997"/>
    <n v="0.2870355257449998"/>
  </r>
  <r>
    <s v="ORD-2025-926547"/>
    <d v="2025-03-11T00:00:00"/>
    <d v="2025-03-11T00:00:00"/>
    <d v="2025-03-26T00:00:00"/>
    <d v="2025-03-26T00:00:00"/>
    <n v="15"/>
    <s v="Not Met"/>
    <s v="03-2025"/>
    <s v="Q1-2025"/>
    <d v="2023-01-21T00:00:00"/>
    <x v="0"/>
    <s v="Europe"/>
    <x v="4"/>
    <s v="Berlin"/>
    <s v="Berlin"/>
    <s v="Small Business"/>
    <s v="Online"/>
    <s v="Online"/>
    <s v="I. Johnson"/>
    <s v="I. Johnson"/>
    <s v="Phones"/>
    <s v="Low"/>
    <s v="PHN-3007"/>
    <s v="C"/>
    <n v="116.97"/>
    <n v="140.82"/>
    <n v="140.82"/>
    <n v="0.122"/>
    <n v="0.122"/>
    <s v="Low"/>
    <n v="5"/>
    <n v="618.19979999999987"/>
    <n v="584.85"/>
    <n v="33.349799999999846"/>
    <n v="5.3946636669891926E-2"/>
  </r>
  <r>
    <s v="ORD-2025-946490"/>
    <d v="2025-04-22T00:00:00"/>
    <d v="2025-04-22T00:00:00"/>
    <d v="2025-05-02T00:00:00"/>
    <d v="2025-05-02T00:00:00"/>
    <n v="10"/>
    <s v="Not Met"/>
    <s v="04-2025"/>
    <s v="Q2-2025"/>
    <d v="2023-01-21T00:00:00"/>
    <x v="0"/>
    <s v="Europe"/>
    <x v="4"/>
    <s v="Berlin"/>
    <s v="Berlin"/>
    <s v="Corporate"/>
    <s v="Marketplace"/>
    <s v="Marketplace"/>
    <s v="C. Otieno"/>
    <s v="C. Otieno"/>
    <s v="Monitors"/>
    <s v="Low"/>
    <s v="MON-2842"/>
    <s v="C"/>
    <n v="20.149999999999999"/>
    <n v="39.74"/>
    <n v="39.74"/>
    <n v="0.151"/>
    <n v="0.151"/>
    <s v="Low"/>
    <n v="18"/>
    <n v="607.30668000000003"/>
    <n v="362.7"/>
    <n v="244.60668000000004"/>
    <n v="0.4027729120318585"/>
  </r>
  <r>
    <s v="ORD-2024-260775"/>
    <d v="2024-10-17T00:00:00"/>
    <d v="2024-10-17T00:00:00"/>
    <d v="2024-11-06T00:00:00"/>
    <d v="2024-11-06T00:00:00"/>
    <n v="20"/>
    <s v="Not Met"/>
    <s v="10-2024"/>
    <s v="Q4-2024"/>
    <d v="2023-01-29T00:00:00"/>
    <x v="0"/>
    <s v="Asia"/>
    <x v="3"/>
    <s v="Bengaluru"/>
    <s v="Bengaluru"/>
    <s v="Enterprise"/>
    <s v="Distributor"/>
    <s v="Distributor"/>
    <s v="O. Wang"/>
    <s v="O. Wang"/>
    <s v="Monitors"/>
    <s v="Low"/>
    <s v="MON-4330"/>
    <s v="C"/>
    <n v="72.94"/>
    <n v="106.3"/>
    <n v="106.3"/>
    <n v="0.29499999999999998"/>
    <n v="0.29499999999999998"/>
    <s v="High"/>
    <n v="8"/>
    <n v="599.53200000000004"/>
    <n v="583.52"/>
    <n v="16.012000000000057"/>
    <n v="2.6707498515508857E-2"/>
  </r>
  <r>
    <s v="ORD-2025-956101"/>
    <d v="2025-07-09T00:00:00"/>
    <d v="2025-07-09T00:00:00"/>
    <d v="2025-07-18T00:00:00"/>
    <d v="2025-07-18T00:00:00"/>
    <n v="9"/>
    <s v="Not Met"/>
    <s v="07-2025"/>
    <s v="Q3-2025"/>
    <d v="2023-01-02T00:00:00"/>
    <x v="0"/>
    <s v="Americas"/>
    <x v="0"/>
    <s v="Vancouver"/>
    <s v="Vancouver"/>
    <s v="Education"/>
    <s v="Distributor"/>
    <s v="Distributor"/>
    <s v="I. Johnson"/>
    <s v="I. Johnson"/>
    <s v="Laptops"/>
    <s v="Low"/>
    <s v="LAP-2218"/>
    <s v="C"/>
    <n v="57.96"/>
    <n v="88.51"/>
    <n v="88.51"/>
    <n v="4.2999999999999997E-2"/>
    <n v="4.2999999999999997E-2"/>
    <s v="Low"/>
    <n v="7"/>
    <n v="592.92849000000001"/>
    <n v="405.72"/>
    <n v="187.20848999999998"/>
    <n v="0.3157353595877978"/>
  </r>
  <r>
    <s v="ORD-2025-908258"/>
    <d v="2025-06-21T00:00:00"/>
    <d v="2025-06-21T00:00:00"/>
    <d v="2025-06-27T00:00:00"/>
    <d v="2025-06-27T00:00:00"/>
    <n v="6"/>
    <s v="Met"/>
    <s v="06-2025"/>
    <s v="Q2-2025"/>
    <d v="2023-01-07T00:00:00"/>
    <x v="0"/>
    <s v="Africa"/>
    <x v="8"/>
    <s v="Durban"/>
    <s v="Durban"/>
    <s v="Enterprise"/>
    <s v="Distributor"/>
    <s v="Distributor"/>
    <s v="N. Brown"/>
    <s v="N. Brown"/>
    <s v="Phones"/>
    <s v="Low"/>
    <s v="PHN-3819"/>
    <s v="C"/>
    <n v="93.91"/>
    <n v="99.04"/>
    <n v="99.04"/>
    <n v="5.7000000000000002E-2"/>
    <n v="5.7000000000000002E-2"/>
    <s v="Low"/>
    <n v="6"/>
    <n v="560.36831999999993"/>
    <n v="563.46"/>
    <n v="3.0916800000001103"/>
    <n v="5.5172283829323376E-3"/>
  </r>
  <r>
    <s v="ORD-2024-166150"/>
    <d v="2024-06-02T00:00:00"/>
    <d v="2024-06-02T00:00:00"/>
    <d v="2024-06-08T00:00:00"/>
    <d v="2024-06-08T00:00:00"/>
    <n v="6"/>
    <s v="Met"/>
    <s v="06-2024"/>
    <s v="Q2-2024"/>
    <d v="2023-01-20T00:00:00"/>
    <x v="0"/>
    <s v="Africa"/>
    <x v="5"/>
    <s v="Kisumu"/>
    <s v="Kisumu"/>
    <s v="Consumer"/>
    <s v="Marketplace"/>
    <s v="Marketplace"/>
    <s v="A. Patel"/>
    <s v="A. Patel"/>
    <s v="Accessories"/>
    <s v="Low"/>
    <s v="ACC-9820"/>
    <s v="C"/>
    <n v="292.94"/>
    <n v="356.55"/>
    <n v="356.55"/>
    <n v="0.22900000000000001"/>
    <n v="0.22900000000000001"/>
    <s v="High"/>
    <n v="2"/>
    <n v="549.80010000000004"/>
    <n v="585.88"/>
    <n v="36.079899999999952"/>
    <n v="6.5623669402751925E-2"/>
  </r>
  <r>
    <s v="ORD-2025-778145"/>
    <d v="2025-04-22T00:00:00"/>
    <d v="2025-04-22T00:00:00"/>
    <d v="2025-05-12T00:00:00"/>
    <d v="2025-05-12T00:00:00"/>
    <n v="20"/>
    <s v="Not Met"/>
    <s v="04-2025"/>
    <s v="Q2-2025"/>
    <d v="2023-01-10T00:00:00"/>
    <x v="0"/>
    <s v="Europe"/>
    <x v="11"/>
    <s v="Lyon"/>
    <s v="Lyon"/>
    <s v="Enterprise"/>
    <s v="Marketplace"/>
    <s v="Marketplace"/>
    <s v="K. Singh"/>
    <s v="K. Singh"/>
    <s v="Monitors"/>
    <s v="Low"/>
    <s v="MON-9216"/>
    <s v="C"/>
    <n v="59.51"/>
    <n v="67.040000000000006"/>
    <n v="67.040000000000006"/>
    <n v="0.114"/>
    <n v="0.114"/>
    <s v="Low"/>
    <n v="9"/>
    <n v="534.57695999999999"/>
    <n v="535.59"/>
    <n v="1.0130400000000463"/>
    <n v="1.8950311663264469E-3"/>
  </r>
  <r>
    <s v="ORD-2025-488349"/>
    <d v="2025-04-23T00:00:00"/>
    <d v="2025-04-22T00:00:00"/>
    <d v="2025-04-22T00:00:00"/>
    <d v="2025-04-23T00:00:00"/>
    <n v="1"/>
    <s v="Met"/>
    <s v="04-2025"/>
    <s v="Q2-2025"/>
    <d v="2023-01-13T00:00:00"/>
    <x v="0"/>
    <s v="Americas"/>
    <x v="6"/>
    <s v="San Francisco"/>
    <s v="San Francisco"/>
    <s v="Non-Profit"/>
    <s v="Distributor"/>
    <s v="Distributor"/>
    <s v="D. Smith"/>
    <s v="D. Smith"/>
    <s v="Monitors"/>
    <s v="Low"/>
    <s v="MON-3371"/>
    <s v="C"/>
    <n v="23.24"/>
    <n v="44.57"/>
    <n v="44.57"/>
    <n v="0.215"/>
    <n v="0.215"/>
    <s v="High"/>
    <n v="15"/>
    <n v="524.81174999999996"/>
    <n v="348.59999999999997"/>
    <n v="176.21174999999999"/>
    <n v="0.33576182316802167"/>
  </r>
  <r>
    <s v="ORD-2023-251563"/>
    <d v="2023-05-11T00:00:00"/>
    <d v="2023-05-11T00:00:00"/>
    <d v="2023-06-07T00:00:00"/>
    <d v="2023-06-07T00:00:00"/>
    <n v="27"/>
    <s v="Not Met"/>
    <s v="05-2023"/>
    <s v="Q2-2023"/>
    <d v="2023-01-20T00:00:00"/>
    <x v="0"/>
    <s v="Africa"/>
    <x v="5"/>
    <s v="Mombasa"/>
    <s v="Mombasa"/>
    <s v="Corporate"/>
    <s v="Online"/>
    <s v="Online"/>
    <s v="J. Njeri"/>
    <s v="J. Njeri"/>
    <s v="Phones"/>
    <s v="Low"/>
    <s v="PHN-8970"/>
    <s v="C"/>
    <n v="12.85"/>
    <n v="15.41"/>
    <n v="15.41"/>
    <n v="0.13700000000000001"/>
    <n v="0.13700000000000001"/>
    <s v="Low"/>
    <n v="39"/>
    <n v="518.65436999999997"/>
    <n v="501.15"/>
    <n v="17.504369999999994"/>
    <n v="3.3749585489851353E-2"/>
  </r>
  <r>
    <s v="ORD-2023-340056"/>
    <d v="2023-04-26T00:00:00"/>
    <d v="2023-04-26T00:00:00"/>
    <d v="2023-04-26T00:00:00"/>
    <d v="2023-04-26T00:00:00"/>
    <n v="0"/>
    <s v="Met"/>
    <s v="04-2023"/>
    <s v="Q2-2023"/>
    <d v="2023-01-10T00:00:00"/>
    <x v="0"/>
    <s v="Europe"/>
    <x v="11"/>
    <s v="Marseille"/>
    <s v="Marseille"/>
    <s v="Consumer"/>
    <s v="Direct"/>
    <s v="Direct"/>
    <s v="M. Rossi"/>
    <s v="M. Rossi"/>
    <s v="Components"/>
    <s v="Low"/>
    <s v="CMP-4945"/>
    <s v="C"/>
    <n v="81.489999999999995"/>
    <n v="113.08"/>
    <n v="113.08"/>
    <n v="0.121"/>
    <n v="0.121"/>
    <s v="Low"/>
    <n v="5"/>
    <n v="496.98660000000001"/>
    <n v="407.45"/>
    <n v="89.536600000000021"/>
    <n v="0.18015898215364362"/>
  </r>
  <r>
    <s v="ORD-2023-835226"/>
    <d v="2023-10-26T00:00:00"/>
    <d v="2023-10-26T00:00:00"/>
    <d v="2023-11-05T00:00:00"/>
    <d v="2023-11-05T00:00:00"/>
    <n v="10"/>
    <s v="Not Met"/>
    <s v="10-2023"/>
    <s v="Q4-2023"/>
    <d v="2023-01-07T00:00:00"/>
    <x v="0"/>
    <s v="Africa"/>
    <x v="8"/>
    <s v="Cape Town"/>
    <s v="Cape Town"/>
    <s v="Non-Profit"/>
    <s v="Online"/>
    <s v="Online"/>
    <s v="I. Johnson"/>
    <s v="I. Johnson"/>
    <s v="Laptops"/>
    <s v="Low"/>
    <s v="LAP-7320"/>
    <s v="C"/>
    <n v="20.38"/>
    <n v="42.56"/>
    <n v="42.56"/>
    <n v="7.1999999999999995E-2"/>
    <n v="7.1999999999999995E-2"/>
    <s v="Low"/>
    <n v="11"/>
    <n v="434.45248000000004"/>
    <n v="224.17999999999998"/>
    <n v="210.27248000000006"/>
    <n v="0.48399419885921713"/>
  </r>
  <r>
    <s v="ORD-2023-378676"/>
    <d v="2023-05-03T00:00:00"/>
    <d v="2023-05-03T00:00:00"/>
    <d v="2023-05-16T00:00:00"/>
    <d v="2023-05-16T00:00:00"/>
    <n v="13"/>
    <s v="Not Met"/>
    <s v="05-2023"/>
    <s v="Q2-2023"/>
    <d v="2023-01-13T00:00:00"/>
    <x v="0"/>
    <s v="Americas"/>
    <x v="6"/>
    <s v="New York"/>
    <s v="New York"/>
    <s v="Corporate"/>
    <s v="Marketplace"/>
    <s v="Marketplace"/>
    <s v="L. Okafor"/>
    <s v="L. Okafor"/>
    <s v="Phones"/>
    <s v="Low"/>
    <s v="PHN-5366"/>
    <s v="C"/>
    <n v="64.5"/>
    <n v="123.62"/>
    <n v="123.62"/>
    <n v="0"/>
    <n v="0"/>
    <s v="Low"/>
    <n v="3"/>
    <n v="370.86"/>
    <n v="193.5"/>
    <n v="177.36"/>
    <n v="0.47823976702798904"/>
  </r>
  <r>
    <s v="ORD-2024-960952"/>
    <d v="2024-02-03T00:00:00"/>
    <d v="2024-02-03T00:00:00"/>
    <d v="2024-02-21T00:00:00"/>
    <d v="2024-02-21T00:00:00"/>
    <n v="18"/>
    <s v="Not Met"/>
    <s v="02-2024"/>
    <s v="Q1-2024"/>
    <d v="2023-01-21T00:00:00"/>
    <x v="0"/>
    <s v="Europe"/>
    <x v="4"/>
    <s v="Frankfurt"/>
    <s v="Frankfurt"/>
    <s v="Corporate"/>
    <s v="Retail"/>
    <s v="Retail"/>
    <s v="H. Kim"/>
    <s v="H. Kim"/>
    <s v="Components"/>
    <s v="Low"/>
    <s v="CMP-9264"/>
    <s v="C"/>
    <n v="39.229999999999997"/>
    <n v="30.09"/>
    <n v="30.09"/>
    <n v="0.17699999999999999"/>
    <n v="0.17699999999999999"/>
    <s v="Low"/>
    <n v="13"/>
    <n v="321.93290999999999"/>
    <n v="509.98999999999995"/>
    <n v="188.05708999999996"/>
    <n v="0.58414993981199359"/>
  </r>
  <r>
    <s v="ORD-2023-373538"/>
    <d v="2023-02-28T00:00:00"/>
    <d v="2023-02-28T00:00:00"/>
    <d v="2023-03-25T00:00:00"/>
    <d v="2023-03-25T00:00:00"/>
    <n v="25"/>
    <s v="Not Met"/>
    <s v="02-2023"/>
    <s v="Q1-2023"/>
    <d v="2023-01-20T00:00:00"/>
    <x v="0"/>
    <s v="Africa"/>
    <x v="5"/>
    <s v="Nairobi"/>
    <s v="Nairobi"/>
    <s v="Corporate"/>
    <s v="Retail"/>
    <s v="Retail"/>
    <s v="I. Johnson"/>
    <s v="I. Johnson"/>
    <s v="Networking"/>
    <s v="Low"/>
    <s v="NET-9666"/>
    <s v="C"/>
    <n v="1460.76"/>
    <n v="-30.66"/>
    <n v="30.66"/>
    <n v="0.13100000000000001"/>
    <n v="0.13100000000000001"/>
    <s v="Low"/>
    <n v="12"/>
    <n v="319.72248000000002"/>
    <n v="17529.12"/>
    <n v="17209.397519999999"/>
    <n v="53.826047890032626"/>
  </r>
  <r>
    <s v="ORD-2025-639542"/>
    <d v="2025-06-09T00:00:00"/>
    <d v="2025-06-09T00:00:00"/>
    <d v="2025-06-18T00:00:00"/>
    <d v="2025-06-18T00:00:00"/>
    <n v="9"/>
    <s v="Not Met"/>
    <s v="06-2025"/>
    <s v="Q2-2025"/>
    <d v="2023-01-10T00:00:00"/>
    <x v="0"/>
    <s v="Europe"/>
    <x v="11"/>
    <s v="Marseille"/>
    <s v="Marseille"/>
    <s v="Small Business"/>
    <s v="Marketplace"/>
    <s v="Marketplace"/>
    <s v="H. Kim"/>
    <s v="H. Kim"/>
    <s v="Accessories"/>
    <s v="Low"/>
    <s v="ACC-1770"/>
    <s v="C"/>
    <n v="1225.5"/>
    <n v="-5.27"/>
    <n v="5.27"/>
    <n v="7.4999999999999997E-2"/>
    <n v="7.4999999999999997E-2"/>
    <s v="Low"/>
    <n v="56"/>
    <n v="272.98599999999999"/>
    <n v="68628"/>
    <n v="68355.013999999996"/>
    <n v="250.39750756449047"/>
  </r>
  <r>
    <s v="ORD-2025-728935"/>
    <d v="2025-02-28T00:00:00"/>
    <d v="2025-02-28T00:00:00"/>
    <d v="2025-03-10T00:00:00"/>
    <d v="2025-03-10T00:00:00"/>
    <n v="10"/>
    <s v="Not Met"/>
    <s v="02-2025"/>
    <s v="Q1-2025"/>
    <d v="2023-03-03T00:00:00"/>
    <x v="1"/>
    <s v="Asia"/>
    <x v="7"/>
    <s v="Osaka"/>
    <s v="Osaka"/>
    <s v="Education"/>
    <s v="Distributor"/>
    <s v="Distributor"/>
    <s v="N. Brown"/>
    <s v="N. Brown"/>
    <s v="Laptops"/>
    <s v="Low"/>
    <s v="LAP-3017"/>
    <s v="C"/>
    <n v="51.86"/>
    <n v="45.98"/>
    <n v="45.98"/>
    <n v="0.17299999999999999"/>
    <n v="0.17299999999999999"/>
    <s v="Low"/>
    <n v="7"/>
    <n v="266.17821999999995"/>
    <n v="363.02"/>
    <n v="96.841780000000028"/>
    <n v="0.3638230806412337"/>
  </r>
  <r>
    <s v="ORD-2023-235230"/>
    <d v="2023-08-30T00:00:00"/>
    <d v="2023-08-30T00:00:00"/>
    <d v="2023-09-01T00:00:00"/>
    <d v="2023-09-01T00:00:00"/>
    <n v="2"/>
    <s v="Met"/>
    <s v="08-2023"/>
    <s v="Q3-2023"/>
    <d v="2023-01-21T00:00:00"/>
    <x v="0"/>
    <s v="Europe"/>
    <x v="4"/>
    <s v="Munich"/>
    <s v="Munich"/>
    <s v="Corporate"/>
    <s v="Direct"/>
    <s v="Direct"/>
    <s v="N. Brown"/>
    <s v="N. Brown"/>
    <s v="Networking"/>
    <s v="Low"/>
    <s v="NET-9989"/>
    <s v="C"/>
    <n v="44.42"/>
    <n v="41.9"/>
    <n v="41.9"/>
    <n v="0.14399999999999999"/>
    <n v="0.14399999999999999"/>
    <s v="Low"/>
    <n v="6"/>
    <n v="215.19839999999996"/>
    <n v="266.52"/>
    <n v="51.321600000000018"/>
    <n v="0.23848504449847224"/>
  </r>
  <r>
    <s v="ORD-2025-262491"/>
    <d v="2025-08-01T00:00:00"/>
    <d v="2025-08-01T00:00:00"/>
    <d v="2025-08-16T00:00:00"/>
    <d v="2025-08-16T00:00:00"/>
    <n v="15"/>
    <s v="Not Met"/>
    <s v="08-2025"/>
    <s v="Q3-2025"/>
    <d v="2023-01-29T00:00:00"/>
    <x v="0"/>
    <s v="Asia"/>
    <x v="3"/>
    <m/>
    <s v="Delhi"/>
    <s v="Enterprise"/>
    <s v="Direct"/>
    <s v="Direct"/>
    <s v="O. Wang"/>
    <s v="O. Wang"/>
    <s v="Monitors"/>
    <s v="Low"/>
    <s v="MON-1822"/>
    <s v="C"/>
    <n v="24.44"/>
    <n v="28.69"/>
    <n v="28.69"/>
    <n v="0.14599999999999999"/>
    <n v="0.14599999999999999"/>
    <s v="Low"/>
    <n v="6"/>
    <n v="147.00756000000001"/>
    <n v="146.64000000000001"/>
    <n v="0.36755999999999744"/>
    <n v="2.5002795774584476E-3"/>
  </r>
  <r>
    <s v="ORD-2024-516704"/>
    <d v="2024-03-01T00:00:00"/>
    <d v="2024-02-29T00:00:00"/>
    <d v="2024-02-29T00:00:00"/>
    <d v="2024-03-01T00:00:00"/>
    <n v="1"/>
    <s v="Met"/>
    <s v="02-2024"/>
    <s v="Q1-2024"/>
    <d v="2023-01-29T00:00:00"/>
    <x v="0"/>
    <s v="Americas"/>
    <x v="9"/>
    <s v="São Paulo"/>
    <s v="São Paulo"/>
    <s v="Non-Profit"/>
    <s v="Direct"/>
    <s v="Direct"/>
    <s v="I. Johnson"/>
    <s v="I. Johnson"/>
    <s v="Phones"/>
    <s v="Low"/>
    <s v="PHN-7852"/>
    <s v="C"/>
    <n v="5.34"/>
    <n v="12.69"/>
    <n v="12.69"/>
    <n v="0.13200000000000001"/>
    <n v="0.13200000000000001"/>
    <s v="Low"/>
    <n v="10"/>
    <n v="110.14919999999999"/>
    <n v="53.4"/>
    <n v="56.749199999999995"/>
    <n v="0.51520301554618642"/>
  </r>
  <r>
    <s v="ORD-2023-286994"/>
    <d v="2023-02-24T00:00:00"/>
    <d v="2023-02-24T00:00:00"/>
    <d v="2023-03-09T00:00:00"/>
    <d v="2023-03-09T00:00:00"/>
    <n v="13"/>
    <s v="Not Met"/>
    <s v="02-2023"/>
    <s v="Q1-2023"/>
    <d v="2023-01-13T00:00:00"/>
    <x v="0"/>
    <s v="Americas"/>
    <x v="6"/>
    <s v="New York"/>
    <s v="New York"/>
    <s v="Enterprise"/>
    <s v="Online"/>
    <s v="Online"/>
    <s v="M. Rossi"/>
    <s v="M. Rossi"/>
    <s v="Components"/>
    <s v="Low"/>
    <s v="CMP-1632"/>
    <s v="C"/>
    <n v="6.85"/>
    <n v="10.18"/>
    <n v="10.18"/>
    <n v="4.7E-2"/>
    <n v="4.7E-2"/>
    <s v="Low"/>
    <n v="10"/>
    <n v="97.0154"/>
    <n v="68.5"/>
    <n v="28.5154"/>
    <n v="0.2939265312517394"/>
  </r>
  <r>
    <s v="ORD-2025-541048"/>
    <d v="2025-04-04T00:00:00"/>
    <d v="2025-04-04T00:00:00"/>
    <d v="2025-04-13T00:00:00"/>
    <d v="2025-04-13T00:00:00"/>
    <n v="9"/>
    <s v="Not Met"/>
    <s v="04-2025"/>
    <s v="Q2-2025"/>
    <d v="2023-01-21T00:00:00"/>
    <x v="0"/>
    <s v="Europe"/>
    <x v="4"/>
    <s v="Munich"/>
    <s v="Munich"/>
    <s v="Consumer"/>
    <s v="Marketplace"/>
    <s v="Marketplace"/>
    <s v="F. Müller"/>
    <s v="F. Müller"/>
    <s v="Phones"/>
    <s v="Low"/>
    <s v="PHN-3803"/>
    <s v="C"/>
    <n v="7.02"/>
    <n v="6.28"/>
    <n v="6.28"/>
    <n v="0.13400000000000001"/>
    <n v="0.13400000000000001"/>
    <s v="Low"/>
    <n v="14"/>
    <n v="76.138720000000006"/>
    <n v="98.28"/>
    <n v="22.141279999999995"/>
    <n v="0.29080184169106066"/>
  </r>
  <r>
    <s v="ORD-2024-207096"/>
    <d v="2024-03-26T00:00:00"/>
    <d v="2024-03-26T00:00:00"/>
    <d v="2024-04-05T00:00:00"/>
    <d v="2024-04-05T00:00:00"/>
    <n v="10"/>
    <s v="Not Met"/>
    <s v="03-2024"/>
    <s v="Q1-2024"/>
    <d v="2023-01-13T00:00:00"/>
    <x v="0"/>
    <s v="Americas"/>
    <x v="6"/>
    <s v="Austin"/>
    <s v="Austin"/>
    <s v="Consumer"/>
    <s v="Direct"/>
    <s v="Direct"/>
    <s v="J. Njeri"/>
    <s v="J. Njeri"/>
    <s v="Monitors"/>
    <s v="Low"/>
    <s v="MON-5444"/>
    <s v="C"/>
    <n v="5.66"/>
    <n v="4.22"/>
    <n v="4.22"/>
    <n v="0.11899999999999999"/>
    <n v="0.11899999999999999"/>
    <s v="Low"/>
    <n v="18"/>
    <n v="66.920760000000001"/>
    <n v="101.88"/>
    <n v="34.959239999999994"/>
    <n v="0.52239753403876454"/>
  </r>
  <r>
    <s v="ORD-2024-919471"/>
    <d v="2024-06-29T00:00:00"/>
    <d v="2024-06-29T00:00:00"/>
    <d v="2024-07-26T00:00:00"/>
    <d v="2024-07-26T00:00:00"/>
    <n v="27"/>
    <s v="Not Met"/>
    <s v="06-2024"/>
    <s v="Q2-2024"/>
    <d v="2023-01-07T00:00:00"/>
    <x v="0"/>
    <s v="Africa"/>
    <x v="8"/>
    <s v="Durban"/>
    <s v="Durban"/>
    <s v="Enterprise"/>
    <s v="Distributor"/>
    <s v="Distributor"/>
    <s v="B. Chen"/>
    <s v="B. Chen"/>
    <s v="Networking"/>
    <s v="Low"/>
    <s v="NET-4241"/>
    <s v="C"/>
    <n v="5.36"/>
    <n v="4.37"/>
    <n v="4.37"/>
    <n v="0.11799999999999999"/>
    <n v="0.11799999999999999"/>
    <s v="Low"/>
    <n v="9"/>
    <n v="34.689059999999998"/>
    <n v="48.24"/>
    <n v="13.550940000000004"/>
    <n v="0.390640161480305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
  <r>
    <s v="ORD-2025-132174"/>
    <d v="2025-07-17T00:00:00"/>
    <x v="0"/>
    <d v="2025-07-23T00:00:00"/>
    <d v="2025-07-23T00:00:00"/>
    <n v="6"/>
    <n v="1"/>
    <x v="0"/>
    <s v="Q3-2025"/>
    <d v="2023-01-02T00:00:00"/>
    <s v="01-2023"/>
    <x v="0"/>
    <x v="0"/>
    <s v="Vancouver"/>
    <s v="Vancouver"/>
    <s v="Consumer"/>
    <s v="Online"/>
    <x v="0"/>
    <x v="0"/>
    <x v="0"/>
    <x v="0"/>
    <s v="High"/>
    <x v="0"/>
    <x v="0"/>
    <n v="1364.89"/>
    <n v="2757.54"/>
    <n v="2757.54"/>
    <n v="0.17199999999999999"/>
    <n v="0.17199999999999999"/>
    <x v="0"/>
    <n v="61"/>
    <n v="139277.83032000001"/>
    <n v="83258.290000000008"/>
    <n v="56019.54032"/>
    <n v="0.4022143379983118"/>
    <n v="139277.82999999999"/>
    <n v="1.2724354390450722E-2"/>
  </r>
  <r>
    <s v="ORD-2024-548345"/>
    <d v="2024-05-14T00:00:00"/>
    <x v="1"/>
    <d v="2024-05-28T00:00:00"/>
    <d v="2024-05-28T00:00:00"/>
    <n v="14"/>
    <n v="0"/>
    <x v="1"/>
    <s v="Q2-2024"/>
    <d v="2023-01-19T00:00:00"/>
    <s v="01-2023"/>
    <x v="1"/>
    <x v="1"/>
    <s v="Birmingham"/>
    <s v="Birmingham"/>
    <s v="Consumer"/>
    <s v="Retail"/>
    <x v="1"/>
    <x v="1"/>
    <x v="1"/>
    <x v="1"/>
    <s v="High"/>
    <x v="1"/>
    <x v="0"/>
    <n v="1421.14"/>
    <n v="3524"/>
    <n v="3524"/>
    <n v="0"/>
    <n v="0"/>
    <x v="0"/>
    <n v="31"/>
    <n v="109244"/>
    <n v="44055.340000000004"/>
    <n v="65188.659999999996"/>
    <n v="0.59672531214528945"/>
    <n v="248521.83"/>
    <n v="2.270483276974769E-2"/>
  </r>
  <r>
    <s v="ORD-2025-650841"/>
    <d v="2025-07-03T00:00:00"/>
    <x v="2"/>
    <d v="2025-07-06T00:00:00"/>
    <d v="2025-07-06T00:00:00"/>
    <n v="3"/>
    <n v="1"/>
    <x v="0"/>
    <s v="Q3-2025"/>
    <d v="2023-01-13T00:00:00"/>
    <s v="01-2023"/>
    <x v="2"/>
    <x v="2"/>
    <s v="Lagos"/>
    <s v="Lagos"/>
    <s v="Consumer"/>
    <s v="Online"/>
    <x v="0"/>
    <x v="2"/>
    <x v="2"/>
    <x v="2"/>
    <s v="High"/>
    <x v="2"/>
    <x v="0"/>
    <n v="1313.3"/>
    <n v="2884.34"/>
    <n v="2884.34"/>
    <n v="0.157"/>
    <n v="0.157"/>
    <x v="0"/>
    <n v="42"/>
    <n v="102122.94203999999"/>
    <n v="55158.6"/>
    <n v="46964.342039999996"/>
    <n v="0.45988042551305253"/>
    <n v="350644.77203999995"/>
    <n v="3.2034734778649022E-2"/>
  </r>
  <r>
    <s v="ORD-2025-845715"/>
    <d v="2025-04-14T00:00:00"/>
    <x v="3"/>
    <d v="2025-05-04T00:00:00"/>
    <d v="2025-05-04T00:00:00"/>
    <n v="20"/>
    <n v="0"/>
    <x v="2"/>
    <s v="Q2-2025"/>
    <d v="2023-01-19T00:00:00"/>
    <s v="01-2023"/>
    <x v="1"/>
    <x v="1"/>
    <s v="Birmingham"/>
    <s v="Birmingham"/>
    <s v="Enterprise"/>
    <s v="Marketplace"/>
    <x v="2"/>
    <x v="3"/>
    <x v="3"/>
    <x v="3"/>
    <s v="High"/>
    <x v="3"/>
    <x v="0"/>
    <n v="1413.87"/>
    <n v="3275"/>
    <n v="3275"/>
    <n v="0.255"/>
    <n v="0.255"/>
    <x v="1"/>
    <n v="38"/>
    <n v="92715.25"/>
    <n v="53727.06"/>
    <n v="38988.19"/>
    <n v="0.42051539525590453"/>
    <n v="443360.02203999995"/>
    <n v="4.0505154646615346E-2"/>
  </r>
  <r>
    <s v="ORD-2023-906481"/>
    <d v="2023-05-02T00:00:00"/>
    <x v="4"/>
    <d v="2023-05-18T00:00:00"/>
    <d v="2023-05-18T00:00:00"/>
    <n v="16"/>
    <n v="0"/>
    <x v="3"/>
    <s v="Q2-2023"/>
    <d v="2023-01-29T00:00:00"/>
    <s v="01-2023"/>
    <x v="3"/>
    <x v="3"/>
    <s v="Delhi"/>
    <s v="Delhi"/>
    <s v="Small Business"/>
    <s v="Marketplace"/>
    <x v="2"/>
    <x v="3"/>
    <x v="3"/>
    <x v="3"/>
    <s v="High"/>
    <x v="4"/>
    <x v="0"/>
    <n v="1463.92"/>
    <n v="2252.2399999999998"/>
    <n v="2252.2399999999998"/>
    <n v="0.11799999999999999"/>
    <n v="0.11799999999999999"/>
    <x v="0"/>
    <n v="44"/>
    <n v="87404.929919999995"/>
    <n v="64412.480000000003"/>
    <n v="22992.449919999992"/>
    <n v="0.26305667130040061"/>
    <n v="530764.95195999998"/>
    <n v="4.8490426270782601E-2"/>
  </r>
  <r>
    <s v="ORD-2023-884625"/>
    <d v="2023-02-19T00:00:00"/>
    <x v="5"/>
    <d v="2023-03-12T00:00:00"/>
    <d v="2023-03-12T00:00:00"/>
    <n v="21"/>
    <n v="0"/>
    <x v="4"/>
    <s v="Q1-2023"/>
    <d v="2023-01-21T00:00:00"/>
    <s v="01-2023"/>
    <x v="1"/>
    <x v="4"/>
    <s v="Berlin"/>
    <s v="Berlin"/>
    <s v="Small Business"/>
    <s v="Direct"/>
    <x v="3"/>
    <x v="4"/>
    <x v="4"/>
    <x v="3"/>
    <s v="High"/>
    <x v="5"/>
    <x v="0"/>
    <n v="1234.81"/>
    <n v="2055.2399999999998"/>
    <n v="2055.2399999999998"/>
    <n v="5.2999999999999999E-2"/>
    <n v="5.2999999999999999E-2"/>
    <x v="0"/>
    <n v="44"/>
    <n v="85637.740319999997"/>
    <n v="54331.64"/>
    <n v="31306.100319999998"/>
    <n v="0.36556429680441616"/>
    <n v="616402.69227999996"/>
    <n v="5.6314248317902882E-2"/>
  </r>
  <r>
    <s v="ORD-2024-508213"/>
    <d v="2024-11-22T00:00:00"/>
    <x v="6"/>
    <d v="2024-12-15T00:00:00"/>
    <d v="2024-12-15T00:00:00"/>
    <n v="23"/>
    <n v="0"/>
    <x v="5"/>
    <s v="Q4-2024"/>
    <d v="2023-01-20T00:00:00"/>
    <s v="01-2023"/>
    <x v="2"/>
    <x v="5"/>
    <s v="Mombasa"/>
    <s v="Mombasa"/>
    <s v="Non-Profit"/>
    <s v="Distributor"/>
    <x v="4"/>
    <x v="5"/>
    <x v="5"/>
    <x v="0"/>
    <s v="High"/>
    <x v="6"/>
    <x v="0"/>
    <n v="1335.76"/>
    <n v="2665.91"/>
    <n v="2665.91"/>
    <n v="0.21099999999999999"/>
    <n v="0.21099999999999999"/>
    <x v="1"/>
    <n v="40"/>
    <n v="84136.119600000005"/>
    <n v="53430.400000000001"/>
    <n v="30705.719600000004"/>
    <n v="0.36495288522909253"/>
    <n v="700538.81187999994"/>
    <n v="6.4000883030891631E-2"/>
  </r>
  <r>
    <s v="ORD-2023-159821"/>
    <d v="2023-07-01T00:00:00"/>
    <x v="7"/>
    <d v="2023-07-08T00:00:00"/>
    <d v="2023-07-08T00:00:00"/>
    <n v="7"/>
    <n v="1"/>
    <x v="6"/>
    <s v="Q3-2023"/>
    <d v="2023-01-13T00:00:00"/>
    <s v="01-2023"/>
    <x v="2"/>
    <x v="2"/>
    <s v="Port Harcourt"/>
    <s v="Port Harcourt"/>
    <s v="Corporate"/>
    <s v="Retail"/>
    <x v="1"/>
    <x v="6"/>
    <x v="2"/>
    <x v="2"/>
    <s v="High"/>
    <x v="7"/>
    <x v="0"/>
    <n v="834.26"/>
    <n v="1780.56"/>
    <n v="1780.56"/>
    <n v="1.4E-2"/>
    <n v="1.4E-2"/>
    <x v="0"/>
    <n v="47"/>
    <n v="82514.711519999997"/>
    <n v="39210.22"/>
    <n v="43304.491519999996"/>
    <n v="0.5248093427497933"/>
    <n v="783053.52339999995"/>
    <n v="7.1539386695159579E-2"/>
  </r>
  <r>
    <s v="ORD-2024-341535"/>
    <d v="2024-06-25T00:00:00"/>
    <x v="8"/>
    <d v="2024-06-30T00:00:00"/>
    <d v="2024-06-30T00:00:00"/>
    <n v="5"/>
    <n v="1"/>
    <x v="7"/>
    <s v="Q2-2024"/>
    <d v="2023-01-20T00:00:00"/>
    <s v="01-2023"/>
    <x v="2"/>
    <x v="5"/>
    <s v="Kisumu"/>
    <s v="Kisumu"/>
    <s v="Education"/>
    <s v="Direct"/>
    <x v="3"/>
    <x v="7"/>
    <x v="6"/>
    <x v="1"/>
    <s v="High"/>
    <x v="8"/>
    <x v="0"/>
    <n v="1323.55"/>
    <n v="3230.35"/>
    <n v="3230.35"/>
    <n v="2.1999999999999999E-2"/>
    <n v="2.1999999999999999E-2"/>
    <x v="0"/>
    <n v="26"/>
    <n v="82141.339799999987"/>
    <n v="34412.299999999996"/>
    <n v="47729.039799999991"/>
    <n v="0.58105991351263542"/>
    <n v="865194.86319999991"/>
    <n v="7.9043779301805117E-2"/>
  </r>
  <r>
    <s v="ORD-2024-948800"/>
    <d v="2024-03-27T00:00:00"/>
    <x v="9"/>
    <d v="2024-04-11T00:00:00"/>
    <d v="2024-04-11T00:00:00"/>
    <n v="15"/>
    <n v="0"/>
    <x v="8"/>
    <s v="Q1-2024"/>
    <d v="2023-01-13T00:00:00"/>
    <s v="01-2023"/>
    <x v="0"/>
    <x v="6"/>
    <s v="San Francisco"/>
    <s v="San Francisco"/>
    <s v="Small Business"/>
    <s v="Direct"/>
    <x v="3"/>
    <x v="8"/>
    <x v="7"/>
    <x v="1"/>
    <s v="High"/>
    <x v="9"/>
    <x v="0"/>
    <n v="1338.35"/>
    <n v="2247.14"/>
    <n v="2247.14"/>
    <n v="0.115"/>
    <n v="0.115"/>
    <x v="0"/>
    <n v="40"/>
    <n v="79548.755999999994"/>
    <n v="53534"/>
    <n v="26014.755999999994"/>
    <n v="0.32702907384246205"/>
    <n v="944743.61919999984"/>
    <n v="8.6311314721214602E-2"/>
  </r>
  <r>
    <s v="ORD-2024-901115"/>
    <d v="2024-07-25T00:00:00"/>
    <x v="10"/>
    <d v="2024-08-02T00:00:00"/>
    <d v="2024-08-02T00:00:00"/>
    <n v="8"/>
    <n v="0"/>
    <x v="9"/>
    <s v="Q3-2024"/>
    <d v="2023-01-02T00:00:00"/>
    <s v="01-2023"/>
    <x v="0"/>
    <x v="0"/>
    <s v="Montreal"/>
    <s v="Montreal"/>
    <s v="Consumer"/>
    <s v="Direct"/>
    <x v="3"/>
    <x v="9"/>
    <x v="8"/>
    <x v="4"/>
    <s v="High"/>
    <x v="10"/>
    <x v="0"/>
    <n v="986.81"/>
    <n v="2050.31"/>
    <n v="2050.31"/>
    <n v="0.10299999999999999"/>
    <n v="0.10299999999999999"/>
    <x v="0"/>
    <n v="43"/>
    <n v="79082.507010000001"/>
    <n v="42432.829999999994"/>
    <n v="36649.677010000007"/>
    <n v="0.46343595310358138"/>
    <n v="1023826.1262099999"/>
    <n v="9.3536253861065816E-2"/>
  </r>
  <r>
    <s v="ORD-2024-247979"/>
    <d v="2024-11-02T00:00:00"/>
    <x v="11"/>
    <d v="2024-11-18T00:00:00"/>
    <d v="2024-11-18T00:00:00"/>
    <n v="16"/>
    <n v="0"/>
    <x v="5"/>
    <s v="Q4-2024"/>
    <d v="2023-01-29T00:00:00"/>
    <s v="01-2023"/>
    <x v="3"/>
    <x v="3"/>
    <s v="Mumbai"/>
    <s v="Mumbai"/>
    <s v="Small Business"/>
    <s v="Distributor"/>
    <x v="4"/>
    <x v="8"/>
    <x v="7"/>
    <x v="3"/>
    <s v="High"/>
    <x v="11"/>
    <x v="0"/>
    <n v="1233.58"/>
    <n v="1912.51"/>
    <n v="1912.51"/>
    <n v="0.255"/>
    <n v="0.255"/>
    <x v="1"/>
    <n v="51"/>
    <n v="72665.817450000002"/>
    <n v="62912.579999999994"/>
    <n v="9753.2374500000078"/>
    <n v="0.134220432553601"/>
    <n v="1096491.9436599999"/>
    <n v="0.10017496738284884"/>
  </r>
  <r>
    <s v="ORD-2024-572312"/>
    <d v="2024-06-16T00:00:00"/>
    <x v="12"/>
    <d v="2024-06-21T00:00:00"/>
    <d v="2024-06-21T00:00:00"/>
    <n v="5"/>
    <n v="1"/>
    <x v="7"/>
    <s v="Q2-2024"/>
    <d v="2023-03-03T00:00:00"/>
    <s v="03-2023"/>
    <x v="3"/>
    <x v="7"/>
    <s v="Tokyo"/>
    <s v="Tokyo"/>
    <s v="Small Business"/>
    <s v="Distributor"/>
    <x v="4"/>
    <x v="10"/>
    <x v="9"/>
    <x v="5"/>
    <s v="High"/>
    <x v="12"/>
    <x v="0"/>
    <n v="1367.13"/>
    <n v="3062.01"/>
    <n v="3062.01"/>
    <n v="0.10299999999999999"/>
    <n v="0.10299999999999999"/>
    <x v="0"/>
    <n v="25"/>
    <n v="68665.574250000005"/>
    <n v="34178.25"/>
    <n v="34487.324250000005"/>
    <n v="0.50225057645971705"/>
    <n v="1165157.5179099999"/>
    <n v="0.10644822064347768"/>
  </r>
  <r>
    <s v="ORD-2025-678688"/>
    <d v="2025-07-16T00:00:00"/>
    <x v="13"/>
    <d v="2025-07-17T00:00:00"/>
    <d v="2025-07-17T00:00:00"/>
    <n v="1"/>
    <n v="1"/>
    <x v="0"/>
    <s v="Q3-2025"/>
    <d v="2023-01-07T00:00:00"/>
    <s v="01-2023"/>
    <x v="2"/>
    <x v="8"/>
    <s v="Durban"/>
    <s v="Durban"/>
    <s v="Small Business"/>
    <s v="Distributor"/>
    <x v="4"/>
    <x v="1"/>
    <x v="1"/>
    <x v="1"/>
    <s v="High"/>
    <x v="13"/>
    <x v="0"/>
    <n v="1198.9000000000001"/>
    <n v="2941.2"/>
    <n v="2941.2"/>
    <n v="5.0999999999999997E-2"/>
    <n v="5.0999999999999997E-2"/>
    <x v="0"/>
    <n v="24"/>
    <n v="66988.771199999988"/>
    <n v="28773.600000000002"/>
    <n v="38215.171199999982"/>
    <n v="0.57047129713583977"/>
    <n v="1232146.28911"/>
    <n v="0.11256828199803511"/>
  </r>
  <r>
    <s v="ORD-2023-974506"/>
    <d v="2023-12-28T00:00:00"/>
    <x v="14"/>
    <d v="2024-01-01T00:00:00"/>
    <d v="2024-01-01T00:00:00"/>
    <n v="4"/>
    <n v="1"/>
    <x v="10"/>
    <s v="Q4-2023"/>
    <d v="2023-01-07T00:00:00"/>
    <s v="01-2023"/>
    <x v="2"/>
    <x v="8"/>
    <s v="Cape Town"/>
    <s v="Cape Town"/>
    <s v="Education"/>
    <s v="Distributor"/>
    <x v="4"/>
    <x v="6"/>
    <x v="2"/>
    <x v="6"/>
    <s v="High"/>
    <x v="14"/>
    <x v="0"/>
    <n v="1141.8"/>
    <n v="2318.7399999999998"/>
    <n v="2318.7399999999998"/>
    <n v="0.107"/>
    <n v="0.107"/>
    <x v="0"/>
    <n v="32"/>
    <n v="66260.314239999992"/>
    <n v="36537.599999999999"/>
    <n v="29722.714239999994"/>
    <n v="0.44857490612468304"/>
    <n v="1298406.60335"/>
    <n v="0.11862179188121169"/>
  </r>
  <r>
    <s v="ORD-2024-474999"/>
    <d v="2024-12-27T00:00:00"/>
    <x v="15"/>
    <d v="2025-01-02T00:00:00"/>
    <d v="2025-01-02T00:00:00"/>
    <n v="6"/>
    <n v="1"/>
    <x v="11"/>
    <s v="Q4-2024"/>
    <d v="2023-01-21T00:00:00"/>
    <s v="01-2023"/>
    <x v="1"/>
    <x v="4"/>
    <s v="Frankfurt"/>
    <s v="Frankfurt"/>
    <s v="Education"/>
    <s v="Direct"/>
    <x v="3"/>
    <x v="10"/>
    <x v="9"/>
    <x v="2"/>
    <s v="High"/>
    <x v="15"/>
    <x v="0"/>
    <n v="1391.99"/>
    <n v="3469.7"/>
    <n v="3469.7"/>
    <n v="0.184"/>
    <n v="0.184"/>
    <x v="0"/>
    <n v="23"/>
    <n v="65119.329599999997"/>
    <n v="32015.77"/>
    <n v="33103.559599999993"/>
    <n v="0.50835227886006973"/>
    <n v="1363525.93295"/>
    <n v="0.12457106196604119"/>
  </r>
  <r>
    <s v="ORD-2024-584090"/>
    <d v="2024-06-07T00:00:00"/>
    <x v="16"/>
    <d v="2024-06-26T00:00:00"/>
    <d v="2024-06-26T00:00:00"/>
    <n v="19"/>
    <n v="0"/>
    <x v="7"/>
    <s v="Q2-2024"/>
    <d v="2023-01-21T00:00:00"/>
    <s v="01-2023"/>
    <x v="1"/>
    <x v="4"/>
    <s v="Berlin"/>
    <s v="Berlin"/>
    <s v="Non-Profit"/>
    <s v="Marketplace"/>
    <x v="2"/>
    <x v="7"/>
    <x v="6"/>
    <x v="0"/>
    <s v="High"/>
    <x v="16"/>
    <x v="0"/>
    <n v="1064.32"/>
    <n v="1848.39"/>
    <n v="1848.39"/>
    <n v="7.2999999999999995E-2"/>
    <n v="7.2999999999999995E-2"/>
    <x v="0"/>
    <n v="38"/>
    <n v="65111.38614000001"/>
    <n v="40444.159999999996"/>
    <n v="24667.226140000013"/>
    <n v="0.3788465827921631"/>
    <n v="1428637.3190900001"/>
    <n v="0.13051960634025239"/>
  </r>
  <r>
    <s v="ORD-2023-472050"/>
    <d v="2023-05-10T00:00:00"/>
    <x v="17"/>
    <d v="2023-05-27T00:00:00"/>
    <d v="2023-05-27T00:00:00"/>
    <n v="17"/>
    <n v="0"/>
    <x v="3"/>
    <s v="Q2-2023"/>
    <d v="2023-01-29T00:00:00"/>
    <s v="01-2023"/>
    <x v="3"/>
    <x v="3"/>
    <s v="Mumbai"/>
    <s v="Mumbai"/>
    <s v="Consumer"/>
    <s v="Retail"/>
    <x v="1"/>
    <x v="7"/>
    <x v="6"/>
    <x v="2"/>
    <s v="High"/>
    <x v="17"/>
    <x v="0"/>
    <n v="1286.1600000000001"/>
    <n v="3101.11"/>
    <n v="3101.11"/>
    <n v="0.1"/>
    <n v="0.1"/>
    <x v="0"/>
    <n v="23"/>
    <n v="64192.976999999999"/>
    <n v="29581.68"/>
    <n v="34611.296999999999"/>
    <n v="0.53917575749758417"/>
    <n v="1492830.2960900001"/>
    <n v="0.13638424530487475"/>
  </r>
  <r>
    <s v="ORD-2025-997421"/>
    <d v="2025-05-21T00:00:00"/>
    <x v="18"/>
    <d v="2025-06-09T00:00:00"/>
    <d v="2025-06-09T00:00:00"/>
    <n v="19"/>
    <n v="0"/>
    <x v="12"/>
    <s v="Q2-2025"/>
    <d v="2023-01-29T00:00:00"/>
    <s v="01-2023"/>
    <x v="0"/>
    <x v="9"/>
    <s v="São Paulo"/>
    <s v="São Paulo"/>
    <s v="Non-Profit"/>
    <s v="Online"/>
    <x v="0"/>
    <x v="6"/>
    <x v="2"/>
    <x v="0"/>
    <s v="High"/>
    <x v="18"/>
    <x v="0"/>
    <n v="1331.38"/>
    <n v="2309.56"/>
    <n v="2309.56"/>
    <n v="0.14899999999999999"/>
    <n v="0.14899999999999999"/>
    <x v="0"/>
    <n v="31"/>
    <n v="60928.502359999999"/>
    <n v="41272.780000000006"/>
    <n v="19655.722359999992"/>
    <n v="0.32260307735553528"/>
    <n v="1553758.7984500001"/>
    <n v="0.14195064346392172"/>
  </r>
  <r>
    <s v="ORD-2023-159379"/>
    <d v="2023-02-08T00:00:00"/>
    <x v="19"/>
    <d v="2023-02-11T00:00:00"/>
    <d v="2023-02-11T00:00:00"/>
    <n v="3"/>
    <n v="1"/>
    <x v="4"/>
    <s v="Q1-2023"/>
    <d v="2023-01-07T00:00:00"/>
    <s v="01-2023"/>
    <x v="2"/>
    <x v="8"/>
    <s v="Cape Town"/>
    <s v="Cape Town"/>
    <s v="Corporate"/>
    <s v="Direct"/>
    <x v="3"/>
    <x v="7"/>
    <x v="6"/>
    <x v="1"/>
    <s v="High"/>
    <x v="19"/>
    <x v="0"/>
    <n v="1410.05"/>
    <n v="2763.95"/>
    <n v="2763.95"/>
    <n v="0.161"/>
    <n v="0.161"/>
    <x v="0"/>
    <n v="26"/>
    <n v="60292.805299999993"/>
    <n v="36661.299999999996"/>
    <n v="23631.505299999997"/>
    <n v="0.39194569206750779"/>
    <n v="1614051.60375"/>
    <n v="0.14745896465065791"/>
  </r>
  <r>
    <s v="ORD-2024-713332"/>
    <d v="2024-06-05T00:00:00"/>
    <x v="20"/>
    <d v="2024-06-23T00:00:00"/>
    <d v="2024-06-23T00:00:00"/>
    <n v="18"/>
    <n v="0"/>
    <x v="7"/>
    <s v="Q2-2024"/>
    <d v="2023-01-20T00:00:00"/>
    <s v="01-2023"/>
    <x v="2"/>
    <x v="5"/>
    <s v="Nairobi"/>
    <s v="Nairobi"/>
    <s v="Consumer"/>
    <s v="Distributor"/>
    <x v="4"/>
    <x v="11"/>
    <x v="10"/>
    <x v="2"/>
    <s v="Medium"/>
    <x v="20"/>
    <x v="0"/>
    <n v="1208.74"/>
    <n v="1594.78"/>
    <n v="1594.78"/>
    <n v="5.8999999999999997E-2"/>
    <n v="5.8999999999999997E-2"/>
    <x v="0"/>
    <n v="39"/>
    <n v="58526.83122"/>
    <n v="47140.86"/>
    <n v="11385.971219999999"/>
    <n v="0.1945427589817838"/>
    <n v="1672578.4349700001"/>
    <n v="0.15280594730965955"/>
  </r>
  <r>
    <s v="ORD-2024-468655"/>
    <d v="2024-02-19T00:00:00"/>
    <x v="21"/>
    <d v="2024-03-06T00:00:00"/>
    <d v="2024-03-06T00:00:00"/>
    <n v="16"/>
    <n v="0"/>
    <x v="13"/>
    <s v="Q1-2024"/>
    <d v="2023-01-12T00:00:00"/>
    <s v="01-2023"/>
    <x v="3"/>
    <x v="10"/>
    <s v="Beijing"/>
    <s v="Beijing"/>
    <s v="Education"/>
    <s v="Marketplace"/>
    <x v="2"/>
    <x v="8"/>
    <x v="7"/>
    <x v="6"/>
    <s v="High"/>
    <x v="21"/>
    <x v="0"/>
    <n v="1477.84"/>
    <n v="3197.47"/>
    <n v="3197.47"/>
    <n v="0.24299999999999999"/>
    <n v="0.24299999999999999"/>
    <x v="1"/>
    <n v="24"/>
    <n v="58091.634960000003"/>
    <n v="35468.159999999996"/>
    <n v="22623.474960000007"/>
    <n v="0.38944462443823091"/>
    <n v="1730670.06993"/>
    <n v="0.15811317065131941"/>
  </r>
  <r>
    <s v="ORD-2024-651852"/>
    <d v="2024-12-28T00:00:00"/>
    <x v="22"/>
    <d v="2025-01-08T00:00:00"/>
    <d v="2025-01-08T00:00:00"/>
    <n v="11"/>
    <n v="0"/>
    <x v="11"/>
    <s v="Q4-2024"/>
    <d v="2023-01-12T00:00:00"/>
    <s v="01-2023"/>
    <x v="3"/>
    <x v="10"/>
    <s v="Shenzhen"/>
    <s v="Shenzhen"/>
    <s v="Enterprise"/>
    <s v="Online"/>
    <x v="0"/>
    <x v="3"/>
    <x v="3"/>
    <x v="2"/>
    <s v="High"/>
    <x v="22"/>
    <x v="0"/>
    <n v="1201.31"/>
    <n v="2764.65"/>
    <n v="2764.65"/>
    <n v="0"/>
    <n v="0"/>
    <x v="0"/>
    <n v="21"/>
    <n v="58057.65"/>
    <n v="25227.51"/>
    <n v="32830.14"/>
    <n v="0.56547483406579491"/>
    <n v="1788727.7199299999"/>
    <n v="0.16341728914366491"/>
  </r>
  <r>
    <s v="ORD-2025-677880"/>
    <d v="2025-08-21T00:00:00"/>
    <x v="23"/>
    <d v="2025-09-14T00:00:00"/>
    <d v="2025-09-14T00:00:00"/>
    <n v="24"/>
    <n v="0"/>
    <x v="14"/>
    <s v="Q3-2025"/>
    <d v="2023-01-21T00:00:00"/>
    <s v="01-2023"/>
    <x v="1"/>
    <x v="4"/>
    <s v="Berlin"/>
    <s v="Berlin"/>
    <s v="Non-Profit"/>
    <s v="Online"/>
    <x v="0"/>
    <x v="6"/>
    <x v="2"/>
    <x v="3"/>
    <s v="High"/>
    <x v="23"/>
    <x v="0"/>
    <n v="1397.67"/>
    <n v="3131.37"/>
    <n v="3131.37"/>
    <n v="0.10299999999999999"/>
    <n v="0.10299999999999999"/>
    <x v="0"/>
    <n v="20"/>
    <n v="56176.777799999996"/>
    <n v="27953.4"/>
    <n v="28223.377799999995"/>
    <n v="0.50240293062874808"/>
    <n v="1844904.4977299999"/>
    <n v="0.16854957207226026"/>
  </r>
  <r>
    <s v="ORD-2023-701153"/>
    <d v="2023-04-14T00:00:00"/>
    <x v="24"/>
    <d v="2023-05-13T00:00:00"/>
    <d v="2023-05-13T00:00:00"/>
    <n v="29"/>
    <n v="0"/>
    <x v="15"/>
    <s v="Q2-2023"/>
    <d v="2023-01-21T00:00:00"/>
    <s v="01-2023"/>
    <x v="1"/>
    <x v="4"/>
    <s v="Frankfurt"/>
    <s v="Frankfurt"/>
    <s v="Consumer"/>
    <s v="Direct"/>
    <x v="3"/>
    <x v="9"/>
    <x v="8"/>
    <x v="6"/>
    <s v="High"/>
    <x v="24"/>
    <x v="0"/>
    <n v="1320.33"/>
    <n v="2645.23"/>
    <n v="2645.23"/>
    <n v="0.155"/>
    <n v="0.155"/>
    <x v="0"/>
    <n v="25"/>
    <n v="55880.483749999999"/>
    <n v="33008.25"/>
    <n v="22872.233749999999"/>
    <n v="0.40930629470436536"/>
    <n v="1900784.9814799998"/>
    <n v="0.17365478572144491"/>
  </r>
  <r>
    <s v="ORD-2023-835010"/>
    <d v="2023-03-23T00:00:00"/>
    <x v="25"/>
    <d v="2023-04-15T00:00:00"/>
    <d v="2023-04-15T00:00:00"/>
    <n v="23"/>
    <n v="0"/>
    <x v="16"/>
    <s v="Q1-2023"/>
    <d v="2023-01-20T00:00:00"/>
    <s v="01-2023"/>
    <x v="2"/>
    <x v="5"/>
    <s v="Mombasa"/>
    <s v="Mombasa"/>
    <s v="Small Business"/>
    <s v="Retail"/>
    <x v="1"/>
    <x v="5"/>
    <x v="5"/>
    <x v="4"/>
    <s v="Medium"/>
    <x v="25"/>
    <x v="0"/>
    <n v="875.36"/>
    <n v="1178.6199999999999"/>
    <n v="1178.6199999999999"/>
    <n v="0.151"/>
    <n v="0.151"/>
    <x v="0"/>
    <n v="53"/>
    <n v="53034.364139999991"/>
    <n v="46394.080000000002"/>
    <n v="6640.2841399999888"/>
    <n v="0.12520719815685888"/>
    <n v="1953819.3456199998"/>
    <n v="0.17849997927586467"/>
  </r>
  <r>
    <s v="ORD-2025-328504"/>
    <d v="2025-01-27T00:00:00"/>
    <x v="26"/>
    <d v="2025-02-15T00:00:00"/>
    <d v="2025-02-15T00:00:00"/>
    <n v="19"/>
    <n v="0"/>
    <x v="17"/>
    <s v="Q1-2025"/>
    <d v="2023-01-12T00:00:00"/>
    <s v="01-2023"/>
    <x v="3"/>
    <x v="10"/>
    <s v="Shenzhen"/>
    <s v="Shenzhen"/>
    <s v="Non-Profit"/>
    <s v="Direct"/>
    <x v="3"/>
    <x v="4"/>
    <x v="4"/>
    <x v="5"/>
    <s v="High"/>
    <x v="26"/>
    <x v="0"/>
    <n v="1253.22"/>
    <n v="3104.71"/>
    <n v="3104.71"/>
    <n v="0"/>
    <n v="0"/>
    <x v="0"/>
    <n v="17"/>
    <n v="52780.07"/>
    <n v="21304.74"/>
    <n v="31475.329999999998"/>
    <n v="0.59634877331538205"/>
    <n v="2006599.4156199999"/>
    <n v="0.18332194064209789"/>
  </r>
  <r>
    <s v="ORD-2023-368449"/>
    <d v="2023-10-09T00:00:00"/>
    <x v="27"/>
    <d v="2023-10-26T00:00:00"/>
    <d v="2023-10-26T00:00:00"/>
    <n v="17"/>
    <n v="0"/>
    <x v="18"/>
    <s v="Q4-2023"/>
    <d v="2023-01-12T00:00:00"/>
    <s v="01-2023"/>
    <x v="3"/>
    <x v="10"/>
    <s v="Shanghai"/>
    <s v="Shanghai"/>
    <s v="Consumer"/>
    <s v="Marketplace"/>
    <x v="2"/>
    <x v="5"/>
    <x v="5"/>
    <x v="0"/>
    <s v="High"/>
    <x v="27"/>
    <x v="0"/>
    <n v="1132.03"/>
    <n v="2137.21"/>
    <n v="2137.21"/>
    <n v="0.35699999999999998"/>
    <n v="0.3"/>
    <x v="1"/>
    <n v="35"/>
    <n v="52361.645000000004"/>
    <n v="39621.049999999996"/>
    <n v="12740.595000000008"/>
    <n v="0.24331922727026639"/>
    <n v="2058961.0606199999"/>
    <n v="0.18810567490509561"/>
  </r>
  <r>
    <s v="ORD-2023-619493"/>
    <d v="2023-02-27T00:00:00"/>
    <x v="28"/>
    <d v="2023-02-26T00:00:00"/>
    <d v="2023-02-27T00:00:00"/>
    <n v="1"/>
    <n v="1"/>
    <x v="4"/>
    <s v="Q1-2023"/>
    <d v="2023-01-13T00:00:00"/>
    <s v="01-2023"/>
    <x v="0"/>
    <x v="6"/>
    <s v="San Francisco"/>
    <s v="San Francisco"/>
    <s v="Non-Profit"/>
    <s v="Online"/>
    <x v="0"/>
    <x v="4"/>
    <x v="4"/>
    <x v="1"/>
    <s v="High"/>
    <x v="28"/>
    <x v="0"/>
    <n v="1015.91"/>
    <n v="2331.48"/>
    <n v="2331.48"/>
    <n v="0.14599999999999999"/>
    <n v="0.14599999999999999"/>
    <x v="0"/>
    <n v="26"/>
    <n v="51768.181920000003"/>
    <n v="26413.66"/>
    <n v="25354.521920000003"/>
    <n v="0.48977037592669626"/>
    <n v="2110729.24254"/>
    <n v="0.19283519067152738"/>
  </r>
  <r>
    <s v="ORD-2024-353078"/>
    <d v="2024-08-16T00:00:00"/>
    <x v="29"/>
    <d v="2024-08-26T00:00:00"/>
    <d v="2024-08-26T00:00:00"/>
    <n v="10"/>
    <n v="0"/>
    <x v="19"/>
    <s v="Q3-2024"/>
    <d v="2023-01-13T00:00:00"/>
    <s v="01-2023"/>
    <x v="0"/>
    <x v="6"/>
    <s v="Chicago"/>
    <s v="Chicago"/>
    <s v="Corporate"/>
    <s v="Distributor"/>
    <x v="4"/>
    <x v="4"/>
    <x v="4"/>
    <x v="2"/>
    <s v="High"/>
    <x v="29"/>
    <x v="0"/>
    <n v="1291.7"/>
    <n v="2657.84"/>
    <n v="2657.84"/>
    <n v="8.6999999999999994E-2"/>
    <n v="8.6999999999999994E-2"/>
    <x v="0"/>
    <n v="21"/>
    <n v="50958.766320000002"/>
    <n v="27125.7"/>
    <n v="23833.066320000002"/>
    <n v="0.46769315745083367"/>
    <n v="2161688.0088599999"/>
    <n v="0.19749075862484664"/>
  </r>
  <r>
    <s v="ORD-2025-874124"/>
    <d v="2025-05-14T00:00:00"/>
    <x v="30"/>
    <d v="2025-05-12T00:00:00"/>
    <d v="2025-05-14T00:00:00"/>
    <n v="2"/>
    <n v="1"/>
    <x v="12"/>
    <s v="Q2-2025"/>
    <d v="2023-01-02T00:00:00"/>
    <s v="01-2023"/>
    <x v="0"/>
    <x v="0"/>
    <s v="Vancouver"/>
    <s v="Vancouver"/>
    <s v="Non-Profit"/>
    <s v="Distributor"/>
    <x v="4"/>
    <x v="10"/>
    <x v="9"/>
    <x v="6"/>
    <s v="High"/>
    <x v="30"/>
    <x v="0"/>
    <n v="883.5"/>
    <n v="1978.91"/>
    <n v="1978.91"/>
    <n v="5.3999999999999999E-2"/>
    <n v="5.3999999999999999E-2"/>
    <x v="0"/>
    <n v="27"/>
    <n v="50545.319219999998"/>
    <n v="23854.5"/>
    <n v="26690.819219999998"/>
    <n v="0.52805718970390547"/>
    <n v="2212233.3280799999"/>
    <n v="0.20210855425343832"/>
  </r>
  <r>
    <s v="ORD-2024-964950"/>
    <d v="2024-10-10T00:00:00"/>
    <x v="31"/>
    <d v="2024-10-11T00:00:00"/>
    <d v="2024-10-11T00:00:00"/>
    <n v="1"/>
    <n v="1"/>
    <x v="20"/>
    <s v="Q4-2024"/>
    <d v="2023-01-19T00:00:00"/>
    <s v="01-2023"/>
    <x v="1"/>
    <x v="1"/>
    <s v="Manchester"/>
    <s v="Manchester"/>
    <s v="Non-Profit"/>
    <s v="Distributor"/>
    <x v="4"/>
    <x v="4"/>
    <x v="4"/>
    <x v="0"/>
    <s v="High"/>
    <x v="31"/>
    <x v="0"/>
    <n v="1389.46"/>
    <n v="1784.7"/>
    <n v="1784.7"/>
    <n v="0.14599999999999999"/>
    <n v="0.14599999999999999"/>
    <x v="0"/>
    <n v="33"/>
    <n v="50296.415399999998"/>
    <n v="45852.18"/>
    <n v="4444.2353999999978"/>
    <n v="8.8360877503011831E-2"/>
    <n v="2262529.7434799997"/>
    <n v="0.20670361015084082"/>
  </r>
  <r>
    <s v="ORD-2023-885216"/>
    <d v="2023-08-03T00:00:00"/>
    <x v="32"/>
    <d v="2023-08-02T00:00:00"/>
    <d v="2023-08-03T00:00:00"/>
    <n v="1"/>
    <n v="1"/>
    <x v="21"/>
    <s v="Q3-2023"/>
    <d v="2023-01-12T00:00:00"/>
    <s v="01-2023"/>
    <x v="3"/>
    <x v="10"/>
    <s v="Shanghai"/>
    <s v="Shanghai"/>
    <s v="Non-Profit"/>
    <s v="Direct"/>
    <x v="3"/>
    <x v="9"/>
    <x v="8"/>
    <x v="1"/>
    <s v="High"/>
    <x v="32"/>
    <x v="0"/>
    <n v="1021.97"/>
    <n v="2296.25"/>
    <n v="2296.25"/>
    <n v="0.161"/>
    <n v="0.161"/>
    <x v="0"/>
    <n v="26"/>
    <n v="50090.397499999999"/>
    <n v="26571.22"/>
    <n v="23519.177499999998"/>
    <n v="0.46953465482081669"/>
    <n v="2312620.1409799997"/>
    <n v="0.21127984435371824"/>
  </r>
  <r>
    <s v="ORD-2024-510591"/>
    <d v="2024-04-03T00:00:00"/>
    <x v="33"/>
    <d v="2024-04-21T00:00:00"/>
    <d v="2024-04-21T00:00:00"/>
    <n v="18"/>
    <n v="0"/>
    <x v="22"/>
    <s v="Q2-2024"/>
    <d v="2023-01-29T00:00:00"/>
    <s v="01-2023"/>
    <x v="0"/>
    <x v="9"/>
    <s v="Brasília"/>
    <s v="Brasília"/>
    <s v="Small Business"/>
    <s v="Distributor"/>
    <x v="4"/>
    <x v="1"/>
    <x v="1"/>
    <x v="1"/>
    <s v="High"/>
    <x v="33"/>
    <x v="0"/>
    <n v="1176.69"/>
    <n v="2201.54"/>
    <n v="2201.54"/>
    <n v="0.17"/>
    <n v="0.17"/>
    <x v="0"/>
    <n v="27"/>
    <n v="49336.511399999996"/>
    <n v="31770.63"/>
    <n v="17565.881399999995"/>
    <n v="0.35604222717701106"/>
    <n v="2361956.6523799999"/>
    <n v="0.21578720389142869"/>
  </r>
  <r>
    <s v="ORD-2023-586275"/>
    <d v="2023-01-20T00:00:00"/>
    <x v="34"/>
    <d v="2023-02-03T00:00:00"/>
    <d v="2023-02-03T00:00:00"/>
    <n v="14"/>
    <n v="0"/>
    <x v="23"/>
    <s v="Q1-2023"/>
    <d v="2023-01-20T00:00:00"/>
    <s v="01-2023"/>
    <x v="2"/>
    <x v="5"/>
    <s v="Kisumu"/>
    <s v="Kisumu"/>
    <s v="Corporate"/>
    <s v="Retail"/>
    <x v="1"/>
    <x v="7"/>
    <x v="6"/>
    <x v="1"/>
    <s v="Medium"/>
    <x v="34"/>
    <x v="0"/>
    <n v="884.36"/>
    <n v="1545.34"/>
    <n v="1545.34"/>
    <n v="0.24299999999999999"/>
    <n v="0.24299999999999999"/>
    <x v="1"/>
    <n v="41"/>
    <n v="47962.717579999997"/>
    <n v="36258.76"/>
    <n v="11703.957579999995"/>
    <n v="0.24402198562827965"/>
    <n v="2409919.3699599998"/>
    <n v="0.22016905429803699"/>
  </r>
  <r>
    <s v="ORD-2023-594955"/>
    <d v="2023-06-20T00:00:00"/>
    <x v="35"/>
    <d v="2023-07-08T00:00:00"/>
    <d v="2023-07-08T00:00:00"/>
    <n v="18"/>
    <n v="0"/>
    <x v="24"/>
    <s v="Q2-2023"/>
    <d v="2023-01-13T00:00:00"/>
    <s v="01-2023"/>
    <x v="0"/>
    <x v="6"/>
    <s v="New York"/>
    <s v="New York"/>
    <s v="Consumer"/>
    <s v="Marketplace"/>
    <x v="2"/>
    <x v="8"/>
    <x v="7"/>
    <x v="1"/>
    <s v="Medium"/>
    <x v="35"/>
    <x v="0"/>
    <n v="1145.53"/>
    <n v="1278.3"/>
    <n v="1278.3"/>
    <n v="0.09"/>
    <n v="0.09"/>
    <x v="0"/>
    <n v="41"/>
    <n v="47693.373"/>
    <n v="46966.729999999996"/>
    <n v="726.64300000000367"/>
    <n v="1.5235722581416158E-2"/>
    <n v="2457612.7429599999"/>
    <n v="0.22452629751562556"/>
  </r>
  <r>
    <s v="ORD-2023-957692"/>
    <d v="2023-05-07T00:00:00"/>
    <x v="36"/>
    <d v="2023-05-20T00:00:00"/>
    <d v="2023-05-20T00:00:00"/>
    <n v="13"/>
    <n v="0"/>
    <x v="3"/>
    <s v="Q2-2023"/>
    <d v="2023-01-29T00:00:00"/>
    <s v="01-2023"/>
    <x v="3"/>
    <x v="3"/>
    <s v="Mumbai"/>
    <s v="Mumbai"/>
    <s v="Enterprise"/>
    <s v="Retail"/>
    <x v="1"/>
    <x v="11"/>
    <x v="10"/>
    <x v="4"/>
    <s v="High"/>
    <x v="36"/>
    <x v="0"/>
    <n v="1443.28"/>
    <n v="2580.5700000000002"/>
    <n v="2580.5700000000002"/>
    <n v="0"/>
    <n v="0"/>
    <x v="0"/>
    <n v="18"/>
    <n v="46450.26"/>
    <n v="25979.040000000001"/>
    <n v="20471.22"/>
    <n v="0.4407127107577008"/>
    <n v="2504063.0029599997"/>
    <n v="0.22876997053787596"/>
  </r>
  <r>
    <s v="ORD-2024-886939"/>
    <d v="2024-06-03T00:00:00"/>
    <x v="37"/>
    <d v="2024-06-24T00:00:00"/>
    <d v="2024-06-24T00:00:00"/>
    <n v="21"/>
    <n v="0"/>
    <x v="7"/>
    <s v="Q2-2024"/>
    <d v="2023-01-02T00:00:00"/>
    <s v="01-2023"/>
    <x v="0"/>
    <x v="0"/>
    <s v="Toronto"/>
    <s v="Toronto"/>
    <s v="Small Business"/>
    <s v="Direct"/>
    <x v="3"/>
    <x v="12"/>
    <x v="11"/>
    <x v="3"/>
    <s v="High"/>
    <x v="37"/>
    <x v="0"/>
    <n v="1205.5"/>
    <n v="2210.17"/>
    <n v="2210.17"/>
    <n v="0.104"/>
    <n v="0.104"/>
    <x v="0"/>
    <n v="23"/>
    <n v="45547.183360000003"/>
    <n v="27726.5"/>
    <n v="17820.683360000003"/>
    <n v="0.39125763758314652"/>
    <n v="2549610.1863199999"/>
    <n v="0.23293113892023429"/>
  </r>
  <r>
    <s v="ORD-2025-929414"/>
    <d v="2025-06-26T00:00:00"/>
    <x v="38"/>
    <d v="2025-07-11T00:00:00"/>
    <d v="2025-07-11T00:00:00"/>
    <n v="15"/>
    <n v="0"/>
    <x v="25"/>
    <s v="Q2-2025"/>
    <d v="2023-01-13T00:00:00"/>
    <s v="01-2023"/>
    <x v="2"/>
    <x v="2"/>
    <s v="Port Harcourt"/>
    <s v="Port Harcourt"/>
    <s v="Small Business"/>
    <s v="Online"/>
    <x v="0"/>
    <x v="6"/>
    <x v="2"/>
    <x v="2"/>
    <s v="High"/>
    <x v="38"/>
    <x v="0"/>
    <n v="1170.1500000000001"/>
    <n v="2115.19"/>
    <n v="2115.19"/>
    <n v="9.1999999999999998E-2"/>
    <n v="9.1999999999999998E-2"/>
    <x v="0"/>
    <n v="23"/>
    <n v="44173.627960000005"/>
    <n v="26913.45"/>
    <n v="17260.177960000005"/>
    <n v="0.39073489674946776"/>
    <n v="2593783.81428"/>
    <n v="0.23696681995342506"/>
  </r>
  <r>
    <s v="ORD-2025-949776"/>
    <d v="2025-08-14T00:00:00"/>
    <x v="39"/>
    <d v="2025-09-11T00:00:00"/>
    <d v="2025-09-11T00:00:00"/>
    <n v="28"/>
    <n v="0"/>
    <x v="14"/>
    <s v="Q3-2025"/>
    <d v="2023-01-29T00:00:00"/>
    <s v="01-2023"/>
    <x v="0"/>
    <x v="9"/>
    <s v="São Paulo"/>
    <s v="São Paulo"/>
    <s v="Non-Profit"/>
    <s v="Direct"/>
    <x v="3"/>
    <x v="10"/>
    <x v="9"/>
    <x v="6"/>
    <s v="High"/>
    <x v="39"/>
    <x v="0"/>
    <n v="1203.02"/>
    <n v="2439.33"/>
    <n v="2439.33"/>
    <n v="0"/>
    <n v="0"/>
    <x v="0"/>
    <n v="18"/>
    <n v="43907.94"/>
    <n v="21654.36"/>
    <n v="22253.58"/>
    <n v="0.50682359500354612"/>
    <n v="2637691.75428"/>
    <n v="0.24097822786460982"/>
  </r>
  <r>
    <s v="ORD-2025-188059"/>
    <d v="2025-06-27T00:00:00"/>
    <x v="40"/>
    <d v="2025-07-11T00:00:00"/>
    <d v="2025-07-11T00:00:00"/>
    <n v="14"/>
    <n v="0"/>
    <x v="25"/>
    <s v="Q2-2025"/>
    <d v="2023-01-12T00:00:00"/>
    <s v="01-2023"/>
    <x v="3"/>
    <x v="10"/>
    <s v="Shanghai"/>
    <s v="Shanghai"/>
    <s v="Small Business"/>
    <s v="Marketplace"/>
    <x v="2"/>
    <x v="4"/>
    <x v="4"/>
    <x v="1"/>
    <s v="High"/>
    <x v="40"/>
    <x v="0"/>
    <n v="1227.7"/>
    <n v="2197.23"/>
    <n v="2197.23"/>
    <n v="9.9000000000000005E-2"/>
    <n v="9.9000000000000005E-2"/>
    <x v="0"/>
    <n v="22"/>
    <n v="43553.493060000001"/>
    <n v="27009.4"/>
    <n v="16544.093059999999"/>
    <n v="0.37985685871873898"/>
    <n v="2681245.2473399998"/>
    <n v="0.24495725367681173"/>
  </r>
  <r>
    <s v="ORD-2023-868734"/>
    <d v="2023-04-06T00:00:00"/>
    <x v="41"/>
    <d v="2023-04-27T00:00:00"/>
    <d v="2023-04-27T00:00:00"/>
    <n v="21"/>
    <n v="0"/>
    <x v="15"/>
    <s v="Q2-2023"/>
    <d v="2023-01-19T00:00:00"/>
    <s v="01-2023"/>
    <x v="1"/>
    <x v="1"/>
    <s v="Manchester"/>
    <s v="Manchester"/>
    <s v="Enterprise"/>
    <s v="Distributor"/>
    <x v="4"/>
    <x v="13"/>
    <x v="12"/>
    <x v="6"/>
    <s v="High"/>
    <x v="41"/>
    <x v="0"/>
    <n v="1084.79"/>
    <n v="2484.9899999999998"/>
    <n v="2484.9899999999998"/>
    <n v="3.4000000000000002E-2"/>
    <n v="3.4000000000000002E-2"/>
    <x v="0"/>
    <n v="18"/>
    <n v="43209.006119999991"/>
    <n v="19526.22"/>
    <n v="23682.78611999999"/>
    <n v="0.54809837685755114"/>
    <n v="2724454.2534599998"/>
    <n v="0.24890480733075676"/>
  </r>
  <r>
    <s v="ORD-2025-944081"/>
    <d v="2025-03-25T00:00:00"/>
    <x v="42"/>
    <d v="2025-03-26T00:00:00"/>
    <d v="2025-03-26T00:00:00"/>
    <n v="1"/>
    <n v="1"/>
    <x v="26"/>
    <s v="Q1-2025"/>
    <d v="2023-01-13T00:00:00"/>
    <s v="01-2023"/>
    <x v="2"/>
    <x v="2"/>
    <s v="Lagos"/>
    <s v="Lagos"/>
    <s v="Education"/>
    <s v="Distributor"/>
    <x v="4"/>
    <x v="12"/>
    <x v="11"/>
    <x v="4"/>
    <s v="High"/>
    <x v="42"/>
    <x v="0"/>
    <n v="1450.43"/>
    <n v="1994.67"/>
    <n v="1994.67"/>
    <n v="0.1"/>
    <n v="0.1"/>
    <x v="0"/>
    <n v="24"/>
    <n v="43084.872000000003"/>
    <n v="34810.32"/>
    <n v="8274.5520000000033"/>
    <n v="0.19205237513529116"/>
    <n v="2767539.1254599998"/>
    <n v="0.25284102015224608"/>
  </r>
  <r>
    <s v="ORD-2024-438404"/>
    <d v="2024-09-23T00:00:00"/>
    <x v="43"/>
    <d v="2024-10-18T00:00:00"/>
    <d v="2024-10-18T00:00:00"/>
    <n v="25"/>
    <n v="0"/>
    <x v="27"/>
    <s v="Q3-2024"/>
    <d v="2023-01-02T00:00:00"/>
    <s v="01-2023"/>
    <x v="0"/>
    <x v="0"/>
    <s v="Vancouver"/>
    <s v="Vancouver"/>
    <s v="Small Business"/>
    <s v="Online"/>
    <x v="0"/>
    <x v="14"/>
    <x v="13"/>
    <x v="5"/>
    <s v="High"/>
    <x v="43"/>
    <x v="0"/>
    <n v="1297"/>
    <n v="2411.52"/>
    <n v="2411.52"/>
    <n v="2.1000000000000001E-2"/>
    <n v="2.1000000000000001E-2"/>
    <x v="0"/>
    <n v="18"/>
    <n v="42495.805439999996"/>
    <n v="23346"/>
    <n v="19149.805439999996"/>
    <n v="0.45062813239385913"/>
    <n v="2810034.9308999996"/>
    <n v="0.25672341614108507"/>
  </r>
  <r>
    <s v="ORD-2025-312803"/>
    <d v="2025-06-24T00:00:00"/>
    <x v="44"/>
    <d v="2025-07-14T00:00:00"/>
    <d v="2025-07-14T00:00:00"/>
    <n v="20"/>
    <n v="0"/>
    <x v="25"/>
    <s v="Q2-2025"/>
    <d v="2023-01-07T00:00:00"/>
    <s v="01-2023"/>
    <x v="2"/>
    <x v="8"/>
    <s v="Johannesburg"/>
    <s v="Johannesburg"/>
    <s v="Enterprise"/>
    <s v="Marketplace"/>
    <x v="2"/>
    <x v="9"/>
    <x v="8"/>
    <x v="2"/>
    <s v="High"/>
    <x v="44"/>
    <x v="0"/>
    <n v="1151.06"/>
    <n v="2821.36"/>
    <n v="2821.36"/>
    <n v="0.248"/>
    <n v="0.248"/>
    <x v="1"/>
    <n v="20"/>
    <n v="42433.254400000005"/>
    <n v="23021.199999999997"/>
    <n v="19412.054400000008"/>
    <n v="0.45747267501594235"/>
    <n v="2852468.1852999995"/>
    <n v="0.26060009749752028"/>
  </r>
  <r>
    <s v="ORD-2023-569862"/>
    <d v="2023-07-16T00:00:00"/>
    <x v="45"/>
    <d v="2023-08-13T00:00:00"/>
    <d v="2023-08-13T00:00:00"/>
    <n v="28"/>
    <n v="0"/>
    <x v="6"/>
    <s v="Q3-2023"/>
    <d v="2023-01-19T00:00:00"/>
    <s v="01-2023"/>
    <x v="1"/>
    <x v="1"/>
    <s v="Manchester"/>
    <s v="Manchester"/>
    <s v="Non-Profit"/>
    <s v="Online"/>
    <x v="0"/>
    <x v="9"/>
    <x v="8"/>
    <x v="2"/>
    <s v="High"/>
    <x v="45"/>
    <x v="0"/>
    <n v="1039.03"/>
    <n v="2545.81"/>
    <n v="2545.81"/>
    <n v="0.216"/>
    <n v="0.216"/>
    <x v="1"/>
    <n v="21"/>
    <n v="41914.215840000004"/>
    <n v="21819.63"/>
    <n v="20094.585840000003"/>
    <n v="0.47942172929364774"/>
    <n v="2894382.4011399997"/>
    <n v="0.26442935974511567"/>
  </r>
  <r>
    <s v="ORD-2024-756884"/>
    <d v="2024-10-13T00:00:00"/>
    <x v="46"/>
    <d v="2024-10-24T00:00:00"/>
    <d v="2024-10-24T00:00:00"/>
    <n v="11"/>
    <n v="0"/>
    <x v="20"/>
    <s v="Q4-2024"/>
    <d v="2023-01-10T00:00:00"/>
    <s v="01-2023"/>
    <x v="1"/>
    <x v="11"/>
    <s v="Paris"/>
    <s v="Paris"/>
    <s v="Education"/>
    <s v="Distributor"/>
    <x v="4"/>
    <x v="10"/>
    <x v="9"/>
    <x v="0"/>
    <s v="Medium"/>
    <x v="46"/>
    <x v="0"/>
    <n v="816.7"/>
    <n v="1010.75"/>
    <n v="1010.75"/>
    <n v="4.7E-2"/>
    <n v="4.7E-2"/>
    <x v="0"/>
    <n v="43"/>
    <n v="41419.524249999995"/>
    <n v="35118.1"/>
    <n v="6301.4242499999964"/>
    <n v="0.15213656757537472"/>
    <n v="2935801.9253899995"/>
    <n v="0.26821342721113567"/>
  </r>
  <r>
    <s v="ORD-2024-237478"/>
    <d v="2024-10-03T00:00:00"/>
    <x v="47"/>
    <d v="2024-10-11T00:00:00"/>
    <d v="2024-10-11T00:00:00"/>
    <n v="8"/>
    <n v="0"/>
    <x v="20"/>
    <s v="Q4-2024"/>
    <d v="2023-01-12T00:00:00"/>
    <s v="01-2023"/>
    <x v="3"/>
    <x v="10"/>
    <s v="Beijing"/>
    <s v="Beijing"/>
    <s v="Enterprise"/>
    <s v="Direct"/>
    <x v="3"/>
    <x v="1"/>
    <x v="1"/>
    <x v="5"/>
    <s v="High"/>
    <x v="47"/>
    <x v="0"/>
    <n v="1132.6099999999999"/>
    <n v="2206.63"/>
    <n v="2206.63"/>
    <n v="6.3E-2"/>
    <n v="6.3E-2"/>
    <x v="0"/>
    <n v="20"/>
    <n v="41352.246200000009"/>
    <n v="22652.199999999997"/>
    <n v="18700.046200000012"/>
    <n v="0.45221355351671338"/>
    <n v="2977154.1715899995"/>
    <n v="0.27199134818743154"/>
  </r>
  <r>
    <s v="ORD-2025-673091"/>
    <d v="2025-05-07T00:00:00"/>
    <x v="48"/>
    <d v="2025-05-13T00:00:00"/>
    <d v="2025-05-13T00:00:00"/>
    <n v="6"/>
    <n v="1"/>
    <x v="12"/>
    <s v="Q2-2025"/>
    <d v="2023-01-29T00:00:00"/>
    <s v="01-2023"/>
    <x v="3"/>
    <x v="3"/>
    <s v="Bengaluru"/>
    <s v="Bengaluru"/>
    <s v="Enterprise"/>
    <s v="Direct"/>
    <x v="3"/>
    <x v="9"/>
    <x v="8"/>
    <x v="5"/>
    <s v="High"/>
    <x v="48"/>
    <x v="0"/>
    <n v="935.98"/>
    <n v="2077.69"/>
    <n v="2077.69"/>
    <n v="0.17499999999999999"/>
    <n v="0.17499999999999999"/>
    <x v="0"/>
    <n v="24"/>
    <n v="41138.261999999995"/>
    <n v="22463.52"/>
    <n v="18674.741999999995"/>
    <n v="0.45395067978321491"/>
    <n v="3018292.4335899996"/>
    <n v="0.27574971967193279"/>
  </r>
  <r>
    <s v="ORD-2024-635626"/>
    <d v="2024-08-27T00:00:00"/>
    <x v="49"/>
    <d v="2024-09-19T00:00:00"/>
    <d v="2024-09-19T00:00:00"/>
    <n v="23"/>
    <n v="0"/>
    <x v="19"/>
    <s v="Q3-2024"/>
    <d v="2023-01-21T00:00:00"/>
    <s v="01-2023"/>
    <x v="1"/>
    <x v="4"/>
    <s v="Berlin"/>
    <s v="Berlin"/>
    <s v="Small Business"/>
    <s v="Direct"/>
    <x v="3"/>
    <x v="11"/>
    <x v="10"/>
    <x v="3"/>
    <s v="Medium"/>
    <x v="49"/>
    <x v="0"/>
    <n v="1024.01"/>
    <n v="1580.97"/>
    <n v="1580.97"/>
    <n v="3.6999999999999998E-2"/>
    <n v="3.6999999999999998E-2"/>
    <x v="0"/>
    <n v="27"/>
    <n v="41106.800970000004"/>
    <n v="27648.27"/>
    <n v="13458.530970000003"/>
    <n v="0.3274039976942531"/>
    <n v="3059399.2345599998"/>
    <n v="0.27950521689212932"/>
  </r>
  <r>
    <s v="ORD-2024-594527"/>
    <d v="2024-09-06T00:00:00"/>
    <x v="50"/>
    <d v="2024-09-04T00:00:00"/>
    <d v="2024-09-06T00:00:00"/>
    <n v="2"/>
    <n v="1"/>
    <x v="27"/>
    <s v="Q3-2024"/>
    <d v="2023-03-03T00:00:00"/>
    <s v="03-2023"/>
    <x v="3"/>
    <x v="7"/>
    <s v="Osaka"/>
    <s v="Osaka"/>
    <s v="Corporate"/>
    <s v="Direct"/>
    <x v="3"/>
    <x v="6"/>
    <x v="2"/>
    <x v="2"/>
    <s v="High"/>
    <x v="50"/>
    <x v="0"/>
    <n v="1368.17"/>
    <n v="2307.75"/>
    <n v="2307.75"/>
    <n v="0.16300000000000001"/>
    <n v="0.16300000000000001"/>
    <x v="0"/>
    <n v="21"/>
    <n v="40563.321749999996"/>
    <n v="28731.57"/>
    <n v="11831.751749999996"/>
    <n v="0.29168596750831921"/>
    <n v="3099962.5563099999"/>
    <n v="0.2832110621167489"/>
  </r>
  <r>
    <s v="ORD-2024-105586"/>
    <d v="2024-01-02T00:00:00"/>
    <x v="51"/>
    <d v="2024-01-15T00:00:00"/>
    <d v="2024-01-15T00:00:00"/>
    <n v="13"/>
    <n v="0"/>
    <x v="28"/>
    <s v="Q1-2024"/>
    <d v="2023-03-03T00:00:00"/>
    <s v="03-2023"/>
    <x v="3"/>
    <x v="7"/>
    <s v="Nagoya"/>
    <s v="Nagoya"/>
    <s v="Small Business"/>
    <s v="Marketplace"/>
    <x v="2"/>
    <x v="12"/>
    <x v="11"/>
    <x v="1"/>
    <s v="High"/>
    <x v="51"/>
    <x v="0"/>
    <n v="1219.06"/>
    <n v="2738.69"/>
    <n v="2738.69"/>
    <n v="7.5999999999999998E-2"/>
    <n v="7.5999999999999998E-2"/>
    <x v="0"/>
    <n v="16"/>
    <n v="40488.792960000006"/>
    <n v="19504.96"/>
    <n v="20983.832960000007"/>
    <n v="0.51826274447673737"/>
    <n v="3140451.3492700001"/>
    <n v="0.28691009842758625"/>
  </r>
  <r>
    <s v="ORD-2023-961864"/>
    <d v="2023-12-07T00:00:00"/>
    <x v="52"/>
    <d v="2024-01-02T00:00:00"/>
    <d v="2024-01-02T00:00:00"/>
    <n v="26"/>
    <n v="0"/>
    <x v="10"/>
    <s v="Q4-2023"/>
    <d v="2023-01-21T00:00:00"/>
    <s v="01-2023"/>
    <x v="1"/>
    <x v="4"/>
    <s v="Frankfurt"/>
    <s v="Frankfurt"/>
    <s v="Enterprise"/>
    <s v="Distributor"/>
    <x v="4"/>
    <x v="15"/>
    <x v="14"/>
    <x v="0"/>
    <s v="High"/>
    <x v="52"/>
    <x v="0"/>
    <n v="1071.99"/>
    <n v="2397.3000000000002"/>
    <n v="2397.3000000000002"/>
    <n v="6.2E-2"/>
    <n v="6.2E-2"/>
    <x v="0"/>
    <n v="18"/>
    <n v="40476.013200000001"/>
    <n v="19295.82"/>
    <n v="21180.193200000002"/>
    <n v="0.52327765324476183"/>
    <n v="3180927.3624700001"/>
    <n v="0.29060796718580395"/>
  </r>
  <r>
    <s v="ORD-2024-925626"/>
    <d v="2024-11-04T00:00:00"/>
    <x v="53"/>
    <d v="2024-11-05T00:00:00"/>
    <d v="2024-11-05T00:00:00"/>
    <n v="1"/>
    <n v="1"/>
    <x v="5"/>
    <s v="Q4-2024"/>
    <d v="2023-01-19T00:00:00"/>
    <s v="01-2023"/>
    <x v="1"/>
    <x v="1"/>
    <s v="London"/>
    <s v="London"/>
    <s v="Corporate"/>
    <s v="Retail"/>
    <x v="1"/>
    <x v="7"/>
    <x v="6"/>
    <x v="6"/>
    <s v="Medium"/>
    <x v="53"/>
    <x v="0"/>
    <n v="840.68"/>
    <n v="1493.53"/>
    <n v="1493.53"/>
    <n v="0"/>
    <n v="0"/>
    <x v="0"/>
    <n v="27"/>
    <n v="40325.31"/>
    <n v="22698.359999999997"/>
    <n v="17626.95"/>
    <n v="0.43711877230454027"/>
    <n v="3221252.6724700001"/>
    <n v="0.29429206777341926"/>
  </r>
  <r>
    <s v="ORD-2025-440093"/>
    <d v="2025-04-16T00:00:00"/>
    <x v="54"/>
    <d v="2025-04-26T00:00:00"/>
    <d v="2025-04-26T00:00:00"/>
    <n v="10"/>
    <n v="0"/>
    <x v="2"/>
    <s v="Q2-2025"/>
    <d v="2023-01-13T00:00:00"/>
    <s v="01-2023"/>
    <x v="2"/>
    <x v="2"/>
    <s v="Port Harcourt"/>
    <s v="Port Harcourt"/>
    <s v="Enterprise"/>
    <s v="Marketplace"/>
    <x v="2"/>
    <x v="10"/>
    <x v="9"/>
    <x v="2"/>
    <s v="High"/>
    <x v="54"/>
    <x v="0"/>
    <n v="1457.44"/>
    <n v="1996.81"/>
    <n v="1996.81"/>
    <n v="0.126"/>
    <n v="0.126"/>
    <x v="0"/>
    <n v="23"/>
    <n v="40139.874619999995"/>
    <n v="33521.120000000003"/>
    <n v="6618.7546199999924"/>
    <n v="0.16489225944672353"/>
    <n v="3261392.54709"/>
    <n v="0.29795922707546424"/>
  </r>
  <r>
    <s v="ORD-2025-752192"/>
    <d v="2025-05-16T00:00:00"/>
    <x v="55"/>
    <d v="2025-05-18T00:00:00"/>
    <d v="2025-05-18T00:00:00"/>
    <n v="2"/>
    <n v="1"/>
    <x v="12"/>
    <s v="Q2-2025"/>
    <d v="2023-03-03T00:00:00"/>
    <s v="03-2023"/>
    <x v="3"/>
    <x v="7"/>
    <s v="Tokyo"/>
    <s v="Tokyo"/>
    <s v="Enterprise"/>
    <s v="Retail"/>
    <x v="1"/>
    <x v="9"/>
    <x v="8"/>
    <x v="6"/>
    <s v="High"/>
    <x v="55"/>
    <x v="0"/>
    <n v="1144.3800000000001"/>
    <n v="2755.04"/>
    <n v="2755.04"/>
    <n v="0.15"/>
    <n v="0.15"/>
    <x v="0"/>
    <n v="17"/>
    <n v="39810.328000000001"/>
    <n v="19454.460000000003"/>
    <n v="20355.867999999999"/>
    <n v="0.51132128326096682"/>
    <n v="3301202.8750900002"/>
    <n v="0.30159627915957615"/>
  </r>
  <r>
    <s v="ORD-2023-594700"/>
    <d v="2023-07-18T00:00:00"/>
    <x v="56"/>
    <d v="2023-07-22T00:00:00"/>
    <d v="2023-07-22T00:00:00"/>
    <n v="4"/>
    <n v="1"/>
    <x v="6"/>
    <s v="Q3-2023"/>
    <d v="2023-01-29T00:00:00"/>
    <s v="01-2023"/>
    <x v="0"/>
    <x v="9"/>
    <s v="São Paulo"/>
    <s v="São Paulo"/>
    <s v="Consumer"/>
    <s v="Direct"/>
    <x v="3"/>
    <x v="10"/>
    <x v="9"/>
    <x v="1"/>
    <s v="High"/>
    <x v="56"/>
    <x v="0"/>
    <n v="1269.55"/>
    <n v="2071.1"/>
    <n v="2071.1"/>
    <n v="0.129"/>
    <n v="0.129"/>
    <x v="0"/>
    <n v="22"/>
    <n v="39686.4182"/>
    <n v="27930.1"/>
    <n v="11756.318200000002"/>
    <n v="0.29623026549672354"/>
    <n v="3340889.2932900004"/>
    <n v="0.30522201090499779"/>
  </r>
  <r>
    <s v="ORD-2023-888245"/>
    <d v="2023-02-28T00:00:00"/>
    <x v="57"/>
    <d v="2023-02-27T00:00:00"/>
    <d v="2023-02-28T00:00:00"/>
    <n v="1"/>
    <n v="1"/>
    <x v="4"/>
    <s v="Q1-2023"/>
    <d v="2023-01-10T00:00:00"/>
    <s v="01-2023"/>
    <x v="1"/>
    <x v="11"/>
    <s v="Marseille"/>
    <s v="Marseille"/>
    <s v="Corporate"/>
    <s v="Retail"/>
    <x v="1"/>
    <x v="3"/>
    <x v="3"/>
    <x v="1"/>
    <s v="High"/>
    <x v="57"/>
    <x v="0"/>
    <n v="1299.81"/>
    <n v="3149.13"/>
    <n v="3149.13"/>
    <n v="0.10299999999999999"/>
    <n v="0.10299999999999999"/>
    <x v="0"/>
    <n v="14"/>
    <n v="39546.774539999999"/>
    <n v="18197.34"/>
    <n v="21349.434539999998"/>
    <n v="0.53985273864511729"/>
    <n v="3380436.0678300005"/>
    <n v="0.3088349848739792"/>
  </r>
  <r>
    <s v="ORD-2025-184082"/>
    <d v="2025-06-19T00:00:00"/>
    <x v="58"/>
    <d v="2025-07-12T00:00:00"/>
    <d v="2025-07-12T00:00:00"/>
    <n v="23"/>
    <n v="0"/>
    <x v="25"/>
    <s v="Q2-2025"/>
    <d v="2023-01-19T00:00:00"/>
    <s v="01-2023"/>
    <x v="1"/>
    <x v="1"/>
    <m/>
    <s v="Birmingham"/>
    <s v="Non-Profit"/>
    <s v="Direct"/>
    <x v="3"/>
    <x v="2"/>
    <x v="1"/>
    <x v="1"/>
    <s v="High"/>
    <x v="58"/>
    <x v="0"/>
    <n v="801.24"/>
    <n v="1959.09"/>
    <n v="1959.09"/>
    <n v="0.123"/>
    <n v="0.123"/>
    <x v="0"/>
    <n v="23"/>
    <n v="39516.804389999998"/>
    <n v="18428.52"/>
    <n v="21088.284389999997"/>
    <n v="0.53365358650651762"/>
    <n v="3419952.8722200007"/>
    <n v="0.31244522078472309"/>
  </r>
  <r>
    <s v="ORD-2025-745263"/>
    <d v="2025-05-21T00:00:00"/>
    <x v="59"/>
    <d v="2025-05-19T00:00:00"/>
    <d v="2025-05-21T00:00:00"/>
    <n v="2"/>
    <n v="1"/>
    <x v="12"/>
    <s v="Q2-2025"/>
    <d v="2023-01-19T00:00:00"/>
    <s v="01-2023"/>
    <x v="1"/>
    <x v="1"/>
    <s v="Birmingham"/>
    <s v="Birmingham"/>
    <s v="Enterprise"/>
    <s v="Online"/>
    <x v="0"/>
    <x v="7"/>
    <x v="6"/>
    <x v="2"/>
    <s v="High"/>
    <x v="59"/>
    <x v="0"/>
    <n v="1015.16"/>
    <n v="2148.14"/>
    <n v="2148.14"/>
    <n v="3.7999999999999999E-2"/>
    <n v="3.7999999999999999E-2"/>
    <x v="0"/>
    <n v="19"/>
    <n v="39263.702919999996"/>
    <n v="19288.04"/>
    <n v="19975.662919999995"/>
    <n v="0.50875647059322227"/>
    <n v="3459216.5751400008"/>
    <n v="0.31603233346902793"/>
  </r>
  <r>
    <s v="ORD-2024-500511"/>
    <d v="2024-10-08T00:00:00"/>
    <x v="60"/>
    <d v="2024-10-08T00:00:00"/>
    <d v="2024-10-08T00:00:00"/>
    <n v="0"/>
    <n v="1"/>
    <x v="20"/>
    <s v="Q4-2024"/>
    <d v="2023-01-19T00:00:00"/>
    <s v="01-2023"/>
    <x v="1"/>
    <x v="1"/>
    <s v="London"/>
    <s v="London"/>
    <s v="Corporate"/>
    <s v="Online"/>
    <x v="0"/>
    <x v="15"/>
    <x v="14"/>
    <x v="3"/>
    <s v="High"/>
    <x v="60"/>
    <x v="0"/>
    <n v="1108.1099999999999"/>
    <n v="2503.79"/>
    <n v="2503.79"/>
    <n v="0.184"/>
    <n v="0.184"/>
    <x v="0"/>
    <n v="19"/>
    <n v="38818.760160000005"/>
    <n v="21054.089999999997"/>
    <n v="17764.670160000009"/>
    <n v="0.45763105485025896"/>
    <n v="3498035.3353000009"/>
    <n v="0.31957879640052067"/>
  </r>
  <r>
    <s v="ORD-2024-129345"/>
    <d v="2024-02-18T00:00:00"/>
    <x v="61"/>
    <d v="2024-03-03T00:00:00"/>
    <d v="2024-03-03T00:00:00"/>
    <n v="14"/>
    <n v="0"/>
    <x v="13"/>
    <s v="Q1-2024"/>
    <d v="2023-01-29T00:00:00"/>
    <s v="01-2023"/>
    <x v="0"/>
    <x v="9"/>
    <m/>
    <s v="São Paulo"/>
    <s v="Enterprise"/>
    <s v="Distributor"/>
    <x v="4"/>
    <x v="6"/>
    <x v="2"/>
    <x v="6"/>
    <s v="Medium"/>
    <x v="61"/>
    <x v="0"/>
    <n v="624.23"/>
    <n v="1318.37"/>
    <n v="1318.37"/>
    <n v="0.21"/>
    <n v="0.21"/>
    <x v="1"/>
    <n v="37"/>
    <n v="38535.955099999999"/>
    <n v="23096.510000000002"/>
    <n v="15439.445099999997"/>
    <n v="0.40065038118128793"/>
    <n v="3536571.2904000008"/>
    <n v="0.32309942240012807"/>
  </r>
  <r>
    <s v="ORD-2024-868223"/>
    <d v="2024-03-03T00:00:00"/>
    <x v="62"/>
    <d v="2024-03-19T00:00:00"/>
    <d v="2024-03-19T00:00:00"/>
    <n v="16"/>
    <n v="0"/>
    <x v="8"/>
    <s v="Q1-2024"/>
    <d v="2023-01-12T00:00:00"/>
    <s v="01-2023"/>
    <x v="3"/>
    <x v="10"/>
    <s v="Beijing"/>
    <s v="Beijing"/>
    <s v="Consumer"/>
    <s v="Distributor"/>
    <x v="4"/>
    <x v="12"/>
    <x v="11"/>
    <x v="5"/>
    <s v="Medium"/>
    <x v="62"/>
    <x v="0"/>
    <n v="988.83"/>
    <n v="1206.04"/>
    <n v="1206.04"/>
    <n v="6.3E-2"/>
    <n v="6.3E-2"/>
    <x v="0"/>
    <n v="34"/>
    <n v="38422.022320000004"/>
    <n v="33620.22"/>
    <n v="4801.8023200000025"/>
    <n v="0.12497526236406606"/>
    <n v="3574993.3127200007"/>
    <n v="0.32660963955670991"/>
  </r>
  <r>
    <s v="ORD-2025-843974"/>
    <d v="2025-07-20T00:00:00"/>
    <x v="63"/>
    <d v="2025-08-05T00:00:00"/>
    <d v="2025-08-05T00:00:00"/>
    <n v="16"/>
    <n v="0"/>
    <x v="0"/>
    <s v="Q3-2025"/>
    <d v="2023-01-29T00:00:00"/>
    <s v="01-2023"/>
    <x v="0"/>
    <x v="9"/>
    <s v="Brasília"/>
    <s v="Brasília"/>
    <s v="Enterprise"/>
    <s v="Marketplace"/>
    <x v="2"/>
    <x v="12"/>
    <x v="11"/>
    <x v="4"/>
    <s v="High"/>
    <x v="63"/>
    <x v="0"/>
    <n v="1068.17"/>
    <n v="2375.37"/>
    <n v="2375.37"/>
    <n v="0.109"/>
    <n v="0.109"/>
    <x v="0"/>
    <n v="18"/>
    <n v="38096.18406"/>
    <n v="19227.060000000001"/>
    <n v="18869.124059999998"/>
    <n v="0.49530220744108822"/>
    <n v="3613089.4967800006"/>
    <n v="0.33009008828931347"/>
  </r>
  <r>
    <s v="ORD-2025-789245"/>
    <d v="2025-07-23T00:00:00"/>
    <x v="64"/>
    <d v="2025-08-17T00:00:00"/>
    <d v="2025-08-17T00:00:00"/>
    <n v="25"/>
    <n v="0"/>
    <x v="0"/>
    <s v="Q3-2025"/>
    <d v="2023-01-19T00:00:00"/>
    <s v="01-2023"/>
    <x v="1"/>
    <x v="1"/>
    <s v="Birmingham"/>
    <s v="Birmingham"/>
    <s v="Education"/>
    <s v="Online"/>
    <x v="0"/>
    <x v="13"/>
    <x v="12"/>
    <x v="6"/>
    <s v="Medium"/>
    <x v="64"/>
    <x v="0"/>
    <n v="1142.06"/>
    <n v="1455"/>
    <n v="1455"/>
    <n v="7.8E-2"/>
    <n v="7.8E-2"/>
    <x v="0"/>
    <n v="28"/>
    <n v="37562.28"/>
    <n v="31977.68"/>
    <n v="5584.5999999999985"/>
    <n v="0.1486757459877302"/>
    <n v="3650651.7767800004"/>
    <n v="0.33352175980827192"/>
  </r>
  <r>
    <s v="ORD-2024-805860"/>
    <d v="2024-09-13T00:00:00"/>
    <x v="65"/>
    <d v="2024-10-02T00:00:00"/>
    <d v="2024-10-02T00:00:00"/>
    <n v="19"/>
    <n v="0"/>
    <x v="27"/>
    <s v="Q3-2024"/>
    <d v="2023-01-20T00:00:00"/>
    <s v="01-2023"/>
    <x v="2"/>
    <x v="5"/>
    <s v="Mombasa"/>
    <s v="Mombasa"/>
    <s v="Small Business"/>
    <s v="Retail"/>
    <x v="1"/>
    <x v="7"/>
    <x v="6"/>
    <x v="5"/>
    <s v="High"/>
    <x v="65"/>
    <x v="0"/>
    <n v="1338.99"/>
    <n v="1765.76"/>
    <n v="1765.76"/>
    <n v="0.126"/>
    <n v="0.126"/>
    <x v="0"/>
    <n v="24"/>
    <n v="37038.581760000001"/>
    <n v="32135.760000000002"/>
    <n v="4902.8217599999989"/>
    <n v="0.1323706666677725"/>
    <n v="3687690.3585400004"/>
    <n v="0.33690558651230607"/>
  </r>
  <r>
    <s v="ORD-2023-243704"/>
    <d v="2023-08-29T00:00:00"/>
    <x v="66"/>
    <d v="2023-09-19T00:00:00"/>
    <d v="2023-09-19T00:00:00"/>
    <n v="21"/>
    <n v="0"/>
    <x v="21"/>
    <s v="Q3-2023"/>
    <d v="2023-01-10T00:00:00"/>
    <s v="01-2023"/>
    <x v="1"/>
    <x v="11"/>
    <s v="Lyon"/>
    <s v="Lyon"/>
    <s v="Small Business"/>
    <s v="Direct"/>
    <x v="3"/>
    <x v="1"/>
    <x v="1"/>
    <x v="6"/>
    <s v="High"/>
    <x v="66"/>
    <x v="0"/>
    <n v="784.46"/>
    <n v="1843.51"/>
    <n v="1843.51"/>
    <n v="0.13800000000000001"/>
    <n v="0.13800000000000001"/>
    <x v="0"/>
    <n v="23"/>
    <n v="36549.429260000004"/>
    <n v="18042.580000000002"/>
    <n v="18506.849260000003"/>
    <n v="0.50635125184441798"/>
    <n v="3724239.7878000005"/>
    <n v="0.34024472448331661"/>
  </r>
  <r>
    <s v="ORD-2025-417336"/>
    <d v="2025-08-30T00:00:00"/>
    <x v="67"/>
    <d v="2025-09-03T00:00:00"/>
    <d v="2025-09-03T00:00:00"/>
    <n v="4"/>
    <n v="1"/>
    <x v="14"/>
    <s v="Q3-2025"/>
    <d v="2023-01-10T00:00:00"/>
    <s v="01-2023"/>
    <x v="1"/>
    <x v="11"/>
    <s v="Marseille"/>
    <s v="Marseille"/>
    <s v="Small Business"/>
    <s v="Marketplace"/>
    <x v="2"/>
    <x v="9"/>
    <x v="8"/>
    <x v="2"/>
    <s v="High"/>
    <x v="67"/>
    <x v="0"/>
    <n v="1286.56"/>
    <n v="2777.35"/>
    <n v="2777.35"/>
    <n v="0.13200000000000001"/>
    <n v="0.13200000000000001"/>
    <x v="0"/>
    <n v="15"/>
    <n v="36161.097000000002"/>
    <n v="19298.399999999998"/>
    <n v="16862.697000000004"/>
    <n v="0.46632150014696744"/>
    <n v="3760400.8848000006"/>
    <n v="0.34354838460909154"/>
  </r>
  <r>
    <s v="ORD-2024-966651"/>
    <d v="2024-10-14T00:00:00"/>
    <x v="68"/>
    <d v="2024-11-08T00:00:00"/>
    <d v="2024-11-08T00:00:00"/>
    <n v="25"/>
    <n v="0"/>
    <x v="20"/>
    <s v="Q4-2024"/>
    <d v="2023-01-13T00:00:00"/>
    <s v="01-2023"/>
    <x v="2"/>
    <x v="2"/>
    <s v="Lagos"/>
    <s v="Lagos"/>
    <s v="Enterprise"/>
    <s v="Online"/>
    <x v="0"/>
    <x v="8"/>
    <x v="7"/>
    <x v="1"/>
    <s v="High"/>
    <x v="68"/>
    <x v="0"/>
    <n v="859.35"/>
    <n v="1825.61"/>
    <n v="1825.61"/>
    <n v="0.187"/>
    <n v="0.187"/>
    <x v="0"/>
    <n v="24"/>
    <n v="35621.302319999995"/>
    <n v="20624.400000000001"/>
    <n v="14996.902319999994"/>
    <n v="0.42100937762681989"/>
    <n v="3796022.1871200004"/>
    <n v="0.34680272935706086"/>
  </r>
  <r>
    <s v="ORD-2024-783321"/>
    <d v="2024-11-20T00:00:00"/>
    <x v="69"/>
    <d v="2024-12-15T00:00:00"/>
    <d v="2024-12-15T00:00:00"/>
    <n v="25"/>
    <n v="0"/>
    <x v="5"/>
    <s v="Q4-2024"/>
    <d v="2023-01-10T00:00:00"/>
    <s v="01-2023"/>
    <x v="1"/>
    <x v="11"/>
    <s v="Paris"/>
    <s v="Paris"/>
    <s v="Corporate"/>
    <s v="Online"/>
    <x v="0"/>
    <x v="12"/>
    <x v="11"/>
    <x v="6"/>
    <s v="High"/>
    <x v="69"/>
    <x v="0"/>
    <n v="1203.58"/>
    <n v="1856.16"/>
    <n v="1856.16"/>
    <n v="0.129"/>
    <n v="0.129"/>
    <x v="0"/>
    <n v="22"/>
    <n v="35567.737920000007"/>
    <n v="26478.76"/>
    <n v="9088.9779200000085"/>
    <n v="0.25553994860295032"/>
    <n v="3831589.9250400006"/>
    <n v="0.35005218048765901"/>
  </r>
  <r>
    <s v="ORD-2024-446699"/>
    <d v="2024-08-28T00:00:00"/>
    <x v="70"/>
    <d v="2024-09-25T00:00:00"/>
    <d v="2024-09-25T00:00:00"/>
    <n v="28"/>
    <n v="0"/>
    <x v="19"/>
    <s v="Q3-2024"/>
    <d v="2023-01-29T00:00:00"/>
    <s v="01-2023"/>
    <x v="0"/>
    <x v="9"/>
    <s v="Rio de Janeiro"/>
    <s v="Rio de Janeiro"/>
    <s v="Non-Profit"/>
    <s v="Online"/>
    <x v="0"/>
    <x v="2"/>
    <x v="0"/>
    <x v="4"/>
    <s v="High"/>
    <x v="70"/>
    <x v="0"/>
    <n v="1394.65"/>
    <n v="3144.1"/>
    <n v="3144.1"/>
    <n v="0.13400000000000001"/>
    <n v="0.13400000000000001"/>
    <x v="0"/>
    <n v="13"/>
    <n v="35396.277799999996"/>
    <n v="18130.45"/>
    <n v="17265.827799999995"/>
    <n v="0.4877865378263021"/>
    <n v="3866986.2028400004"/>
    <n v="0.35328596710560128"/>
  </r>
  <r>
    <s v="ORD-2025-233883"/>
    <d v="2025-09-08T00:00:00"/>
    <x v="71"/>
    <d v="2025-09-16T00:00:00"/>
    <d v="2025-09-16T00:00:00"/>
    <n v="8"/>
    <n v="0"/>
    <x v="29"/>
    <s v="Q3-2025"/>
    <d v="2023-03-03T00:00:00"/>
    <s v="03-2023"/>
    <x v="3"/>
    <x v="7"/>
    <s v="Osaka"/>
    <s v="Osaka"/>
    <s v="Corporate"/>
    <s v="Distributor"/>
    <x v="4"/>
    <x v="5"/>
    <x v="5"/>
    <x v="5"/>
    <s v="High"/>
    <x v="71"/>
    <x v="0"/>
    <n v="1225.57"/>
    <n v="2705.57"/>
    <n v="2705.57"/>
    <n v="0.183"/>
    <n v="0.183"/>
    <x v="0"/>
    <n v="16"/>
    <n v="35367.211040000002"/>
    <n v="19609.12"/>
    <n v="15758.091040000003"/>
    <n v="0.44555650775453404"/>
    <n v="3902353.4138800004"/>
    <n v="0.35651709819857441"/>
  </r>
  <r>
    <s v="ORD-2024-704056"/>
    <d v="2024-06-23T00:00:00"/>
    <x v="72"/>
    <d v="2024-06-25T00:00:00"/>
    <d v="2024-06-25T00:00:00"/>
    <n v="2"/>
    <n v="1"/>
    <x v="7"/>
    <s v="Q2-2024"/>
    <d v="2023-01-19T00:00:00"/>
    <s v="01-2023"/>
    <x v="1"/>
    <x v="1"/>
    <s v="Birmingham"/>
    <s v="Birmingham"/>
    <s v="Small Business"/>
    <s v="Marketplace"/>
    <x v="2"/>
    <x v="4"/>
    <x v="4"/>
    <x v="4"/>
    <s v="High"/>
    <x v="72"/>
    <x v="0"/>
    <n v="951.44"/>
    <n v="1646.43"/>
    <n v="1646.43"/>
    <n v="0.11"/>
    <n v="0.11"/>
    <x v="0"/>
    <n v="24"/>
    <n v="35167.7448"/>
    <n v="22834.560000000001"/>
    <n v="12333.184799999999"/>
    <n v="0.35069592520473475"/>
    <n v="3937521.1586800003"/>
    <n v="0.35973000615347384"/>
  </r>
  <r>
    <s v="ORD-2024-580808"/>
    <d v="2024-06-16T00:00:00"/>
    <x v="12"/>
    <d v="2024-07-03T00:00:00"/>
    <d v="2024-07-03T00:00:00"/>
    <n v="17"/>
    <n v="0"/>
    <x v="7"/>
    <s v="Q2-2024"/>
    <d v="2023-01-07T00:00:00"/>
    <s v="01-2023"/>
    <x v="2"/>
    <x v="8"/>
    <s v="Johannesburg"/>
    <s v="Johannesburg"/>
    <s v="Enterprise"/>
    <s v="Marketplace"/>
    <x v="2"/>
    <x v="10"/>
    <x v="9"/>
    <x v="5"/>
    <s v="High"/>
    <x v="73"/>
    <x v="0"/>
    <n v="1173.83"/>
    <n v="2328.9"/>
    <n v="2328.9"/>
    <n v="0.12"/>
    <n v="0.12"/>
    <x v="0"/>
    <n v="17"/>
    <n v="34840.344000000005"/>
    <n v="19955.11"/>
    <n v="14885.234000000004"/>
    <n v="0.42724130393201637"/>
    <n v="3972361.5026800004"/>
    <n v="0.3629130029315053"/>
  </r>
  <r>
    <s v="ORD-2024-915495"/>
    <d v="2024-08-08T00:00:00"/>
    <x v="73"/>
    <d v="2024-08-20T00:00:00"/>
    <d v="2024-08-20T00:00:00"/>
    <n v="12"/>
    <n v="0"/>
    <x v="19"/>
    <s v="Q3-2024"/>
    <d v="2023-03-03T00:00:00"/>
    <s v="03-2023"/>
    <x v="3"/>
    <x v="7"/>
    <s v="Osaka"/>
    <s v="Osaka"/>
    <s v="Small Business"/>
    <s v="Retail"/>
    <x v="1"/>
    <x v="0"/>
    <x v="0"/>
    <x v="1"/>
    <s v="High"/>
    <x v="74"/>
    <x v="0"/>
    <n v="1233.3599999999999"/>
    <n v="2120.4"/>
    <n v="2120.4"/>
    <n v="0.17899999999999999"/>
    <n v="0.17899999999999999"/>
    <x v="0"/>
    <n v="20"/>
    <n v="34816.968000000001"/>
    <n v="24667.199999999997"/>
    <n v="10149.768000000004"/>
    <n v="0.29151785991244278"/>
    <n v="4007178.4706800003"/>
    <n v="0.36609386408961625"/>
  </r>
  <r>
    <s v="ORD-2025-474368"/>
    <d v="2025-04-27T00:00:00"/>
    <x v="74"/>
    <d v="2025-05-17T00:00:00"/>
    <d v="2025-05-17T00:00:00"/>
    <n v="20"/>
    <n v="0"/>
    <x v="2"/>
    <s v="Q2-2025"/>
    <d v="2023-01-13T00:00:00"/>
    <s v="01-2023"/>
    <x v="0"/>
    <x v="6"/>
    <s v="Austin"/>
    <s v="Austin"/>
    <s v="Corporate"/>
    <s v="Direct"/>
    <x v="3"/>
    <x v="14"/>
    <x v="13"/>
    <x v="5"/>
    <s v="Medium"/>
    <x v="75"/>
    <x v="0"/>
    <n v="932.26"/>
    <n v="1624.67"/>
    <n v="1624.67"/>
    <n v="0.23499999999999999"/>
    <n v="0.23499999999999999"/>
    <x v="1"/>
    <n v="28"/>
    <n v="34800.431400000001"/>
    <n v="26103.279999999999"/>
    <n v="8697.1514000000025"/>
    <n v="0.24991504559337163"/>
    <n v="4041978.9020800004"/>
    <n v="0.3692732144720437"/>
  </r>
  <r>
    <s v="ORD-2024-745822"/>
    <d v="2024-03-31T00:00:00"/>
    <x v="75"/>
    <d v="2024-04-17T00:00:00"/>
    <d v="2024-04-17T00:00:00"/>
    <n v="17"/>
    <n v="0"/>
    <x v="8"/>
    <s v="Q1-2024"/>
    <d v="2023-01-21T00:00:00"/>
    <s v="01-2023"/>
    <x v="1"/>
    <x v="4"/>
    <s v="Frankfurt"/>
    <s v="Frankfurt"/>
    <s v="Education"/>
    <s v="Direct"/>
    <x v="3"/>
    <x v="0"/>
    <x v="0"/>
    <x v="3"/>
    <s v="Medium"/>
    <x v="76"/>
    <x v="0"/>
    <n v="1025.51"/>
    <n v="1436.54"/>
    <n v="1436.54"/>
    <n v="0.13900000000000001"/>
    <n v="0.13900000000000001"/>
    <x v="0"/>
    <n v="28"/>
    <n v="34632.106319999999"/>
    <n v="28714.28"/>
    <n v="5917.8263200000001"/>
    <n v="0.17087688127656453"/>
    <n v="4076611.0084000002"/>
    <n v="0.37243718675753557"/>
  </r>
  <r>
    <s v="ORD-2023-292714"/>
    <d v="2023-07-10T00:00:00"/>
    <x v="76"/>
    <d v="2023-08-01T00:00:00"/>
    <d v="2023-08-01T00:00:00"/>
    <n v="22"/>
    <n v="0"/>
    <x v="6"/>
    <s v="Q3-2023"/>
    <d v="2023-01-10T00:00:00"/>
    <s v="01-2023"/>
    <x v="1"/>
    <x v="11"/>
    <s v="Marseille"/>
    <s v="Marseille"/>
    <s v="Consumer"/>
    <s v="Marketplace"/>
    <x v="2"/>
    <x v="1"/>
    <x v="1"/>
    <x v="6"/>
    <s v="High"/>
    <x v="77"/>
    <x v="0"/>
    <n v="1303.56"/>
    <n v="1791.37"/>
    <n v="1791.37"/>
    <n v="0.126"/>
    <n v="0.126"/>
    <x v="0"/>
    <n v="22"/>
    <n v="34444.462359999998"/>
    <n v="28678.32"/>
    <n v="5766.142359999998"/>
    <n v="0.16740404596055358"/>
    <n v="4111055.4707599999"/>
    <n v="0.37558401598266911"/>
  </r>
  <r>
    <s v="ORD-2024-437164"/>
    <d v="2024-02-20T00:00:00"/>
    <x v="77"/>
    <d v="2024-02-20T00:00:00"/>
    <d v="2024-02-20T00:00:00"/>
    <n v="0"/>
    <n v="1"/>
    <x v="13"/>
    <s v="Q1-2024"/>
    <d v="2023-01-13T00:00:00"/>
    <s v="01-2023"/>
    <x v="0"/>
    <x v="6"/>
    <s v="New York"/>
    <s v="New York"/>
    <s v="Enterprise"/>
    <s v="Online"/>
    <x v="0"/>
    <x v="5"/>
    <x v="5"/>
    <x v="1"/>
    <s v="High"/>
    <x v="78"/>
    <x v="0"/>
    <n v="1407.05"/>
    <n v="2858.93"/>
    <n v="2858.93"/>
    <n v="0"/>
    <n v="0"/>
    <x v="0"/>
    <n v="12"/>
    <n v="34307.159999999996"/>
    <n v="16884.599999999999"/>
    <n v="17422.559999999998"/>
    <n v="0.50784034586366222"/>
    <n v="4145362.6307600001"/>
    <n v="0.37871830133138468"/>
  </r>
  <r>
    <s v="ORD-2024-638884"/>
    <d v="2024-05-28T00:00:00"/>
    <x v="78"/>
    <d v="2024-05-26T00:00:00"/>
    <d v="2024-05-28T00:00:00"/>
    <n v="2"/>
    <n v="1"/>
    <x v="1"/>
    <s v="Q2-2024"/>
    <d v="2023-01-13T00:00:00"/>
    <s v="01-2023"/>
    <x v="2"/>
    <x v="2"/>
    <s v="Abuja"/>
    <s v="Abuja"/>
    <s v="Enterprise"/>
    <s v="Online"/>
    <x v="0"/>
    <x v="10"/>
    <x v="9"/>
    <x v="4"/>
    <s v="High"/>
    <x v="79"/>
    <x v="0"/>
    <n v="1227.08"/>
    <n v="1896.62"/>
    <n v="1896.62"/>
    <n v="0"/>
    <n v="0"/>
    <x v="0"/>
    <n v="18"/>
    <n v="34139.159999999996"/>
    <n v="22087.439999999999"/>
    <n v="12051.719999999998"/>
    <n v="0.353017473189147"/>
    <n v="4179501.7907600002"/>
    <n v="0.38183723828231431"/>
  </r>
  <r>
    <s v="ORD-2025-646342"/>
    <d v="2025-08-02T00:00:00"/>
    <x v="79"/>
    <d v="2025-08-08T00:00:00"/>
    <d v="2025-08-08T00:00:00"/>
    <n v="6"/>
    <n v="1"/>
    <x v="14"/>
    <s v="Q3-2025"/>
    <d v="2023-03-03T00:00:00"/>
    <s v="03-2023"/>
    <x v="3"/>
    <x v="7"/>
    <s v="Osaka"/>
    <s v="Osaka"/>
    <s v="Consumer"/>
    <s v="Direct"/>
    <x v="3"/>
    <x v="14"/>
    <x v="13"/>
    <x v="2"/>
    <s v="High"/>
    <x v="80"/>
    <x v="0"/>
    <n v="1225.94"/>
    <n v="1793.08"/>
    <n v="1793.08"/>
    <n v="0.13600000000000001"/>
    <n v="0.13600000000000001"/>
    <x v="0"/>
    <n v="22"/>
    <n v="34082.864639999993"/>
    <n v="26970.68"/>
    <n v="7112.1846399999922"/>
    <n v="0.20867332353434462"/>
    <n v="4213584.6554000005"/>
    <n v="0.38495103211670367"/>
  </r>
  <r>
    <s v="ORD-2024-907733"/>
    <d v="2024-03-09T00:00:00"/>
    <x v="80"/>
    <d v="2024-03-22T00:00:00"/>
    <d v="2024-03-22T00:00:00"/>
    <n v="13"/>
    <n v="0"/>
    <x v="8"/>
    <s v="Q1-2024"/>
    <d v="2023-01-19T00:00:00"/>
    <s v="01-2023"/>
    <x v="1"/>
    <x v="1"/>
    <s v="Manchester"/>
    <s v="Manchester"/>
    <s v="Consumer"/>
    <s v="Online"/>
    <x v="0"/>
    <x v="15"/>
    <x v="14"/>
    <x v="2"/>
    <s v="High"/>
    <x v="81"/>
    <x v="0"/>
    <n v="985.45"/>
    <n v="1802.44"/>
    <n v="1802.44"/>
    <n v="8.9999999999999993E-3"/>
    <n v="8.9999999999999993E-3"/>
    <x v="0"/>
    <n v="19"/>
    <n v="33938.142760000002"/>
    <n v="18723.55"/>
    <n v="15214.592760000003"/>
    <n v="0.44830363486867486"/>
    <n v="4247522.7981600007"/>
    <n v="0.38805160423095869"/>
  </r>
  <r>
    <s v="ORD-2024-906395"/>
    <d v="2024-03-10T00:00:00"/>
    <x v="81"/>
    <d v="2024-04-09T00:00:00"/>
    <d v="2024-04-09T00:00:00"/>
    <n v="30"/>
    <n v="0"/>
    <x v="8"/>
    <s v="Q1-2024"/>
    <d v="2023-01-10T00:00:00"/>
    <s v="01-2023"/>
    <x v="1"/>
    <x v="11"/>
    <s v="Lyon"/>
    <s v="Lyon"/>
    <s v="Corporate"/>
    <s v="Direct"/>
    <x v="3"/>
    <x v="13"/>
    <x v="12"/>
    <x v="0"/>
    <s v="High"/>
    <x v="82"/>
    <x v="0"/>
    <n v="1176.56"/>
    <n v="1911.89"/>
    <n v="1911.89"/>
    <n v="0.11899999999999999"/>
    <n v="0.11899999999999999"/>
    <x v="0"/>
    <n v="20"/>
    <n v="33687.501800000005"/>
    <n v="23531.199999999997"/>
    <n v="10156.301800000008"/>
    <n v="0.30148575160892477"/>
    <n v="4281210.2999600004"/>
    <n v="0.39112927790976415"/>
  </r>
  <r>
    <s v="ORD-2024-536442"/>
    <d v="2024-08-31T00:00:00"/>
    <x v="82"/>
    <d v="2024-09-26T00:00:00"/>
    <d v="2024-09-26T00:00:00"/>
    <n v="26"/>
    <n v="0"/>
    <x v="19"/>
    <s v="Q3-2024"/>
    <d v="2023-03-03T00:00:00"/>
    <s v="03-2023"/>
    <x v="3"/>
    <x v="7"/>
    <s v="Tokyo"/>
    <s v="Tokyo"/>
    <s v="Education"/>
    <s v="Online"/>
    <x v="0"/>
    <x v="13"/>
    <x v="12"/>
    <x v="5"/>
    <s v="High"/>
    <x v="83"/>
    <x v="0"/>
    <n v="1189.03"/>
    <n v="2949.62"/>
    <n v="2949.62"/>
    <n v="0.125"/>
    <n v="0.125"/>
    <x v="0"/>
    <n v="13"/>
    <n v="33551.927499999998"/>
    <n v="15457.39"/>
    <n v="18094.537499999999"/>
    <n v="0.53929949330034765"/>
    <n v="4314762.2274600007"/>
    <n v="0.39419456558686761"/>
  </r>
  <r>
    <s v="ORD-2023-640022"/>
    <d v="2023-08-24T00:00:00"/>
    <x v="83"/>
    <d v="2023-09-20T00:00:00"/>
    <d v="2023-09-20T00:00:00"/>
    <n v="27"/>
    <n v="0"/>
    <x v="21"/>
    <s v="Q3-2023"/>
    <d v="2023-01-07T00:00:00"/>
    <s v="01-2023"/>
    <x v="2"/>
    <x v="8"/>
    <s v="Durban"/>
    <s v="Durban"/>
    <s v="Small Business"/>
    <s v="Marketplace"/>
    <x v="2"/>
    <x v="7"/>
    <x v="6"/>
    <x v="6"/>
    <s v="High"/>
    <x v="84"/>
    <x v="0"/>
    <n v="1399.64"/>
    <n v="3342.11"/>
    <n v="3342.11"/>
    <n v="0"/>
    <n v="0"/>
    <x v="0"/>
    <n v="10"/>
    <n v="33421.1"/>
    <n v="13996.400000000001"/>
    <n v="19424.699999999997"/>
    <n v="0.58121067229983447"/>
    <n v="4348183.3274600003"/>
    <n v="0.39724790092759404"/>
  </r>
  <r>
    <s v="ORD-2025-137394"/>
    <d v="2025-01-04T00:00:00"/>
    <x v="84"/>
    <d v="2025-01-05T00:00:00"/>
    <d v="2025-01-05T00:00:00"/>
    <n v="1"/>
    <n v="1"/>
    <x v="17"/>
    <s v="Q1-2025"/>
    <d v="2023-01-29T00:00:00"/>
    <s v="01-2023"/>
    <x v="3"/>
    <x v="3"/>
    <s v="Delhi"/>
    <s v="Delhi"/>
    <s v="Education"/>
    <s v="Retail"/>
    <x v="1"/>
    <x v="13"/>
    <x v="12"/>
    <x v="0"/>
    <s v="High"/>
    <x v="85"/>
    <x v="0"/>
    <n v="1428.33"/>
    <n v="3028.05"/>
    <n v="3028.05"/>
    <n v="0"/>
    <n v="0"/>
    <x v="0"/>
    <n v="11"/>
    <n v="33308.550000000003"/>
    <n v="15711.63"/>
    <n v="17596.920000000006"/>
    <n v="0.52830039134096207"/>
    <n v="4381491.8774600001"/>
    <n v="0.40029095375539908"/>
  </r>
  <r>
    <s v="ORD-2025-915869"/>
    <d v="2025-02-06T00:00:00"/>
    <x v="85"/>
    <d v="2025-02-15T00:00:00"/>
    <d v="2025-02-15T00:00:00"/>
    <n v="9"/>
    <n v="0"/>
    <x v="30"/>
    <s v="Q1-2025"/>
    <d v="2023-01-29T00:00:00"/>
    <s v="01-2023"/>
    <x v="0"/>
    <x v="9"/>
    <s v="São Paulo"/>
    <s v="São Paulo"/>
    <s v="Non-Profit"/>
    <s v="Distributor"/>
    <x v="4"/>
    <x v="10"/>
    <x v="9"/>
    <x v="1"/>
    <s v="High"/>
    <x v="86"/>
    <x v="0"/>
    <n v="837.39"/>
    <n v="1905.42"/>
    <n v="1905.42"/>
    <n v="3.2000000000000001E-2"/>
    <n v="3.2000000000000001E-2"/>
    <x v="0"/>
    <n v="18"/>
    <n v="33200.038079999998"/>
    <n v="15073.02"/>
    <n v="18127.018079999998"/>
    <n v="0.54599389423350919"/>
    <n v="4414691.9155400004"/>
    <n v="0.40332409298729538"/>
  </r>
  <r>
    <s v="ORD-2024-331226"/>
    <d v="2024-11-30T00:00:00"/>
    <x v="86"/>
    <d v="2024-12-19T00:00:00"/>
    <d v="2024-12-19T00:00:00"/>
    <n v="19"/>
    <n v="0"/>
    <x v="5"/>
    <s v="Q4-2024"/>
    <d v="2023-01-20T00:00:00"/>
    <s v="01-2023"/>
    <x v="2"/>
    <x v="5"/>
    <s v="Kisumu"/>
    <s v="Kisumu"/>
    <s v="Corporate"/>
    <s v="Online"/>
    <x v="0"/>
    <x v="4"/>
    <x v="4"/>
    <x v="5"/>
    <s v="High"/>
    <x v="87"/>
    <x v="0"/>
    <n v="1195.98"/>
    <n v="1841.9"/>
    <n v="1841.9"/>
    <n v="5.5E-2"/>
    <n v="5.5E-2"/>
    <x v="0"/>
    <n v="19"/>
    <n v="33071.3145"/>
    <n v="22723.62"/>
    <n v="10347.694500000001"/>
    <n v="0.31289032977506842"/>
    <n v="4447763.2300400008"/>
    <n v="0.40634547209591626"/>
  </r>
  <r>
    <s v="ORD-2024-451005"/>
    <d v="2024-06-30T00:00:00"/>
    <x v="87"/>
    <d v="2024-06-28T00:00:00"/>
    <d v="2024-06-30T00:00:00"/>
    <n v="2"/>
    <n v="1"/>
    <x v="7"/>
    <s v="Q2-2024"/>
    <d v="2023-01-29T00:00:00"/>
    <s v="01-2023"/>
    <x v="0"/>
    <x v="9"/>
    <s v="Rio de Janeiro"/>
    <s v="Rio de Janeiro"/>
    <s v="Small Business"/>
    <s v="Direct"/>
    <x v="3"/>
    <x v="4"/>
    <x v="4"/>
    <x v="4"/>
    <s v="High"/>
    <x v="88"/>
    <x v="0"/>
    <n v="1112.98"/>
    <n v="2095.73"/>
    <n v="2095.73"/>
    <n v="7.1999999999999995E-2"/>
    <n v="7.1999999999999995E-2"/>
    <x v="0"/>
    <n v="17"/>
    <n v="33062.236480000007"/>
    <n v="18920.66"/>
    <n v="14141.576480000007"/>
    <n v="0.42772594916724777"/>
    <n v="4480825.4665200012"/>
    <n v="0.40936602184107251"/>
  </r>
  <r>
    <s v="ORD-2023-921939"/>
    <d v="2023-06-23T00:00:00"/>
    <x v="88"/>
    <d v="2023-07-18T00:00:00"/>
    <d v="2023-07-18T00:00:00"/>
    <n v="25"/>
    <n v="0"/>
    <x v="24"/>
    <s v="Q2-2023"/>
    <d v="2023-01-02T00:00:00"/>
    <s v="01-2023"/>
    <x v="0"/>
    <x v="0"/>
    <s v="Vancouver"/>
    <s v="Vancouver"/>
    <s v="Enterprise"/>
    <s v="Online"/>
    <x v="0"/>
    <x v="14"/>
    <x v="13"/>
    <x v="5"/>
    <s v="Medium"/>
    <x v="89"/>
    <x v="0"/>
    <n v="807.02"/>
    <n v="1435.54"/>
    <n v="1435.54"/>
    <n v="0"/>
    <n v="0"/>
    <x v="0"/>
    <n v="23"/>
    <n v="33017.42"/>
    <n v="18561.46"/>
    <n v="14455.96"/>
    <n v="0.43782827368098415"/>
    <n v="4513842.8865200011"/>
    <n v="0.41238247717454773"/>
  </r>
  <r>
    <s v="ORD-2023-561823"/>
    <d v="2023-11-19T00:00:00"/>
    <x v="89"/>
    <d v="2023-12-12T00:00:00"/>
    <d v="2023-12-12T00:00:00"/>
    <n v="23"/>
    <n v="0"/>
    <x v="31"/>
    <s v="Q4-2023"/>
    <d v="2023-01-29T00:00:00"/>
    <s v="01-2023"/>
    <x v="3"/>
    <x v="3"/>
    <s v="Delhi"/>
    <s v="Delhi"/>
    <s v="Small Business"/>
    <s v="Direct"/>
    <x v="3"/>
    <x v="5"/>
    <x v="5"/>
    <x v="1"/>
    <s v="High"/>
    <x v="90"/>
    <x v="0"/>
    <n v="1349.04"/>
    <n v="2636.6"/>
    <n v="2636.6"/>
    <n v="0.114"/>
    <n v="0.114"/>
    <x v="0"/>
    <n v="14"/>
    <n v="32704.386400000003"/>
    <n v="18886.559999999998"/>
    <n v="13817.826400000005"/>
    <n v="0.42250682312143928"/>
    <n v="4546547.2729200013"/>
    <n v="0.41537033391151612"/>
  </r>
  <r>
    <s v="ORD-2023-308124"/>
    <d v="2023-04-19T00:00:00"/>
    <x v="90"/>
    <d v="2023-04-30T00:00:00"/>
    <d v="2023-04-30T00:00:00"/>
    <n v="11"/>
    <n v="0"/>
    <x v="15"/>
    <s v="Q2-2023"/>
    <d v="2023-01-29T00:00:00"/>
    <s v="01-2023"/>
    <x v="3"/>
    <x v="3"/>
    <s v="Delhi"/>
    <s v="Delhi"/>
    <s v="Small Business"/>
    <s v="Retail"/>
    <x v="1"/>
    <x v="6"/>
    <x v="2"/>
    <x v="1"/>
    <s v="Medium"/>
    <x v="91"/>
    <x v="0"/>
    <n v="826.55"/>
    <n v="1397.05"/>
    <n v="1397.05"/>
    <n v="0.16900000000000001"/>
    <n v="0.16900000000000001"/>
    <x v="0"/>
    <n v="28"/>
    <n v="32506.559399999998"/>
    <n v="23143.399999999998"/>
    <n v="9363.1594000000005"/>
    <n v="0.28803907804527601"/>
    <n v="4579053.832320001"/>
    <n v="0.41834011727057502"/>
  </r>
  <r>
    <s v="ORD-2024-310809"/>
    <d v="2024-04-05T00:00:00"/>
    <x v="91"/>
    <d v="2024-04-09T00:00:00"/>
    <d v="2024-04-09T00:00:00"/>
    <n v="4"/>
    <n v="1"/>
    <x v="22"/>
    <s v="Q2-2024"/>
    <d v="2023-01-13T00:00:00"/>
    <s v="01-2023"/>
    <x v="2"/>
    <x v="2"/>
    <s v="Lagos"/>
    <s v="Lagos"/>
    <s v="Non-Profit"/>
    <s v="Direct"/>
    <x v="3"/>
    <x v="3"/>
    <x v="3"/>
    <x v="0"/>
    <s v="Medium"/>
    <x v="92"/>
    <x v="0"/>
    <n v="395.07"/>
    <n v="970.27"/>
    <n v="970.27"/>
    <n v="0.123"/>
    <n v="0.123"/>
    <x v="0"/>
    <n v="38"/>
    <n v="32335.21802"/>
    <n v="15012.66"/>
    <n v="17322.55802"/>
    <n v="0.53571799049833657"/>
    <n v="4611389.0503400005"/>
    <n v="0.42129424696500639"/>
  </r>
  <r>
    <s v="ORD-2023-545150"/>
    <d v="2023-04-06T00:00:00"/>
    <x v="41"/>
    <d v="2023-04-08T00:00:00"/>
    <d v="2023-04-08T00:00:00"/>
    <n v="2"/>
    <n v="1"/>
    <x v="15"/>
    <s v="Q2-2023"/>
    <d v="2023-01-13T00:00:00"/>
    <s v="01-2023"/>
    <x v="2"/>
    <x v="2"/>
    <s v="Abuja"/>
    <s v="Abuja"/>
    <s v="Small Business"/>
    <s v="Marketplace"/>
    <x v="2"/>
    <x v="3"/>
    <x v="3"/>
    <x v="3"/>
    <s v="Medium"/>
    <x v="93"/>
    <x v="0"/>
    <n v="720.35"/>
    <n v="1571.66"/>
    <n v="1571.66"/>
    <n v="0.107"/>
    <n v="0.107"/>
    <x v="0"/>
    <n v="23"/>
    <n v="32280.32474"/>
    <n v="16568.05"/>
    <n v="15712.274740000001"/>
    <n v="0.4867446305622265"/>
    <n v="4643669.3750800006"/>
    <n v="0.4242433616362401"/>
  </r>
  <r>
    <s v="ORD-2023-912395"/>
    <d v="2023-07-26T00:00:00"/>
    <x v="92"/>
    <d v="2023-08-25T00:00:00"/>
    <d v="2023-08-25T00:00:00"/>
    <n v="30"/>
    <n v="0"/>
    <x v="6"/>
    <s v="Q3-2023"/>
    <d v="2023-01-13T00:00:00"/>
    <s v="01-2023"/>
    <x v="0"/>
    <x v="6"/>
    <s v="New York"/>
    <s v="New York"/>
    <s v="Consumer"/>
    <s v="Retail"/>
    <x v="1"/>
    <x v="7"/>
    <x v="6"/>
    <x v="4"/>
    <s v="High"/>
    <x v="94"/>
    <x v="0"/>
    <n v="1261.48"/>
    <n v="1643.18"/>
    <n v="1643.18"/>
    <n v="0.151"/>
    <n v="0.151"/>
    <x v="0"/>
    <n v="23"/>
    <n v="32086.37586"/>
    <n v="29014.04"/>
    <n v="3072.3358599999992"/>
    <n v="9.5752037357079045E-2"/>
    <n v="4675755.7509400006"/>
    <n v="0.4271747572327097"/>
  </r>
  <r>
    <s v="ORD-2023-472078"/>
    <d v="2023-02-28T00:00:00"/>
    <x v="93"/>
    <d v="2023-03-06T00:00:00"/>
    <d v="2023-03-06T00:00:00"/>
    <n v="6"/>
    <n v="1"/>
    <x v="4"/>
    <s v="Q1-2023"/>
    <d v="2023-01-21T00:00:00"/>
    <s v="01-2023"/>
    <x v="1"/>
    <x v="4"/>
    <s v="Frankfurt"/>
    <s v="Frankfurt"/>
    <s v="Small Business"/>
    <s v="Marketplace"/>
    <x v="2"/>
    <x v="11"/>
    <x v="10"/>
    <x v="6"/>
    <s v="Medium"/>
    <x v="95"/>
    <x v="0"/>
    <n v="880.02"/>
    <n v="1251.21"/>
    <n v="1251.21"/>
    <n v="0.123"/>
    <n v="0.123"/>
    <x v="0"/>
    <n v="29"/>
    <n v="31822.023930000003"/>
    <n v="25520.579999999998"/>
    <n v="6301.4439300000049"/>
    <n v="0.19802146915172672"/>
    <n v="4707577.7748700008"/>
    <n v="0.43008200176622036"/>
  </r>
  <r>
    <s v="ORD-2025-765220"/>
    <d v="2025-04-06T00:00:00"/>
    <x v="94"/>
    <d v="2025-04-30T00:00:00"/>
    <d v="2025-04-30T00:00:00"/>
    <n v="24"/>
    <n v="0"/>
    <x v="2"/>
    <s v="Q2-2025"/>
    <d v="2023-01-29T00:00:00"/>
    <s v="01-2023"/>
    <x v="0"/>
    <x v="9"/>
    <s v="Brasília"/>
    <s v="Brasília"/>
    <s v="Education"/>
    <s v="Online"/>
    <x v="0"/>
    <x v="3"/>
    <x v="3"/>
    <x v="3"/>
    <s v="Medium"/>
    <x v="96"/>
    <x v="0"/>
    <n v="855.78"/>
    <n v="977.38"/>
    <n v="977.38"/>
    <n v="0.14699999999999999"/>
    <n v="0.14699999999999999"/>
    <x v="0"/>
    <n v="38"/>
    <n v="31680.795320000001"/>
    <n v="32519.64"/>
    <n v="838.84467999999833"/>
    <n v="2.6478018355506307E-2"/>
    <n v="4739258.5701900003"/>
    <n v="0.43297634372303434"/>
  </r>
  <r>
    <s v="ORD-2025-700847"/>
    <d v="2025-05-21T00:00:00"/>
    <x v="59"/>
    <d v="2025-05-19T00:00:00"/>
    <d v="2025-05-21T00:00:00"/>
    <n v="2"/>
    <n v="1"/>
    <x v="12"/>
    <s v="Q2-2025"/>
    <d v="2023-01-07T00:00:00"/>
    <s v="01-2023"/>
    <x v="2"/>
    <x v="8"/>
    <s v="Johannesburg"/>
    <s v="Johannesburg"/>
    <s v="Non-Profit"/>
    <s v="Distributor"/>
    <x v="4"/>
    <x v="8"/>
    <x v="7"/>
    <x v="2"/>
    <s v="High"/>
    <x v="97"/>
    <x v="0"/>
    <n v="1263.8399999999999"/>
    <n v="2281.7199999999998"/>
    <n v="2281.7199999999998"/>
    <n v="7.8E-2"/>
    <n v="7.8E-2"/>
    <x v="0"/>
    <n v="15"/>
    <n v="31556.187599999997"/>
    <n v="18957.599999999999"/>
    <n v="12598.587599999999"/>
    <n v="0.39924301882398494"/>
    <n v="4770814.7577900002"/>
    <n v="0.4358593015795284"/>
  </r>
  <r>
    <s v="ORD-2024-465898"/>
    <d v="2024-06-06T00:00:00"/>
    <x v="95"/>
    <d v="2024-06-24T00:00:00"/>
    <d v="2024-06-24T00:00:00"/>
    <n v="18"/>
    <n v="0"/>
    <x v="7"/>
    <s v="Q2-2024"/>
    <d v="2023-01-29T00:00:00"/>
    <s v="01-2023"/>
    <x v="3"/>
    <x v="3"/>
    <s v="Bengaluru"/>
    <s v="Bengaluru"/>
    <s v="Small Business"/>
    <s v="Direct"/>
    <x v="3"/>
    <x v="0"/>
    <x v="0"/>
    <x v="1"/>
    <s v="High"/>
    <x v="98"/>
    <x v="0"/>
    <n v="1253.25"/>
    <n v="3087.13"/>
    <n v="3087.13"/>
    <n v="7.1999999999999995E-2"/>
    <n v="7.1999999999999995E-2"/>
    <x v="0"/>
    <n v="11"/>
    <n v="31513.423040000001"/>
    <n v="13785.75"/>
    <n v="17727.673040000001"/>
    <n v="0.562543555408064"/>
    <n v="4802328.18083"/>
    <n v="0.43873835248674858"/>
  </r>
  <r>
    <s v="ORD-2023-842820"/>
    <d v="2023-09-20T00:00:00"/>
    <x v="96"/>
    <d v="2023-09-28T00:00:00"/>
    <d v="2023-09-28T00:00:00"/>
    <n v="8"/>
    <n v="0"/>
    <x v="32"/>
    <s v="Q3-2023"/>
    <d v="2023-01-29T00:00:00"/>
    <s v="01-2023"/>
    <x v="3"/>
    <x v="3"/>
    <m/>
    <s v="Delhi"/>
    <s v="Corporate"/>
    <m/>
    <x v="2"/>
    <x v="1"/>
    <x v="1"/>
    <x v="4"/>
    <s v="High"/>
    <x v="99"/>
    <x v="0"/>
    <n v="1362.06"/>
    <n v="3398.37"/>
    <n v="3398.37"/>
    <n v="0.157"/>
    <n v="0.157"/>
    <x v="0"/>
    <n v="11"/>
    <n v="31513.085009999999"/>
    <n v="14982.66"/>
    <n v="16530.425009999999"/>
    <n v="0.52455749745714919"/>
    <n v="4833841.2658399995"/>
    <n v="0.44161737251171329"/>
  </r>
  <r>
    <s v="ORD-2024-998320"/>
    <d v="2024-10-25T00:00:00"/>
    <x v="97"/>
    <d v="2024-11-14T00:00:00"/>
    <d v="2024-11-14T00:00:00"/>
    <n v="20"/>
    <n v="0"/>
    <x v="20"/>
    <s v="Q4-2024"/>
    <d v="2023-01-20T00:00:00"/>
    <s v="01-2023"/>
    <x v="2"/>
    <x v="5"/>
    <s v="Mombasa"/>
    <s v="Mombasa"/>
    <s v="Corporate"/>
    <s v="Direct"/>
    <x v="3"/>
    <x v="0"/>
    <x v="0"/>
    <x v="6"/>
    <s v="High"/>
    <x v="100"/>
    <x v="0"/>
    <n v="1396.48"/>
    <n v="3204.5"/>
    <n v="3204.5"/>
    <n v="0.318"/>
    <n v="0.3"/>
    <x v="1"/>
    <n v="14"/>
    <n v="31404.1"/>
    <n v="19550.72"/>
    <n v="11853.379999999997"/>
    <n v="0.3774468938769141"/>
    <n v="4865245.3658399992"/>
    <n v="0.44448643571949842"/>
  </r>
  <r>
    <s v="ORD-2024-444710"/>
    <d v="2024-09-22T00:00:00"/>
    <x v="98"/>
    <d v="2024-10-01T00:00:00"/>
    <d v="2024-10-01T00:00:00"/>
    <n v="9"/>
    <n v="0"/>
    <x v="27"/>
    <s v="Q3-2024"/>
    <d v="2023-01-29T00:00:00"/>
    <s v="01-2023"/>
    <x v="0"/>
    <x v="9"/>
    <s v="São Paulo"/>
    <s v="São Paulo"/>
    <s v="Non-Profit"/>
    <s v="Online"/>
    <x v="0"/>
    <x v="3"/>
    <x v="3"/>
    <x v="3"/>
    <s v="High"/>
    <x v="101"/>
    <x v="0"/>
    <n v="1378.8"/>
    <n v="1952.04"/>
    <n v="1952.04"/>
    <n v="0.159"/>
    <n v="0.159"/>
    <x v="0"/>
    <n v="19"/>
    <n v="31191.64716"/>
    <n v="26197.200000000001"/>
    <n v="4994.4471599999997"/>
    <n v="0.16012130216723058"/>
    <n v="4896437.0129999993"/>
    <n v="0.44733608933978913"/>
  </r>
  <r>
    <s v="ORD-2024-690270"/>
    <d v="2024-05-17T00:00:00"/>
    <x v="99"/>
    <d v="2024-05-27T00:00:00"/>
    <d v="2024-05-27T00:00:00"/>
    <n v="10"/>
    <n v="0"/>
    <x v="1"/>
    <s v="Q2-2024"/>
    <d v="2023-01-13T00:00:00"/>
    <s v="01-2023"/>
    <x v="0"/>
    <x v="6"/>
    <s v="Austin"/>
    <s v="Austin"/>
    <s v="Non-Profit"/>
    <s v="Online"/>
    <x v="0"/>
    <x v="5"/>
    <x v="5"/>
    <x v="5"/>
    <s v="High"/>
    <x v="102"/>
    <x v="0"/>
    <n v="1484.23"/>
    <n v="3472.81"/>
    <n v="3472.81"/>
    <n v="0.25600000000000001"/>
    <n v="0.25600000000000001"/>
    <x v="1"/>
    <n v="12"/>
    <n v="31005.24768"/>
    <n v="17810.760000000002"/>
    <n v="13194.487679999998"/>
    <n v="0.42555659661803413"/>
    <n v="4927442.2606799994"/>
    <n v="0.45016871359480531"/>
  </r>
  <r>
    <s v="ORD-2024-165942"/>
    <d v="2024-12-29T00:00:00"/>
    <x v="100"/>
    <d v="2025-01-12T00:00:00"/>
    <d v="2025-01-12T00:00:00"/>
    <n v="14"/>
    <n v="0"/>
    <x v="11"/>
    <s v="Q4-2024"/>
    <d v="2023-01-19T00:00:00"/>
    <s v="01-2023"/>
    <x v="1"/>
    <x v="1"/>
    <s v="Manchester"/>
    <s v="Manchester"/>
    <s v="Corporate"/>
    <s v="Direct"/>
    <x v="3"/>
    <x v="1"/>
    <x v="1"/>
    <x v="3"/>
    <s v="High"/>
    <x v="103"/>
    <x v="0"/>
    <n v="1399.72"/>
    <n v="3149.21"/>
    <n v="3149.21"/>
    <n v="0.185"/>
    <n v="0.185"/>
    <x v="0"/>
    <n v="12"/>
    <n v="30799.273800000003"/>
    <n v="16796.64"/>
    <n v="14002.633800000003"/>
    <n v="0.45464168703873797"/>
    <n v="4958241.534479999"/>
    <n v="0.45298252017694207"/>
  </r>
  <r>
    <s v="ORD-2023-434071"/>
    <d v="2023-06-20T00:00:00"/>
    <x v="35"/>
    <d v="2023-07-04T00:00:00"/>
    <d v="2023-07-04T00:00:00"/>
    <n v="14"/>
    <n v="0"/>
    <x v="24"/>
    <s v="Q2-2023"/>
    <d v="2023-01-29T00:00:00"/>
    <s v="01-2023"/>
    <x v="0"/>
    <x v="9"/>
    <s v="Brasília"/>
    <s v="Brasília"/>
    <s v="Non-Profit"/>
    <s v="Direct"/>
    <x v="3"/>
    <x v="5"/>
    <x v="5"/>
    <x v="1"/>
    <s v="High"/>
    <x v="104"/>
    <x v="0"/>
    <n v="1292.8599999999999"/>
    <n v="2981.01"/>
    <n v="2981.01"/>
    <n v="0.14199999999999999"/>
    <n v="0.14199999999999999"/>
    <x v="0"/>
    <n v="12"/>
    <n v="30692.47896"/>
    <n v="15514.32"/>
    <n v="15178.158960000001"/>
    <n v="0.49452372288927687"/>
    <n v="4988934.013439999"/>
    <n v="0.45578657003475859"/>
  </r>
  <r>
    <s v="ORD-2024-626925"/>
    <d v="2024-06-07T00:00:00"/>
    <x v="16"/>
    <d v="2024-06-09T00:00:00"/>
    <d v="2024-06-09T00:00:00"/>
    <n v="2"/>
    <n v="1"/>
    <x v="7"/>
    <s v="Q2-2024"/>
    <d v="2023-01-12T00:00:00"/>
    <s v="01-2023"/>
    <x v="3"/>
    <x v="10"/>
    <s v="Shanghai"/>
    <s v="Shanghai"/>
    <s v="Corporate"/>
    <s v="Retail"/>
    <x v="1"/>
    <x v="8"/>
    <x v="7"/>
    <x v="3"/>
    <s v="High"/>
    <x v="105"/>
    <x v="0"/>
    <n v="1370.28"/>
    <n v="2209.66"/>
    <n v="2209.66"/>
    <n v="0.13300000000000001"/>
    <n v="0.13300000000000001"/>
    <x v="0"/>
    <n v="16"/>
    <n v="30652.403519999996"/>
    <n v="21924.48"/>
    <n v="8727.9235199999966"/>
    <n v="0.28473863442079589"/>
    <n v="5019586.4169599991"/>
    <n v="0.45858695861998838"/>
  </r>
  <r>
    <s v="ORD-2023-290237"/>
    <d v="2023-07-30T00:00:00"/>
    <x v="101"/>
    <d v="2023-08-07T00:00:00"/>
    <d v="2023-08-07T00:00:00"/>
    <n v="8"/>
    <n v="0"/>
    <x v="6"/>
    <s v="Q3-2023"/>
    <d v="2023-03-03T00:00:00"/>
    <s v="03-2023"/>
    <x v="3"/>
    <x v="7"/>
    <s v="Nagoya"/>
    <s v="Nagoya"/>
    <s v="Education"/>
    <s v="Marketplace"/>
    <x v="2"/>
    <x v="6"/>
    <x v="2"/>
    <x v="1"/>
    <s v="High"/>
    <x v="106"/>
    <x v="0"/>
    <n v="1352.44"/>
    <n v="2698.01"/>
    <n v="2698.01"/>
    <n v="0.13100000000000001"/>
    <n v="0.13100000000000001"/>
    <x v="0"/>
    <n v="13"/>
    <n v="30479.418970000002"/>
    <n v="17581.72"/>
    <n v="12897.698970000001"/>
    <n v="0.42316091992090887"/>
    <n v="5050065.8359299991"/>
    <n v="0.46137154342138359"/>
  </r>
  <r>
    <s v="ORD-2025-803803"/>
    <d v="2025-08-28T00:00:00"/>
    <x v="102"/>
    <d v="2025-09-05T00:00:00"/>
    <d v="2025-09-05T00:00:00"/>
    <n v="8"/>
    <n v="0"/>
    <x v="14"/>
    <s v="Q3-2025"/>
    <d v="2023-01-13T00:00:00"/>
    <s v="01-2023"/>
    <x v="2"/>
    <x v="2"/>
    <s v="Port Harcourt"/>
    <s v="Port Harcourt"/>
    <s v="Small Business"/>
    <s v="Marketplace"/>
    <x v="2"/>
    <x v="15"/>
    <x v="14"/>
    <x v="2"/>
    <s v="High"/>
    <x v="107"/>
    <x v="0"/>
    <n v="1271.0999999999999"/>
    <n v="1932.42"/>
    <n v="1932.42"/>
    <n v="0.25"/>
    <n v="0.25"/>
    <x v="1"/>
    <n v="21"/>
    <n v="30435.614999999998"/>
    <n v="26693.1"/>
    <n v="3742.5149999999994"/>
    <n v="0.12296498690760807"/>
    <n v="5080501.4509299994"/>
    <n v="0.46415212631351599"/>
  </r>
  <r>
    <s v="ORD-2024-817997"/>
    <d v="2024-07-28T00:00:00"/>
    <x v="103"/>
    <d v="2024-08-23T00:00:00"/>
    <d v="2024-08-23T00:00:00"/>
    <n v="26"/>
    <n v="0"/>
    <x v="9"/>
    <s v="Q3-2024"/>
    <d v="2023-01-29T00:00:00"/>
    <s v="01-2023"/>
    <x v="3"/>
    <x v="3"/>
    <s v="Hyderabad"/>
    <s v="Hyderabad"/>
    <s v="Corporate"/>
    <s v="Retail"/>
    <x v="1"/>
    <x v="9"/>
    <x v="8"/>
    <x v="1"/>
    <s v="Medium"/>
    <x v="108"/>
    <x v="0"/>
    <n v="1339.24"/>
    <n v="1558.89"/>
    <n v="1558.89"/>
    <n v="0.192"/>
    <n v="0.192"/>
    <x v="0"/>
    <n v="24"/>
    <n v="30229.994880000002"/>
    <n v="32141.760000000002"/>
    <n v="1911.76512"/>
    <n v="6.3240669659021781E-2"/>
    <n v="5110731.4458099995"/>
    <n v="0.46691392385210939"/>
  </r>
  <r>
    <s v="ORD-2024-223618"/>
    <d v="2024-06-10T00:00:00"/>
    <x v="104"/>
    <d v="2024-06-11T00:00:00"/>
    <d v="2024-06-11T00:00:00"/>
    <n v="1"/>
    <n v="1"/>
    <x v="7"/>
    <s v="Q2-2024"/>
    <d v="2023-01-19T00:00:00"/>
    <s v="01-2023"/>
    <x v="1"/>
    <x v="1"/>
    <s v="Birmingham"/>
    <s v="Birmingham"/>
    <s v="Small Business"/>
    <s v="Marketplace"/>
    <x v="2"/>
    <x v="7"/>
    <x v="6"/>
    <x v="2"/>
    <s v="High"/>
    <x v="109"/>
    <x v="0"/>
    <n v="1187.1300000000001"/>
    <n v="1795.17"/>
    <n v="1795.17"/>
    <n v="1.2E-2"/>
    <n v="1.2E-2"/>
    <x v="0"/>
    <n v="17"/>
    <n v="30151.675319999998"/>
    <n v="20181.210000000003"/>
    <n v="9970.4653199999957"/>
    <n v="0.33067699271046663"/>
    <n v="5140883.1211299999"/>
    <n v="0.46966856615402847"/>
  </r>
  <r>
    <s v="ORD-2024-140633"/>
    <d v="2024-12-07T00:00:00"/>
    <x v="105"/>
    <d v="2024-12-26T00:00:00"/>
    <d v="2024-12-26T00:00:00"/>
    <n v="19"/>
    <n v="0"/>
    <x v="11"/>
    <s v="Q4-2024"/>
    <d v="2023-01-19T00:00:00"/>
    <s v="01-2023"/>
    <x v="1"/>
    <x v="1"/>
    <s v="London"/>
    <s v="London"/>
    <s v="Enterprise"/>
    <s v="Online"/>
    <x v="0"/>
    <x v="11"/>
    <x v="10"/>
    <x v="1"/>
    <s v="High"/>
    <x v="110"/>
    <x v="0"/>
    <n v="1035.24"/>
    <n v="2383.41"/>
    <n v="2383.41"/>
    <n v="0.17"/>
    <n v="0.17"/>
    <x v="0"/>
    <n v="15"/>
    <n v="29673.454499999993"/>
    <n v="15528.6"/>
    <n v="14144.854499999992"/>
    <n v="0.47668378145860962"/>
    <n v="5170556.5756299999"/>
    <n v="0.47237951843585907"/>
  </r>
  <r>
    <s v="ORD-2025-931538"/>
    <d v="2025-02-09T00:00:00"/>
    <x v="106"/>
    <d v="2025-03-01T00:00:00"/>
    <d v="2025-03-01T00:00:00"/>
    <n v="20"/>
    <n v="0"/>
    <x v="30"/>
    <s v="Q1-2025"/>
    <d v="2023-01-29T00:00:00"/>
    <s v="01-2023"/>
    <x v="0"/>
    <x v="9"/>
    <s v="São Paulo"/>
    <s v="São Paulo"/>
    <s v="Corporate"/>
    <s v="Distributor"/>
    <x v="4"/>
    <x v="1"/>
    <x v="1"/>
    <x v="2"/>
    <s v="High"/>
    <x v="111"/>
    <x v="0"/>
    <n v="1154.6400000000001"/>
    <n v="2794.13"/>
    <n v="2794.13"/>
    <n v="3.5000000000000003E-2"/>
    <n v="3.5000000000000003E-2"/>
    <x v="0"/>
    <n v="11"/>
    <n v="29659.68995"/>
    <n v="12701.04"/>
    <n v="16958.649949999999"/>
    <n v="0.57177435025749479"/>
    <n v="5200216.2655799994"/>
    <n v="0.47508921319513758"/>
  </r>
  <r>
    <s v="ORD-2024-201376"/>
    <d v="2024-02-18T00:00:00"/>
    <x v="61"/>
    <d v="2024-03-04T00:00:00"/>
    <d v="2024-03-04T00:00:00"/>
    <n v="15"/>
    <n v="0"/>
    <x v="13"/>
    <s v="Q1-2024"/>
    <d v="2023-01-20T00:00:00"/>
    <s v="01-2023"/>
    <x v="2"/>
    <x v="5"/>
    <s v="Kisumu"/>
    <s v="Kisumu"/>
    <s v="Education"/>
    <s v="Direct"/>
    <x v="3"/>
    <x v="3"/>
    <x v="3"/>
    <x v="6"/>
    <s v="High"/>
    <x v="112"/>
    <x v="0"/>
    <n v="928.68"/>
    <n v="2145.17"/>
    <n v="2145.17"/>
    <n v="0.13600000000000001"/>
    <n v="0.13600000000000001"/>
    <x v="0"/>
    <n v="16"/>
    <n v="29654.83008"/>
    <n v="14858.88"/>
    <n v="14795.950080000001"/>
    <n v="0.49893896003062177"/>
    <n v="5229871.0956599992"/>
    <n v="0.47779846395907116"/>
  </r>
  <r>
    <s v="ORD-2025-831576"/>
    <d v="2025-09-15T00:00:00"/>
    <x v="107"/>
    <d v="2025-09-25T00:00:00"/>
    <d v="2025-09-25T00:00:00"/>
    <n v="10"/>
    <n v="0"/>
    <x v="29"/>
    <s v="Q3-2025"/>
    <d v="2023-01-29T00:00:00"/>
    <s v="01-2023"/>
    <x v="3"/>
    <x v="3"/>
    <s v="Delhi"/>
    <s v="Delhi"/>
    <s v="Consumer"/>
    <s v="Retail"/>
    <x v="1"/>
    <x v="6"/>
    <x v="2"/>
    <x v="5"/>
    <s v="Medium"/>
    <x v="113"/>
    <x v="0"/>
    <n v="1488.91"/>
    <n v="1483.74"/>
    <n v="1483.74"/>
    <n v="0.16800000000000001"/>
    <n v="0.16800000000000001"/>
    <x v="0"/>
    <n v="24"/>
    <n v="29627.320319999999"/>
    <n v="35733.840000000004"/>
    <n v="6106.5196800000049"/>
    <n v="0.20611110333450519"/>
    <n v="5259498.4159799991"/>
    <n v="0.48050520144479364"/>
  </r>
  <r>
    <s v="ORD-2023-369160"/>
    <d v="2023-07-24T00:00:00"/>
    <x v="108"/>
    <d v="2023-08-13T00:00:00"/>
    <d v="2023-08-13T00:00:00"/>
    <n v="20"/>
    <n v="0"/>
    <x v="6"/>
    <s v="Q3-2023"/>
    <d v="2023-01-02T00:00:00"/>
    <s v="01-2023"/>
    <x v="0"/>
    <x v="0"/>
    <s v="Montreal"/>
    <s v="Montreal"/>
    <s v="Education"/>
    <s v="Direct"/>
    <x v="3"/>
    <x v="5"/>
    <x v="5"/>
    <x v="3"/>
    <s v="High"/>
    <x v="114"/>
    <x v="0"/>
    <n v="1082.3800000000001"/>
    <n v="1766.55"/>
    <n v="1766.55"/>
    <n v="0.16400000000000001"/>
    <n v="0.16400000000000001"/>
    <x v="0"/>
    <n v="20"/>
    <n v="29536.716"/>
    <n v="21647.600000000002"/>
    <n v="7889.1159999999982"/>
    <n v="0.26709523157550752"/>
    <n v="5289035.1319799991"/>
    <n v="0.48320366136417991"/>
  </r>
  <r>
    <s v="ORD-2025-418232"/>
    <d v="2025-08-01T00:00:00"/>
    <x v="109"/>
    <d v="2025-08-21T00:00:00"/>
    <d v="2025-08-21T00:00:00"/>
    <n v="20"/>
    <n v="0"/>
    <x v="14"/>
    <s v="Q3-2025"/>
    <d v="2023-01-12T00:00:00"/>
    <s v="01-2023"/>
    <x v="3"/>
    <x v="10"/>
    <s v="Shanghai"/>
    <s v="Shanghai"/>
    <s v="Corporate"/>
    <s v="Direct"/>
    <x v="3"/>
    <x v="13"/>
    <x v="12"/>
    <x v="5"/>
    <s v="High"/>
    <x v="115"/>
    <x v="0"/>
    <n v="1220.4100000000001"/>
    <n v="2552.2199999999998"/>
    <n v="2552.2199999999998"/>
    <n v="0.18099999999999999"/>
    <n v="0.18099999999999999"/>
    <x v="0"/>
    <n v="14"/>
    <n v="29263.754519999995"/>
    <n v="17085.740000000002"/>
    <n v="12178.014519999993"/>
    <n v="0.41614668793360271"/>
    <n v="5318298.8864999991"/>
    <n v="0.48587718365633248"/>
  </r>
  <r>
    <s v="ORD-2025-262434"/>
    <d v="2025-06-19T00:00:00"/>
    <x v="58"/>
    <d v="2025-06-21T00:00:00"/>
    <d v="2025-06-21T00:00:00"/>
    <n v="2"/>
    <n v="1"/>
    <x v="25"/>
    <s v="Q2-2025"/>
    <d v="2023-01-07T00:00:00"/>
    <s v="01-2023"/>
    <x v="2"/>
    <x v="8"/>
    <s v="Johannesburg"/>
    <s v="Johannesburg"/>
    <s v="Small Business"/>
    <m/>
    <x v="4"/>
    <x v="0"/>
    <x v="0"/>
    <x v="5"/>
    <s v="High"/>
    <x v="116"/>
    <x v="0"/>
    <n v="1466.27"/>
    <n v="3589.89"/>
    <n v="3589.89"/>
    <n v="9.7000000000000003E-2"/>
    <n v="9.7000000000000003E-2"/>
    <x v="0"/>
    <n v="9"/>
    <n v="29175.036029999999"/>
    <n v="13196.43"/>
    <n v="15978.606029999999"/>
    <n v="0.54768076425234147"/>
    <n v="5347473.9225299992"/>
    <n v="0.4885426006706548"/>
  </r>
  <r>
    <s v="ORD-2024-371409"/>
    <d v="2024-11-17T00:00:00"/>
    <x v="110"/>
    <d v="2024-11-28T00:00:00"/>
    <d v="2024-11-28T00:00:00"/>
    <n v="11"/>
    <n v="0"/>
    <x v="5"/>
    <s v="Q4-2024"/>
    <d v="2023-01-02T00:00:00"/>
    <s v="01-2023"/>
    <x v="0"/>
    <x v="0"/>
    <m/>
    <s v="Vancouver"/>
    <s v="Consumer"/>
    <s v="Distributor"/>
    <x v="4"/>
    <x v="6"/>
    <x v="2"/>
    <x v="6"/>
    <s v="High"/>
    <x v="117"/>
    <x v="0"/>
    <n v="1008.16"/>
    <n v="2077.5"/>
    <n v="2077.5"/>
    <n v="7.3999999999999996E-2"/>
    <n v="7.3999999999999996E-2"/>
    <x v="0"/>
    <n v="15"/>
    <n v="28856.475000000002"/>
    <n v="15122.4"/>
    <n v="13734.075000000003"/>
    <n v="0.47594430712691005"/>
    <n v="5376330.3975299988"/>
    <n v="0.49117891410517039"/>
  </r>
  <r>
    <s v="ORD-2025-146850"/>
    <d v="2025-01-21T00:00:00"/>
    <x v="111"/>
    <d v="2025-02-14T00:00:00"/>
    <d v="2025-02-14T00:00:00"/>
    <n v="24"/>
    <n v="0"/>
    <x v="17"/>
    <s v="Q1-2025"/>
    <d v="2023-01-20T00:00:00"/>
    <s v="01-2023"/>
    <x v="2"/>
    <x v="5"/>
    <s v="Nairobi"/>
    <s v="Nairobi"/>
    <s v="Small Business"/>
    <s v="Retail"/>
    <x v="1"/>
    <x v="9"/>
    <x v="8"/>
    <x v="4"/>
    <s v="High"/>
    <x v="118"/>
    <x v="0"/>
    <n v="1030.44"/>
    <n v="2562.84"/>
    <n v="2562.84"/>
    <n v="0.14799999999999999"/>
    <n v="0.14799999999999999"/>
    <x v="0"/>
    <n v="13"/>
    <n v="28386.015839999996"/>
    <n v="13395.720000000001"/>
    <n v="14990.295839999995"/>
    <n v="0.52808734852027039"/>
    <n v="5404716.4133699983"/>
    <n v="0.49377224662105679"/>
  </r>
  <r>
    <s v="ORD-2024-571797"/>
    <d v="2024-07-11T00:00:00"/>
    <x v="112"/>
    <d v="2024-07-31T00:00:00"/>
    <d v="2024-07-31T00:00:00"/>
    <n v="20"/>
    <n v="0"/>
    <x v="9"/>
    <s v="Q3-2024"/>
    <d v="2023-01-12T00:00:00"/>
    <s v="01-2023"/>
    <x v="3"/>
    <x v="10"/>
    <s v="Shenzhen"/>
    <s v="Shenzhen"/>
    <s v="Consumer"/>
    <s v="Online"/>
    <x v="0"/>
    <x v="12"/>
    <x v="11"/>
    <x v="5"/>
    <s v="Medium"/>
    <x v="119"/>
    <x v="0"/>
    <n v="647.26"/>
    <n v="1374.72"/>
    <n v="1374.72"/>
    <n v="6.6000000000000003E-2"/>
    <n v="6.6000000000000003E-2"/>
    <x v="0"/>
    <n v="22"/>
    <n v="28247.74656"/>
    <n v="14239.72"/>
    <n v="14008.02656"/>
    <n v="0.49589890401508901"/>
    <n v="5432964.1599299982"/>
    <n v="0.49635294692318727"/>
  </r>
  <r>
    <s v="ORD-2024-777623"/>
    <d v="2024-09-19T00:00:00"/>
    <x v="113"/>
    <d v="2024-10-14T00:00:00"/>
    <d v="2024-10-14T00:00:00"/>
    <n v="25"/>
    <n v="0"/>
    <x v="27"/>
    <s v="Q3-2024"/>
    <d v="2023-01-29T00:00:00"/>
    <s v="01-2023"/>
    <x v="0"/>
    <x v="9"/>
    <s v="Rio de Janeiro"/>
    <s v="Rio de Janeiro"/>
    <s v="Small Business"/>
    <s v="Retail"/>
    <x v="1"/>
    <x v="3"/>
    <x v="3"/>
    <x v="6"/>
    <s v="Medium"/>
    <x v="120"/>
    <x v="0"/>
    <n v="386.96"/>
    <n v="937.46"/>
    <n v="937.46"/>
    <n v="0.26600000000000001"/>
    <n v="0.26600000000000001"/>
    <x v="1"/>
    <n v="41"/>
    <n v="28211.92124"/>
    <n v="15865.359999999999"/>
    <n v="12346.561240000001"/>
    <n v="0.43763631462626335"/>
    <n v="5461176.0811699983"/>
    <n v="0.49893037424161435"/>
  </r>
  <r>
    <s v="ORD-2023-825836"/>
    <d v="2023-07-19T00:00:00"/>
    <x v="114"/>
    <d v="2023-07-31T00:00:00"/>
    <d v="2023-07-31T00:00:00"/>
    <n v="12"/>
    <n v="0"/>
    <x v="6"/>
    <s v="Q3-2023"/>
    <d v="2023-01-29T00:00:00"/>
    <s v="01-2023"/>
    <x v="0"/>
    <x v="9"/>
    <s v="Rio de Janeiro"/>
    <s v="Rio de Janeiro"/>
    <s v="Corporate"/>
    <s v="Retail"/>
    <x v="1"/>
    <x v="5"/>
    <x v="5"/>
    <x v="3"/>
    <s v="High"/>
    <x v="121"/>
    <x v="0"/>
    <n v="1334.64"/>
    <n v="2273.42"/>
    <n v="2273.42"/>
    <n v="0.11799999999999999"/>
    <n v="0.11799999999999999"/>
    <x v="0"/>
    <n v="14"/>
    <n v="28072.190160000002"/>
    <n v="18684.960000000003"/>
    <n v="9387.2301599999992"/>
    <n v="0.33439607335575267"/>
    <n v="5489248.271329998"/>
    <n v="0.50149503579695276"/>
  </r>
  <r>
    <s v="ORD-2023-163610"/>
    <d v="2023-10-22T00:00:00"/>
    <x v="115"/>
    <d v="2023-11-16T00:00:00"/>
    <d v="2023-11-16T00:00:00"/>
    <n v="25"/>
    <n v="0"/>
    <x v="18"/>
    <s v="Q4-2023"/>
    <d v="2023-01-02T00:00:00"/>
    <s v="01-2023"/>
    <x v="0"/>
    <x v="0"/>
    <s v="Toronto"/>
    <s v="Toronto"/>
    <s v="Small Business"/>
    <s v="Marketplace"/>
    <x v="2"/>
    <x v="13"/>
    <x v="12"/>
    <x v="2"/>
    <s v="High"/>
    <x v="122"/>
    <x v="0"/>
    <n v="1373.31"/>
    <n v="3154.14"/>
    <n v="3154.14"/>
    <n v="0.2"/>
    <n v="0.2"/>
    <x v="0"/>
    <n v="11"/>
    <n v="27756.432000000001"/>
    <n v="15106.41"/>
    <n v="12650.022000000001"/>
    <n v="0.45575101295440279"/>
    <n v="5517004.7033299981"/>
    <n v="0.50403084984131608"/>
  </r>
  <r>
    <s v="ORD-2025-779574"/>
    <d v="2025-09-10T00:00:00"/>
    <x v="116"/>
    <d v="2025-09-12T00:00:00"/>
    <d v="2025-09-12T00:00:00"/>
    <n v="2"/>
    <n v="1"/>
    <x v="29"/>
    <s v="Q3-2025"/>
    <d v="2023-03-03T00:00:00"/>
    <s v="03-2023"/>
    <x v="3"/>
    <x v="7"/>
    <s v="Tokyo"/>
    <s v="Tokyo"/>
    <s v="Consumer"/>
    <s v="Online"/>
    <x v="0"/>
    <x v="8"/>
    <x v="7"/>
    <x v="0"/>
    <s v="High"/>
    <x v="123"/>
    <x v="0"/>
    <n v="1470.15"/>
    <n v="2593.7800000000002"/>
    <n v="2593.7800000000002"/>
    <n v="0.11"/>
    <n v="0.11"/>
    <x v="0"/>
    <n v="12"/>
    <n v="27701.570400000001"/>
    <n v="17641.800000000003"/>
    <n v="10059.770399999998"/>
    <n v="0.36314801849645306"/>
    <n v="5544706.2737299977"/>
    <n v="0.50656165175675094"/>
  </r>
  <r>
    <s v="ORD-2024-909942"/>
    <d v="2024-06-09T00:00:00"/>
    <x v="117"/>
    <d v="2024-07-07T00:00:00"/>
    <d v="2024-07-07T00:00:00"/>
    <n v="28"/>
    <n v="0"/>
    <x v="7"/>
    <s v="Q2-2024"/>
    <d v="2023-01-12T00:00:00"/>
    <s v="01-2023"/>
    <x v="3"/>
    <x v="10"/>
    <s v="Shenzhen"/>
    <s v="Shenzhen"/>
    <s v="Corporate"/>
    <s v="Online"/>
    <x v="0"/>
    <x v="9"/>
    <x v="8"/>
    <x v="0"/>
    <s v="Medium"/>
    <x v="124"/>
    <x v="0"/>
    <n v="550.22"/>
    <n v="1025.05"/>
    <n v="1025.05"/>
    <n v="0"/>
    <n v="0"/>
    <x v="0"/>
    <n v="27"/>
    <n v="27676.35"/>
    <n v="14855.94"/>
    <n v="12820.409999999998"/>
    <n v="0.46322618408858102"/>
    <n v="5572382.6237299973"/>
    <n v="0.50909014954878395"/>
  </r>
  <r>
    <s v="ORD-2023-261081"/>
    <d v="2023-07-24T00:00:00"/>
    <x v="108"/>
    <d v="2023-08-19T00:00:00"/>
    <d v="2023-08-19T00:00:00"/>
    <n v="26"/>
    <n v="0"/>
    <x v="6"/>
    <s v="Q3-2023"/>
    <d v="2023-01-20T00:00:00"/>
    <s v="01-2023"/>
    <x v="2"/>
    <x v="5"/>
    <s v="Nairobi"/>
    <s v="Nairobi"/>
    <s v="Enterprise"/>
    <s v="Distributor"/>
    <x v="4"/>
    <x v="7"/>
    <x v="6"/>
    <x v="4"/>
    <s v="Medium"/>
    <x v="125"/>
    <x v="0"/>
    <n v="661.45"/>
    <n v="1634.86"/>
    <n v="1634.86"/>
    <n v="0.56499999999999995"/>
    <n v="0.3"/>
    <x v="1"/>
    <n v="24"/>
    <n v="27465.647999999997"/>
    <n v="15874.800000000001"/>
    <n v="11590.847999999996"/>
    <n v="0.42201254454291404"/>
    <n v="5599848.2717299974"/>
    <n v="0.51159939770920815"/>
  </r>
  <r>
    <s v="ORD-2023-867285"/>
    <d v="2023-04-12T00:00:00"/>
    <x v="118"/>
    <d v="2023-04-17T00:00:00"/>
    <d v="2023-04-17T00:00:00"/>
    <n v="5"/>
    <n v="1"/>
    <x v="15"/>
    <s v="Q2-2023"/>
    <d v="2023-01-10T00:00:00"/>
    <s v="01-2023"/>
    <x v="1"/>
    <x v="11"/>
    <s v="Lyon"/>
    <s v="Lyon"/>
    <s v="Enterprise"/>
    <s v="Direct"/>
    <x v="3"/>
    <x v="15"/>
    <x v="14"/>
    <x v="3"/>
    <s v="High"/>
    <x v="126"/>
    <x v="0"/>
    <n v="1087.81"/>
    <n v="2323.87"/>
    <n v="2323.87"/>
    <n v="9.4E-2"/>
    <n v="9.4E-2"/>
    <x v="0"/>
    <n v="13"/>
    <n v="27370.540859999997"/>
    <n v="14141.529999999999"/>
    <n v="13229.010859999999"/>
    <n v="0.48333026839572651"/>
    <n v="5627218.8125899974"/>
    <n v="0.51409995692786448"/>
  </r>
  <r>
    <s v="ORD-2024-167215"/>
    <d v="2024-08-23T00:00:00"/>
    <x v="119"/>
    <d v="2024-08-21T00:00:00"/>
    <d v="2024-08-23T00:00:00"/>
    <n v="2"/>
    <n v="1"/>
    <x v="19"/>
    <s v="Q3-2024"/>
    <d v="2023-01-07T00:00:00"/>
    <s v="01-2023"/>
    <x v="2"/>
    <x v="8"/>
    <s v="Johannesburg"/>
    <s v="Johannesburg"/>
    <s v="Education"/>
    <s v="Retail"/>
    <x v="1"/>
    <x v="15"/>
    <x v="14"/>
    <x v="0"/>
    <s v="High"/>
    <x v="127"/>
    <x v="0"/>
    <n v="1432.52"/>
    <n v="3036.87"/>
    <n v="3036.87"/>
    <n v="0"/>
    <n v="0"/>
    <x v="0"/>
    <n v="9"/>
    <n v="27331.829999999998"/>
    <n v="12892.68"/>
    <n v="14439.149999999998"/>
    <n v="0.52829064135112791"/>
    <n v="5654550.6425899975"/>
    <n v="0.51659697954129524"/>
  </r>
  <r>
    <s v="ORD-2023-378104"/>
    <d v="2023-10-18T00:00:00"/>
    <x v="120"/>
    <d v="2023-10-20T00:00:00"/>
    <d v="2023-10-20T00:00:00"/>
    <n v="2"/>
    <n v="1"/>
    <x v="18"/>
    <s v="Q4-2023"/>
    <d v="2023-01-20T00:00:00"/>
    <s v="01-2023"/>
    <x v="2"/>
    <x v="5"/>
    <s v="Kisumu"/>
    <s v="Kisumu"/>
    <s v="Consumer"/>
    <s v="Retail"/>
    <x v="1"/>
    <x v="9"/>
    <x v="8"/>
    <x v="5"/>
    <s v="Medium"/>
    <x v="128"/>
    <x v="0"/>
    <n v="774.12"/>
    <n v="908.3"/>
    <n v="908.3"/>
    <n v="0"/>
    <n v="0"/>
    <x v="0"/>
    <n v="30"/>
    <n v="27249"/>
    <n v="23223.599999999999"/>
    <n v="4025.4000000000015"/>
    <n v="0.14772652207420461"/>
    <n v="5681799.6425899975"/>
    <n v="0.51908643484646033"/>
  </r>
  <r>
    <s v="ORD-2023-588455"/>
    <d v="2023-05-23T00:00:00"/>
    <x v="121"/>
    <d v="2023-05-25T00:00:00"/>
    <d v="2023-05-25T00:00:00"/>
    <n v="2"/>
    <n v="1"/>
    <x v="3"/>
    <s v="Q2-2023"/>
    <d v="2023-01-29T00:00:00"/>
    <s v="01-2023"/>
    <x v="0"/>
    <x v="9"/>
    <s v="Rio de Janeiro"/>
    <s v="Rio de Janeiro"/>
    <s v="Enterprise"/>
    <s v="Retail"/>
    <x v="1"/>
    <x v="7"/>
    <x v="6"/>
    <x v="6"/>
    <s v="Medium"/>
    <x v="129"/>
    <x v="0"/>
    <n v="690.49"/>
    <n v="1290.29"/>
    <n v="1290.29"/>
    <n v="4.2000000000000003E-2"/>
    <n v="4.2000000000000003E-2"/>
    <x v="0"/>
    <n v="22"/>
    <n v="27194.152039999997"/>
    <n v="15190.78"/>
    <n v="12003.372039999997"/>
    <n v="0.44139534199647718"/>
    <n v="5708993.7946299976"/>
    <n v="0.52157087926884083"/>
  </r>
  <r>
    <s v="ORD-2023-208944"/>
    <d v="2023-12-21T00:00:00"/>
    <x v="122"/>
    <d v="2024-01-06T00:00:00"/>
    <d v="2024-01-06T00:00:00"/>
    <n v="16"/>
    <n v="0"/>
    <x v="10"/>
    <s v="Q4-2023"/>
    <d v="2023-01-13T00:00:00"/>
    <s v="01-2023"/>
    <x v="2"/>
    <x v="2"/>
    <m/>
    <s v="Lagos"/>
    <s v="Corporate"/>
    <s v="Marketplace"/>
    <x v="2"/>
    <x v="3"/>
    <x v="3"/>
    <x v="0"/>
    <s v="High"/>
    <x v="130"/>
    <x v="0"/>
    <n v="932.61"/>
    <n v="1982.98"/>
    <n v="1982.98"/>
    <n v="0.14399999999999999"/>
    <n v="0.14399999999999999"/>
    <x v="0"/>
    <n v="16"/>
    <n v="27158.894079999998"/>
    <n v="14921.76"/>
    <n v="12237.134079999998"/>
    <n v="0.45057556629345635"/>
    <n v="5736152.6887099976"/>
    <n v="0.5240521025412499"/>
  </r>
  <r>
    <s v="ORD-2024-277241"/>
    <d v="2024-01-28T00:00:00"/>
    <x v="123"/>
    <d v="2024-01-30T00:00:00"/>
    <d v="2024-01-30T00:00:00"/>
    <n v="2"/>
    <n v="1"/>
    <x v="28"/>
    <s v="Q1-2024"/>
    <d v="2023-01-07T00:00:00"/>
    <s v="01-2023"/>
    <x v="2"/>
    <x v="8"/>
    <s v="Cape Town"/>
    <s v="Cape Town"/>
    <s v="Consumer"/>
    <s v="Direct"/>
    <x v="3"/>
    <x v="10"/>
    <x v="9"/>
    <x v="4"/>
    <s v="Medium"/>
    <x v="131"/>
    <x v="0"/>
    <n v="798.45"/>
    <n v="1592.02"/>
    <n v="1592.02"/>
    <n v="6.6000000000000003E-2"/>
    <n v="6.6000000000000003E-2"/>
    <x v="0"/>
    <n v="18"/>
    <n v="26765.040239999998"/>
    <n v="14372.1"/>
    <n v="12392.940239999998"/>
    <n v="0.46302714768494585"/>
    <n v="5762917.7289499976"/>
    <n v="0.52649734351957678"/>
  </r>
  <r>
    <s v="ORD-2023-521818"/>
    <d v="2023-01-29T00:00:00"/>
    <x v="124"/>
    <d v="2023-02-28T00:00:00"/>
    <d v="2023-02-28T00:00:00"/>
    <n v="30"/>
    <n v="0"/>
    <x v="23"/>
    <s v="Q1-2023"/>
    <d v="2023-01-29T00:00:00"/>
    <s v="01-2023"/>
    <x v="3"/>
    <x v="3"/>
    <s v="Bengaluru"/>
    <s v="Bengaluru"/>
    <s v="Non-Profit"/>
    <s v="Retail"/>
    <x v="1"/>
    <x v="1"/>
    <x v="1"/>
    <x v="4"/>
    <s v="Medium"/>
    <x v="132"/>
    <x v="0"/>
    <n v="1262.0999999999999"/>
    <n v="1395.53"/>
    <n v="1395.53"/>
    <n v="0.23300000000000001"/>
    <n v="0.23300000000000001"/>
    <x v="1"/>
    <n v="25"/>
    <n v="26759.28775"/>
    <n v="31552.499999999996"/>
    <n v="4793.2122499999969"/>
    <n v="0.17912331205452198"/>
    <n v="5789677.0166999977"/>
    <n v="0.52894205895323221"/>
  </r>
  <r>
    <s v="ORD-2023-479747"/>
    <d v="2023-07-14T00:00:00"/>
    <x v="125"/>
    <d v="2023-07-14T00:00:00"/>
    <d v="2023-07-14T00:00:00"/>
    <n v="0"/>
    <n v="1"/>
    <x v="6"/>
    <s v="Q3-2023"/>
    <d v="2023-01-13T00:00:00"/>
    <s v="01-2023"/>
    <x v="2"/>
    <x v="2"/>
    <s v="Lagos"/>
    <s v="Lagos"/>
    <s v="Education"/>
    <s v="Retail"/>
    <x v="1"/>
    <x v="13"/>
    <x v="12"/>
    <x v="4"/>
    <s v="Medium"/>
    <x v="133"/>
    <x v="0"/>
    <n v="956.38"/>
    <n v="1454.22"/>
    <n v="1454.22"/>
    <n v="3.9E-2"/>
    <n v="3.9E-2"/>
    <x v="0"/>
    <n v="19"/>
    <n v="26552.60298"/>
    <n v="18171.22"/>
    <n v="8381.3829799999985"/>
    <n v="0.31565202802576603"/>
    <n v="5816229.6196799977"/>
    <n v="0.53136789176744581"/>
  </r>
  <r>
    <s v="ORD-2024-640340"/>
    <d v="2024-10-22T00:00:00"/>
    <x v="126"/>
    <d v="2024-10-29T00:00:00"/>
    <d v="2024-10-29T00:00:00"/>
    <n v="7"/>
    <n v="1"/>
    <x v="20"/>
    <s v="Q4-2024"/>
    <d v="2023-01-13T00:00:00"/>
    <s v="01-2023"/>
    <x v="2"/>
    <x v="2"/>
    <s v="Port Harcourt"/>
    <s v="Port Harcourt"/>
    <s v="Enterprise"/>
    <s v="Distributor"/>
    <x v="4"/>
    <x v="7"/>
    <x v="6"/>
    <x v="3"/>
    <s v="Medium"/>
    <x v="134"/>
    <x v="0"/>
    <n v="1023.06"/>
    <n v="1355.61"/>
    <n v="1355.61"/>
    <n v="0.153"/>
    <n v="0.153"/>
    <x v="0"/>
    <n v="23"/>
    <n v="26408.63841"/>
    <n v="23530.379999999997"/>
    <n v="2878.2584100000022"/>
    <n v="0.10898927711888809"/>
    <n v="5842638.2580899978"/>
    <n v="0.53378057204899609"/>
  </r>
  <r>
    <s v="ORD-2023-480975"/>
    <d v="2023-02-15T00:00:00"/>
    <x v="127"/>
    <d v="2023-02-26T00:00:00"/>
    <d v="2023-02-26T00:00:00"/>
    <n v="11"/>
    <n v="0"/>
    <x v="4"/>
    <s v="Q1-2023"/>
    <d v="2023-01-07T00:00:00"/>
    <s v="01-2023"/>
    <x v="2"/>
    <x v="8"/>
    <s v="Johannesburg"/>
    <s v="Johannesburg"/>
    <s v="Non-Profit"/>
    <s v="Retail"/>
    <x v="1"/>
    <x v="3"/>
    <x v="3"/>
    <x v="2"/>
    <s v="Low"/>
    <x v="135"/>
    <x v="0"/>
    <n v="498.5"/>
    <n v="755.87"/>
    <n v="755.87"/>
    <n v="0.13"/>
    <n v="0.13"/>
    <x v="0"/>
    <n v="40"/>
    <n v="26304.275999999998"/>
    <n v="19940"/>
    <n v="6364.275999999998"/>
    <n v="0.24194834330357537"/>
    <n v="5868942.5340899974"/>
    <n v="0.53618371783184049"/>
  </r>
  <r>
    <s v="ORD-2023-562894"/>
    <d v="2023-02-23T00:00:00"/>
    <x v="128"/>
    <d v="2023-03-25T00:00:00"/>
    <d v="2023-03-25T00:00:00"/>
    <n v="30"/>
    <n v="0"/>
    <x v="4"/>
    <s v="Q1-2023"/>
    <d v="2023-01-02T00:00:00"/>
    <s v="01-2023"/>
    <x v="0"/>
    <x v="0"/>
    <s v="Montreal"/>
    <s v="Montreal"/>
    <s v="Enterprise"/>
    <s v="Online"/>
    <x v="0"/>
    <x v="11"/>
    <x v="10"/>
    <x v="5"/>
    <s v="High"/>
    <x v="136"/>
    <x v="0"/>
    <n v="1242.6600000000001"/>
    <n v="1794.07"/>
    <n v="1794.07"/>
    <n v="8.8999999999999996E-2"/>
    <n v="8.8999999999999996E-2"/>
    <x v="0"/>
    <n v="16"/>
    <n v="26150.364320000001"/>
    <n v="19882.560000000001"/>
    <n v="6267.8043199999993"/>
    <n v="0.23968325042440553"/>
    <n v="5895092.8984099971"/>
    <n v="0.5385728023189198"/>
  </r>
  <r>
    <s v="ORD-2023-390998"/>
    <d v="2023-04-19T00:00:00"/>
    <x v="90"/>
    <d v="2023-04-28T00:00:00"/>
    <d v="2023-04-28T00:00:00"/>
    <n v="9"/>
    <n v="0"/>
    <x v="15"/>
    <s v="Q2-2023"/>
    <d v="2023-01-21T00:00:00"/>
    <s v="01-2023"/>
    <x v="1"/>
    <x v="4"/>
    <s v="Berlin"/>
    <s v="Berlin"/>
    <s v="Education"/>
    <s v="Online"/>
    <x v="0"/>
    <x v="15"/>
    <x v="14"/>
    <x v="3"/>
    <s v="High"/>
    <x v="137"/>
    <x v="0"/>
    <n v="1178.42"/>
    <n v="2446.56"/>
    <n v="2446.56"/>
    <n v="2.9000000000000001E-2"/>
    <n v="2.9000000000000001E-2"/>
    <x v="0"/>
    <n v="11"/>
    <n v="26131.70736"/>
    <n v="12962.62"/>
    <n v="13169.08736"/>
    <n v="0.5039505141618883"/>
    <n v="5921224.6057699975"/>
    <n v="0.54096018231526377"/>
  </r>
  <r>
    <s v="ORD-2023-825084"/>
    <d v="2023-07-14T00:00:00"/>
    <x v="125"/>
    <d v="2023-07-21T00:00:00"/>
    <d v="2023-07-21T00:00:00"/>
    <n v="7"/>
    <n v="1"/>
    <x v="6"/>
    <s v="Q3-2023"/>
    <d v="2023-01-07T00:00:00"/>
    <s v="01-2023"/>
    <x v="2"/>
    <x v="8"/>
    <s v="Durban"/>
    <s v="Durban"/>
    <s v="Enterprise"/>
    <s v="Marketplace"/>
    <x v="2"/>
    <x v="2"/>
    <x v="6"/>
    <x v="3"/>
    <s v="Medium"/>
    <x v="138"/>
    <x v="0"/>
    <n v="620.74"/>
    <n v="1330.07"/>
    <n v="1330.07"/>
    <n v="0.29899999999999999"/>
    <n v="0.29899999999999999"/>
    <x v="1"/>
    <n v="28"/>
    <n v="26106.613960000002"/>
    <n v="17380.72"/>
    <n v="8725.8939600000012"/>
    <n v="0.33424073965967516"/>
    <n v="5947331.2197299972"/>
    <n v="0.54334526979086362"/>
  </r>
  <r>
    <s v="ORD-2024-500890"/>
    <d v="2024-09-09T00:00:00"/>
    <x v="129"/>
    <d v="2024-10-08T00:00:00"/>
    <d v="2024-10-08T00:00:00"/>
    <n v="29"/>
    <n v="0"/>
    <x v="27"/>
    <s v="Q3-2024"/>
    <d v="2023-01-29T00:00:00"/>
    <s v="01-2023"/>
    <x v="0"/>
    <x v="9"/>
    <s v="São Paulo"/>
    <s v="São Paulo"/>
    <s v="Education"/>
    <s v="Direct"/>
    <x v="3"/>
    <x v="9"/>
    <x v="8"/>
    <x v="0"/>
    <s v="High"/>
    <x v="139"/>
    <x v="0"/>
    <n v="1010.33"/>
    <n v="2492.14"/>
    <n v="2492.14"/>
    <n v="5.0999999999999997E-2"/>
    <n v="5.0999999999999997E-2"/>
    <x v="0"/>
    <n v="11"/>
    <n v="26015.449459999996"/>
    <n v="11113.630000000001"/>
    <n v="14901.819459999995"/>
    <n v="0.57280653493656752"/>
    <n v="5973346.669189997"/>
    <n v="0.54572202852235663"/>
  </r>
  <r>
    <s v="ORD-2024-206081"/>
    <d v="2024-12-10T00:00:00"/>
    <x v="130"/>
    <d v="2025-01-08T00:00:00"/>
    <d v="2025-01-08T00:00:00"/>
    <n v="29"/>
    <n v="0"/>
    <x v="11"/>
    <s v="Q4-2024"/>
    <d v="2023-01-10T00:00:00"/>
    <s v="01-2023"/>
    <x v="1"/>
    <x v="11"/>
    <s v="Marseille"/>
    <s v="Marseille"/>
    <s v="Small Business"/>
    <s v="Retail"/>
    <x v="1"/>
    <x v="3"/>
    <x v="3"/>
    <x v="6"/>
    <s v="Medium"/>
    <x v="140"/>
    <x v="0"/>
    <n v="891.08"/>
    <n v="1040.0999999999999"/>
    <n v="1040.0999999999999"/>
    <n v="0.109"/>
    <n v="0.109"/>
    <x v="0"/>
    <n v="28"/>
    <n v="25948.414799999995"/>
    <n v="24950.240000000002"/>
    <n v="998.17479999999341"/>
    <n v="3.8467660074556598E-2"/>
    <n v="5999295.0839899974"/>
    <n v="0.54809266300011683"/>
  </r>
  <r>
    <s v="ORD-2023-309373"/>
    <d v="2023-07-05T00:00:00"/>
    <x v="131"/>
    <d v="2023-07-14T00:00:00"/>
    <d v="2023-07-14T00:00:00"/>
    <n v="9"/>
    <n v="0"/>
    <x v="6"/>
    <s v="Q3-2023"/>
    <d v="2023-01-29T00:00:00"/>
    <s v="01-2023"/>
    <x v="0"/>
    <x v="9"/>
    <s v="Brasília"/>
    <s v="Brasília"/>
    <s v="Enterprise"/>
    <s v="Direct"/>
    <x v="3"/>
    <x v="1"/>
    <x v="1"/>
    <x v="1"/>
    <s v="Medium"/>
    <x v="141"/>
    <x v="0"/>
    <n v="578.85"/>
    <n v="998.76"/>
    <n v="998.76"/>
    <n v="8.2000000000000003E-2"/>
    <n v="8.2000000000000003E-2"/>
    <x v="0"/>
    <n v="28"/>
    <n v="25672.127039999999"/>
    <n v="16207.800000000001"/>
    <n v="9464.3270399999983"/>
    <n v="0.36866158480960831"/>
    <n v="6024967.2110299971"/>
    <n v="0.55043805596333018"/>
  </r>
  <r>
    <s v="ORD-2025-191328"/>
    <d v="2025-05-10T00:00:00"/>
    <x v="132"/>
    <d v="2025-05-27T00:00:00"/>
    <d v="2025-05-27T00:00:00"/>
    <n v="17"/>
    <n v="0"/>
    <x v="12"/>
    <s v="Q2-2025"/>
    <d v="2023-01-02T00:00:00"/>
    <s v="01-2023"/>
    <x v="0"/>
    <x v="0"/>
    <s v="Vancouver"/>
    <s v="Vancouver"/>
    <s v="Education"/>
    <s v="Direct"/>
    <x v="3"/>
    <x v="5"/>
    <x v="5"/>
    <x v="0"/>
    <s v="Medium"/>
    <x v="142"/>
    <x v="0"/>
    <n v="862.89"/>
    <n v="1426.03"/>
    <n v="1426.03"/>
    <n v="5.6000000000000001E-2"/>
    <n v="5.6000000000000001E-2"/>
    <x v="0"/>
    <n v="19"/>
    <n v="25577.274079999999"/>
    <n v="16394.91"/>
    <n v="9182.3640799999994"/>
    <n v="0.35900479665188778"/>
    <n v="6050544.485109997"/>
    <n v="0.55277478320653617"/>
  </r>
  <r>
    <s v="ORD-2025-964661"/>
    <d v="2025-02-04T00:00:00"/>
    <x v="133"/>
    <d v="2025-02-25T00:00:00"/>
    <d v="2025-02-25T00:00:00"/>
    <n v="21"/>
    <n v="0"/>
    <x v="30"/>
    <s v="Q1-2025"/>
    <d v="2023-01-19T00:00:00"/>
    <s v="01-2023"/>
    <x v="1"/>
    <x v="1"/>
    <s v="Birmingham"/>
    <s v="Birmingham"/>
    <s v="Corporate"/>
    <s v="Marketplace"/>
    <x v="2"/>
    <x v="11"/>
    <x v="10"/>
    <x v="3"/>
    <s v="High"/>
    <x v="143"/>
    <x v="0"/>
    <n v="1016.32"/>
    <n v="2253.42"/>
    <n v="2253.42"/>
    <n v="5.5E-2"/>
    <n v="5.5E-2"/>
    <x v="0"/>
    <n v="12"/>
    <n v="25553.782800000001"/>
    <n v="12195.84"/>
    <n v="13357.942800000001"/>
    <n v="0.52273837124419797"/>
    <n v="6076098.2679099971"/>
    <n v="0.55510936429789726"/>
  </r>
  <r>
    <s v="ORD-2023-422918"/>
    <d v="2023-02-28T00:00:00"/>
    <x v="93"/>
    <d v="2023-03-20T00:00:00"/>
    <d v="2023-03-20T00:00:00"/>
    <n v="20"/>
    <n v="0"/>
    <x v="4"/>
    <s v="Q1-2023"/>
    <d v="2023-01-21T00:00:00"/>
    <s v="01-2023"/>
    <x v="1"/>
    <x v="4"/>
    <s v="Berlin"/>
    <s v="Berlin"/>
    <s v="Small Business"/>
    <s v="Direct"/>
    <x v="3"/>
    <x v="0"/>
    <x v="0"/>
    <x v="2"/>
    <s v="High"/>
    <x v="144"/>
    <x v="0"/>
    <n v="1200.78"/>
    <n v="2001.17"/>
    <n v="2001.17"/>
    <n v="0.29199999999999998"/>
    <n v="0.29199999999999998"/>
    <x v="1"/>
    <n v="18"/>
    <n v="25502.910479999999"/>
    <n v="21614.04"/>
    <n v="3888.8704799999978"/>
    <n v="0.15248732034132906"/>
    <n v="6101601.1783899972"/>
    <n v="0.55743929771899858"/>
  </r>
  <r>
    <s v="ORD-2024-301260"/>
    <d v="2024-07-29T00:00:00"/>
    <x v="134"/>
    <d v="2024-07-31T00:00:00"/>
    <d v="2024-07-31T00:00:00"/>
    <n v="2"/>
    <n v="1"/>
    <x v="9"/>
    <s v="Q3-2024"/>
    <d v="2023-01-13T00:00:00"/>
    <s v="01-2023"/>
    <x v="0"/>
    <x v="6"/>
    <s v="New York"/>
    <s v="New York"/>
    <s v="Education"/>
    <s v="Marketplace"/>
    <x v="2"/>
    <x v="13"/>
    <x v="12"/>
    <x v="6"/>
    <s v="High"/>
    <x v="145"/>
    <x v="0"/>
    <n v="798.97"/>
    <n v="1814.06"/>
    <n v="1814.06"/>
    <n v="0.122"/>
    <n v="0.122"/>
    <x v="0"/>
    <n v="16"/>
    <n v="25483.91488"/>
    <n v="12783.52"/>
    <n v="12700.39488"/>
    <n v="0.49836906691159061"/>
    <n v="6127085.0932699973"/>
    <n v="0.55976749571137963"/>
  </r>
  <r>
    <s v="ORD-2023-133848"/>
    <d v="2023-08-15T00:00:00"/>
    <x v="135"/>
    <d v="2023-09-07T00:00:00"/>
    <d v="2023-09-07T00:00:00"/>
    <n v="23"/>
    <n v="0"/>
    <x v="21"/>
    <s v="Q3-2023"/>
    <d v="2023-01-13T00:00:00"/>
    <s v="01-2023"/>
    <x v="0"/>
    <x v="6"/>
    <s v="New York"/>
    <s v="New York"/>
    <s v="Enterprise"/>
    <s v="Online"/>
    <x v="0"/>
    <x v="3"/>
    <x v="3"/>
    <x v="5"/>
    <s v="Medium"/>
    <x v="146"/>
    <x v="0"/>
    <n v="590.33000000000004"/>
    <n v="973.04"/>
    <n v="973.04"/>
    <n v="0"/>
    <n v="0"/>
    <x v="0"/>
    <n v="26"/>
    <n v="25299.040000000001"/>
    <n v="15348.580000000002"/>
    <n v="9950.4599999999991"/>
    <n v="0.39331373838691108"/>
    <n v="6152384.1332699973"/>
    <n v="0.56207880362519613"/>
  </r>
  <r>
    <s v="ORD-2025-795385"/>
    <d v="2025-06-01T00:00:00"/>
    <x v="136"/>
    <d v="2025-06-05T00:00:00"/>
    <d v="2025-06-05T00:00:00"/>
    <n v="4"/>
    <n v="1"/>
    <x v="25"/>
    <s v="Q2-2025"/>
    <d v="2023-01-21T00:00:00"/>
    <s v="01-2023"/>
    <x v="1"/>
    <x v="4"/>
    <s v="Munich"/>
    <s v="Munich"/>
    <s v="Enterprise"/>
    <s v="Direct"/>
    <x v="3"/>
    <x v="7"/>
    <x v="6"/>
    <x v="0"/>
    <s v="High"/>
    <x v="147"/>
    <x v="0"/>
    <n v="1171.42"/>
    <n v="2187.8000000000002"/>
    <n v="2187.8000000000002"/>
    <n v="0.23"/>
    <n v="0.23"/>
    <x v="1"/>
    <n v="15"/>
    <n v="25269.09"/>
    <n v="17571.300000000003"/>
    <n v="7697.7899999999972"/>
    <n v="0.30463265594447592"/>
    <n v="6177653.2232699972"/>
    <n v="0.56438737532166927"/>
  </r>
  <r>
    <s v="ORD-2024-728474"/>
    <d v="2024-09-09T00:00:00"/>
    <x v="129"/>
    <d v="2024-09-13T00:00:00"/>
    <d v="2024-09-13T00:00:00"/>
    <n v="4"/>
    <n v="1"/>
    <x v="27"/>
    <s v="Q3-2024"/>
    <d v="2023-01-19T00:00:00"/>
    <s v="01-2023"/>
    <x v="1"/>
    <x v="1"/>
    <s v="London"/>
    <s v="London"/>
    <s v="Consumer"/>
    <s v="Marketplace"/>
    <x v="2"/>
    <x v="10"/>
    <x v="9"/>
    <x v="1"/>
    <s v="Medium"/>
    <x v="148"/>
    <x v="0"/>
    <n v="1133.08"/>
    <n v="976.17"/>
    <n v="976.17"/>
    <n v="4.2000000000000003E-2"/>
    <n v="4.2000000000000003E-2"/>
    <x v="0"/>
    <n v="27"/>
    <n v="25249.613219999999"/>
    <n v="30593.159999999996"/>
    <n v="5343.5467799999969"/>
    <n v="0.21162885678452373"/>
    <n v="6202902.8364899969"/>
    <n v="0.56669416762905289"/>
  </r>
  <r>
    <s v="ORD-2025-150713"/>
    <d v="2025-07-11T00:00:00"/>
    <x v="137"/>
    <d v="2025-07-16T00:00:00"/>
    <d v="2025-07-16T00:00:00"/>
    <n v="5"/>
    <n v="1"/>
    <x v="0"/>
    <s v="Q3-2025"/>
    <d v="2023-01-19T00:00:00"/>
    <s v="01-2023"/>
    <x v="1"/>
    <x v="1"/>
    <s v="London"/>
    <s v="London"/>
    <s v="Enterprise"/>
    <s v="Online"/>
    <x v="0"/>
    <x v="3"/>
    <x v="3"/>
    <x v="6"/>
    <s v="Medium"/>
    <x v="149"/>
    <x v="0"/>
    <n v="930.03"/>
    <n v="1086.68"/>
    <n v="1086.68"/>
    <n v="0.109"/>
    <n v="0.109"/>
    <x v="0"/>
    <n v="26"/>
    <n v="25174.028880000002"/>
    <n v="24180.78"/>
    <n v="993.24888000000283"/>
    <n v="3.9455300728168656E-2"/>
    <n v="6228076.865369997"/>
    <n v="0.56899405458812291"/>
  </r>
  <r>
    <s v="ORD-2024-243988"/>
    <d v="2024-03-13T00:00:00"/>
    <x v="138"/>
    <d v="2024-04-06T00:00:00"/>
    <d v="2024-04-06T00:00:00"/>
    <n v="24"/>
    <n v="0"/>
    <x v="8"/>
    <s v="Q1-2024"/>
    <d v="2023-01-13T00:00:00"/>
    <s v="01-2023"/>
    <x v="2"/>
    <x v="2"/>
    <s v="Abuja"/>
    <s v="Abuja"/>
    <s v="Consumer"/>
    <s v="Distributor"/>
    <x v="4"/>
    <x v="4"/>
    <x v="4"/>
    <x v="0"/>
    <s v="High"/>
    <x v="150"/>
    <x v="0"/>
    <n v="1232.78"/>
    <n v="1731.75"/>
    <n v="1731.75"/>
    <n v="9.2999999999999999E-2"/>
    <n v="9.2999999999999999E-2"/>
    <x v="0"/>
    <n v="16"/>
    <n v="25131.155999999999"/>
    <n v="19724.48"/>
    <n v="5406.6759999999995"/>
    <n v="0.21513837246484005"/>
    <n v="6253208.0213699974"/>
    <n v="0.57129002470185675"/>
  </r>
  <r>
    <s v="ORD-2024-766980"/>
    <d v="2024-11-04T00:00:00"/>
    <x v="53"/>
    <d v="2024-11-07T00:00:00"/>
    <d v="2024-11-07T00:00:00"/>
    <n v="3"/>
    <n v="1"/>
    <x v="5"/>
    <s v="Q4-2024"/>
    <d v="2023-01-10T00:00:00"/>
    <s v="01-2023"/>
    <x v="1"/>
    <x v="11"/>
    <s v="Lyon"/>
    <s v="Lyon"/>
    <s v="Corporate"/>
    <s v="Online"/>
    <x v="0"/>
    <x v="8"/>
    <x v="7"/>
    <x v="3"/>
    <s v="High"/>
    <x v="151"/>
    <x v="0"/>
    <n v="740.68"/>
    <n v="1837.19"/>
    <n v="1837.19"/>
    <n v="0.19700000000000001"/>
    <n v="0.19700000000000001"/>
    <x v="0"/>
    <n v="17"/>
    <n v="25079.480689999997"/>
    <n v="12591.56"/>
    <n v="12487.920689999997"/>
    <n v="0.4979337827748298"/>
    <n v="6278287.5020599971"/>
    <n v="0.57358127378455726"/>
  </r>
  <r>
    <s v="ORD-2023-271836"/>
    <d v="2023-02-07T00:00:00"/>
    <x v="139"/>
    <d v="2023-02-12T00:00:00"/>
    <d v="2023-02-12T00:00:00"/>
    <n v="5"/>
    <n v="1"/>
    <x v="4"/>
    <s v="Q1-2023"/>
    <d v="2023-01-29T00:00:00"/>
    <s v="01-2023"/>
    <x v="0"/>
    <x v="9"/>
    <s v="São Paulo"/>
    <s v="São Paulo"/>
    <s v="Education"/>
    <s v="Online"/>
    <x v="0"/>
    <x v="14"/>
    <x v="13"/>
    <x v="0"/>
    <s v="High"/>
    <x v="152"/>
    <x v="0"/>
    <n v="948.55"/>
    <n v="2089.16"/>
    <n v="2089.16"/>
    <n v="7.0000000000000001E-3"/>
    <n v="7.0000000000000001E-3"/>
    <x v="0"/>
    <n v="12"/>
    <n v="24894.430559999997"/>
    <n v="11382.599999999999"/>
    <n v="13511.830559999999"/>
    <n v="0.54276519912492427"/>
    <n v="6303181.9326199973"/>
    <n v="0.57585561677793895"/>
  </r>
  <r>
    <s v="ORD-2023-869884"/>
    <d v="2023-03-02T00:00:00"/>
    <x v="140"/>
    <d v="2023-03-05T00:00:00"/>
    <d v="2023-03-05T00:00:00"/>
    <n v="3"/>
    <n v="1"/>
    <x v="16"/>
    <s v="Q1-2023"/>
    <d v="2023-01-29T00:00:00"/>
    <s v="01-2023"/>
    <x v="0"/>
    <x v="9"/>
    <s v="Brasília"/>
    <s v="Brasília"/>
    <s v="Enterprise"/>
    <s v="Direct"/>
    <x v="3"/>
    <x v="12"/>
    <x v="11"/>
    <x v="3"/>
    <s v="High"/>
    <x v="153"/>
    <x v="0"/>
    <n v="1473.58"/>
    <n v="3436.52"/>
    <n v="3436.52"/>
    <n v="0.108"/>
    <n v="0.108"/>
    <x v="0"/>
    <n v="8"/>
    <n v="24523.006720000001"/>
    <n v="11788.64"/>
    <n v="12734.366720000002"/>
    <n v="0.51928243813652564"/>
    <n v="6327704.9393399972"/>
    <n v="0.57809602667106186"/>
  </r>
  <r>
    <s v="ORD-2024-212990"/>
    <d v="2024-08-12T00:00:00"/>
    <x v="141"/>
    <d v="2024-09-03T00:00:00"/>
    <d v="2024-09-03T00:00:00"/>
    <n v="22"/>
    <n v="0"/>
    <x v="19"/>
    <s v="Q3-2024"/>
    <d v="2023-01-13T00:00:00"/>
    <s v="01-2023"/>
    <x v="0"/>
    <x v="6"/>
    <s v="Austin"/>
    <s v="Austin"/>
    <s v="Consumer"/>
    <s v="Distributor"/>
    <x v="4"/>
    <x v="13"/>
    <x v="12"/>
    <x v="2"/>
    <s v="Medium"/>
    <x v="154"/>
    <x v="0"/>
    <n v="797.8"/>
    <n v="886.22"/>
    <n v="886.22"/>
    <n v="0.23599999999999999"/>
    <n v="0.23599999999999999"/>
    <x v="1"/>
    <n v="36"/>
    <n v="24374.594880000001"/>
    <n v="28720.799999999999"/>
    <n v="4346.2051199999987"/>
    <n v="0.17830881462428633"/>
    <n v="6352079.534219997"/>
    <n v="0.58032287773111058"/>
  </r>
  <r>
    <s v="ORD-2024-202166"/>
    <d v="2024-05-05T00:00:00"/>
    <x v="142"/>
    <d v="2024-05-18T00:00:00"/>
    <d v="2024-05-18T00:00:00"/>
    <n v="13"/>
    <n v="0"/>
    <x v="1"/>
    <s v="Q2-2024"/>
    <d v="2023-01-10T00:00:00"/>
    <s v="01-2023"/>
    <x v="1"/>
    <x v="11"/>
    <s v="Marseille"/>
    <s v="Marseille"/>
    <s v="Corporate"/>
    <s v="Marketplace"/>
    <x v="2"/>
    <x v="6"/>
    <x v="2"/>
    <x v="0"/>
    <s v="High"/>
    <x v="155"/>
    <x v="0"/>
    <n v="1264.04"/>
    <n v="1870.89"/>
    <n v="1870.89"/>
    <n v="0"/>
    <n v="0"/>
    <x v="0"/>
    <n v="13"/>
    <n v="24321.57"/>
    <n v="16432.52"/>
    <n v="7889.0499999999993"/>
    <n v="0.32436433996653996"/>
    <n v="6376401.1042199973"/>
    <n v="0.58254488446407127"/>
  </r>
  <r>
    <s v="ORD-2023-808024"/>
    <d v="2023-12-30T00:00:00"/>
    <x v="143"/>
    <d v="2024-01-08T00:00:00"/>
    <d v="2024-01-08T00:00:00"/>
    <n v="9"/>
    <n v="0"/>
    <x v="10"/>
    <s v="Q4-2023"/>
    <d v="2023-01-10T00:00:00"/>
    <s v="01-2023"/>
    <x v="1"/>
    <x v="11"/>
    <s v="Marseille"/>
    <s v="Marseille"/>
    <s v="Consumer"/>
    <s v="Marketplace"/>
    <x v="2"/>
    <x v="4"/>
    <x v="4"/>
    <x v="4"/>
    <s v="Medium"/>
    <x v="156"/>
    <x v="0"/>
    <n v="861.1"/>
    <n v="1224.72"/>
    <n v="1224.72"/>
    <n v="0.17399999999999999"/>
    <n v="0.17399999999999999"/>
    <x v="0"/>
    <n v="24"/>
    <n v="24278.849280000002"/>
    <n v="20666.400000000001"/>
    <n v="3612.4492800000007"/>
    <n v="0.14878997098827909"/>
    <n v="6400679.953499997"/>
    <n v="0.58476298825295892"/>
  </r>
  <r>
    <s v="ORD-2025-564184"/>
    <d v="2025-01-29T00:00:00"/>
    <x v="144"/>
    <d v="2025-02-06T00:00:00"/>
    <d v="2025-02-06T00:00:00"/>
    <n v="8"/>
    <n v="0"/>
    <x v="17"/>
    <s v="Q1-2025"/>
    <d v="2023-01-20T00:00:00"/>
    <s v="01-2023"/>
    <x v="2"/>
    <x v="5"/>
    <s v="Kisumu"/>
    <s v="Kisumu"/>
    <s v="Education"/>
    <s v="Retail"/>
    <x v="1"/>
    <x v="1"/>
    <x v="1"/>
    <x v="5"/>
    <s v="High"/>
    <x v="157"/>
    <x v="0"/>
    <n v="1445.27"/>
    <n v="2691.45"/>
    <n v="2691.45"/>
    <n v="0"/>
    <n v="0"/>
    <x v="0"/>
    <n v="9"/>
    <n v="24223.05"/>
    <n v="13007.43"/>
    <n v="11215.619999999999"/>
    <n v="0.46301436028906351"/>
    <n v="6424903.0034999968"/>
    <n v="0.58697599424693236"/>
  </r>
  <r>
    <s v="ORD-2024-855600"/>
    <d v="2024-04-29T00:00:00"/>
    <x v="145"/>
    <d v="2024-05-19T00:00:00"/>
    <d v="2024-05-19T00:00:00"/>
    <n v="20"/>
    <n v="0"/>
    <x v="22"/>
    <s v="Q2-2024"/>
    <d v="2023-01-21T00:00:00"/>
    <s v="01-2023"/>
    <x v="1"/>
    <x v="4"/>
    <s v="Frankfurt"/>
    <s v="Frankfurt"/>
    <s v="Enterprise"/>
    <s v="Marketplace"/>
    <x v="2"/>
    <x v="5"/>
    <x v="5"/>
    <x v="2"/>
    <s v="High"/>
    <x v="158"/>
    <x v="0"/>
    <n v="668.97"/>
    <n v="1667.44"/>
    <n v="1667.44"/>
    <n v="3.4000000000000002E-2"/>
    <n v="3.4000000000000002E-2"/>
    <x v="0"/>
    <n v="15"/>
    <n v="24161.205600000001"/>
    <n v="10034.550000000001"/>
    <n v="14126.6556"/>
    <n v="0.58468339013679016"/>
    <n v="6449064.2090999968"/>
    <n v="0.58918335016678647"/>
  </r>
  <r>
    <s v="ORD-2024-553449"/>
    <d v="2024-08-27T00:00:00"/>
    <x v="49"/>
    <d v="2024-09-18T00:00:00"/>
    <d v="2024-09-18T00:00:00"/>
    <n v="22"/>
    <n v="0"/>
    <x v="19"/>
    <s v="Q3-2024"/>
    <d v="2023-01-29T00:00:00"/>
    <s v="01-2023"/>
    <x v="3"/>
    <x v="3"/>
    <s v="Delhi"/>
    <s v="Delhi"/>
    <s v="Consumer"/>
    <s v="Direct"/>
    <x v="3"/>
    <x v="1"/>
    <x v="1"/>
    <x v="0"/>
    <s v="High"/>
    <x v="159"/>
    <x v="0"/>
    <n v="896.75"/>
    <n v="1651.14"/>
    <n v="1651.14"/>
    <n v="2.5000000000000001E-2"/>
    <n v="2.5000000000000001E-2"/>
    <x v="0"/>
    <n v="15"/>
    <n v="24147.922500000001"/>
    <n v="13451.25"/>
    <n v="10696.672500000001"/>
    <n v="0.44296450346815552"/>
    <n v="6473212.1315999972"/>
    <n v="0.5913894925491251"/>
  </r>
  <r>
    <s v="ORD-2024-798002"/>
    <d v="2024-07-25T00:00:00"/>
    <x v="146"/>
    <d v="2024-07-24T00:00:00"/>
    <d v="2024-07-25T00:00:00"/>
    <n v="1"/>
    <n v="1"/>
    <x v="9"/>
    <s v="Q3-2024"/>
    <d v="2023-01-20T00:00:00"/>
    <s v="01-2023"/>
    <x v="2"/>
    <x v="5"/>
    <s v="Mombasa"/>
    <s v="Mombasa"/>
    <s v="Non-Profit"/>
    <s v="Direct"/>
    <x v="3"/>
    <x v="9"/>
    <x v="8"/>
    <x v="2"/>
    <s v="High"/>
    <x v="160"/>
    <x v="0"/>
    <n v="1494.4"/>
    <n v="3661.07"/>
    <n v="3661.07"/>
    <n v="7.1999999999999995E-2"/>
    <n v="7.1999999999999995E-2"/>
    <x v="0"/>
    <n v="7"/>
    <n v="23782.310720000001"/>
    <n v="10460.800000000001"/>
    <n v="13321.51072"/>
    <n v="0.56014366630897339"/>
    <n v="6496994.4423199976"/>
    <n v="0.59356223281816212"/>
  </r>
  <r>
    <s v="ORD-2024-851993"/>
    <d v="2024-05-01T00:00:00"/>
    <x v="147"/>
    <d v="2024-05-16T00:00:00"/>
    <d v="2024-05-16T00:00:00"/>
    <n v="15"/>
    <n v="0"/>
    <x v="1"/>
    <s v="Q2-2024"/>
    <d v="2023-01-29T00:00:00"/>
    <s v="01-2023"/>
    <x v="3"/>
    <x v="3"/>
    <s v="Bengaluru"/>
    <s v="Bengaluru"/>
    <s v="Small Business"/>
    <s v="Retail"/>
    <x v="1"/>
    <x v="4"/>
    <x v="4"/>
    <x v="0"/>
    <s v="High"/>
    <x v="161"/>
    <x v="0"/>
    <n v="901.19"/>
    <n v="2125.44"/>
    <n v="2125.44"/>
    <n v="7.0999999999999994E-2"/>
    <n v="7.0999999999999994E-2"/>
    <x v="0"/>
    <n v="12"/>
    <n v="23694.405119999999"/>
    <n v="10814.28"/>
    <n v="12880.125119999999"/>
    <n v="0.54359352154100415"/>
    <n v="6520688.8474399978"/>
    <n v="0.59572694207460153"/>
  </r>
  <r>
    <s v="ORD-2024-286833"/>
    <d v="2024-08-14T00:00:00"/>
    <x v="148"/>
    <d v="2024-09-04T00:00:00"/>
    <d v="2024-09-04T00:00:00"/>
    <n v="21"/>
    <n v="0"/>
    <x v="19"/>
    <s v="Q3-2024"/>
    <d v="2023-01-19T00:00:00"/>
    <s v="01-2023"/>
    <x v="1"/>
    <x v="1"/>
    <s v="Manchester"/>
    <s v="Manchester"/>
    <s v="Non-Profit"/>
    <s v="Online"/>
    <x v="0"/>
    <x v="9"/>
    <x v="8"/>
    <x v="5"/>
    <s v="High"/>
    <x v="162"/>
    <x v="0"/>
    <n v="1138.8"/>
    <n v="2250.81"/>
    <n v="2250.81"/>
    <n v="0.123"/>
    <n v="0.123"/>
    <x v="0"/>
    <n v="12"/>
    <n v="23687.524440000001"/>
    <n v="13665.599999999999"/>
    <n v="10021.924440000003"/>
    <n v="0.42308872188756258"/>
    <n v="6544376.3718799977"/>
    <n v="0.59789102271548333"/>
  </r>
  <r>
    <s v="ORD-2023-674887"/>
    <d v="2023-12-16T00:00:00"/>
    <x v="149"/>
    <d v="2023-12-19T00:00:00"/>
    <d v="2023-12-19T00:00:00"/>
    <n v="3"/>
    <n v="1"/>
    <x v="10"/>
    <s v="Q4-2023"/>
    <d v="2023-01-12T00:00:00"/>
    <s v="01-2023"/>
    <x v="3"/>
    <x v="10"/>
    <s v="Beijing"/>
    <s v="Beijing"/>
    <s v="Education"/>
    <s v="Retail"/>
    <x v="1"/>
    <x v="6"/>
    <x v="2"/>
    <x v="4"/>
    <s v="High"/>
    <x v="163"/>
    <x v="0"/>
    <n v="1415.05"/>
    <n v="1972.38"/>
    <n v="1972.38"/>
    <n v="0"/>
    <n v="0"/>
    <x v="0"/>
    <n v="12"/>
    <n v="23668.560000000001"/>
    <n v="16980.599999999999"/>
    <n v="6687.9600000000028"/>
    <n v="0.28256725377462771"/>
    <n v="6568044.9318799973"/>
    <n v="0.60005337077440724"/>
  </r>
  <r>
    <s v="ORD-2023-667815"/>
    <d v="2023-10-21T00:00:00"/>
    <x v="150"/>
    <d v="2023-11-09T00:00:00"/>
    <d v="2023-11-09T00:00:00"/>
    <n v="19"/>
    <n v="0"/>
    <x v="18"/>
    <s v="Q4-2023"/>
    <d v="2023-01-19T00:00:00"/>
    <s v="01-2023"/>
    <x v="1"/>
    <x v="1"/>
    <s v="London"/>
    <s v="London"/>
    <s v="Non-Profit"/>
    <s v="Direct"/>
    <x v="3"/>
    <x v="6"/>
    <x v="2"/>
    <x v="4"/>
    <s v="High"/>
    <x v="164"/>
    <x v="0"/>
    <n v="1142.48"/>
    <n v="2105.5300000000002"/>
    <n v="2105.5300000000002"/>
    <n v="0.20699999999999999"/>
    <n v="0.20699999999999999"/>
    <x v="1"/>
    <n v="14"/>
    <n v="23375.594060000003"/>
    <n v="15994.720000000001"/>
    <n v="7380.8740600000019"/>
    <n v="0.31575129346680658"/>
    <n v="6591420.5259399973"/>
    <n v="0.60218895360842151"/>
  </r>
  <r>
    <s v="ORD-2024-921935"/>
    <d v="2024-01-01T00:00:00"/>
    <x v="151"/>
    <d v="2024-01-27T00:00:00"/>
    <d v="2024-01-27T00:00:00"/>
    <n v="26"/>
    <n v="0"/>
    <x v="28"/>
    <s v="Q1-2024"/>
    <d v="2023-01-19T00:00:00"/>
    <s v="01-2023"/>
    <x v="1"/>
    <x v="1"/>
    <s v="Manchester"/>
    <s v="Manchester"/>
    <s v="Education"/>
    <s v="Distributor"/>
    <x v="4"/>
    <x v="11"/>
    <x v="10"/>
    <x v="4"/>
    <s v="Medium"/>
    <x v="165"/>
    <x v="0"/>
    <n v="657.45"/>
    <n v="1325.96"/>
    <n v="1325.96"/>
    <n v="0.16700000000000001"/>
    <n v="0.16700000000000001"/>
    <x v="0"/>
    <n v="21"/>
    <n v="23195.01828"/>
    <n v="13806.45"/>
    <n v="9388.5682799999995"/>
    <n v="0.40476658249048808"/>
    <n v="6614615.5442199977"/>
    <n v="0.60430803912754327"/>
  </r>
  <r>
    <s v="ORD-2023-172095"/>
    <d v="2023-05-24T00:00:00"/>
    <x v="152"/>
    <d v="2023-06-21T00:00:00"/>
    <d v="2023-06-21T00:00:00"/>
    <n v="28"/>
    <n v="0"/>
    <x v="3"/>
    <s v="Q2-2023"/>
    <d v="2023-01-13T00:00:00"/>
    <s v="01-2023"/>
    <x v="0"/>
    <x v="6"/>
    <s v="Austin"/>
    <s v="Austin"/>
    <s v="Small Business"/>
    <s v="Marketplace"/>
    <x v="2"/>
    <x v="12"/>
    <x v="11"/>
    <x v="3"/>
    <s v="Medium"/>
    <x v="166"/>
    <x v="0"/>
    <n v="813.97"/>
    <n v="1568.83"/>
    <n v="1568.83"/>
    <n v="1.7000000000000001E-2"/>
    <n v="1.7000000000000001E-2"/>
    <x v="0"/>
    <n v="15"/>
    <n v="23132.398349999996"/>
    <n v="12209.550000000001"/>
    <n v="10922.848349999995"/>
    <n v="0.4721883215364911"/>
    <n v="6637747.9425699981"/>
    <n v="0.60642140372050457"/>
  </r>
  <r>
    <s v="ORD-2023-576840"/>
    <d v="2023-11-19T00:00:00"/>
    <x v="89"/>
    <d v="2023-12-13T00:00:00"/>
    <d v="2023-12-13T00:00:00"/>
    <n v="24"/>
    <n v="0"/>
    <x v="31"/>
    <s v="Q4-2023"/>
    <d v="2023-01-10T00:00:00"/>
    <s v="01-2023"/>
    <x v="1"/>
    <x v="11"/>
    <s v="Lyon"/>
    <s v="Lyon"/>
    <s v="Non-Profit"/>
    <s v="Direct"/>
    <x v="3"/>
    <x v="0"/>
    <x v="0"/>
    <x v="3"/>
    <s v="High"/>
    <x v="167"/>
    <x v="0"/>
    <n v="1297.42"/>
    <n v="2742.97"/>
    <n v="2742.97"/>
    <n v="6.9000000000000006E-2"/>
    <n v="6.9000000000000006E-2"/>
    <x v="0"/>
    <n v="9"/>
    <n v="22983.34563"/>
    <n v="11676.78"/>
    <n v="11306.565629999999"/>
    <n v="0.49194602961727291"/>
    <n v="6660731.2881999984"/>
    <n v="0.60852115092990855"/>
  </r>
  <r>
    <s v="ORD-2023-638181"/>
    <d v="2023-05-20T00:00:00"/>
    <x v="153"/>
    <d v="2023-06-07T00:00:00"/>
    <d v="2023-06-07T00:00:00"/>
    <n v="18"/>
    <n v="0"/>
    <x v="3"/>
    <s v="Q2-2023"/>
    <d v="2023-01-13T00:00:00"/>
    <s v="01-2023"/>
    <x v="2"/>
    <x v="2"/>
    <s v="Port Harcourt"/>
    <s v="Port Harcourt"/>
    <s v="Enterprise"/>
    <s v="Distributor"/>
    <x v="4"/>
    <x v="15"/>
    <x v="14"/>
    <x v="0"/>
    <s v="High"/>
    <x v="168"/>
    <x v="0"/>
    <n v="1120.06"/>
    <n v="2068.21"/>
    <n v="2068.21"/>
    <n v="7.8E-2"/>
    <n v="7.8E-2"/>
    <x v="0"/>
    <n v="12"/>
    <n v="22882.675440000003"/>
    <n v="13440.72"/>
    <n v="9441.9554400000034"/>
    <n v="0.41262462795303284"/>
    <n v="6683613.9636399988"/>
    <n v="0.61061170096001915"/>
  </r>
  <r>
    <s v="ORD-2025-246692"/>
    <d v="2025-04-17T00:00:00"/>
    <x v="154"/>
    <d v="2025-04-17T00:00:00"/>
    <d v="2025-04-17T00:00:00"/>
    <n v="0"/>
    <n v="1"/>
    <x v="2"/>
    <s v="Q2-2025"/>
    <d v="2023-01-29T00:00:00"/>
    <s v="01-2023"/>
    <x v="0"/>
    <x v="9"/>
    <s v="São Paulo"/>
    <s v="São Paulo"/>
    <s v="Corporate"/>
    <s v="Distributor"/>
    <x v="4"/>
    <x v="4"/>
    <x v="4"/>
    <x v="5"/>
    <s v="Medium"/>
    <x v="169"/>
    <x v="0"/>
    <n v="719.41"/>
    <n v="1125.99"/>
    <n v="1125.99"/>
    <n v="4.1000000000000002E-2"/>
    <n v="4.1000000000000002E-2"/>
    <x v="0"/>
    <n v="21"/>
    <n v="22676.312610000001"/>
    <n v="15107.609999999999"/>
    <n v="7568.7026100000021"/>
    <n v="0.33377131194876403"/>
    <n v="6706290.2762499992"/>
    <n v="0.61268339778296854"/>
  </r>
  <r>
    <s v="ORD-2023-609394"/>
    <d v="2023-04-16T00:00:00"/>
    <x v="155"/>
    <d v="2023-04-19T00:00:00"/>
    <d v="2023-04-19T00:00:00"/>
    <n v="3"/>
    <n v="1"/>
    <x v="15"/>
    <s v="Q2-2023"/>
    <d v="2023-01-21T00:00:00"/>
    <s v="01-2023"/>
    <x v="1"/>
    <x v="4"/>
    <s v="Munich"/>
    <s v="Munich"/>
    <s v="Corporate"/>
    <s v="Direct"/>
    <x v="3"/>
    <x v="1"/>
    <x v="1"/>
    <x v="4"/>
    <s v="Low"/>
    <x v="170"/>
    <x v="0"/>
    <n v="553.61"/>
    <n v="699.47"/>
    <n v="699.47"/>
    <n v="0.02"/>
    <n v="0.02"/>
    <x v="0"/>
    <n v="33"/>
    <n v="22620.859800000002"/>
    <n v="18269.13"/>
    <n v="4351.729800000001"/>
    <n v="0.19237685209472014"/>
    <n v="6728911.1360499989"/>
    <n v="0.61475002846433324"/>
  </r>
  <r>
    <s v="ORD-2024-468615"/>
    <d v="2024-07-09T00:00:00"/>
    <x v="156"/>
    <d v="2024-07-12T00:00:00"/>
    <d v="2024-07-12T00:00:00"/>
    <n v="3"/>
    <n v="1"/>
    <x v="9"/>
    <s v="Q3-2024"/>
    <d v="2023-01-12T00:00:00"/>
    <s v="01-2023"/>
    <x v="3"/>
    <x v="10"/>
    <s v="Shanghai"/>
    <s v="Shanghai"/>
    <s v="Small Business"/>
    <s v="Retail"/>
    <x v="1"/>
    <x v="11"/>
    <x v="10"/>
    <x v="4"/>
    <s v="Medium"/>
    <x v="171"/>
    <x v="0"/>
    <n v="748.39"/>
    <n v="979.42"/>
    <n v="979.42"/>
    <n v="0"/>
    <n v="0"/>
    <x v="0"/>
    <n v="23"/>
    <n v="22526.66"/>
    <n v="17212.97"/>
    <n v="5313.6899999999987"/>
    <n v="0.23588450307324738"/>
    <n v="6751437.7960499991"/>
    <n v="0.61680805309806852"/>
  </r>
  <r>
    <s v="ORD-2024-390951"/>
    <d v="2024-12-20T00:00:00"/>
    <x v="157"/>
    <d v="2025-01-14T00:00:00"/>
    <d v="2025-01-14T00:00:00"/>
    <n v="25"/>
    <n v="0"/>
    <x v="11"/>
    <s v="Q4-2024"/>
    <d v="2023-01-29T00:00:00"/>
    <s v="01-2023"/>
    <x v="3"/>
    <x v="3"/>
    <s v="Delhi"/>
    <s v="Delhi"/>
    <s v="Small Business"/>
    <s v="Retail"/>
    <x v="1"/>
    <x v="7"/>
    <x v="6"/>
    <x v="6"/>
    <s v="High"/>
    <x v="172"/>
    <x v="0"/>
    <n v="1361.34"/>
    <n v="1737.9"/>
    <n v="1737.9"/>
    <n v="7.6999999999999999E-2"/>
    <n v="7.6999999999999999E-2"/>
    <x v="0"/>
    <n v="14"/>
    <n v="22457.143800000002"/>
    <n v="19058.759999999998"/>
    <n v="3398.3838000000032"/>
    <n v="0.15132751654731813"/>
    <n v="6773894.9398499988"/>
    <n v="0.61885972676579082"/>
  </r>
  <r>
    <s v="ORD-2024-819979"/>
    <d v="2024-05-28T00:00:00"/>
    <x v="158"/>
    <d v="2024-06-18T00:00:00"/>
    <d v="2024-06-18T00:00:00"/>
    <n v="21"/>
    <n v="0"/>
    <x v="1"/>
    <s v="Q2-2024"/>
    <d v="2023-01-21T00:00:00"/>
    <s v="01-2023"/>
    <x v="1"/>
    <x v="4"/>
    <s v="Frankfurt"/>
    <s v="Frankfurt"/>
    <s v="Small Business"/>
    <s v="Online"/>
    <x v="0"/>
    <x v="15"/>
    <x v="14"/>
    <x v="5"/>
    <s v="High"/>
    <x v="173"/>
    <x v="0"/>
    <n v="986.85"/>
    <n v="2422.1"/>
    <n v="2422.1"/>
    <n v="7.5999999999999998E-2"/>
    <n v="7.5999999999999998E-2"/>
    <x v="0"/>
    <n v="10"/>
    <n v="22380.204000000002"/>
    <n v="9868.5"/>
    <n v="12511.704000000002"/>
    <n v="0.55905227673527913"/>
    <n v="6796275.1438499987"/>
    <n v="0.62090437125103726"/>
  </r>
  <r>
    <s v="ORD-2023-568013"/>
    <d v="2023-09-30T00:00:00"/>
    <x v="159"/>
    <d v="2023-10-30T00:00:00"/>
    <d v="2023-10-30T00:00:00"/>
    <n v="30"/>
    <n v="0"/>
    <x v="32"/>
    <s v="Q3-2023"/>
    <d v="2023-03-03T00:00:00"/>
    <s v="03-2023"/>
    <x v="3"/>
    <x v="7"/>
    <s v="Tokyo"/>
    <s v="Tokyo"/>
    <s v="Enterprise"/>
    <s v="Online"/>
    <x v="0"/>
    <x v="11"/>
    <x v="10"/>
    <x v="6"/>
    <s v="Medium"/>
    <x v="174"/>
    <x v="0"/>
    <n v="649.13"/>
    <n v="975.43"/>
    <n v="975.43"/>
    <n v="0.157"/>
    <n v="0.157"/>
    <x v="0"/>
    <n v="27"/>
    <n v="22201.762229999997"/>
    <n v="17526.509999999998"/>
    <n v="4675.2522299999982"/>
    <n v="0.21058023149543473"/>
    <n v="6818476.9060799992"/>
    <n v="0.62293271338350042"/>
  </r>
  <r>
    <s v="ORD-2023-676553"/>
    <d v="2023-05-20T00:00:00"/>
    <x v="153"/>
    <d v="2023-06-19T00:00:00"/>
    <d v="2023-06-19T00:00:00"/>
    <n v="30"/>
    <n v="0"/>
    <x v="3"/>
    <s v="Q2-2023"/>
    <d v="2023-01-29T00:00:00"/>
    <s v="01-2023"/>
    <x v="3"/>
    <x v="3"/>
    <s v="Delhi"/>
    <s v="Delhi"/>
    <s v="Non-Profit"/>
    <s v="Marketplace"/>
    <x v="2"/>
    <x v="0"/>
    <x v="0"/>
    <x v="2"/>
    <s v="Medium"/>
    <x v="175"/>
    <x v="0"/>
    <n v="1161.2"/>
    <n v="878.73"/>
    <n v="878.73"/>
    <n v="0.19"/>
    <n v="0.19"/>
    <x v="0"/>
    <n v="31"/>
    <n v="22064.910300000003"/>
    <n v="35997.200000000004"/>
    <n v="13932.289700000001"/>
    <n v="0.63142290227212028"/>
    <n v="6840541.8163799988"/>
    <n v="0.62494855279061001"/>
  </r>
  <r>
    <s v="ORD-2023-848013"/>
    <d v="2023-02-20T00:00:00"/>
    <x v="160"/>
    <d v="2023-03-04T00:00:00"/>
    <d v="2023-03-04T00:00:00"/>
    <n v="12"/>
    <n v="0"/>
    <x v="4"/>
    <s v="Q1-2023"/>
    <d v="2023-01-29T00:00:00"/>
    <s v="01-2023"/>
    <x v="3"/>
    <x v="3"/>
    <s v="Delhi"/>
    <s v="Delhi"/>
    <s v="Consumer"/>
    <s v="Distributor"/>
    <x v="4"/>
    <x v="7"/>
    <x v="6"/>
    <x v="3"/>
    <s v="Low"/>
    <x v="176"/>
    <x v="0"/>
    <n v="299.75"/>
    <n v="523.01"/>
    <n v="523.01"/>
    <n v="0.157"/>
    <n v="0.157"/>
    <x v="0"/>
    <n v="50"/>
    <n v="22044.871499999997"/>
    <n v="14987.5"/>
    <n v="7057.3714999999975"/>
    <n v="0.32013665854210122"/>
    <n v="6862586.6878799992"/>
    <n v="0.62696256146275797"/>
  </r>
  <r>
    <s v="ORD-2023-867175"/>
    <d v="2023-08-10T00:00:00"/>
    <x v="161"/>
    <d v="2023-08-15T00:00:00"/>
    <d v="2023-08-15T00:00:00"/>
    <n v="5"/>
    <n v="1"/>
    <x v="21"/>
    <s v="Q3-2023"/>
    <d v="2023-01-29T00:00:00"/>
    <s v="01-2023"/>
    <x v="0"/>
    <x v="9"/>
    <s v="São Paulo"/>
    <s v="São Paulo"/>
    <s v="Education"/>
    <s v="Direct"/>
    <x v="3"/>
    <x v="12"/>
    <x v="11"/>
    <x v="1"/>
    <s v="High"/>
    <x v="177"/>
    <x v="0"/>
    <n v="1307.52"/>
    <n v="1921.65"/>
    <n v="1921.65"/>
    <n v="0.123"/>
    <n v="0.123"/>
    <x v="0"/>
    <n v="13"/>
    <n v="21908.731650000002"/>
    <n v="16997.759999999998"/>
    <n v="4910.9716500000031"/>
    <n v="0.22415590863289445"/>
    <n v="6884495.4195299996"/>
    <n v="0.62896413246483263"/>
  </r>
  <r>
    <s v="ORD-2024-668926"/>
    <d v="2024-10-23T00:00:00"/>
    <x v="162"/>
    <d v="2024-11-14T00:00:00"/>
    <d v="2024-11-14T00:00:00"/>
    <n v="22"/>
    <n v="0"/>
    <x v="20"/>
    <s v="Q4-2024"/>
    <d v="2023-03-03T00:00:00"/>
    <s v="03-2023"/>
    <x v="3"/>
    <x v="7"/>
    <s v="Osaka"/>
    <s v="Osaka"/>
    <s v="Non-Profit"/>
    <s v="Direct"/>
    <x v="3"/>
    <x v="1"/>
    <x v="1"/>
    <x v="5"/>
    <s v="Medium"/>
    <x v="178"/>
    <x v="0"/>
    <n v="1406.4"/>
    <n v="1564.76"/>
    <n v="1564.76"/>
    <n v="0.185"/>
    <n v="0.185"/>
    <x v="0"/>
    <n v="17"/>
    <n v="21679.749799999998"/>
    <n v="23908.800000000003"/>
    <n v="2229.0502000000051"/>
    <n v="0.10281715520536151"/>
    <n v="6906175.1693299999"/>
    <n v="0.63094478379714813"/>
  </r>
  <r>
    <s v="ORD-2024-510520"/>
    <d v="2024-09-25T00:00:00"/>
    <x v="163"/>
    <d v="2024-10-03T00:00:00"/>
    <d v="2024-10-03T00:00:00"/>
    <n v="8"/>
    <n v="0"/>
    <x v="27"/>
    <s v="Q3-2024"/>
    <d v="2023-01-02T00:00:00"/>
    <s v="01-2023"/>
    <x v="0"/>
    <x v="0"/>
    <s v="Toronto"/>
    <s v="Toronto"/>
    <s v="Consumer"/>
    <s v="Online"/>
    <x v="0"/>
    <x v="15"/>
    <x v="14"/>
    <x v="6"/>
    <s v="Medium"/>
    <x v="179"/>
    <x v="0"/>
    <n v="558.19000000000005"/>
    <n v="1031.6400000000001"/>
    <n v="1031.6400000000001"/>
    <n v="0"/>
    <n v="0"/>
    <x v="0"/>
    <n v="21"/>
    <n v="21664.440000000002"/>
    <n v="11721.990000000002"/>
    <n v="9942.4500000000007"/>
    <n v="0.45892947152107322"/>
    <n v="6927839.6093300004"/>
    <n v="0.63292403643362771"/>
  </r>
  <r>
    <s v="ORD-2024-890180"/>
    <d v="2024-01-20T00:00:00"/>
    <x v="164"/>
    <d v="2024-02-13T00:00:00"/>
    <d v="2024-02-13T00:00:00"/>
    <n v="24"/>
    <n v="0"/>
    <x v="28"/>
    <s v="Q1-2024"/>
    <d v="2023-01-10T00:00:00"/>
    <s v="01-2023"/>
    <x v="1"/>
    <x v="11"/>
    <s v="Marseille"/>
    <s v="Marseille"/>
    <s v="Corporate"/>
    <s v="Retail"/>
    <x v="1"/>
    <x v="0"/>
    <x v="0"/>
    <x v="6"/>
    <s v="Medium"/>
    <x v="180"/>
    <x v="0"/>
    <n v="643.53"/>
    <n v="1439.01"/>
    <n v="1439.01"/>
    <n v="0"/>
    <n v="0"/>
    <x v="0"/>
    <n v="15"/>
    <n v="21585.15"/>
    <n v="9652.9499999999989"/>
    <n v="11932.200000000003"/>
    <n v="0.55279671440782208"/>
    <n v="6949424.7593300007"/>
    <n v="0.63489604517450948"/>
  </r>
  <r>
    <s v="ORD-2025-125517"/>
    <d v="2025-03-21T00:00:00"/>
    <x v="165"/>
    <d v="2025-04-09T00:00:00"/>
    <d v="2025-04-09T00:00:00"/>
    <n v="19"/>
    <n v="0"/>
    <x v="26"/>
    <s v="Q1-2025"/>
    <d v="2023-03-03T00:00:00"/>
    <s v="03-2023"/>
    <x v="3"/>
    <x v="7"/>
    <s v="Tokyo"/>
    <s v="Tokyo"/>
    <s v="Small Business"/>
    <s v="Distributor"/>
    <x v="4"/>
    <x v="15"/>
    <x v="14"/>
    <x v="0"/>
    <s v="Medium"/>
    <x v="181"/>
    <x v="0"/>
    <n v="1055.45"/>
    <n v="1210.04"/>
    <n v="1210.04"/>
    <n v="8.9999999999999993E-3"/>
    <n v="8.9999999999999993E-3"/>
    <x v="0"/>
    <n v="18"/>
    <n v="21584.693520000001"/>
    <n v="18998.100000000002"/>
    <n v="2586.5935199999985"/>
    <n v="0.1198346188053727"/>
    <n v="6971009.4528500009"/>
    <n v="0.63686801221160183"/>
  </r>
  <r>
    <s v="ORD-2023-195665"/>
    <d v="2023-12-19T00:00:00"/>
    <x v="166"/>
    <d v="2023-12-20T00:00:00"/>
    <d v="2023-12-20T00:00:00"/>
    <n v="1"/>
    <n v="1"/>
    <x v="10"/>
    <s v="Q4-2023"/>
    <d v="2023-01-29T00:00:00"/>
    <s v="01-2023"/>
    <x v="0"/>
    <x v="9"/>
    <s v="Rio de Janeiro"/>
    <s v="Rio de Janeiro"/>
    <s v="Consumer"/>
    <s v="Distributor"/>
    <x v="4"/>
    <x v="9"/>
    <x v="8"/>
    <x v="5"/>
    <s v="High"/>
    <x v="182"/>
    <x v="0"/>
    <n v="1080.43"/>
    <n v="2529.15"/>
    <n v="2529.15"/>
    <n v="0.14699999999999999"/>
    <n v="0.14699999999999999"/>
    <x v="0"/>
    <n v="10"/>
    <n v="21573.6495"/>
    <n v="10804.300000000001"/>
    <n v="10769.349499999998"/>
    <n v="0.49918997247081437"/>
    <n v="6992583.1023500012"/>
    <n v="0.63883897027243153"/>
  </r>
  <r>
    <s v="ORD-2023-497686"/>
    <d v="2023-07-03T00:00:00"/>
    <x v="167"/>
    <d v="2023-07-23T00:00:00"/>
    <d v="2023-07-23T00:00:00"/>
    <n v="20"/>
    <n v="0"/>
    <x v="6"/>
    <s v="Q3-2023"/>
    <d v="2023-01-07T00:00:00"/>
    <s v="01-2023"/>
    <x v="2"/>
    <x v="8"/>
    <s v="Johannesburg"/>
    <s v="Johannesburg"/>
    <s v="Small Business"/>
    <s v="Distributor"/>
    <x v="4"/>
    <x v="10"/>
    <x v="9"/>
    <x v="2"/>
    <s v="Medium"/>
    <x v="183"/>
    <x v="0"/>
    <n v="1001.96"/>
    <n v="1254.95"/>
    <n v="1254.95"/>
    <n v="4.4999999999999998E-2"/>
    <n v="4.4999999999999998E-2"/>
    <x v="0"/>
    <n v="18"/>
    <n v="21572.590500000002"/>
    <n v="18035.28"/>
    <n v="3537.3105000000032"/>
    <n v="0.16397244920585699"/>
    <n v="7014155.6928500012"/>
    <n v="0.64080983158353955"/>
  </r>
  <r>
    <s v="ORD-2025-881624"/>
    <d v="2025-02-21T00:00:00"/>
    <x v="168"/>
    <d v="2025-03-21T00:00:00"/>
    <d v="2025-03-21T00:00:00"/>
    <n v="28"/>
    <n v="0"/>
    <x v="30"/>
    <s v="Q1-2025"/>
    <d v="2023-01-13T00:00:00"/>
    <s v="01-2023"/>
    <x v="2"/>
    <x v="2"/>
    <s v="Abuja"/>
    <s v="Abuja"/>
    <s v="Enterprise"/>
    <s v="Marketplace"/>
    <x v="2"/>
    <x v="13"/>
    <x v="12"/>
    <x v="5"/>
    <s v="Medium"/>
    <x v="184"/>
    <x v="0"/>
    <n v="1437.39"/>
    <n v="1388.31"/>
    <n v="1388.31"/>
    <n v="0.13800000000000001"/>
    <n v="0.13800000000000001"/>
    <x v="0"/>
    <n v="18"/>
    <n v="21541.017959999997"/>
    <n v="25873.02"/>
    <n v="4332.002040000003"/>
    <n v="0.20110479681341872"/>
    <n v="7035696.710810001"/>
    <n v="0.64277780844284371"/>
  </r>
  <r>
    <s v="ORD-2025-330203"/>
    <d v="2025-03-25T00:00:00"/>
    <x v="42"/>
    <d v="2025-04-17T00:00:00"/>
    <d v="2025-04-17T00:00:00"/>
    <n v="23"/>
    <n v="0"/>
    <x v="26"/>
    <s v="Q1-2025"/>
    <d v="2023-01-19T00:00:00"/>
    <s v="01-2023"/>
    <x v="1"/>
    <x v="1"/>
    <s v="London"/>
    <s v="London"/>
    <s v="Consumer"/>
    <s v="Retail"/>
    <x v="1"/>
    <x v="0"/>
    <x v="0"/>
    <x v="1"/>
    <s v="High"/>
    <x v="185"/>
    <x v="0"/>
    <n v="1421.19"/>
    <n v="1808.26"/>
    <n v="1808.26"/>
    <n v="0.104"/>
    <n v="0.104"/>
    <x v="0"/>
    <n v="13"/>
    <n v="21062.61248"/>
    <n v="18475.47"/>
    <n v="2587.1424799999986"/>
    <n v="0.12283103449093123"/>
    <n v="7056759.3232900007"/>
    <n v="0.6447020784116122"/>
  </r>
  <r>
    <s v="ORD-2023-581799"/>
    <d v="2023-12-05T00:00:00"/>
    <x v="169"/>
    <d v="2023-12-12T00:00:00"/>
    <d v="2023-12-12T00:00:00"/>
    <n v="7"/>
    <n v="1"/>
    <x v="10"/>
    <s v="Q4-2023"/>
    <d v="2023-01-29T00:00:00"/>
    <s v="01-2023"/>
    <x v="0"/>
    <x v="9"/>
    <s v="Brasília"/>
    <s v="Brasília"/>
    <s v="Corporate"/>
    <s v="Direct"/>
    <x v="3"/>
    <x v="10"/>
    <x v="9"/>
    <x v="5"/>
    <s v="Low"/>
    <x v="186"/>
    <x v="0"/>
    <n v="307.43"/>
    <n v="495.19"/>
    <n v="495.19"/>
    <n v="0"/>
    <n v="0"/>
    <x v="0"/>
    <n v="42"/>
    <n v="20797.98"/>
    <n v="12912.06"/>
    <n v="7885.92"/>
    <n v="0.37916759223732305"/>
    <n v="7077557.3032900011"/>
    <n v="0.64660217168651113"/>
  </r>
  <r>
    <s v="ORD-2023-184577"/>
    <d v="2023-05-17T00:00:00"/>
    <x v="170"/>
    <d v="2023-06-03T00:00:00"/>
    <d v="2023-06-03T00:00:00"/>
    <n v="17"/>
    <n v="0"/>
    <x v="3"/>
    <s v="Q2-2023"/>
    <d v="2023-01-12T00:00:00"/>
    <s v="01-2023"/>
    <x v="3"/>
    <x v="10"/>
    <s v="Beijing"/>
    <s v="Beijing"/>
    <s v="Non-Profit"/>
    <s v="Distributor"/>
    <x v="4"/>
    <x v="7"/>
    <x v="6"/>
    <x v="6"/>
    <s v="High"/>
    <x v="187"/>
    <x v="0"/>
    <n v="979.59"/>
    <n v="2210.94"/>
    <n v="2210.94"/>
    <n v="0.15"/>
    <n v="0.15"/>
    <x v="0"/>
    <n v="11"/>
    <n v="20672.289000000001"/>
    <n v="10775.49"/>
    <n v="9896.7990000000009"/>
    <n v="0.47874712858358359"/>
    <n v="7098229.592290001"/>
    <n v="0.64849078189315934"/>
  </r>
  <r>
    <s v="ORD-2025-398335"/>
    <d v="2025-06-01T00:00:00"/>
    <x v="136"/>
    <d v="2025-06-27T00:00:00"/>
    <d v="2025-06-27T00:00:00"/>
    <n v="26"/>
    <n v="0"/>
    <x v="25"/>
    <s v="Q2-2025"/>
    <d v="2023-01-21T00:00:00"/>
    <s v="01-2023"/>
    <x v="1"/>
    <x v="4"/>
    <s v="Munich"/>
    <s v="Munich"/>
    <s v="Consumer"/>
    <s v="Distributor"/>
    <x v="4"/>
    <x v="15"/>
    <x v="14"/>
    <x v="2"/>
    <s v="High"/>
    <x v="188"/>
    <x v="0"/>
    <n v="1362.31"/>
    <n v="3294.57"/>
    <n v="3294.57"/>
    <n v="0.113"/>
    <n v="0.113"/>
    <x v="0"/>
    <n v="7"/>
    <n v="20455.985130000001"/>
    <n v="9536.17"/>
    <n v="10919.815130000001"/>
    <n v="0.5338200561157721"/>
    <n v="7118685.5774200009"/>
    <n v="0.65035963068409686"/>
  </r>
  <r>
    <s v="ORD-2023-621393"/>
    <d v="2023-07-07T00:00:00"/>
    <x v="171"/>
    <d v="2023-07-13T00:00:00"/>
    <d v="2023-07-13T00:00:00"/>
    <n v="6"/>
    <n v="1"/>
    <x v="6"/>
    <s v="Q3-2023"/>
    <d v="2023-01-07T00:00:00"/>
    <s v="01-2023"/>
    <x v="2"/>
    <x v="8"/>
    <s v="Cape Town"/>
    <s v="Cape Town"/>
    <s v="Small Business"/>
    <s v="Marketplace"/>
    <x v="2"/>
    <x v="1"/>
    <x v="1"/>
    <x v="4"/>
    <s v="Medium"/>
    <x v="189"/>
    <x v="0"/>
    <n v="612.59"/>
    <n v="1424.74"/>
    <n v="1424.74"/>
    <n v="4.3999999999999997E-2"/>
    <n v="4.3999999999999997E-2"/>
    <x v="0"/>
    <n v="15"/>
    <n v="20430.771599999996"/>
    <n v="9188.85"/>
    <n v="11241.921599999996"/>
    <n v="0.55024459281802152"/>
    <n v="7139116.3490200005"/>
    <n v="0.65222617597927235"/>
  </r>
  <r>
    <s v="ORD-2023-573656"/>
    <d v="2023-05-02T00:00:00"/>
    <x v="4"/>
    <d v="2023-05-16T00:00:00"/>
    <d v="2023-05-16T00:00:00"/>
    <n v="14"/>
    <n v="0"/>
    <x v="3"/>
    <s v="Q2-2023"/>
    <d v="2023-01-29T00:00:00"/>
    <s v="01-2023"/>
    <x v="3"/>
    <x v="3"/>
    <s v="Bengaluru"/>
    <s v="Bengaluru"/>
    <s v="Non-Profit"/>
    <s v="Retail"/>
    <x v="1"/>
    <x v="4"/>
    <x v="4"/>
    <x v="3"/>
    <s v="Medium"/>
    <x v="190"/>
    <x v="0"/>
    <n v="475.37"/>
    <n v="963.73"/>
    <n v="963.73"/>
    <n v="4.1000000000000002E-2"/>
    <n v="4.1000000000000002E-2"/>
    <x v="0"/>
    <n v="22"/>
    <n v="20332.775539999999"/>
    <n v="10458.14"/>
    <n v="9874.6355399999993"/>
    <n v="0.48565113604750881"/>
    <n v="7159449.1245600004"/>
    <n v="0.6540837684023626"/>
  </r>
  <r>
    <s v="ORD-2024-500109"/>
    <d v="2024-05-18T00:00:00"/>
    <x v="172"/>
    <d v="2024-05-23T00:00:00"/>
    <d v="2024-05-23T00:00:00"/>
    <n v="5"/>
    <n v="1"/>
    <x v="1"/>
    <s v="Q2-2024"/>
    <d v="2023-01-13T00:00:00"/>
    <s v="01-2023"/>
    <x v="0"/>
    <x v="6"/>
    <s v="Chicago"/>
    <s v="Chicago"/>
    <s v="Enterprise"/>
    <s v="Retail"/>
    <x v="1"/>
    <x v="0"/>
    <x v="0"/>
    <x v="2"/>
    <s v="High"/>
    <x v="191"/>
    <x v="0"/>
    <n v="1274.5899999999999"/>
    <n v="2553.69"/>
    <n v="2553.69"/>
    <n v="0.01"/>
    <n v="0.01"/>
    <x v="0"/>
    <n v="8"/>
    <n v="20225.2248"/>
    <n v="10196.719999999999"/>
    <n v="10028.504800000001"/>
    <n v="0.49584145042481803"/>
    <n v="7179674.3493600003"/>
    <n v="0.65593153504247848"/>
  </r>
  <r>
    <s v="ORD-2024-939873"/>
    <d v="2024-04-12T00:00:00"/>
    <x v="173"/>
    <d v="2024-05-07T00:00:00"/>
    <d v="2024-05-07T00:00:00"/>
    <n v="25"/>
    <n v="0"/>
    <x v="22"/>
    <s v="Q2-2024"/>
    <d v="2023-01-07T00:00:00"/>
    <s v="01-2023"/>
    <x v="2"/>
    <x v="8"/>
    <s v="Johannesburg"/>
    <s v="Johannesburg"/>
    <s v="Education"/>
    <s v="Distributor"/>
    <x v="4"/>
    <x v="6"/>
    <x v="2"/>
    <x v="2"/>
    <s v="Medium"/>
    <x v="192"/>
    <x v="0"/>
    <n v="1376.51"/>
    <n v="1455.91"/>
    <n v="1455.91"/>
    <n v="0.185"/>
    <n v="0.185"/>
    <x v="0"/>
    <n v="17"/>
    <n v="20171.63305"/>
    <n v="23400.67"/>
    <n v="3229.0369499999979"/>
    <n v="0.1600781127634085"/>
    <n v="7199845.9824100006"/>
    <n v="0.65777440556654054"/>
  </r>
  <r>
    <s v="ORD-2025-337268"/>
    <d v="2025-02-16T00:00:00"/>
    <x v="174"/>
    <d v="2025-03-17T00:00:00"/>
    <d v="2025-03-17T00:00:00"/>
    <n v="29"/>
    <n v="0"/>
    <x v="30"/>
    <s v="Q1-2025"/>
    <d v="2023-01-21T00:00:00"/>
    <s v="01-2023"/>
    <x v="1"/>
    <x v="4"/>
    <s v="Munich"/>
    <s v="Munich"/>
    <s v="Consumer"/>
    <s v="Retail"/>
    <x v="1"/>
    <x v="4"/>
    <x v="4"/>
    <x v="4"/>
    <s v="Medium"/>
    <x v="193"/>
    <x v="0"/>
    <n v="730.42"/>
    <n v="956.7"/>
    <n v="956.7"/>
    <n v="4.2000000000000003E-2"/>
    <n v="4.2000000000000003E-2"/>
    <x v="0"/>
    <n v="22"/>
    <n v="20163.409200000002"/>
    <n v="16069.24"/>
    <n v="4094.1692000000021"/>
    <n v="0.20304945256975698"/>
    <n v="7220009.3916100003"/>
    <n v="0.65961652476369115"/>
  </r>
  <r>
    <s v="ORD-2025-548982"/>
    <d v="2025-04-07T00:00:00"/>
    <x v="175"/>
    <d v="2025-04-11T00:00:00"/>
    <d v="2025-04-11T00:00:00"/>
    <n v="4"/>
    <n v="1"/>
    <x v="2"/>
    <s v="Q2-2025"/>
    <d v="2023-01-10T00:00:00"/>
    <s v="01-2023"/>
    <x v="1"/>
    <x v="11"/>
    <s v="Lyon"/>
    <s v="Lyon"/>
    <s v="Education"/>
    <s v="Retail"/>
    <x v="1"/>
    <x v="15"/>
    <x v="14"/>
    <x v="1"/>
    <s v="High"/>
    <x v="194"/>
    <x v="0"/>
    <n v="754.77"/>
    <n v="1666.18"/>
    <n v="1666.18"/>
    <n v="0.13900000000000001"/>
    <n v="0.13900000000000001"/>
    <x v="0"/>
    <n v="14"/>
    <n v="20084.133720000002"/>
    <n v="10566.779999999999"/>
    <n v="9517.3537200000028"/>
    <n v="0.47387424584424653"/>
    <n v="7240093.5253300006"/>
    <n v="0.66145140139178393"/>
  </r>
  <r>
    <s v="ORD-2024-997336"/>
    <d v="2024-10-04T00:00:00"/>
    <x v="176"/>
    <d v="2024-11-02T00:00:00"/>
    <d v="2024-11-02T00:00:00"/>
    <n v="29"/>
    <n v="0"/>
    <x v="20"/>
    <s v="Q4-2024"/>
    <d v="2023-01-13T00:00:00"/>
    <s v="01-2023"/>
    <x v="2"/>
    <x v="2"/>
    <s v="Abuja"/>
    <s v="Abuja"/>
    <s v="Corporate"/>
    <s v="Distributor"/>
    <x v="4"/>
    <x v="10"/>
    <x v="9"/>
    <x v="4"/>
    <s v="Medium"/>
    <x v="195"/>
    <x v="0"/>
    <n v="412.09"/>
    <n v="968.94"/>
    <n v="968.94"/>
    <n v="9.9000000000000005E-2"/>
    <n v="9.9000000000000005E-2"/>
    <x v="0"/>
    <n v="23"/>
    <n v="20079.343620000003"/>
    <n v="9478.07"/>
    <n v="10601.273620000004"/>
    <n v="0.52796913189137418"/>
    <n v="7260172.868950001"/>
    <n v="0.66328584039868488"/>
  </r>
  <r>
    <s v="ORD-2024-333192"/>
    <d v="2024-10-29T00:00:00"/>
    <x v="177"/>
    <d v="2024-11-04T00:00:00"/>
    <d v="2024-11-04T00:00:00"/>
    <n v="6"/>
    <n v="1"/>
    <x v="20"/>
    <s v="Q4-2024"/>
    <d v="2023-01-20T00:00:00"/>
    <s v="01-2023"/>
    <x v="2"/>
    <x v="5"/>
    <s v="Nairobi"/>
    <s v="Nairobi"/>
    <s v="Corporate"/>
    <s v="Distributor"/>
    <x v="4"/>
    <x v="7"/>
    <x v="6"/>
    <x v="6"/>
    <s v="High"/>
    <x v="196"/>
    <x v="0"/>
    <n v="805.81"/>
    <n v="1823.04"/>
    <n v="1823.04"/>
    <n v="0"/>
    <n v="0"/>
    <x v="0"/>
    <n v="11"/>
    <n v="20053.439999999999"/>
    <n v="8863.91"/>
    <n v="11189.529999999999"/>
    <n v="0.55798556257679477"/>
    <n v="7280226.3089500014"/>
    <n v="0.66511791286353905"/>
  </r>
  <r>
    <s v="ORD-2024-993481"/>
    <d v="2024-08-18T00:00:00"/>
    <x v="178"/>
    <d v="2024-09-12T00:00:00"/>
    <d v="2024-09-12T00:00:00"/>
    <n v="25"/>
    <n v="0"/>
    <x v="19"/>
    <s v="Q3-2024"/>
    <d v="2023-01-29T00:00:00"/>
    <s v="01-2023"/>
    <x v="3"/>
    <x v="3"/>
    <s v="Mumbai"/>
    <s v="Mumbai"/>
    <s v="Consumer"/>
    <s v="Marketplace"/>
    <x v="2"/>
    <x v="5"/>
    <x v="5"/>
    <x v="5"/>
    <s v="Medium"/>
    <x v="197"/>
    <x v="0"/>
    <n v="1154.03"/>
    <n v="1590.36"/>
    <n v="1590.36"/>
    <n v="0.314"/>
    <n v="0.3"/>
    <x v="1"/>
    <n v="18"/>
    <n v="20038.536"/>
    <n v="20772.54"/>
    <n v="734.00400000000081"/>
    <n v="3.6629622044245191E-2"/>
    <n v="7300264.8449500017"/>
    <n v="0.66694862370624686"/>
  </r>
  <r>
    <s v="ORD-2024-862371"/>
    <d v="2024-09-07T00:00:00"/>
    <x v="179"/>
    <d v="2024-09-07T00:00:00"/>
    <d v="2024-09-07T00:00:00"/>
    <n v="0"/>
    <n v="1"/>
    <x v="27"/>
    <s v="Q3-2024"/>
    <d v="2023-01-29T00:00:00"/>
    <s v="01-2023"/>
    <x v="3"/>
    <x v="3"/>
    <s v="Mumbai"/>
    <s v="Mumbai"/>
    <s v="Education"/>
    <s v="Distributor"/>
    <x v="4"/>
    <x v="1"/>
    <x v="1"/>
    <x v="1"/>
    <s v="High"/>
    <x v="198"/>
    <x v="0"/>
    <n v="1066.6500000000001"/>
    <n v="2569.77"/>
    <n v="2569.77"/>
    <n v="0.13400000000000001"/>
    <n v="0.13400000000000001"/>
    <x v="0"/>
    <n v="9"/>
    <n v="20028.787380000002"/>
    <n v="9599.85"/>
    <n v="10428.937380000001"/>
    <n v="0.52069739331368348"/>
    <n v="7320293.6323300013"/>
    <n v="0.66877844391980201"/>
  </r>
  <r>
    <s v="ORD-2023-867836"/>
    <d v="2023-05-11T00:00:00"/>
    <x v="180"/>
    <d v="2023-05-28T00:00:00"/>
    <d v="2023-05-28T00:00:00"/>
    <n v="17"/>
    <n v="0"/>
    <x v="3"/>
    <s v="Q2-2023"/>
    <d v="2023-01-12T00:00:00"/>
    <s v="01-2023"/>
    <x v="3"/>
    <x v="10"/>
    <s v="Shenzhen"/>
    <s v="Shenzhen"/>
    <s v="Enterprise"/>
    <s v="Marketplace"/>
    <x v="2"/>
    <x v="15"/>
    <x v="14"/>
    <x v="1"/>
    <s v="High"/>
    <x v="199"/>
    <x v="0"/>
    <n v="1331.19"/>
    <n v="2903.09"/>
    <n v="2903.09"/>
    <n v="0.14299999999999999"/>
    <n v="0.14299999999999999"/>
    <x v="0"/>
    <n v="8"/>
    <n v="19903.585040000002"/>
    <n v="10649.52"/>
    <n v="9254.0650400000013"/>
    <n v="0.46494463290920784"/>
    <n v="7340197.2173700016"/>
    <n v="0.67059682570884516"/>
  </r>
  <r>
    <s v="ORD-2023-927385"/>
    <d v="2023-05-29T00:00:00"/>
    <x v="181"/>
    <d v="2023-06-20T00:00:00"/>
    <d v="2023-06-20T00:00:00"/>
    <n v="22"/>
    <n v="0"/>
    <x v="3"/>
    <s v="Q2-2023"/>
    <d v="2023-01-19T00:00:00"/>
    <s v="01-2023"/>
    <x v="1"/>
    <x v="1"/>
    <s v="London"/>
    <s v="London"/>
    <s v="Small Business"/>
    <s v="Direct"/>
    <x v="3"/>
    <x v="3"/>
    <x v="3"/>
    <x v="0"/>
    <s v="High"/>
    <x v="200"/>
    <x v="0"/>
    <n v="1295.3900000000001"/>
    <n v="2905.06"/>
    <n v="2905.06"/>
    <n v="0.14799999999999999"/>
    <n v="0.14799999999999999"/>
    <x v="0"/>
    <n v="8"/>
    <n v="19800.88896"/>
    <n v="10363.120000000001"/>
    <n v="9437.7689599999994"/>
    <n v="0.47663359857556614"/>
    <n v="7359998.1063300017"/>
    <n v="0.67240582523427572"/>
  </r>
  <r>
    <s v="ORD-2024-527858"/>
    <d v="2024-05-07T00:00:00"/>
    <x v="182"/>
    <d v="2024-05-12T00:00:00"/>
    <d v="2024-05-12T00:00:00"/>
    <n v="5"/>
    <n v="1"/>
    <x v="1"/>
    <s v="Q2-2024"/>
    <d v="2023-01-13T00:00:00"/>
    <s v="01-2023"/>
    <x v="2"/>
    <x v="2"/>
    <s v="Abuja"/>
    <s v="Abuja"/>
    <s v="Non-Profit"/>
    <s v="Distributor"/>
    <x v="4"/>
    <x v="4"/>
    <x v="4"/>
    <x v="2"/>
    <s v="Medium"/>
    <x v="201"/>
    <x v="0"/>
    <n v="1163.99"/>
    <n v="1617.85"/>
    <n v="1617.85"/>
    <n v="0.127"/>
    <n v="0.127"/>
    <x v="0"/>
    <n v="14"/>
    <n v="19773.362699999998"/>
    <n v="16295.86"/>
    <n v="3477.5026999999973"/>
    <n v="0.17586804797749436"/>
    <n v="7379771.4690300021"/>
    <n v="0.67421230997406323"/>
  </r>
  <r>
    <s v="ORD-2023-780206"/>
    <d v="2023-01-19T00:00:00"/>
    <x v="183"/>
    <d v="2023-02-03T00:00:00"/>
    <d v="2023-02-03T00:00:00"/>
    <n v="15"/>
    <n v="0"/>
    <x v="23"/>
    <s v="Q1-2023"/>
    <d v="2023-01-19T00:00:00"/>
    <s v="01-2023"/>
    <x v="1"/>
    <x v="1"/>
    <s v="London"/>
    <s v="London"/>
    <s v="Enterprise"/>
    <s v="Distributor"/>
    <x v="4"/>
    <x v="12"/>
    <x v="11"/>
    <x v="4"/>
    <s v="High"/>
    <x v="202"/>
    <x v="0"/>
    <n v="873.06"/>
    <n v="2101.5500000000002"/>
    <n v="2101.5500000000002"/>
    <n v="6.6000000000000003E-2"/>
    <n v="6.6000000000000003E-2"/>
    <x v="0"/>
    <n v="10"/>
    <n v="19628.476999999999"/>
    <n v="8730.5999999999985"/>
    <n v="10897.877"/>
    <n v="0.55520746719167269"/>
    <n v="7399399.9460300021"/>
    <n v="0.67600555802720141"/>
  </r>
  <r>
    <s v="ORD-2023-286720"/>
    <d v="2023-07-08T00:00:00"/>
    <x v="184"/>
    <d v="2023-07-09T00:00:00"/>
    <d v="2023-07-09T00:00:00"/>
    <n v="1"/>
    <n v="1"/>
    <x v="6"/>
    <s v="Q3-2023"/>
    <d v="2023-01-20T00:00:00"/>
    <s v="01-2023"/>
    <x v="2"/>
    <x v="5"/>
    <s v="Nairobi"/>
    <s v="Nairobi"/>
    <s v="Consumer"/>
    <s v="Online"/>
    <x v="0"/>
    <x v="11"/>
    <x v="10"/>
    <x v="2"/>
    <s v="High"/>
    <x v="203"/>
    <x v="0"/>
    <n v="1258.72"/>
    <n v="2797.41"/>
    <n v="2797.41"/>
    <n v="0"/>
    <n v="0"/>
    <x v="0"/>
    <n v="7"/>
    <n v="19581.87"/>
    <n v="8811.0400000000009"/>
    <n v="10770.829999999998"/>
    <n v="0.55004093071805704"/>
    <n v="7418981.8160300022"/>
    <n v="0.67779454808762774"/>
  </r>
  <r>
    <s v="ORD-2024-819778"/>
    <d v="2024-06-02T00:00:00"/>
    <x v="185"/>
    <d v="2024-06-15T00:00:00"/>
    <d v="2024-06-15T00:00:00"/>
    <n v="13"/>
    <n v="0"/>
    <x v="7"/>
    <s v="Q2-2024"/>
    <d v="2023-01-20T00:00:00"/>
    <s v="01-2023"/>
    <x v="2"/>
    <x v="5"/>
    <s v="Mombasa"/>
    <s v="Mombasa"/>
    <s v="Education"/>
    <s v="Online"/>
    <x v="0"/>
    <x v="8"/>
    <x v="7"/>
    <x v="5"/>
    <s v="High"/>
    <x v="204"/>
    <x v="0"/>
    <n v="1295.18"/>
    <n v="3024.03"/>
    <n v="3024.03"/>
    <n v="0.192"/>
    <n v="0.192"/>
    <x v="0"/>
    <n v="8"/>
    <n v="19547.329920000004"/>
    <n v="10361.44"/>
    <n v="9185.8899200000033"/>
    <n v="0.46993067378483178"/>
    <n v="7438529.1459500026"/>
    <n v="0.67958038258324804"/>
  </r>
  <r>
    <s v="ORD-2024-760799"/>
    <d v="2024-02-03T00:00:00"/>
    <x v="186"/>
    <d v="2024-02-19T00:00:00"/>
    <d v="2024-02-19T00:00:00"/>
    <n v="16"/>
    <n v="0"/>
    <x v="13"/>
    <s v="Q1-2024"/>
    <d v="2023-01-12T00:00:00"/>
    <s v="01-2023"/>
    <x v="3"/>
    <x v="10"/>
    <s v="Shenzhen"/>
    <s v="Shenzhen"/>
    <s v="Small Business"/>
    <s v="Online"/>
    <x v="0"/>
    <x v="0"/>
    <x v="0"/>
    <x v="2"/>
    <s v="Medium"/>
    <x v="205"/>
    <x v="0"/>
    <n v="993.75"/>
    <n v="1310.29"/>
    <n v="1310.29"/>
    <n v="0.215"/>
    <n v="0.215"/>
    <x v="1"/>
    <n v="19"/>
    <n v="19542.975350000001"/>
    <n v="18881.25"/>
    <n v="661.72535000000062"/>
    <n v="3.3860010471742245E-2"/>
    <n v="7458072.1213000026"/>
    <n v="0.68136581924748418"/>
  </r>
  <r>
    <s v="ORD-2025-526752"/>
    <d v="2025-06-09T00:00:00"/>
    <x v="187"/>
    <d v="2025-06-25T00:00:00"/>
    <d v="2025-06-25T00:00:00"/>
    <n v="16"/>
    <n v="0"/>
    <x v="25"/>
    <s v="Q2-2025"/>
    <d v="2023-01-29T00:00:00"/>
    <s v="01-2023"/>
    <x v="3"/>
    <x v="3"/>
    <s v="Hyderabad"/>
    <s v="Hyderabad"/>
    <s v="Enterprise"/>
    <s v="Distributor"/>
    <x v="4"/>
    <x v="7"/>
    <x v="6"/>
    <x v="5"/>
    <s v="Medium"/>
    <x v="206"/>
    <x v="0"/>
    <n v="527.33000000000004"/>
    <n v="911.72"/>
    <n v="911.72"/>
    <n v="0.14399999999999999"/>
    <n v="0.14399999999999999"/>
    <x v="0"/>
    <n v="25"/>
    <n v="19510.808000000001"/>
    <n v="13183.250000000002"/>
    <n v="6327.5579999999991"/>
    <n v="0.32431040272652978"/>
    <n v="7477582.9293000028"/>
    <n v="0.68314831711836599"/>
  </r>
  <r>
    <s v="ORD-2025-683043"/>
    <d v="2025-08-13T00:00:00"/>
    <x v="188"/>
    <d v="2025-09-03T00:00:00"/>
    <d v="2025-09-03T00:00:00"/>
    <n v="21"/>
    <n v="0"/>
    <x v="14"/>
    <s v="Q3-2025"/>
    <d v="2023-01-10T00:00:00"/>
    <s v="01-2023"/>
    <x v="1"/>
    <x v="11"/>
    <s v="Paris"/>
    <s v="Paris"/>
    <s v="Education"/>
    <s v="Retail"/>
    <x v="1"/>
    <x v="13"/>
    <x v="12"/>
    <x v="5"/>
    <s v="Medium"/>
    <x v="207"/>
    <x v="0"/>
    <n v="603.47"/>
    <n v="1344.05"/>
    <n v="1344.05"/>
    <n v="0.20499999999999999"/>
    <n v="0.20499999999999999"/>
    <x v="1"/>
    <n v="18"/>
    <n v="19233.355499999998"/>
    <n v="10862.460000000001"/>
    <n v="8370.8954999999969"/>
    <n v="0.43522803392262976"/>
    <n v="7496816.2848000024"/>
    <n v="0.68490546706462463"/>
  </r>
  <r>
    <s v="ORD-2024-355095"/>
    <d v="2024-01-02T00:00:00"/>
    <x v="51"/>
    <d v="2024-01-02T00:00:00"/>
    <d v="2024-01-02T00:00:00"/>
    <n v="0"/>
    <n v="1"/>
    <x v="28"/>
    <s v="Q1-2024"/>
    <d v="2023-01-02T00:00:00"/>
    <s v="01-2023"/>
    <x v="0"/>
    <x v="0"/>
    <s v="Vancouver"/>
    <s v="Vancouver"/>
    <s v="Education"/>
    <s v="Direct"/>
    <x v="3"/>
    <x v="6"/>
    <x v="2"/>
    <x v="2"/>
    <s v="Low"/>
    <x v="208"/>
    <x v="0"/>
    <n v="444.41"/>
    <n v="754.24"/>
    <n v="754.24"/>
    <n v="0.20699999999999999"/>
    <n v="0.20699999999999999"/>
    <x v="1"/>
    <n v="32"/>
    <n v="19139.594240000002"/>
    <n v="14221.12"/>
    <n v="4918.4742400000014"/>
    <n v="0.25697902360546598"/>
    <n v="7515955.8790400019"/>
    <n v="0.68665405102805355"/>
  </r>
  <r>
    <s v="ORD-2023-474313"/>
    <d v="2023-10-05T00:00:00"/>
    <x v="189"/>
    <d v="2023-10-06T00:00:00"/>
    <d v="2023-10-06T00:00:00"/>
    <n v="1"/>
    <n v="1"/>
    <x v="18"/>
    <s v="Q4-2023"/>
    <d v="2023-01-29T00:00:00"/>
    <s v="01-2023"/>
    <x v="3"/>
    <x v="3"/>
    <s v="Bengaluru"/>
    <s v="Bengaluru"/>
    <s v="Non-Profit"/>
    <s v="Online"/>
    <x v="0"/>
    <x v="13"/>
    <x v="12"/>
    <x v="0"/>
    <s v="High"/>
    <x v="209"/>
    <x v="0"/>
    <n v="1470.26"/>
    <n v="2562.5500000000002"/>
    <n v="2562.5500000000002"/>
    <n v="0.17299999999999999"/>
    <n v="0.17299999999999999"/>
    <x v="0"/>
    <n v="9"/>
    <n v="19073.059649999999"/>
    <n v="13232.34"/>
    <n v="5840.7196499999991"/>
    <n v="0.30622877279157462"/>
    <n v="7535028.9386900021"/>
    <n v="0.68839655642390019"/>
  </r>
  <r>
    <s v="ORD-2025-922513"/>
    <d v="2025-08-28T00:00:00"/>
    <x v="190"/>
    <d v="2025-08-26T00:00:00"/>
    <d v="2025-08-28T00:00:00"/>
    <n v="2"/>
    <n v="1"/>
    <x v="14"/>
    <s v="Q3-2025"/>
    <d v="2023-01-13T00:00:00"/>
    <s v="01-2023"/>
    <x v="2"/>
    <x v="2"/>
    <s v="Port Harcourt"/>
    <s v="Port Harcourt"/>
    <s v="Small Business"/>
    <s v="Retail"/>
    <x v="1"/>
    <x v="6"/>
    <x v="2"/>
    <x v="4"/>
    <s v="Medium"/>
    <x v="210"/>
    <x v="0"/>
    <n v="521.05999999999995"/>
    <n v="1240.31"/>
    <n v="1240.31"/>
    <n v="0.14599999999999999"/>
    <n v="0.14599999999999999"/>
    <x v="0"/>
    <n v="18"/>
    <n v="19066.045319999997"/>
    <n v="9379.0799999999981"/>
    <n v="9686.9653199999993"/>
    <n v="0.50807417885650974"/>
    <n v="7554094.9840100016"/>
    <n v="0.69013842099399059"/>
  </r>
  <r>
    <s v="ORD-2024-692673"/>
    <d v="2024-03-07T00:00:00"/>
    <x v="191"/>
    <d v="2024-03-25T00:00:00"/>
    <d v="2024-03-25T00:00:00"/>
    <n v="18"/>
    <n v="0"/>
    <x v="8"/>
    <s v="Q1-2024"/>
    <d v="2023-01-21T00:00:00"/>
    <s v="01-2023"/>
    <x v="1"/>
    <x v="4"/>
    <s v="Munich"/>
    <s v="Munich"/>
    <s v="Corporate"/>
    <s v="Online"/>
    <x v="0"/>
    <x v="1"/>
    <x v="1"/>
    <x v="0"/>
    <s v="Medium"/>
    <x v="211"/>
    <x v="0"/>
    <n v="712.84"/>
    <n v="927.51"/>
    <n v="927.51"/>
    <n v="0.24299999999999999"/>
    <n v="0.24299999999999999"/>
    <x v="1"/>
    <n v="27"/>
    <n v="18957.37689"/>
    <n v="19246.68"/>
    <n v="289.30311000000074"/>
    <n v="1.5260714163076427E-2"/>
    <n v="7573052.3609000016"/>
    <n v="0.69187035766949523"/>
  </r>
  <r>
    <s v="ORD-2023-139236"/>
    <d v="2023-03-03T00:00:00"/>
    <x v="192"/>
    <d v="2023-03-20T00:00:00"/>
    <d v="2023-03-20T00:00:00"/>
    <n v="17"/>
    <n v="0"/>
    <x v="16"/>
    <s v="Q1-2023"/>
    <d v="2023-03-03T00:00:00"/>
    <s v="03-2023"/>
    <x v="3"/>
    <x v="7"/>
    <s v="Nagoya"/>
    <s v="Nagoya"/>
    <s v="Small Business"/>
    <s v="Online"/>
    <x v="0"/>
    <x v="11"/>
    <x v="10"/>
    <x v="1"/>
    <s v="High"/>
    <x v="212"/>
    <x v="0"/>
    <n v="1171.17"/>
    <n v="2030.64"/>
    <n v="2030.64"/>
    <n v="0.157"/>
    <n v="0.157"/>
    <x v="0"/>
    <n v="11"/>
    <n v="18830.12472"/>
    <n v="12882.87"/>
    <n v="5947.254719999999"/>
    <n v="0.31583724528830415"/>
    <n v="7591882.4856200013"/>
    <n v="0.69359066864902197"/>
  </r>
  <r>
    <s v="ORD-2024-102866"/>
    <d v="2024-12-12T00:00:00"/>
    <x v="193"/>
    <d v="2024-12-20T00:00:00"/>
    <d v="2024-12-20T00:00:00"/>
    <n v="8"/>
    <n v="0"/>
    <x v="11"/>
    <s v="Q4-2024"/>
    <d v="2023-03-03T00:00:00"/>
    <s v="03-2023"/>
    <x v="3"/>
    <x v="7"/>
    <s v="Tokyo"/>
    <s v="Tokyo"/>
    <s v="Corporate"/>
    <s v="Retail"/>
    <x v="1"/>
    <x v="1"/>
    <x v="1"/>
    <x v="2"/>
    <s v="Medium"/>
    <x v="213"/>
    <x v="0"/>
    <n v="1202.47"/>
    <n v="1444.72"/>
    <n v="1444.72"/>
    <n v="0.24099999999999999"/>
    <n v="0.24099999999999999"/>
    <x v="1"/>
    <n v="17"/>
    <n v="18641.222160000001"/>
    <n v="20441.990000000002"/>
    <n v="1800.7678400000004"/>
    <n v="9.6601382921343834E-2"/>
    <n v="7610523.7077800017"/>
    <n v="0.69529372158311042"/>
  </r>
  <r>
    <s v="ORD-2025-624006"/>
    <d v="2025-03-15T00:00:00"/>
    <x v="194"/>
    <d v="2025-03-29T00:00:00"/>
    <d v="2025-03-29T00:00:00"/>
    <n v="14"/>
    <n v="0"/>
    <x v="26"/>
    <s v="Q1-2025"/>
    <d v="2023-01-29T00:00:00"/>
    <s v="01-2023"/>
    <x v="3"/>
    <x v="3"/>
    <s v="Mumbai"/>
    <s v="Mumbai"/>
    <s v="Enterprise"/>
    <s v="Direct"/>
    <x v="3"/>
    <x v="5"/>
    <x v="5"/>
    <x v="0"/>
    <s v="High"/>
    <x v="214"/>
    <x v="0"/>
    <n v="935.83"/>
    <n v="2303.46"/>
    <n v="2303.46"/>
    <n v="0.105"/>
    <n v="0.105"/>
    <x v="0"/>
    <n v="9"/>
    <n v="18554.370299999999"/>
    <n v="8422.4700000000012"/>
    <n v="10131.900299999998"/>
    <n v="0.54606543559174292"/>
    <n v="7629078.0780800013"/>
    <n v="0.6969888397737718"/>
  </r>
  <r>
    <s v="ORD-2023-451931"/>
    <d v="2023-07-30T00:00:00"/>
    <x v="101"/>
    <d v="2023-08-19T00:00:00"/>
    <d v="2023-08-19T00:00:00"/>
    <n v="20"/>
    <n v="0"/>
    <x v="6"/>
    <s v="Q3-2023"/>
    <d v="2023-01-10T00:00:00"/>
    <s v="01-2023"/>
    <x v="1"/>
    <x v="11"/>
    <s v="Paris"/>
    <s v="Paris"/>
    <s v="Enterprise"/>
    <s v="Marketplace"/>
    <x v="2"/>
    <x v="12"/>
    <x v="11"/>
    <x v="1"/>
    <s v="High"/>
    <x v="215"/>
    <x v="0"/>
    <n v="1418.51"/>
    <n v="2789.61"/>
    <n v="2789.61"/>
    <n v="0.17100000000000001"/>
    <n v="0.17100000000000001"/>
    <x v="0"/>
    <n v="8"/>
    <n v="18500.693520000001"/>
    <n v="11348.08"/>
    <n v="7152.6135200000008"/>
    <n v="0.38661326464695689"/>
    <n v="7647578.7716000015"/>
    <n v="0.69867905408008024"/>
  </r>
  <r>
    <s v="ORD-2023-987081"/>
    <d v="2023-08-29T00:00:00"/>
    <x v="66"/>
    <d v="2023-09-13T00:00:00"/>
    <d v="2023-09-13T00:00:00"/>
    <n v="15"/>
    <n v="0"/>
    <x v="21"/>
    <s v="Q3-2023"/>
    <d v="2023-01-02T00:00:00"/>
    <s v="01-2023"/>
    <x v="0"/>
    <x v="0"/>
    <s v="Vancouver"/>
    <s v="Vancouver"/>
    <s v="Small Business"/>
    <s v="Marketplace"/>
    <x v="2"/>
    <x v="8"/>
    <x v="7"/>
    <x v="6"/>
    <s v="High"/>
    <x v="216"/>
    <x v="0"/>
    <n v="1287.6400000000001"/>
    <n v="2717.15"/>
    <n v="2717.15"/>
    <n v="3.2000000000000001E-2"/>
    <n v="3.2000000000000001E-2"/>
    <x v="0"/>
    <n v="7"/>
    <n v="18411.4084"/>
    <n v="9013.4800000000014"/>
    <n v="9397.9283999999989"/>
    <n v="0.51044049405802105"/>
    <n v="7665990.1800000016"/>
    <n v="0.7003611113415189"/>
  </r>
  <r>
    <s v="ORD-2023-343322"/>
    <d v="2023-08-19T00:00:00"/>
    <x v="195"/>
    <d v="2023-09-12T00:00:00"/>
    <d v="2023-09-12T00:00:00"/>
    <n v="24"/>
    <n v="0"/>
    <x v="21"/>
    <s v="Q3-2023"/>
    <d v="2023-01-02T00:00:00"/>
    <s v="01-2023"/>
    <x v="0"/>
    <x v="0"/>
    <s v="Vancouver"/>
    <s v="Vancouver"/>
    <s v="Enterprise"/>
    <s v="Retail"/>
    <x v="1"/>
    <x v="13"/>
    <x v="12"/>
    <x v="6"/>
    <s v="Medium"/>
    <x v="217"/>
    <x v="0"/>
    <n v="1183.95"/>
    <n v="1503.53"/>
    <n v="1503.53"/>
    <n v="0.24099999999999999"/>
    <n v="0.24099999999999999"/>
    <x v="1"/>
    <n v="16"/>
    <n v="18258.868320000001"/>
    <n v="18943.2"/>
    <n v="684.33167999999932"/>
    <n v="3.7479413729623705E-2"/>
    <n v="7684249.0483200019"/>
    <n v="0.70202923261589734"/>
  </r>
  <r>
    <s v="ORD-2024-686712"/>
    <d v="2024-10-02T00:00:00"/>
    <x v="196"/>
    <d v="2024-10-23T00:00:00"/>
    <d v="2024-10-23T00:00:00"/>
    <n v="21"/>
    <n v="0"/>
    <x v="20"/>
    <s v="Q4-2024"/>
    <d v="2023-01-07T00:00:00"/>
    <s v="01-2023"/>
    <x v="2"/>
    <x v="8"/>
    <s v="Durban"/>
    <s v="Durban"/>
    <s v="Corporate"/>
    <s v="Marketplace"/>
    <x v="2"/>
    <x v="6"/>
    <x v="2"/>
    <x v="0"/>
    <s v="High"/>
    <x v="218"/>
    <x v="0"/>
    <n v="1095.6099999999999"/>
    <n v="2366.5100000000002"/>
    <n v="2366.5100000000002"/>
    <n v="0.152"/>
    <n v="0.152"/>
    <x v="0"/>
    <n v="9"/>
    <n v="18061.204320000004"/>
    <n v="9860.49"/>
    <n v="8200.7143200000046"/>
    <n v="0.4540513564158607"/>
    <n v="7702310.2526400015"/>
    <n v="0.70367929540396645"/>
  </r>
  <r>
    <s v="ORD-2024-331408"/>
    <d v="2024-02-01T00:00:00"/>
    <x v="197"/>
    <d v="2024-02-01T00:00:00"/>
    <d v="2024-02-01T00:00:00"/>
    <n v="0"/>
    <n v="1"/>
    <x v="13"/>
    <s v="Q1-2024"/>
    <d v="2023-01-13T00:00:00"/>
    <s v="01-2023"/>
    <x v="0"/>
    <x v="6"/>
    <s v="Austin"/>
    <s v="Austin"/>
    <s v="Consumer"/>
    <s v="Distributor"/>
    <x v="4"/>
    <x v="0"/>
    <x v="0"/>
    <x v="6"/>
    <s v="Medium"/>
    <x v="219"/>
    <x v="0"/>
    <n v="714.43"/>
    <n v="1595.52"/>
    <n v="1595.52"/>
    <n v="0.19400000000000001"/>
    <n v="0.19400000000000001"/>
    <x v="0"/>
    <n v="14"/>
    <n v="18003.847679999999"/>
    <n v="10002.019999999999"/>
    <n v="8001.8276800000003"/>
    <n v="0.44445097638151093"/>
    <n v="7720314.1003200011"/>
    <n v="0.70532411811747375"/>
  </r>
  <r>
    <s v="ORD-2023-521280"/>
    <d v="2023-05-27T00:00:00"/>
    <x v="198"/>
    <d v="2023-06-19T00:00:00"/>
    <d v="2023-06-19T00:00:00"/>
    <n v="23"/>
    <n v="0"/>
    <x v="3"/>
    <s v="Q2-2023"/>
    <d v="2023-01-21T00:00:00"/>
    <s v="01-2023"/>
    <x v="1"/>
    <x v="4"/>
    <s v="Berlin"/>
    <s v="Berlin"/>
    <s v="Education"/>
    <s v="Retail"/>
    <x v="1"/>
    <x v="8"/>
    <x v="7"/>
    <x v="4"/>
    <s v="High"/>
    <x v="220"/>
    <x v="0"/>
    <n v="1471.58"/>
    <n v="2576.65"/>
    <n v="2576.65"/>
    <n v="4.0000000000000001E-3"/>
    <n v="4.0000000000000001E-3"/>
    <x v="0"/>
    <n v="7"/>
    <n v="17964.4038"/>
    <n v="10301.06"/>
    <n v="7663.3438000000006"/>
    <n v="0.4265849223451546"/>
    <n v="7738278.5041200016"/>
    <n v="0.70696533725740696"/>
  </r>
  <r>
    <s v="ORD-2024-358795"/>
    <d v="2024-10-23T00:00:00"/>
    <x v="126"/>
    <d v="2024-10-22T00:00:00"/>
    <d v="2024-10-23T00:00:00"/>
    <n v="1"/>
    <n v="1"/>
    <x v="20"/>
    <s v="Q4-2024"/>
    <d v="2023-01-13T00:00:00"/>
    <s v="01-2023"/>
    <x v="2"/>
    <x v="2"/>
    <s v="Port Harcourt"/>
    <s v="Port Harcourt"/>
    <s v="Education"/>
    <s v="Online"/>
    <x v="0"/>
    <x v="9"/>
    <x v="8"/>
    <x v="6"/>
    <s v="Low"/>
    <x v="221"/>
    <x v="0"/>
    <n v="1084.3900000000001"/>
    <n v="759.33"/>
    <n v="759.33"/>
    <n v="0.23699999999999999"/>
    <n v="0.23699999999999999"/>
    <x v="1"/>
    <n v="31"/>
    <n v="17960.432489999999"/>
    <n v="33616.090000000004"/>
    <n v="15655.657510000005"/>
    <n v="0.87167486187856302"/>
    <n v="7756238.9366100011"/>
    <n v="0.708606193580402"/>
  </r>
  <r>
    <s v="ORD-2024-389336"/>
    <d v="2024-05-20T00:00:00"/>
    <x v="199"/>
    <d v="2024-06-02T00:00:00"/>
    <d v="2024-06-02T00:00:00"/>
    <n v="13"/>
    <n v="0"/>
    <x v="1"/>
    <s v="Q2-2024"/>
    <d v="2023-01-02T00:00:00"/>
    <s v="01-2023"/>
    <x v="0"/>
    <x v="0"/>
    <s v="Vancouver"/>
    <s v="Vancouver"/>
    <s v="Enterprise"/>
    <s v="Marketplace"/>
    <x v="2"/>
    <x v="3"/>
    <x v="3"/>
    <x v="0"/>
    <s v="Medium"/>
    <x v="222"/>
    <x v="0"/>
    <n v="675.43"/>
    <n v="996.36"/>
    <n v="996.36"/>
    <n v="0.182"/>
    <n v="0.182"/>
    <x v="0"/>
    <n v="22"/>
    <n v="17930.494560000003"/>
    <n v="14859.46"/>
    <n v="3071.0345600000037"/>
    <n v="0.17127439233332575"/>
    <n v="7774169.4311700007"/>
    <n v="0.71024431478876282"/>
  </r>
  <r>
    <s v="ORD-2025-629393"/>
    <d v="2025-07-21T00:00:00"/>
    <x v="200"/>
    <d v="2025-08-07T00:00:00"/>
    <d v="2025-08-07T00:00:00"/>
    <n v="17"/>
    <n v="0"/>
    <x v="0"/>
    <s v="Q3-2025"/>
    <d v="2023-01-13T00:00:00"/>
    <s v="01-2023"/>
    <x v="2"/>
    <x v="2"/>
    <s v="Lagos"/>
    <s v="Lagos"/>
    <s v="Enterprise"/>
    <s v="Direct"/>
    <x v="3"/>
    <x v="7"/>
    <x v="6"/>
    <x v="4"/>
    <s v="High"/>
    <x v="223"/>
    <x v="0"/>
    <n v="1204.95"/>
    <n v="2065.73"/>
    <n v="2065.73"/>
    <n v="0.13600000000000001"/>
    <n v="0.13600000000000001"/>
    <x v="0"/>
    <n v="10"/>
    <n v="17847.907199999998"/>
    <n v="12049.5"/>
    <n v="5798.4071999999978"/>
    <n v="0.32487882949100039"/>
    <n v="7792017.3383700009"/>
    <n v="0.71187489085632993"/>
  </r>
  <r>
    <s v="ORD-2025-608069"/>
    <d v="2025-04-12T00:00:00"/>
    <x v="201"/>
    <d v="2025-04-30T00:00:00"/>
    <d v="2025-04-30T00:00:00"/>
    <n v="18"/>
    <n v="0"/>
    <x v="2"/>
    <s v="Q2-2025"/>
    <d v="2023-01-20T00:00:00"/>
    <s v="01-2023"/>
    <x v="2"/>
    <x v="5"/>
    <s v="Kisumu"/>
    <s v="Kisumu"/>
    <s v="Corporate"/>
    <s v="Marketplace"/>
    <x v="2"/>
    <x v="10"/>
    <x v="9"/>
    <x v="1"/>
    <s v="Medium"/>
    <x v="224"/>
    <x v="0"/>
    <n v="1119.04"/>
    <n v="1299.02"/>
    <n v="1299.02"/>
    <n v="2.5000000000000001E-2"/>
    <n v="2.5000000000000001E-2"/>
    <x v="0"/>
    <n v="14"/>
    <n v="17731.623"/>
    <n v="15666.56"/>
    <n v="2065.0630000000001"/>
    <n v="0.11646215352085933"/>
    <n v="7809748.9613700006"/>
    <n v="0.71349484325629098"/>
  </r>
  <r>
    <s v="ORD-2024-220234"/>
    <d v="2024-03-15T00:00:00"/>
    <x v="202"/>
    <d v="2024-04-09T00:00:00"/>
    <d v="2024-04-09T00:00:00"/>
    <n v="25"/>
    <n v="0"/>
    <x v="8"/>
    <s v="Q1-2024"/>
    <d v="2023-01-02T00:00:00"/>
    <s v="01-2023"/>
    <x v="0"/>
    <x v="0"/>
    <s v="Vancouver"/>
    <s v="Vancouver"/>
    <s v="Consumer"/>
    <s v="Online"/>
    <x v="0"/>
    <x v="10"/>
    <x v="9"/>
    <x v="3"/>
    <s v="Medium"/>
    <x v="225"/>
    <x v="0"/>
    <n v="648.64"/>
    <n v="815.19"/>
    <n v="815.19"/>
    <n v="0.22500000000000001"/>
    <n v="0.22500000000000001"/>
    <x v="1"/>
    <n v="28"/>
    <n v="17689.623"/>
    <n v="18161.919999999998"/>
    <n v="472.29699999999866"/>
    <n v="2.6699099240272032E-2"/>
    <n v="7827438.5843700003"/>
    <n v="0.71511095855680551"/>
  </r>
  <r>
    <s v="ORD-2023-632893"/>
    <d v="2023-05-07T00:00:00"/>
    <x v="203"/>
    <d v="2023-05-05T00:00:00"/>
    <d v="2023-05-07T00:00:00"/>
    <n v="2"/>
    <n v="1"/>
    <x v="3"/>
    <s v="Q2-2023"/>
    <d v="2023-01-13T00:00:00"/>
    <s v="01-2023"/>
    <x v="2"/>
    <x v="2"/>
    <s v="Port Harcourt"/>
    <s v="Port Harcourt"/>
    <s v="Non-Profit"/>
    <s v="Marketplace"/>
    <x v="2"/>
    <x v="6"/>
    <x v="2"/>
    <x v="0"/>
    <s v="High"/>
    <x v="226"/>
    <x v="0"/>
    <n v="1269.6500000000001"/>
    <n v="2462.77"/>
    <n v="2462.77"/>
    <n v="0.107"/>
    <n v="0.107"/>
    <x v="0"/>
    <n v="8"/>
    <n v="17594.028880000002"/>
    <n v="10157.200000000001"/>
    <n v="7436.8288800000009"/>
    <n v="0.42269050089225502"/>
    <n v="7845032.6132500004"/>
    <n v="0.71671834042529781"/>
  </r>
  <r>
    <s v="ORD-2024-979401"/>
    <d v="2024-02-08T00:00:00"/>
    <x v="204"/>
    <d v="2024-02-09T00:00:00"/>
    <d v="2024-02-09T00:00:00"/>
    <n v="1"/>
    <n v="1"/>
    <x v="13"/>
    <s v="Q1-2024"/>
    <d v="2023-01-20T00:00:00"/>
    <s v="01-2023"/>
    <x v="2"/>
    <x v="5"/>
    <s v="Mombasa"/>
    <s v="Mombasa"/>
    <s v="Corporate"/>
    <s v="Direct"/>
    <x v="3"/>
    <x v="10"/>
    <x v="9"/>
    <x v="0"/>
    <s v="Medium"/>
    <x v="227"/>
    <x v="0"/>
    <n v="1233.52"/>
    <n v="1543.76"/>
    <n v="1543.76"/>
    <n v="0.126"/>
    <n v="0.126"/>
    <x v="0"/>
    <n v="13"/>
    <n v="17540.201120000002"/>
    <n v="16035.76"/>
    <n v="1504.4411200000013"/>
    <n v="8.5771030201277493E-2"/>
    <n v="7862572.8143700007"/>
    <n v="0.71832080461597814"/>
  </r>
  <r>
    <s v="ORD-2023-276806"/>
    <d v="2023-03-04T00:00:00"/>
    <x v="205"/>
    <d v="2023-03-24T00:00:00"/>
    <d v="2023-03-24T00:00:00"/>
    <n v="20"/>
    <n v="0"/>
    <x v="16"/>
    <s v="Q1-2023"/>
    <d v="2023-01-02T00:00:00"/>
    <s v="01-2023"/>
    <x v="0"/>
    <x v="0"/>
    <s v="Montreal"/>
    <s v="Montreal"/>
    <s v="Consumer"/>
    <s v="Distributor"/>
    <x v="4"/>
    <x v="13"/>
    <x v="12"/>
    <x v="2"/>
    <s v="Medium"/>
    <x v="228"/>
    <x v="0"/>
    <n v="481.71"/>
    <n v="912.45"/>
    <n v="912.45"/>
    <n v="0.20300000000000001"/>
    <n v="0.20300000000000001"/>
    <x v="1"/>
    <n v="24"/>
    <n v="17453.3436"/>
    <n v="11561.039999999999"/>
    <n v="5892.3036000000011"/>
    <n v="0.33760313983619739"/>
    <n v="7880026.157970001"/>
    <n v="0.71991533354613668"/>
  </r>
  <r>
    <s v="ORD-2023-715175"/>
    <d v="2023-06-15T00:00:00"/>
    <x v="206"/>
    <d v="2023-06-23T00:00:00"/>
    <d v="2023-06-23T00:00:00"/>
    <n v="8"/>
    <n v="0"/>
    <x v="24"/>
    <s v="Q2-2023"/>
    <d v="2023-01-13T00:00:00"/>
    <s v="01-2023"/>
    <x v="0"/>
    <x v="6"/>
    <s v="San Francisco"/>
    <s v="San Francisco"/>
    <s v="Consumer"/>
    <s v="Distributor"/>
    <x v="4"/>
    <x v="8"/>
    <x v="7"/>
    <x v="3"/>
    <s v="High"/>
    <x v="229"/>
    <x v="0"/>
    <n v="1097.0899999999999"/>
    <n v="2182.31"/>
    <n v="2182.31"/>
    <n v="0.112"/>
    <n v="0.112"/>
    <x v="0"/>
    <n v="9"/>
    <n v="17441.021520000002"/>
    <n v="9873.81"/>
    <n v="7567.2115200000026"/>
    <n v="0.43387432962699546"/>
    <n v="7897467.1794900009"/>
    <n v="0.72150873673709648"/>
  </r>
  <r>
    <s v="ORD-2024-626750"/>
    <d v="2024-08-12T00:00:00"/>
    <x v="141"/>
    <d v="2024-08-15T00:00:00"/>
    <d v="2024-08-15T00:00:00"/>
    <n v="3"/>
    <n v="1"/>
    <x v="19"/>
    <s v="Q3-2024"/>
    <d v="2023-01-13T00:00:00"/>
    <s v="01-2023"/>
    <x v="0"/>
    <x v="6"/>
    <s v="Chicago"/>
    <s v="Chicago"/>
    <s v="Corporate"/>
    <s v="Marketplace"/>
    <x v="2"/>
    <x v="11"/>
    <x v="10"/>
    <x v="6"/>
    <s v="Medium"/>
    <x v="230"/>
    <x v="0"/>
    <n v="850.7"/>
    <n v="1118.56"/>
    <n v="1118.56"/>
    <n v="0.18"/>
    <n v="0.18"/>
    <x v="0"/>
    <n v="19"/>
    <n v="17427.164800000002"/>
    <n v="16163.300000000001"/>
    <n v="1263.8648000000012"/>
    <n v="7.2522685962090688E-2"/>
    <n v="7914894.3442900013"/>
    <n v="0.7231008739848982"/>
  </r>
  <r>
    <s v="ORD-2024-281211"/>
    <d v="2024-01-11T00:00:00"/>
    <x v="207"/>
    <d v="2024-02-02T00:00:00"/>
    <d v="2024-02-02T00:00:00"/>
    <n v="22"/>
    <n v="0"/>
    <x v="28"/>
    <s v="Q1-2024"/>
    <d v="2023-03-03T00:00:00"/>
    <s v="03-2023"/>
    <x v="3"/>
    <x v="7"/>
    <s v="Nagoya"/>
    <s v="Nagoya"/>
    <s v="Small Business"/>
    <s v="Online"/>
    <x v="0"/>
    <x v="2"/>
    <x v="3"/>
    <x v="6"/>
    <s v="Medium"/>
    <x v="231"/>
    <x v="0"/>
    <n v="1237.68"/>
    <n v="1432.8"/>
    <n v="1432.8"/>
    <n v="6.8000000000000005E-2"/>
    <n v="6.8000000000000005E-2"/>
    <x v="0"/>
    <n v="13"/>
    <n v="17359.804799999998"/>
    <n v="16089.84"/>
    <n v="1269.9647999999979"/>
    <n v="7.315547695559331E-2"/>
    <n v="7932254.1490900014"/>
    <n v="0.72468685725606385"/>
  </r>
  <r>
    <s v="ORD-2024-170021"/>
    <d v="2024-11-05T00:00:00"/>
    <x v="208"/>
    <d v="2024-11-08T00:00:00"/>
    <d v="2024-11-08T00:00:00"/>
    <n v="3"/>
    <n v="1"/>
    <x v="5"/>
    <s v="Q4-2024"/>
    <d v="2023-01-02T00:00:00"/>
    <s v="01-2023"/>
    <x v="0"/>
    <x v="0"/>
    <s v="Toronto"/>
    <s v="Toronto"/>
    <s v="Education"/>
    <s v="Marketplace"/>
    <x v="2"/>
    <x v="8"/>
    <x v="7"/>
    <x v="0"/>
    <s v="Medium"/>
    <x v="232"/>
    <x v="0"/>
    <n v="1020.4"/>
    <n v="1184.71"/>
    <n v="1184.71"/>
    <n v="0.106"/>
    <n v="0.106"/>
    <x v="0"/>
    <n v="16"/>
    <n v="16946.091840000001"/>
    <n v="16326.4"/>
    <n v="619.69184000000132"/>
    <n v="3.6568422138328345E-2"/>
    <n v="7949200.2409300013"/>
    <n v="0.72623504391366245"/>
  </r>
  <r>
    <s v="ORD-2023-855675"/>
    <d v="2023-02-05T00:00:00"/>
    <x v="209"/>
    <d v="2023-02-28T00:00:00"/>
    <d v="2023-02-28T00:00:00"/>
    <n v="23"/>
    <n v="0"/>
    <x v="4"/>
    <s v="Q1-2023"/>
    <d v="2023-01-13T00:00:00"/>
    <s v="01-2023"/>
    <x v="0"/>
    <x v="6"/>
    <s v="Austin"/>
    <s v="Austin"/>
    <s v="Non-Profit"/>
    <s v="Distributor"/>
    <x v="4"/>
    <x v="4"/>
    <x v="4"/>
    <x v="5"/>
    <s v="Medium"/>
    <x v="233"/>
    <x v="0"/>
    <n v="1214.49"/>
    <n v="1533.95"/>
    <n v="1533.95"/>
    <n v="0"/>
    <n v="0"/>
    <x v="0"/>
    <n v="11"/>
    <n v="16873.45"/>
    <n v="13359.39"/>
    <n v="3514.0600000000013"/>
    <n v="0.20825972163369086"/>
    <n v="7966073.6909300014"/>
    <n v="0.7277765940483073"/>
  </r>
  <r>
    <s v="ORD-2025-289139"/>
    <d v="2025-08-10T00:00:00"/>
    <x v="210"/>
    <d v="2025-08-30T00:00:00"/>
    <d v="2025-08-30T00:00:00"/>
    <n v="20"/>
    <n v="0"/>
    <x v="14"/>
    <s v="Q3-2025"/>
    <d v="2023-01-13T00:00:00"/>
    <s v="01-2023"/>
    <x v="0"/>
    <x v="6"/>
    <s v="San Francisco"/>
    <s v="San Francisco"/>
    <s v="Corporate"/>
    <s v="Marketplace"/>
    <x v="2"/>
    <x v="3"/>
    <x v="3"/>
    <x v="6"/>
    <s v="Medium"/>
    <x v="234"/>
    <x v="0"/>
    <n v="933.29"/>
    <n v="1456.81"/>
    <n v="1456.81"/>
    <n v="0.123"/>
    <n v="0.123"/>
    <x v="0"/>
    <n v="13"/>
    <n v="16609.090809999998"/>
    <n v="12132.77"/>
    <n v="4476.3208099999974"/>
    <n v="0.26951028573489977"/>
    <n v="7982682.7817400014"/>
    <n v="0.72929399245672322"/>
  </r>
  <r>
    <s v="ORD-2025-823055"/>
    <d v="2025-09-08T00:00:00"/>
    <x v="71"/>
    <d v="2025-10-05T00:00:00"/>
    <d v="2025-10-05T00:00:00"/>
    <n v="27"/>
    <n v="0"/>
    <x v="29"/>
    <s v="Q3-2025"/>
    <d v="2023-01-29T00:00:00"/>
    <s v="01-2023"/>
    <x v="0"/>
    <x v="9"/>
    <s v="Rio de Janeiro"/>
    <s v="Rio de Janeiro"/>
    <s v="Education"/>
    <s v="Online"/>
    <x v="0"/>
    <x v="5"/>
    <x v="5"/>
    <x v="3"/>
    <s v="Medium"/>
    <x v="235"/>
    <x v="0"/>
    <n v="660.78"/>
    <n v="1630.39"/>
    <n v="1630.39"/>
    <n v="0.218"/>
    <n v="0.218"/>
    <x v="1"/>
    <n v="13"/>
    <n v="16574.544740000001"/>
    <n v="8590.14"/>
    <n v="7984.4047400000018"/>
    <n v="0.48172694123724097"/>
    <n v="7999257.3264800012"/>
    <n v="0.73080823475308965"/>
  </r>
  <r>
    <s v="ORD-2023-212701"/>
    <d v="2023-12-02T00:00:00"/>
    <x v="211"/>
    <d v="2023-12-16T00:00:00"/>
    <d v="2023-12-16T00:00:00"/>
    <n v="14"/>
    <n v="0"/>
    <x v="10"/>
    <s v="Q4-2023"/>
    <d v="2023-01-21T00:00:00"/>
    <s v="01-2023"/>
    <x v="1"/>
    <x v="4"/>
    <s v="Frankfurt"/>
    <s v="Frankfurt"/>
    <s v="Education"/>
    <s v="Direct"/>
    <x v="3"/>
    <x v="14"/>
    <x v="13"/>
    <x v="3"/>
    <s v="Medium"/>
    <x v="236"/>
    <x v="0"/>
    <n v="879.08"/>
    <n v="1093.3900000000001"/>
    <n v="1093.3900000000001"/>
    <n v="0.113"/>
    <n v="0.113"/>
    <x v="0"/>
    <n v="17"/>
    <n v="16487.22781"/>
    <n v="14944.36"/>
    <n v="1542.8678099999997"/>
    <n v="9.3579577341935186E-2"/>
    <n v="8015744.5542900013"/>
    <n v="0.73231449981746166"/>
  </r>
  <r>
    <s v="ORD-2023-619570"/>
    <d v="2023-11-14T00:00:00"/>
    <x v="212"/>
    <d v="2023-11-30T00:00:00"/>
    <d v="2023-11-30T00:00:00"/>
    <n v="16"/>
    <n v="0"/>
    <x v="31"/>
    <s v="Q4-2023"/>
    <d v="2023-01-29T00:00:00"/>
    <s v="01-2023"/>
    <x v="0"/>
    <x v="9"/>
    <s v="São Paulo"/>
    <s v="São Paulo"/>
    <s v="Enterprise"/>
    <s v="Direct"/>
    <x v="3"/>
    <x v="3"/>
    <x v="3"/>
    <x v="1"/>
    <s v="Medium"/>
    <x v="237"/>
    <x v="0"/>
    <n v="1017.92"/>
    <n v="1175.25"/>
    <n v="1175.25"/>
    <n v="7.4999999999999997E-2"/>
    <n v="7.4999999999999997E-2"/>
    <x v="0"/>
    <n v="15"/>
    <n v="16306.59375"/>
    <n v="15268.8"/>
    <n v="1037.7937500000007"/>
    <n v="6.3642583234159542E-2"/>
    <n v="8032051.1480400013"/>
    <n v="0.73380426224250883"/>
  </r>
  <r>
    <s v="ORD-2025-947929"/>
    <d v="2025-03-23T00:00:00"/>
    <x v="213"/>
    <d v="2025-04-02T00:00:00"/>
    <d v="2025-04-02T00:00:00"/>
    <n v="10"/>
    <n v="0"/>
    <x v="26"/>
    <s v="Q1-2025"/>
    <d v="2023-01-21T00:00:00"/>
    <s v="01-2023"/>
    <x v="1"/>
    <x v="4"/>
    <s v="Berlin"/>
    <s v="Berlin"/>
    <s v="Enterprise"/>
    <s v="Online"/>
    <x v="0"/>
    <x v="15"/>
    <x v="14"/>
    <x v="6"/>
    <s v="Medium"/>
    <x v="238"/>
    <x v="0"/>
    <n v="663.61"/>
    <n v="1002.11"/>
    <n v="1002.11"/>
    <n v="4.5999999999999999E-2"/>
    <n v="4.5999999999999999E-2"/>
    <x v="0"/>
    <n v="17"/>
    <n v="16252.219979999998"/>
    <n v="11281.37"/>
    <n v="4970.8499799999972"/>
    <n v="0.30585667595670812"/>
    <n v="8048303.3680200009"/>
    <n v="0.73528905710653758"/>
  </r>
  <r>
    <s v="ORD-2024-332076"/>
    <d v="2024-04-09T00:00:00"/>
    <x v="214"/>
    <d v="2024-04-18T00:00:00"/>
    <d v="2024-04-18T00:00:00"/>
    <n v="9"/>
    <n v="0"/>
    <x v="22"/>
    <s v="Q2-2024"/>
    <d v="2023-01-10T00:00:00"/>
    <s v="01-2023"/>
    <x v="1"/>
    <x v="11"/>
    <s v="Lyon"/>
    <s v="Lyon"/>
    <s v="Consumer"/>
    <s v="Online"/>
    <x v="0"/>
    <x v="15"/>
    <x v="14"/>
    <x v="6"/>
    <s v="High"/>
    <x v="239"/>
    <x v="0"/>
    <n v="1288.8499999999999"/>
    <n v="2751.84"/>
    <n v="2751.84"/>
    <n v="0.158"/>
    <n v="0.158"/>
    <x v="0"/>
    <n v="7"/>
    <n v="16219.34496"/>
    <n v="9021.9499999999989"/>
    <n v="7197.3949600000014"/>
    <n v="0.44375373837538756"/>
    <n v="8064522.7129800012"/>
    <n v="0.73677084852482733"/>
  </r>
  <r>
    <s v="ORD-2025-485946"/>
    <d v="2025-06-15T00:00:00"/>
    <x v="215"/>
    <d v="2025-06-30T00:00:00"/>
    <d v="2025-06-30T00:00:00"/>
    <n v="15"/>
    <n v="0"/>
    <x v="25"/>
    <s v="Q2-2025"/>
    <d v="2023-01-07T00:00:00"/>
    <s v="01-2023"/>
    <x v="2"/>
    <x v="8"/>
    <s v="Johannesburg"/>
    <s v="Johannesburg"/>
    <s v="Small Business"/>
    <s v="Direct"/>
    <x v="3"/>
    <x v="5"/>
    <x v="5"/>
    <x v="3"/>
    <s v="Medium"/>
    <x v="240"/>
    <x v="0"/>
    <n v="1487.59"/>
    <n v="1480.83"/>
    <n v="1480.83"/>
    <n v="8.9999999999999993E-3"/>
    <n v="8.9999999999999993E-3"/>
    <x v="0"/>
    <n v="11"/>
    <n v="16142.527829999999"/>
    <n v="16363.49"/>
    <n v="220.9621700000007"/>
    <n v="1.3688201273492908E-2"/>
    <n v="8080665.2408100013"/>
    <n v="0.73824562196771226"/>
  </r>
  <r>
    <s v="ORD-2023-732585"/>
    <d v="2023-08-25T00:00:00"/>
    <x v="216"/>
    <d v="2023-09-16T00:00:00"/>
    <d v="2023-09-16T00:00:00"/>
    <n v="22"/>
    <n v="0"/>
    <x v="21"/>
    <s v="Q3-2023"/>
    <d v="2023-01-13T00:00:00"/>
    <s v="01-2023"/>
    <x v="2"/>
    <x v="2"/>
    <s v="Abuja"/>
    <s v="Abuja"/>
    <s v="Corporate"/>
    <s v="Marketplace"/>
    <x v="2"/>
    <x v="4"/>
    <x v="4"/>
    <x v="5"/>
    <s v="High"/>
    <x v="241"/>
    <x v="0"/>
    <n v="1196.83"/>
    <n v="2513.5100000000002"/>
    <n v="2513.5100000000002"/>
    <n v="8.3000000000000004E-2"/>
    <n v="8.3000000000000004E-2"/>
    <x v="0"/>
    <n v="7"/>
    <n v="16134.22069"/>
    <n v="8377.81"/>
    <n v="7756.4106900000006"/>
    <n v="0.48074281609445374"/>
    <n v="8096799.4615000011"/>
    <n v="0.7397196364743519"/>
  </r>
  <r>
    <s v="ORD-2024-833375"/>
    <d v="2024-04-24T00:00:00"/>
    <x v="217"/>
    <d v="2024-05-10T00:00:00"/>
    <d v="2024-05-10T00:00:00"/>
    <n v="16"/>
    <n v="0"/>
    <x v="22"/>
    <s v="Q2-2024"/>
    <d v="2023-01-20T00:00:00"/>
    <s v="01-2023"/>
    <x v="2"/>
    <x v="5"/>
    <s v="Kisumu"/>
    <s v="Kisumu"/>
    <s v="Non-Profit"/>
    <s v="Online"/>
    <x v="0"/>
    <x v="14"/>
    <x v="13"/>
    <x v="3"/>
    <s v="Medium"/>
    <x v="242"/>
    <x v="0"/>
    <n v="513.30999999999995"/>
    <n v="1186.26"/>
    <n v="1186.26"/>
    <n v="9.4E-2"/>
    <n v="9.4E-2"/>
    <x v="0"/>
    <n v="15"/>
    <n v="16121.273400000002"/>
    <n v="7699.65"/>
    <n v="8421.6234000000022"/>
    <n v="0.52239194702820446"/>
    <n v="8112920.7349000014"/>
    <n v="0.74119246812291328"/>
  </r>
  <r>
    <s v="ORD-2023-521818"/>
    <d v="2023-01-22T00:00:00"/>
    <x v="218"/>
    <d v="2023-01-30T00:00:00"/>
    <d v="2023-01-30T00:00:00"/>
    <n v="8"/>
    <n v="0"/>
    <x v="23"/>
    <s v="Q1-2023"/>
    <d v="2023-01-13T00:00:00"/>
    <s v="01-2023"/>
    <x v="0"/>
    <x v="6"/>
    <s v="San Francisco"/>
    <s v="San Francisco"/>
    <s v="Small Business"/>
    <s v="Online"/>
    <x v="0"/>
    <x v="6"/>
    <x v="2"/>
    <x v="1"/>
    <s v="Medium"/>
    <x v="243"/>
    <x v="0"/>
    <n v="413.52"/>
    <n v="1004.34"/>
    <n v="1004.34"/>
    <n v="0.111"/>
    <n v="0.111"/>
    <x v="0"/>
    <n v="18"/>
    <n v="16071.44868"/>
    <n v="7443.36"/>
    <n v="8628.0886800000007"/>
    <n v="0.53685817948304593"/>
    <n v="8128992.1835800018"/>
    <n v="0.74266074780943825"/>
  </r>
  <r>
    <s v="ORD-2023-178249"/>
    <d v="2023-12-29T00:00:00"/>
    <x v="219"/>
    <d v="2024-01-20T00:00:00"/>
    <d v="2024-01-20T00:00:00"/>
    <n v="22"/>
    <n v="0"/>
    <x v="10"/>
    <s v="Q4-2023"/>
    <d v="2023-01-20T00:00:00"/>
    <s v="01-2023"/>
    <x v="2"/>
    <x v="5"/>
    <s v="Kisumu"/>
    <s v="Kisumu"/>
    <s v="Corporate"/>
    <s v="Direct"/>
    <x v="3"/>
    <x v="4"/>
    <x v="4"/>
    <x v="5"/>
    <s v="High"/>
    <x v="244"/>
    <x v="0"/>
    <n v="1395.49"/>
    <n v="1679.42"/>
    <n v="1679.42"/>
    <n v="0.20300000000000001"/>
    <n v="0.20300000000000001"/>
    <x v="1"/>
    <n v="12"/>
    <n v="16061.972879999999"/>
    <n v="16745.88"/>
    <n v="683.90712000000167"/>
    <n v="4.2579272490964493E-2"/>
    <n v="8145054.1564600021"/>
    <n v="0.7441281617915122"/>
  </r>
  <r>
    <s v="ORD-2023-548874"/>
    <d v="2023-03-19T00:00:00"/>
    <x v="220"/>
    <d v="2023-04-09T00:00:00"/>
    <d v="2023-04-09T00:00:00"/>
    <n v="21"/>
    <n v="0"/>
    <x v="16"/>
    <s v="Q1-2023"/>
    <d v="2023-01-19T00:00:00"/>
    <s v="01-2023"/>
    <x v="1"/>
    <x v="1"/>
    <s v="Manchester"/>
    <s v="Manchester"/>
    <s v="Consumer"/>
    <s v="Retail"/>
    <x v="1"/>
    <x v="4"/>
    <x v="4"/>
    <x v="4"/>
    <s v="Medium"/>
    <x v="245"/>
    <x v="0"/>
    <n v="1082.17"/>
    <n v="1234.0999999999999"/>
    <n v="1234.0999999999999"/>
    <n v="0.189"/>
    <n v="0.189"/>
    <x v="0"/>
    <n v="16"/>
    <n v="16013.681599999998"/>
    <n v="17314.72"/>
    <n v="1301.0384000000031"/>
    <n v="8.124542703534228E-2"/>
    <n v="8161067.8380600018"/>
    <n v="0.74559116390587776"/>
  </r>
  <r>
    <s v="ORD-2024-210687"/>
    <d v="2024-01-28T00:00:00"/>
    <x v="123"/>
    <d v="2024-02-09T00:00:00"/>
    <d v="2024-02-09T00:00:00"/>
    <n v="12"/>
    <n v="0"/>
    <x v="28"/>
    <s v="Q1-2024"/>
    <d v="2023-01-21T00:00:00"/>
    <s v="01-2023"/>
    <x v="1"/>
    <x v="4"/>
    <s v="Berlin"/>
    <s v="Berlin"/>
    <s v="Corporate"/>
    <s v="Online"/>
    <x v="0"/>
    <x v="12"/>
    <x v="11"/>
    <x v="4"/>
    <s v="Low"/>
    <x v="246"/>
    <x v="0"/>
    <n v="644.16999999999996"/>
    <n v="700.12"/>
    <n v="700.12"/>
    <n v="6.0000000000000001E-3"/>
    <n v="6.0000000000000001E-3"/>
    <x v="0"/>
    <n v="23"/>
    <n v="16006.14344"/>
    <n v="14815.91"/>
    <n v="1190.23344"/>
    <n v="7.436103796405813E-2"/>
    <n v="8177073.9815000016"/>
    <n v="0.74705347733763461"/>
  </r>
  <r>
    <s v="ORD-2025-332931"/>
    <d v="2025-02-15T00:00:00"/>
    <x v="221"/>
    <d v="2025-03-01T00:00:00"/>
    <d v="2025-03-01T00:00:00"/>
    <n v="14"/>
    <n v="0"/>
    <x v="30"/>
    <s v="Q1-2025"/>
    <d v="2023-01-20T00:00:00"/>
    <s v="01-2023"/>
    <x v="2"/>
    <x v="5"/>
    <s v="Mombasa"/>
    <s v="Mombasa"/>
    <s v="Education"/>
    <s v="Direct"/>
    <x v="3"/>
    <x v="4"/>
    <x v="4"/>
    <x v="4"/>
    <s v="Medium"/>
    <x v="247"/>
    <x v="0"/>
    <n v="1162.8599999999999"/>
    <n v="1447.68"/>
    <n v="1447.68"/>
    <n v="8.6999999999999994E-2"/>
    <n v="8.6999999999999994E-2"/>
    <x v="0"/>
    <n v="12"/>
    <n v="15860.782080000001"/>
    <n v="13954.32"/>
    <n v="1906.4620800000012"/>
    <n v="0.12019975247021369"/>
    <n v="8192934.7635800019"/>
    <n v="0.74850251062667728"/>
  </r>
  <r>
    <s v="ORD-2024-687100"/>
    <d v="2024-09-10T00:00:00"/>
    <x v="222"/>
    <d v="2024-10-07T00:00:00"/>
    <d v="2024-10-07T00:00:00"/>
    <n v="27"/>
    <n v="0"/>
    <x v="27"/>
    <s v="Q3-2024"/>
    <d v="2023-01-20T00:00:00"/>
    <s v="01-2023"/>
    <x v="2"/>
    <x v="5"/>
    <s v="Kisumu"/>
    <s v="Kisumu"/>
    <s v="Consumer"/>
    <s v="Retail"/>
    <x v="1"/>
    <x v="4"/>
    <x v="4"/>
    <x v="6"/>
    <s v="High"/>
    <x v="248"/>
    <x v="0"/>
    <n v="1248.3900000000001"/>
    <n v="1805.11"/>
    <n v="1805.11"/>
    <n v="0.20300000000000001"/>
    <n v="0.20300000000000001"/>
    <x v="1"/>
    <n v="11"/>
    <n v="15825.399369999997"/>
    <n v="13732.29"/>
    <n v="2093.1093699999965"/>
    <n v="0.13226265707820786"/>
    <n v="8208760.1629500017"/>
    <n v="0.74994831136864959"/>
  </r>
  <r>
    <s v="ORD-2023-664749"/>
    <d v="2023-08-27T00:00:00"/>
    <x v="223"/>
    <d v="2023-09-11T00:00:00"/>
    <d v="2023-09-11T00:00:00"/>
    <n v="15"/>
    <n v="0"/>
    <x v="21"/>
    <s v="Q3-2023"/>
    <d v="2023-01-19T00:00:00"/>
    <s v="01-2023"/>
    <x v="1"/>
    <x v="1"/>
    <s v="London"/>
    <s v="London"/>
    <s v="Consumer"/>
    <s v="Marketplace"/>
    <x v="2"/>
    <x v="14"/>
    <x v="13"/>
    <x v="6"/>
    <s v="High"/>
    <x v="249"/>
    <x v="0"/>
    <n v="943.79"/>
    <n v="1913.76"/>
    <n v="1913.76"/>
    <n v="9.0999999999999998E-2"/>
    <n v="9.0999999999999998E-2"/>
    <x v="0"/>
    <n v="9"/>
    <n v="15656.47056"/>
    <n v="8494.11"/>
    <n v="7162.3605599999992"/>
    <n v="0.45746967891338081"/>
    <n v="8224416.6335100019"/>
    <n v="0.75137867885720899"/>
  </r>
  <r>
    <s v="ORD-2023-488227"/>
    <d v="2023-09-08T00:00:00"/>
    <x v="224"/>
    <d v="2023-10-02T00:00:00"/>
    <d v="2023-10-02T00:00:00"/>
    <n v="24"/>
    <n v="0"/>
    <x v="32"/>
    <s v="Q3-2023"/>
    <d v="2023-01-02T00:00:00"/>
    <s v="01-2023"/>
    <x v="0"/>
    <x v="0"/>
    <s v="Toronto"/>
    <s v="Toronto"/>
    <s v="Education"/>
    <s v="Direct"/>
    <x v="3"/>
    <x v="6"/>
    <x v="2"/>
    <x v="4"/>
    <s v="High"/>
    <x v="250"/>
    <x v="0"/>
    <n v="1299.03"/>
    <n v="2451.2199999999998"/>
    <n v="2451.2199999999998"/>
    <n v="0.20799999999999999"/>
    <n v="0.20799999999999999"/>
    <x v="1"/>
    <n v="8"/>
    <n v="15530.929919999999"/>
    <n v="10392.24"/>
    <n v="5138.6899199999989"/>
    <n v="0.3308681416032041"/>
    <n v="8239947.563430002"/>
    <n v="0.7527975770143337"/>
  </r>
  <r>
    <s v="ORD-2024-366010"/>
    <d v="2024-01-13T00:00:00"/>
    <x v="225"/>
    <d v="2024-02-05T00:00:00"/>
    <d v="2024-02-05T00:00:00"/>
    <n v="23"/>
    <n v="0"/>
    <x v="28"/>
    <s v="Q1-2024"/>
    <d v="2023-01-21T00:00:00"/>
    <s v="01-2023"/>
    <x v="1"/>
    <x v="4"/>
    <s v="Frankfurt"/>
    <s v="Frankfurt"/>
    <s v="Education"/>
    <s v="Direct"/>
    <x v="3"/>
    <x v="1"/>
    <x v="1"/>
    <x v="2"/>
    <s v="Medium"/>
    <x v="251"/>
    <x v="0"/>
    <n v="1017.93"/>
    <n v="1529.14"/>
    <n v="1529.14"/>
    <n v="0.155"/>
    <n v="0.155"/>
    <x v="0"/>
    <n v="12"/>
    <n v="15505.479600000001"/>
    <n v="12215.16"/>
    <n v="3290.3196000000007"/>
    <n v="0.21220366508366503"/>
    <n v="8255453.0430300022"/>
    <n v="0.75421415004267789"/>
  </r>
  <r>
    <s v="ORD-2023-501220"/>
    <d v="2023-04-19T00:00:00"/>
    <x v="90"/>
    <d v="2023-05-07T00:00:00"/>
    <d v="2023-05-07T00:00:00"/>
    <n v="18"/>
    <n v="0"/>
    <x v="15"/>
    <s v="Q2-2023"/>
    <d v="2023-01-19T00:00:00"/>
    <s v="01-2023"/>
    <x v="1"/>
    <x v="1"/>
    <s v="Birmingham"/>
    <s v="Birmingham"/>
    <s v="Enterprise"/>
    <s v="Retail"/>
    <x v="1"/>
    <x v="14"/>
    <x v="13"/>
    <x v="2"/>
    <s v="Medium"/>
    <x v="252"/>
    <x v="0"/>
    <n v="1089.1500000000001"/>
    <n v="1088.2"/>
    <n v="1088.2"/>
    <n v="5.0999999999999997E-2"/>
    <n v="5.0999999999999997E-2"/>
    <x v="0"/>
    <n v="15"/>
    <n v="15490.527"/>
    <n v="16337.250000000002"/>
    <n v="846.72300000000178"/>
    <n v="5.4660696824582002E-2"/>
    <n v="8270943.5700300019"/>
    <n v="0.7556293570088034"/>
  </r>
  <r>
    <s v="ORD-2025-779659"/>
    <d v="2025-07-03T00:00:00"/>
    <x v="2"/>
    <d v="2025-07-23T00:00:00"/>
    <d v="2025-07-23T00:00:00"/>
    <n v="20"/>
    <n v="0"/>
    <x v="0"/>
    <s v="Q3-2025"/>
    <d v="2023-01-12T00:00:00"/>
    <s v="01-2023"/>
    <x v="3"/>
    <x v="10"/>
    <s v="Beijing"/>
    <s v="Beijing"/>
    <s v="Small Business"/>
    <s v="Online"/>
    <x v="0"/>
    <x v="7"/>
    <x v="6"/>
    <x v="0"/>
    <s v="Medium"/>
    <x v="253"/>
    <x v="0"/>
    <n v="647.36"/>
    <n v="1383.6"/>
    <n v="1383.6"/>
    <n v="7.3999999999999996E-2"/>
    <n v="7.3999999999999996E-2"/>
    <x v="0"/>
    <n v="12"/>
    <n v="15374.563199999999"/>
    <n v="7768.32"/>
    <n v="7606.243199999999"/>
    <n v="0.49472906000997802"/>
    <n v="8286318.1332300017"/>
    <n v="0.75703396957891012"/>
  </r>
  <r>
    <s v="ORD-2024-515105"/>
    <d v="2024-02-27T00:00:00"/>
    <x v="226"/>
    <d v="2024-03-26T00:00:00"/>
    <d v="2024-03-26T00:00:00"/>
    <n v="28"/>
    <n v="0"/>
    <x v="13"/>
    <s v="Q1-2024"/>
    <d v="2023-01-29T00:00:00"/>
    <s v="01-2023"/>
    <x v="3"/>
    <x v="3"/>
    <s v="Mumbai"/>
    <s v="Mumbai"/>
    <s v="Education"/>
    <s v="Marketplace"/>
    <x v="2"/>
    <x v="12"/>
    <x v="11"/>
    <x v="2"/>
    <s v="High"/>
    <x v="254"/>
    <x v="0"/>
    <n v="1035.19"/>
    <n v="2322.6999999999998"/>
    <n v="2322.6999999999998"/>
    <n v="0.17299999999999999"/>
    <n v="0.17299999999999999"/>
    <x v="0"/>
    <n v="8"/>
    <n v="15366.983199999999"/>
    <n v="8281.52"/>
    <n v="7085.4631999999983"/>
    <n v="0.46108355217047409"/>
    <n v="8301685.1164300013"/>
    <n v="0.75843788964392611"/>
  </r>
  <r>
    <s v="ORD-2023-281890"/>
    <d v="2023-03-13T00:00:00"/>
    <x v="227"/>
    <d v="2023-04-04T00:00:00"/>
    <d v="2023-04-04T00:00:00"/>
    <n v="22"/>
    <n v="0"/>
    <x v="16"/>
    <s v="Q1-2023"/>
    <d v="2023-01-07T00:00:00"/>
    <s v="01-2023"/>
    <x v="2"/>
    <x v="8"/>
    <s v="Durban"/>
    <s v="Durban"/>
    <s v="Small Business"/>
    <s v="Retail"/>
    <x v="1"/>
    <x v="6"/>
    <x v="2"/>
    <x v="0"/>
    <s v="Medium"/>
    <x v="255"/>
    <x v="0"/>
    <n v="1113.7"/>
    <n v="1620.6"/>
    <n v="1620.6"/>
    <n v="0.13900000000000001"/>
    <n v="0.13900000000000001"/>
    <x v="0"/>
    <n v="11"/>
    <n v="15348.702599999999"/>
    <n v="12250.7"/>
    <n v="3098.002599999998"/>
    <n v="0.20184133348182787"/>
    <n v="8317033.8190300018"/>
    <n v="0.75984013960227226"/>
  </r>
  <r>
    <s v="ORD-2024-732543"/>
    <d v="2024-10-24T00:00:00"/>
    <x v="228"/>
    <d v="2024-10-28T00:00:00"/>
    <d v="2024-10-28T00:00:00"/>
    <n v="4"/>
    <n v="1"/>
    <x v="20"/>
    <s v="Q4-2024"/>
    <d v="2023-01-12T00:00:00"/>
    <s v="01-2023"/>
    <x v="3"/>
    <x v="10"/>
    <s v="Shanghai"/>
    <s v="Shanghai"/>
    <s v="Small Business"/>
    <s v="Distributor"/>
    <x v="4"/>
    <x v="13"/>
    <x v="12"/>
    <x v="1"/>
    <s v="High"/>
    <x v="256"/>
    <x v="0"/>
    <n v="1331.77"/>
    <n v="2606.11"/>
    <n v="2606.11"/>
    <n v="0.02"/>
    <n v="0.02"/>
    <x v="0"/>
    <n v="6"/>
    <n v="15323.926799999999"/>
    <n v="7990.62"/>
    <n v="7333.3067999999994"/>
    <n v="0.47855271665745619"/>
    <n v="8332357.7458300013"/>
    <n v="0.76124012605565483"/>
  </r>
  <r>
    <s v="ORD-2024-398783"/>
    <d v="2024-07-18T00:00:00"/>
    <x v="229"/>
    <d v="2024-08-07T00:00:00"/>
    <d v="2024-08-07T00:00:00"/>
    <n v="20"/>
    <n v="0"/>
    <x v="9"/>
    <s v="Q3-2024"/>
    <d v="2023-01-10T00:00:00"/>
    <s v="01-2023"/>
    <x v="1"/>
    <x v="11"/>
    <s v="Marseille"/>
    <s v="Marseille"/>
    <s v="Corporate"/>
    <s v="Retail"/>
    <x v="1"/>
    <x v="10"/>
    <x v="9"/>
    <x v="3"/>
    <s v="Medium"/>
    <x v="257"/>
    <x v="0"/>
    <n v="941.35"/>
    <n v="899.83"/>
    <n v="899.83"/>
    <n v="5.8000000000000003E-2"/>
    <n v="5.8000000000000003E-2"/>
    <x v="0"/>
    <n v="18"/>
    <n v="15257.51748"/>
    <n v="16944.3"/>
    <n v="1686.7825199999988"/>
    <n v="0.11055419220139073"/>
    <n v="8347615.2633100012"/>
    <n v="0.76263404538606094"/>
  </r>
  <r>
    <s v="ORD-2024-197852"/>
    <d v="2024-02-29T00:00:00"/>
    <x v="230"/>
    <d v="2024-03-30T00:00:00"/>
    <d v="2024-03-30T00:00:00"/>
    <n v="30"/>
    <n v="0"/>
    <x v="13"/>
    <s v="Q1-2024"/>
    <d v="2023-03-03T00:00:00"/>
    <s v="03-2023"/>
    <x v="3"/>
    <x v="7"/>
    <s v="Nagoya"/>
    <s v="Nagoya"/>
    <s v="Small Business"/>
    <s v="Direct"/>
    <x v="3"/>
    <x v="13"/>
    <x v="12"/>
    <x v="1"/>
    <s v="Low"/>
    <x v="258"/>
    <x v="0"/>
    <n v="231.11"/>
    <n v="318.17"/>
    <n v="318.17"/>
    <n v="0.20100000000000001"/>
    <n v="0.20100000000000001"/>
    <x v="1"/>
    <n v="60"/>
    <n v="15253.069799999999"/>
    <n v="13866.6"/>
    <n v="1386.4697999999989"/>
    <n v="9.0897754889969692E-2"/>
    <n v="8362868.3331100009"/>
    <n v="0.76402755837859881"/>
  </r>
  <r>
    <s v="ORD-2025-149156"/>
    <d v="2025-01-10T00:00:00"/>
    <x v="231"/>
    <d v="2025-02-06T00:00:00"/>
    <d v="2025-02-06T00:00:00"/>
    <n v="27"/>
    <n v="0"/>
    <x v="17"/>
    <s v="Q1-2025"/>
    <d v="2023-01-29T00:00:00"/>
    <s v="01-2023"/>
    <x v="0"/>
    <x v="9"/>
    <s v="Brasília"/>
    <s v="Brasília"/>
    <s v="Non-Profit"/>
    <s v="Retail"/>
    <x v="1"/>
    <x v="1"/>
    <x v="1"/>
    <x v="2"/>
    <s v="Medium"/>
    <x v="259"/>
    <x v="0"/>
    <n v="725.62"/>
    <n v="1559.19"/>
    <n v="1559.19"/>
    <n v="0.19"/>
    <n v="0.19"/>
    <x v="0"/>
    <n v="12"/>
    <n v="15155.326800000001"/>
    <n v="8707.44"/>
    <n v="6447.8868000000002"/>
    <n v="0.42545349797405885"/>
    <n v="8378023.6599100009"/>
    <n v="0.76541214161848914"/>
  </r>
  <r>
    <s v="ORD-2024-599522"/>
    <d v="2024-04-19T00:00:00"/>
    <x v="232"/>
    <d v="2024-05-06T00:00:00"/>
    <d v="2024-05-06T00:00:00"/>
    <n v="17"/>
    <n v="0"/>
    <x v="22"/>
    <s v="Q2-2024"/>
    <d v="2023-01-13T00:00:00"/>
    <s v="01-2023"/>
    <x v="2"/>
    <x v="2"/>
    <s v="Port Harcourt"/>
    <s v="Port Harcourt"/>
    <s v="Non-Profit"/>
    <s v="Online"/>
    <x v="0"/>
    <x v="6"/>
    <x v="2"/>
    <x v="6"/>
    <s v="Medium"/>
    <x v="260"/>
    <x v="0"/>
    <n v="865.33"/>
    <n v="1395.64"/>
    <n v="1395.64"/>
    <n v="0.17499999999999999"/>
    <n v="0.17499999999999999"/>
    <x v="0"/>
    <n v="13"/>
    <n v="14968.239"/>
    <n v="11249.29"/>
    <n v="3718.9489999999987"/>
    <n v="0.24845601409758347"/>
    <n v="8392991.8989100009"/>
    <n v="0.76677963260852655"/>
  </r>
  <r>
    <s v="ORD-2023-382017"/>
    <d v="2023-01-13T00:00:00"/>
    <x v="233"/>
    <d v="2023-01-19T00:00:00"/>
    <d v="2023-01-19T00:00:00"/>
    <n v="6"/>
    <n v="1"/>
    <x v="23"/>
    <s v="Q1-2023"/>
    <d v="2023-01-13T00:00:00"/>
    <s v="01-2023"/>
    <x v="0"/>
    <x v="6"/>
    <s v="Chicago"/>
    <s v="Chicago"/>
    <s v="Corporate"/>
    <s v="Direct"/>
    <x v="3"/>
    <x v="0"/>
    <x v="0"/>
    <x v="5"/>
    <s v="Medium"/>
    <x v="261"/>
    <x v="0"/>
    <n v="833.57"/>
    <n v="881.57"/>
    <n v="881.57"/>
    <n v="5.7000000000000002E-2"/>
    <n v="5.7000000000000002E-2"/>
    <x v="0"/>
    <n v="18"/>
    <n v="14963.769179999999"/>
    <n v="15004.26"/>
    <n v="40.490820000000895"/>
    <n v="2.7059238560107821E-3"/>
    <n v="8407955.6680900007"/>
    <n v="0.76814671523799616"/>
  </r>
  <r>
    <s v="ORD-2024-442776"/>
    <d v="2024-06-30T00:00:00"/>
    <x v="234"/>
    <d v="2024-07-21T00:00:00"/>
    <d v="2024-07-21T00:00:00"/>
    <n v="21"/>
    <n v="0"/>
    <x v="7"/>
    <s v="Q2-2024"/>
    <d v="2023-01-20T00:00:00"/>
    <s v="01-2023"/>
    <x v="2"/>
    <x v="5"/>
    <s v="Kisumu"/>
    <s v="Kisumu"/>
    <s v="Small Business"/>
    <s v="Retail"/>
    <x v="1"/>
    <x v="3"/>
    <x v="3"/>
    <x v="2"/>
    <s v="High"/>
    <x v="262"/>
    <x v="0"/>
    <n v="753.43"/>
    <n v="1787.2"/>
    <n v="1787.2"/>
    <n v="7.2999999999999995E-2"/>
    <n v="7.2999999999999995E-2"/>
    <x v="0"/>
    <n v="9"/>
    <n v="14910.609600000002"/>
    <n v="6780.87"/>
    <n v="8129.7396000000017"/>
    <n v="0.54523187301476939"/>
    <n v="8422866.2776900008"/>
    <n v="0.76950894123425173"/>
  </r>
  <r>
    <s v="ORD-2024-468501"/>
    <d v="2024-11-06T00:00:00"/>
    <x v="235"/>
    <d v="2024-11-22T00:00:00"/>
    <d v="2024-11-22T00:00:00"/>
    <n v="16"/>
    <n v="0"/>
    <x v="5"/>
    <s v="Q4-2024"/>
    <d v="2023-01-02T00:00:00"/>
    <s v="01-2023"/>
    <x v="0"/>
    <x v="0"/>
    <s v="Toronto"/>
    <s v="Toronto"/>
    <s v="Non-Profit"/>
    <s v="Distributor"/>
    <x v="4"/>
    <x v="11"/>
    <x v="10"/>
    <x v="4"/>
    <s v="High"/>
    <x v="263"/>
    <x v="0"/>
    <n v="1454.11"/>
    <n v="2629.75"/>
    <n v="2629.75"/>
    <n v="0.29199999999999998"/>
    <n v="0.29199999999999998"/>
    <x v="1"/>
    <n v="8"/>
    <n v="14894.903999999999"/>
    <n v="11632.88"/>
    <n v="3262.0239999999994"/>
    <n v="0.21900268709351867"/>
    <n v="8437761.18169"/>
    <n v="0.77086973237457701"/>
  </r>
  <r>
    <s v="ORD-2023-192324"/>
    <d v="2023-09-14T00:00:00"/>
    <x v="236"/>
    <d v="2023-09-16T00:00:00"/>
    <d v="2023-09-16T00:00:00"/>
    <n v="2"/>
    <n v="1"/>
    <x v="32"/>
    <s v="Q3-2023"/>
    <d v="2023-01-10T00:00:00"/>
    <s v="01-2023"/>
    <x v="1"/>
    <x v="11"/>
    <s v="Lyon"/>
    <s v="Lyon"/>
    <s v="Non-Profit"/>
    <s v="Direct"/>
    <x v="3"/>
    <x v="1"/>
    <x v="1"/>
    <x v="6"/>
    <s v="Low"/>
    <x v="264"/>
    <x v="0"/>
    <n v="376.83"/>
    <n v="732.88"/>
    <n v="732.88"/>
    <n v="0.188"/>
    <n v="0.188"/>
    <x v="0"/>
    <n v="25"/>
    <n v="14877.464000000002"/>
    <n v="9420.75"/>
    <n v="5456.7140000000018"/>
    <n v="0.36677716040852132"/>
    <n v="8452638.6456899997"/>
    <n v="0.77222893020503691"/>
  </r>
  <r>
    <s v="ORD-2024-892173"/>
    <d v="2024-01-18T00:00:00"/>
    <x v="237"/>
    <d v="2024-02-03T00:00:00"/>
    <d v="2024-02-03T00:00:00"/>
    <n v="16"/>
    <n v="0"/>
    <x v="28"/>
    <s v="Q1-2024"/>
    <d v="2023-01-07T00:00:00"/>
    <s v="01-2023"/>
    <x v="2"/>
    <x v="8"/>
    <s v="Cape Town"/>
    <s v="Cape Town"/>
    <s v="Non-Profit"/>
    <s v="Distributor"/>
    <x v="4"/>
    <x v="4"/>
    <x v="4"/>
    <x v="6"/>
    <s v="Medium"/>
    <x v="265"/>
    <x v="0"/>
    <n v="666.23"/>
    <n v="1382.91"/>
    <n v="1382.91"/>
    <n v="0.17599999999999999"/>
    <n v="0.17599999999999999"/>
    <x v="0"/>
    <n v="13"/>
    <n v="14813.731920000002"/>
    <n v="8660.99"/>
    <n v="6152.7419200000022"/>
    <n v="0.41534043907553048"/>
    <n v="8467452.3776099999"/>
    <n v="0.77358230550385665"/>
  </r>
  <r>
    <s v="ORD-2024-257550"/>
    <d v="2024-12-27T00:00:00"/>
    <x v="15"/>
    <d v="2024-12-29T00:00:00"/>
    <d v="2024-12-29T00:00:00"/>
    <n v="2"/>
    <n v="1"/>
    <x v="11"/>
    <s v="Q4-2024"/>
    <d v="2023-01-02T00:00:00"/>
    <s v="01-2023"/>
    <x v="0"/>
    <x v="0"/>
    <s v="Vancouver"/>
    <s v="Vancouver"/>
    <s v="Enterprise"/>
    <s v="Marketplace"/>
    <x v="2"/>
    <x v="5"/>
    <x v="5"/>
    <x v="4"/>
    <s v="High"/>
    <x v="266"/>
    <x v="0"/>
    <n v="1146.72"/>
    <n v="2074.34"/>
    <n v="2074.34"/>
    <n v="0.111"/>
    <n v="0.111"/>
    <x v="0"/>
    <n v="8"/>
    <n v="14752.706080000002"/>
    <n v="9173.76"/>
    <n v="5578.9460800000015"/>
    <n v="0.37816425337472737"/>
    <n v="8482205.0836900007"/>
    <n v="0.77493010551179831"/>
  </r>
  <r>
    <s v="ORD-2024-589570"/>
    <d v="2024-05-04T00:00:00"/>
    <x v="238"/>
    <d v="2024-05-29T00:00:00"/>
    <d v="2024-05-29T00:00:00"/>
    <n v="25"/>
    <n v="0"/>
    <x v="1"/>
    <s v="Q2-2024"/>
    <d v="2023-01-13T00:00:00"/>
    <s v="01-2023"/>
    <x v="2"/>
    <x v="2"/>
    <s v="Abuja"/>
    <s v="Abuja"/>
    <s v="Non-Profit"/>
    <s v="Marketplace"/>
    <x v="2"/>
    <x v="8"/>
    <x v="7"/>
    <x v="3"/>
    <s v="High"/>
    <x v="267"/>
    <x v="0"/>
    <n v="1295.3399999999999"/>
    <n v="2530.81"/>
    <n v="2530.81"/>
    <n v="3.1E-2"/>
    <n v="3.1E-2"/>
    <x v="0"/>
    <n v="6"/>
    <n v="14714.12934"/>
    <n v="7772.0399999999991"/>
    <n v="6942.0893400000004"/>
    <n v="0.4717974933880798"/>
    <n v="8496919.2130300011"/>
    <n v="0.77627438116765168"/>
  </r>
  <r>
    <s v="ORD-2024-605629"/>
    <d v="2024-07-15T00:00:00"/>
    <x v="239"/>
    <d v="2024-07-15T00:00:00"/>
    <d v="2024-07-15T00:00:00"/>
    <n v="0"/>
    <n v="1"/>
    <x v="9"/>
    <s v="Q3-2024"/>
    <d v="2023-03-03T00:00:00"/>
    <s v="03-2023"/>
    <x v="3"/>
    <x v="7"/>
    <s v="Tokyo"/>
    <s v="Tokyo"/>
    <s v="Small Business"/>
    <s v="Marketplace"/>
    <x v="2"/>
    <x v="12"/>
    <x v="11"/>
    <x v="4"/>
    <s v="Medium"/>
    <x v="268"/>
    <x v="0"/>
    <n v="801.77"/>
    <n v="1218.92"/>
    <n v="1218.92"/>
    <n v="0.254"/>
    <n v="0.254"/>
    <x v="1"/>
    <n v="16"/>
    <n v="14549.029120000001"/>
    <n v="12828.32"/>
    <n v="1720.7091200000013"/>
    <n v="0.11826968698788344"/>
    <n v="8511468.2421500012"/>
    <n v="0.77760357334820096"/>
  </r>
  <r>
    <s v="ORD-2023-623293"/>
    <d v="2023-10-12T00:00:00"/>
    <x v="240"/>
    <d v="2023-10-29T00:00:00"/>
    <d v="2023-10-29T00:00:00"/>
    <n v="17"/>
    <n v="0"/>
    <x v="18"/>
    <s v="Q4-2023"/>
    <d v="2023-03-03T00:00:00"/>
    <s v="03-2023"/>
    <x v="3"/>
    <x v="7"/>
    <s v="Nagoya"/>
    <s v="Nagoya"/>
    <s v="Non-Profit"/>
    <s v="Direct"/>
    <x v="3"/>
    <x v="0"/>
    <x v="0"/>
    <x v="5"/>
    <s v="High"/>
    <x v="269"/>
    <x v="0"/>
    <n v="1102.19"/>
    <n v="1711.16"/>
    <n v="1711.16"/>
    <n v="0.151"/>
    <n v="0.151"/>
    <x v="0"/>
    <n v="10"/>
    <n v="14527.748400000002"/>
    <n v="11021.900000000001"/>
    <n v="3505.8484000000008"/>
    <n v="0.24132083675127525"/>
    <n v="8525995.9905500021"/>
    <n v="0.77893082133258518"/>
  </r>
  <r>
    <s v="ORD-2023-126505"/>
    <d v="2023-12-19T00:00:00"/>
    <x v="166"/>
    <d v="2024-01-01T00:00:00"/>
    <d v="2024-01-01T00:00:00"/>
    <n v="13"/>
    <n v="0"/>
    <x v="10"/>
    <s v="Q4-2023"/>
    <d v="2023-01-02T00:00:00"/>
    <s v="01-2023"/>
    <x v="0"/>
    <x v="0"/>
    <s v="Toronto"/>
    <s v="Toronto"/>
    <s v="Enterprise"/>
    <s v="Retail"/>
    <x v="1"/>
    <x v="3"/>
    <x v="3"/>
    <x v="3"/>
    <s v="Medium"/>
    <x v="270"/>
    <x v="0"/>
    <n v="856.1"/>
    <n v="901.48"/>
    <n v="901.48"/>
    <n v="5.6000000000000001E-2"/>
    <n v="5.6000000000000001E-2"/>
    <x v="0"/>
    <n v="17"/>
    <n v="14466.95104"/>
    <n v="14553.7"/>
    <n v="86.748960000000807"/>
    <n v="5.9963540182134192E-3"/>
    <n v="8540462.9415900018"/>
    <n v="0.78025251489991221"/>
  </r>
  <r>
    <s v="ORD-2023-157993"/>
    <d v="2023-04-18T00:00:00"/>
    <x v="241"/>
    <d v="2023-05-18T00:00:00"/>
    <d v="2023-05-18T00:00:00"/>
    <n v="30"/>
    <n v="0"/>
    <x v="15"/>
    <s v="Q2-2023"/>
    <d v="2023-01-12T00:00:00"/>
    <s v="01-2023"/>
    <x v="3"/>
    <x v="10"/>
    <s v="Shenzhen"/>
    <s v="Shenzhen"/>
    <s v="Non-Profit"/>
    <s v="Retail"/>
    <x v="1"/>
    <x v="0"/>
    <x v="0"/>
    <x v="2"/>
    <s v="Low"/>
    <x v="271"/>
    <x v="0"/>
    <n v="329.03"/>
    <n v="391.15"/>
    <n v="391.15"/>
    <n v="0.19700000000000001"/>
    <n v="0.19700000000000001"/>
    <x v="0"/>
    <n v="46"/>
    <n v="14448.298699999998"/>
    <n v="15135.38"/>
    <n v="687.08130000000165"/>
    <n v="4.7554477815440081E-2"/>
    <n v="8554911.240290001"/>
    <n v="0.78157250439858461"/>
  </r>
  <r>
    <s v="ORD-2025-486350"/>
    <d v="2025-05-27T00:00:00"/>
    <x v="242"/>
    <d v="2025-06-08T00:00:00"/>
    <d v="2025-06-08T00:00:00"/>
    <n v="12"/>
    <n v="0"/>
    <x v="12"/>
    <s v="Q2-2025"/>
    <d v="2023-03-03T00:00:00"/>
    <s v="03-2023"/>
    <x v="3"/>
    <x v="7"/>
    <s v="Osaka"/>
    <s v="Osaka"/>
    <s v="Corporate"/>
    <s v="Retail"/>
    <x v="1"/>
    <x v="0"/>
    <x v="0"/>
    <x v="4"/>
    <s v="Medium"/>
    <x v="272"/>
    <x v="0"/>
    <n v="653.6"/>
    <n v="842.09"/>
    <n v="842.09"/>
    <n v="9.8000000000000004E-2"/>
    <n v="9.8000000000000004E-2"/>
    <x v="0"/>
    <n v="19"/>
    <n v="14431.738420000001"/>
    <n v="12418.4"/>
    <n v="2013.3384200000019"/>
    <n v="0.13950768517324622"/>
    <n v="8569342.9787100013"/>
    <n v="0.78289098095818033"/>
  </r>
  <r>
    <s v="ORD-2024-347736"/>
    <d v="2024-05-22T00:00:00"/>
    <x v="243"/>
    <d v="2024-06-06T00:00:00"/>
    <d v="2024-06-06T00:00:00"/>
    <n v="15"/>
    <n v="0"/>
    <x v="1"/>
    <s v="Q2-2024"/>
    <d v="2023-03-03T00:00:00"/>
    <s v="03-2023"/>
    <x v="3"/>
    <x v="7"/>
    <s v="Nagoya"/>
    <s v="Nagoya"/>
    <s v="Corporate"/>
    <s v="Distributor"/>
    <x v="4"/>
    <x v="5"/>
    <x v="5"/>
    <x v="3"/>
    <s v="Medium"/>
    <x v="273"/>
    <x v="0"/>
    <n v="673.88"/>
    <n v="1228.01"/>
    <n v="1228.01"/>
    <n v="0.105"/>
    <n v="0.105"/>
    <x v="0"/>
    <n v="13"/>
    <n v="14287.896349999999"/>
    <n v="8760.44"/>
    <n v="5527.4563499999986"/>
    <n v="0.38686285332689996"/>
    <n v="8583630.8750600014"/>
    <n v="0.78419631617665286"/>
  </r>
  <r>
    <s v="ORD-2023-946143"/>
    <d v="2023-03-14T00:00:00"/>
    <x v="244"/>
    <d v="2023-03-30T00:00:00"/>
    <d v="2023-03-30T00:00:00"/>
    <n v="16"/>
    <n v="0"/>
    <x v="16"/>
    <s v="Q1-2023"/>
    <d v="2023-01-07T00:00:00"/>
    <s v="01-2023"/>
    <x v="2"/>
    <x v="8"/>
    <s v="Cape Town"/>
    <s v="Cape Town"/>
    <s v="Consumer"/>
    <s v="Distributor"/>
    <x v="4"/>
    <x v="3"/>
    <x v="3"/>
    <x v="0"/>
    <s v="Medium"/>
    <x v="274"/>
    <x v="0"/>
    <n v="1309.77"/>
    <n v="1589.07"/>
    <n v="1589.07"/>
    <n v="0.10199999999999999"/>
    <n v="0.10199999999999999"/>
    <x v="0"/>
    <n v="10"/>
    <n v="14269.848599999999"/>
    <n v="13097.7"/>
    <n v="1172.1485999999986"/>
    <n v="8.2141628328137886E-2"/>
    <n v="8597900.7236600015"/>
    <n v="0.78550000256151742"/>
  </r>
  <r>
    <s v="ORD-2023-728177"/>
    <d v="2023-12-18T00:00:00"/>
    <x v="245"/>
    <d v="2024-01-14T00:00:00"/>
    <d v="2024-01-14T00:00:00"/>
    <n v="27"/>
    <n v="0"/>
    <x v="10"/>
    <s v="Q4-2023"/>
    <d v="2023-01-29T00:00:00"/>
    <s v="01-2023"/>
    <x v="3"/>
    <x v="3"/>
    <s v="Mumbai"/>
    <s v="Mumbai"/>
    <s v="Consumer"/>
    <s v="Distributor"/>
    <x v="4"/>
    <x v="11"/>
    <x v="10"/>
    <x v="1"/>
    <s v="High"/>
    <x v="275"/>
    <x v="0"/>
    <n v="1408.3"/>
    <n v="2193.13"/>
    <n v="2193.13"/>
    <n v="7.0999999999999994E-2"/>
    <n v="7.0999999999999994E-2"/>
    <x v="0"/>
    <n v="7"/>
    <n v="14261.92439"/>
    <n v="9858.1"/>
    <n v="4403.8243899999998"/>
    <n v="0.30878191957656281"/>
    <n v="8612162.6480500009"/>
    <n v="0.78680296499443414"/>
  </r>
  <r>
    <s v="ORD-2024-594592"/>
    <d v="2024-04-06T00:00:00"/>
    <x v="246"/>
    <d v="2024-04-25T00:00:00"/>
    <d v="2024-04-25T00:00:00"/>
    <n v="19"/>
    <n v="0"/>
    <x v="22"/>
    <s v="Q2-2024"/>
    <d v="2023-01-12T00:00:00"/>
    <s v="01-2023"/>
    <x v="3"/>
    <x v="10"/>
    <s v="Shanghai"/>
    <s v="Shanghai"/>
    <s v="Corporate"/>
    <s v="Retail"/>
    <x v="1"/>
    <x v="3"/>
    <x v="3"/>
    <x v="0"/>
    <s v="High"/>
    <x v="276"/>
    <x v="0"/>
    <n v="1366.48"/>
    <n v="1678.14"/>
    <n v="1678.14"/>
    <n v="0.154"/>
    <n v="0.154"/>
    <x v="0"/>
    <n v="10"/>
    <n v="14197.064400000001"/>
    <n v="13664.8"/>
    <n v="532.26440000000184"/>
    <n v="3.7491159087790132E-2"/>
    <n v="8626359.7124500014"/>
    <n v="0.78810000185040507"/>
  </r>
  <r>
    <s v="ORD-2023-453699"/>
    <d v="2023-07-01T00:00:00"/>
    <x v="7"/>
    <d v="2023-07-08T00:00:00"/>
    <d v="2023-07-08T00:00:00"/>
    <n v="7"/>
    <n v="1"/>
    <x v="6"/>
    <s v="Q3-2023"/>
    <d v="2023-01-21T00:00:00"/>
    <s v="01-2023"/>
    <x v="1"/>
    <x v="4"/>
    <s v="Frankfurt"/>
    <s v="Frankfurt"/>
    <s v="Small Business"/>
    <s v="Distributor"/>
    <x v="4"/>
    <x v="14"/>
    <x v="13"/>
    <x v="2"/>
    <s v="Medium"/>
    <x v="277"/>
    <x v="0"/>
    <n v="460.21"/>
    <n v="1139.1500000000001"/>
    <n v="1139.1500000000001"/>
    <n v="0.115"/>
    <n v="0.115"/>
    <x v="0"/>
    <n v="14"/>
    <n v="14114.068500000001"/>
    <n v="6442.94"/>
    <n v="7671.1285000000016"/>
    <n v="0.54350937151821255"/>
    <n v="8640473.7809500005"/>
    <n v="0.78938945624156764"/>
  </r>
  <r>
    <s v="ORD-2023-619385"/>
    <d v="2023-09-30T00:00:00"/>
    <x v="159"/>
    <d v="2023-10-03T00:00:00"/>
    <d v="2023-10-03T00:00:00"/>
    <n v="3"/>
    <n v="1"/>
    <x v="32"/>
    <s v="Q3-2023"/>
    <d v="2023-01-12T00:00:00"/>
    <s v="01-2023"/>
    <x v="3"/>
    <x v="10"/>
    <s v="Beijing"/>
    <s v="Beijing"/>
    <s v="Non-Profit"/>
    <s v="Retail"/>
    <x v="1"/>
    <x v="9"/>
    <x v="8"/>
    <x v="2"/>
    <s v="Medium"/>
    <x v="29"/>
    <x v="0"/>
    <n v="1019.36"/>
    <n v="972.91"/>
    <n v="972.91"/>
    <n v="0.14699999999999999"/>
    <n v="0.14699999999999999"/>
    <x v="0"/>
    <n v="17"/>
    <n v="14108.16791"/>
    <n v="17329.12"/>
    <n v="3220.9520899999989"/>
    <n v="0.22830406545678819"/>
    <n v="8654581.9488600008"/>
    <n v="0.79067837155771548"/>
  </r>
  <r>
    <s v="ORD-2023-249805"/>
    <d v="2023-12-22T00:00:00"/>
    <x v="247"/>
    <d v="2024-01-16T00:00:00"/>
    <d v="2024-01-16T00:00:00"/>
    <n v="25"/>
    <n v="0"/>
    <x v="10"/>
    <s v="Q4-2023"/>
    <d v="2023-01-29T00:00:00"/>
    <s v="01-2023"/>
    <x v="3"/>
    <x v="3"/>
    <s v="Hyderabad"/>
    <s v="Hyderabad"/>
    <s v="Small Business"/>
    <s v="Retail"/>
    <x v="1"/>
    <x v="6"/>
    <x v="2"/>
    <x v="0"/>
    <s v="Medium"/>
    <x v="278"/>
    <x v="0"/>
    <n v="1346.81"/>
    <n v="978.09"/>
    <n v="978.09"/>
    <n v="0.159"/>
    <n v="0.159"/>
    <x v="0"/>
    <n v="17"/>
    <n v="13983.752729999998"/>
    <n v="22895.77"/>
    <n v="8912.0172700000021"/>
    <n v="0.6373122753293996"/>
    <n v="8668565.7015900016"/>
    <n v="0.7919559203639035"/>
  </r>
  <r>
    <s v="ORD-2023-713614"/>
    <d v="2023-08-02T00:00:00"/>
    <x v="32"/>
    <d v="2023-08-19T00:00:00"/>
    <d v="2023-08-19T00:00:00"/>
    <n v="17"/>
    <n v="0"/>
    <x v="21"/>
    <s v="Q3-2023"/>
    <d v="2023-01-02T00:00:00"/>
    <s v="01-2023"/>
    <x v="0"/>
    <x v="0"/>
    <s v="Vancouver"/>
    <s v="Vancouver"/>
    <s v="Corporate"/>
    <s v="Online"/>
    <x v="0"/>
    <x v="10"/>
    <x v="9"/>
    <x v="1"/>
    <s v="Low"/>
    <x v="279"/>
    <x v="0"/>
    <n v="175.38"/>
    <n v="347.9"/>
    <n v="347.9"/>
    <n v="7.1999999999999995E-2"/>
    <n v="7.1999999999999995E-2"/>
    <x v="0"/>
    <n v="43"/>
    <n v="13882.6016"/>
    <n v="7541.34"/>
    <n v="6341.2615999999998"/>
    <n v="0.45677761148169804"/>
    <n v="8682448.3031900022"/>
    <n v="0.79322422805235504"/>
  </r>
  <r>
    <s v="ORD-2023-107265"/>
    <d v="2023-04-22T00:00:00"/>
    <x v="248"/>
    <d v="2023-05-14T00:00:00"/>
    <d v="2023-05-14T00:00:00"/>
    <n v="22"/>
    <n v="0"/>
    <x v="15"/>
    <s v="Q2-2023"/>
    <d v="2023-03-03T00:00:00"/>
    <s v="03-2023"/>
    <x v="3"/>
    <x v="7"/>
    <s v="Nagoya"/>
    <s v="Nagoya"/>
    <s v="Enterprise"/>
    <s v="Retail"/>
    <x v="1"/>
    <x v="6"/>
    <x v="2"/>
    <x v="4"/>
    <s v="Medium"/>
    <x v="280"/>
    <x v="0"/>
    <n v="1209.22"/>
    <n v="1404.33"/>
    <n v="1404.33"/>
    <n v="0.10299999999999999"/>
    <n v="0.10299999999999999"/>
    <x v="0"/>
    <n v="11"/>
    <n v="13856.52411"/>
    <n v="13301.42"/>
    <n v="555.10411000000022"/>
    <n v="4.0060848275751328E-2"/>
    <n v="8696304.8273000028"/>
    <n v="0.79449015331408168"/>
  </r>
  <r>
    <s v="ORD-2023-132101"/>
    <d v="2023-09-25T00:00:00"/>
    <x v="249"/>
    <d v="2023-10-09T00:00:00"/>
    <d v="2023-10-09T00:00:00"/>
    <n v="14"/>
    <n v="0"/>
    <x v="32"/>
    <s v="Q3-2023"/>
    <d v="2023-01-13T00:00:00"/>
    <s v="01-2023"/>
    <x v="0"/>
    <x v="6"/>
    <s v="New York"/>
    <s v="New York"/>
    <s v="Small Business"/>
    <s v="Marketplace"/>
    <x v="2"/>
    <x v="9"/>
    <x v="8"/>
    <x v="2"/>
    <s v="High"/>
    <x v="281"/>
    <x v="0"/>
    <n v="1279.56"/>
    <n v="3083.8"/>
    <n v="3083.8"/>
    <n v="0.106"/>
    <n v="0.106"/>
    <x v="0"/>
    <n v="5"/>
    <n v="13784.586000000001"/>
    <n v="6397.7999999999993"/>
    <n v="7386.7860000000019"/>
    <n v="0.53587289455047848"/>
    <n v="8710089.413300002"/>
    <n v="0.79574950634528296"/>
  </r>
  <r>
    <s v="ORD-2025-662997"/>
    <d v="2025-03-31T00:00:00"/>
    <x v="250"/>
    <d v="2025-04-04T00:00:00"/>
    <d v="2025-04-04T00:00:00"/>
    <n v="4"/>
    <n v="1"/>
    <x v="26"/>
    <s v="Q1-2025"/>
    <d v="2023-01-20T00:00:00"/>
    <s v="01-2023"/>
    <x v="2"/>
    <x v="5"/>
    <s v="Nakuru"/>
    <s v="Nakuru"/>
    <s v="Corporate"/>
    <s v="Direct"/>
    <x v="3"/>
    <x v="5"/>
    <x v="5"/>
    <x v="2"/>
    <s v="High"/>
    <x v="282"/>
    <x v="0"/>
    <n v="862.08"/>
    <n v="1952.83"/>
    <n v="1952.83"/>
    <n v="0"/>
    <n v="0"/>
    <x v="0"/>
    <n v="7"/>
    <n v="13669.81"/>
    <n v="6034.56"/>
    <n v="7635.2499999999991"/>
    <n v="0.5585483631447693"/>
    <n v="8723759.2233000025"/>
    <n v="0.7969983734972923"/>
  </r>
  <r>
    <s v="ORD-2023-573146"/>
    <d v="2023-12-01T00:00:00"/>
    <x v="251"/>
    <d v="2023-12-18T00:00:00"/>
    <d v="2023-12-18T00:00:00"/>
    <n v="17"/>
    <n v="0"/>
    <x v="10"/>
    <s v="Q4-2023"/>
    <d v="2023-03-03T00:00:00"/>
    <s v="03-2023"/>
    <x v="3"/>
    <x v="7"/>
    <s v="Nagoya"/>
    <s v="Nagoya"/>
    <s v="Small Business"/>
    <s v="Direct"/>
    <x v="3"/>
    <x v="14"/>
    <x v="13"/>
    <x v="2"/>
    <s v="High"/>
    <x v="283"/>
    <x v="0"/>
    <n v="1495.79"/>
    <n v="2783.12"/>
    <n v="2783.12"/>
    <n v="0.02"/>
    <n v="0.02"/>
    <x v="0"/>
    <n v="5"/>
    <n v="13637.287999999999"/>
    <n v="7478.95"/>
    <n v="6158.3379999999988"/>
    <n v="0.45158084217331185"/>
    <n v="8737396.5113000032"/>
    <n v="0.79824426945529681"/>
  </r>
  <r>
    <s v="ORD-2025-762212"/>
    <d v="2025-08-25T00:00:00"/>
    <x v="252"/>
    <d v="2025-09-24T00:00:00"/>
    <d v="2025-09-24T00:00:00"/>
    <n v="30"/>
    <n v="0"/>
    <x v="14"/>
    <s v="Q3-2025"/>
    <d v="2023-01-20T00:00:00"/>
    <s v="01-2023"/>
    <x v="2"/>
    <x v="5"/>
    <s v="Nairobi"/>
    <s v="Nairobi"/>
    <s v="Consumer"/>
    <s v="Direct"/>
    <x v="3"/>
    <x v="1"/>
    <x v="1"/>
    <x v="0"/>
    <s v="Medium"/>
    <x v="284"/>
    <x v="0"/>
    <n v="589.14"/>
    <n v="1300.58"/>
    <n v="1300.58"/>
    <n v="5.5E-2"/>
    <n v="5.5E-2"/>
    <x v="0"/>
    <n v="11"/>
    <n v="13519.529099999998"/>
    <n v="6480.54"/>
    <n v="7038.989099999998"/>
    <n v="0.52065342275863724"/>
    <n v="8750916.040400004"/>
    <n v="0.79947940701782505"/>
  </r>
  <r>
    <s v="ORD-2024-811752"/>
    <d v="2024-02-25T00:00:00"/>
    <x v="253"/>
    <d v="2024-03-09T00:00:00"/>
    <d v="2024-03-09T00:00:00"/>
    <n v="13"/>
    <n v="0"/>
    <x v="13"/>
    <s v="Q1-2024"/>
    <d v="2023-01-10T00:00:00"/>
    <s v="01-2023"/>
    <x v="1"/>
    <x v="11"/>
    <s v="Marseille"/>
    <s v="Marseille"/>
    <s v="Small Business"/>
    <s v="Distributor"/>
    <x v="4"/>
    <x v="15"/>
    <x v="14"/>
    <x v="3"/>
    <s v="Low"/>
    <x v="285"/>
    <x v="1"/>
    <n v="322.44"/>
    <n v="395.61"/>
    <n v="395.61"/>
    <n v="0"/>
    <n v="0"/>
    <x v="0"/>
    <n v="34"/>
    <n v="13450.74"/>
    <n v="10962.96"/>
    <n v="2487.7800000000007"/>
    <n v="0.18495487980586947"/>
    <n v="8764366.7804000042"/>
    <n v="0.80070826004184059"/>
  </r>
  <r>
    <s v="ORD-2023-854471"/>
    <d v="2023-03-06T00:00:00"/>
    <x v="254"/>
    <d v="2023-04-04T00:00:00"/>
    <d v="2023-04-04T00:00:00"/>
    <n v="29"/>
    <n v="0"/>
    <x v="16"/>
    <s v="Q1-2023"/>
    <d v="2023-01-12T00:00:00"/>
    <s v="01-2023"/>
    <x v="3"/>
    <x v="10"/>
    <s v="Beijing"/>
    <s v="Beijing"/>
    <s v="Small Business"/>
    <s v="Direct"/>
    <x v="3"/>
    <x v="5"/>
    <x v="5"/>
    <x v="3"/>
    <s v="High"/>
    <x v="286"/>
    <x v="1"/>
    <n v="1126.29"/>
    <n v="2050.87"/>
    <n v="2050.87"/>
    <n v="6.4000000000000001E-2"/>
    <n v="6.4000000000000001E-2"/>
    <x v="0"/>
    <n v="7"/>
    <n v="13437.300239999999"/>
    <n v="7884.03"/>
    <n v="5553.2702399999989"/>
    <n v="0.41327276616690373"/>
    <n v="8777804.0806400049"/>
    <n v="0.80193588521595949"/>
  </r>
  <r>
    <s v="ORD-2025-685236"/>
    <d v="2025-03-14T00:00:00"/>
    <x v="255"/>
    <d v="2025-03-29T00:00:00"/>
    <d v="2025-03-29T00:00:00"/>
    <n v="15"/>
    <n v="0"/>
    <x v="26"/>
    <s v="Q1-2025"/>
    <d v="2023-03-03T00:00:00"/>
    <s v="03-2023"/>
    <x v="3"/>
    <x v="7"/>
    <s v="Tokyo"/>
    <s v="Tokyo"/>
    <s v="Non-Profit"/>
    <s v="Direct"/>
    <x v="3"/>
    <x v="0"/>
    <x v="0"/>
    <x v="1"/>
    <s v="High"/>
    <x v="287"/>
    <x v="1"/>
    <n v="1106.96"/>
    <n v="2726.62"/>
    <n v="2726.62"/>
    <n v="0.317"/>
    <n v="0.3"/>
    <x v="1"/>
    <n v="7"/>
    <n v="13360.438"/>
    <n v="7748.72"/>
    <n v="5611.7179999999998"/>
    <n v="0.42002500217432992"/>
    <n v="8791164.5186400041"/>
    <n v="0.80315648829344588"/>
  </r>
  <r>
    <s v="ORD-2024-211453"/>
    <d v="2024-04-04T00:00:00"/>
    <x v="256"/>
    <d v="2024-04-24T00:00:00"/>
    <d v="2024-04-24T00:00:00"/>
    <n v="20"/>
    <n v="0"/>
    <x v="22"/>
    <s v="Q2-2024"/>
    <d v="2023-01-21T00:00:00"/>
    <s v="01-2023"/>
    <x v="1"/>
    <x v="4"/>
    <s v="Frankfurt"/>
    <s v="Frankfurt"/>
    <s v="Non-Profit"/>
    <s v="Direct"/>
    <x v="3"/>
    <x v="8"/>
    <x v="7"/>
    <x v="4"/>
    <s v="Medium"/>
    <x v="288"/>
    <x v="1"/>
    <n v="683.42"/>
    <n v="951.51"/>
    <n v="951.51"/>
    <n v="0"/>
    <n v="0"/>
    <x v="0"/>
    <n v="14"/>
    <n v="13321.14"/>
    <n v="9567.8799999999992"/>
    <n v="3753.26"/>
    <n v="0.28175216235247136"/>
    <n v="8804485.6586400047"/>
    <n v="0.80437350112488371"/>
  </r>
  <r>
    <s v="ORD-2024-872291"/>
    <d v="2024-01-08T00:00:00"/>
    <x v="257"/>
    <d v="2024-01-12T00:00:00"/>
    <d v="2024-01-12T00:00:00"/>
    <n v="4"/>
    <n v="1"/>
    <x v="28"/>
    <s v="Q1-2024"/>
    <d v="2023-01-29T00:00:00"/>
    <s v="01-2023"/>
    <x v="3"/>
    <x v="3"/>
    <s v="Bengaluru"/>
    <s v="Bengaluru"/>
    <s v="Corporate"/>
    <s v="Direct"/>
    <x v="3"/>
    <x v="15"/>
    <x v="14"/>
    <x v="6"/>
    <s v="Low"/>
    <x v="289"/>
    <x v="1"/>
    <n v="802.32"/>
    <n v="602.34"/>
    <n v="602.34"/>
    <n v="0.12"/>
    <n v="0.12"/>
    <x v="0"/>
    <n v="25"/>
    <n v="13251.48"/>
    <n v="20058"/>
    <n v="6806.52"/>
    <n v="0.51364224977134632"/>
    <n v="8817737.1386400051"/>
    <n v="0.80558414985281102"/>
  </r>
  <r>
    <s v="ORD-2024-629525"/>
    <d v="2024-04-18T00:00:00"/>
    <x v="258"/>
    <d v="2024-05-08T00:00:00"/>
    <d v="2024-05-08T00:00:00"/>
    <n v="20"/>
    <n v="0"/>
    <x v="22"/>
    <s v="Q2-2024"/>
    <d v="2023-01-19T00:00:00"/>
    <s v="01-2023"/>
    <x v="1"/>
    <x v="1"/>
    <s v="London"/>
    <s v="London"/>
    <s v="Non-Profit"/>
    <m/>
    <x v="1"/>
    <x v="11"/>
    <x v="10"/>
    <x v="2"/>
    <s v="Medium"/>
    <x v="290"/>
    <x v="1"/>
    <n v="645.33000000000004"/>
    <n v="1321.85"/>
    <n v="1321.85"/>
    <n v="0"/>
    <n v="0"/>
    <x v="0"/>
    <n v="10"/>
    <n v="13218.5"/>
    <n v="6453.3"/>
    <n v="6765.2"/>
    <n v="0.51179785906116426"/>
    <n v="8830955.6386400051"/>
    <n v="0.80679178554407771"/>
  </r>
  <r>
    <s v="ORD-2025-588029"/>
    <d v="2025-09-14T00:00:00"/>
    <x v="259"/>
    <d v="2025-09-23T00:00:00"/>
    <d v="2025-09-23T00:00:00"/>
    <n v="9"/>
    <n v="0"/>
    <x v="29"/>
    <s v="Q3-2025"/>
    <d v="2023-01-07T00:00:00"/>
    <s v="01-2023"/>
    <x v="2"/>
    <x v="8"/>
    <s v="Durban"/>
    <s v="Durban"/>
    <s v="Non-Profit"/>
    <s v="Online"/>
    <x v="0"/>
    <x v="11"/>
    <x v="10"/>
    <x v="0"/>
    <s v="High"/>
    <x v="291"/>
    <x v="1"/>
    <n v="1310.3"/>
    <n v="2875.8"/>
    <n v="2875.8"/>
    <n v="8.3000000000000004E-2"/>
    <n v="8.3000000000000004E-2"/>
    <x v="0"/>
    <n v="5"/>
    <n v="13185.543"/>
    <n v="6551.5"/>
    <n v="6634.0429999999997"/>
    <n v="0.50313005691157353"/>
    <n v="8844141.1816400047"/>
    <n v="0.80799641029995251"/>
  </r>
  <r>
    <s v="ORD-2023-841426"/>
    <d v="2023-12-22T00:00:00"/>
    <x v="247"/>
    <d v="2023-12-23T00:00:00"/>
    <d v="2023-12-23T00:00:00"/>
    <n v="1"/>
    <n v="1"/>
    <x v="10"/>
    <s v="Q4-2023"/>
    <d v="2023-01-07T00:00:00"/>
    <s v="01-2023"/>
    <x v="2"/>
    <x v="8"/>
    <s v="Cape Town"/>
    <s v="Cape Town"/>
    <s v="Non-Profit"/>
    <s v="Marketplace"/>
    <x v="2"/>
    <x v="11"/>
    <x v="10"/>
    <x v="0"/>
    <s v="Medium"/>
    <x v="292"/>
    <x v="1"/>
    <n v="1186.18"/>
    <n v="1285.0899999999999"/>
    <n v="1285.0899999999999"/>
    <n v="7.0000000000000007E-2"/>
    <n v="7.0000000000000007E-2"/>
    <x v="0"/>
    <n v="11"/>
    <n v="13146.470699999998"/>
    <n v="13047.980000000001"/>
    <n v="98.49069999999665"/>
    <n v="7.4917977796121861E-3"/>
    <n v="8857287.6523400042"/>
    <n v="0.80919746542962012"/>
  </r>
  <r>
    <s v="ORD-2024-555229"/>
    <d v="2024-05-18T00:00:00"/>
    <x v="172"/>
    <d v="2024-05-22T00:00:00"/>
    <d v="2024-05-22T00:00:00"/>
    <n v="4"/>
    <n v="1"/>
    <x v="1"/>
    <s v="Q2-2024"/>
    <d v="2023-01-20T00:00:00"/>
    <s v="01-2023"/>
    <x v="2"/>
    <x v="5"/>
    <s v="Nairobi"/>
    <s v="Nairobi"/>
    <s v="Corporate"/>
    <s v="Direct"/>
    <x v="3"/>
    <x v="0"/>
    <x v="0"/>
    <x v="4"/>
    <s v="High"/>
    <x v="293"/>
    <x v="1"/>
    <n v="857.42"/>
    <n v="1658.92"/>
    <n v="1658.92"/>
    <n v="0.122"/>
    <n v="0.122"/>
    <x v="0"/>
    <n v="9"/>
    <n v="13108.78584"/>
    <n v="7716.78"/>
    <n v="5392.0058400000007"/>
    <n v="0.41132763215544305"/>
    <n v="8870396.4381800033"/>
    <n v="0.81039507768891994"/>
  </r>
  <r>
    <s v="ORD-2024-972999"/>
    <d v="2024-09-06T00:00:00"/>
    <x v="260"/>
    <d v="2024-10-04T00:00:00"/>
    <d v="2024-10-04T00:00:00"/>
    <n v="28"/>
    <n v="0"/>
    <x v="27"/>
    <s v="Q3-2024"/>
    <d v="2023-01-07T00:00:00"/>
    <s v="01-2023"/>
    <x v="2"/>
    <x v="8"/>
    <s v="Cape Town"/>
    <s v="Cape Town"/>
    <s v="Corporate"/>
    <s v="Marketplace"/>
    <x v="2"/>
    <x v="11"/>
    <x v="10"/>
    <x v="3"/>
    <s v="High"/>
    <x v="294"/>
    <x v="1"/>
    <n v="1174.17"/>
    <n v="1641.61"/>
    <n v="1641.61"/>
    <n v="0.122"/>
    <n v="0.122"/>
    <x v="0"/>
    <n v="9"/>
    <n v="12972.00222"/>
    <n v="10567.53"/>
    <n v="2404.4722199999997"/>
    <n v="0.18535860380079394"/>
    <n v="8883368.4404000025"/>
    <n v="0.8115801934636343"/>
  </r>
  <r>
    <s v="ORD-2024-837651"/>
    <d v="2024-12-10T00:00:00"/>
    <x v="130"/>
    <d v="2024-12-19T00:00:00"/>
    <d v="2024-12-19T00:00:00"/>
    <n v="9"/>
    <n v="0"/>
    <x v="11"/>
    <s v="Q4-2024"/>
    <d v="2023-01-13T00:00:00"/>
    <s v="01-2023"/>
    <x v="2"/>
    <x v="2"/>
    <s v="Lagos"/>
    <s v="Lagos"/>
    <s v="Corporate"/>
    <s v="Retail"/>
    <x v="1"/>
    <x v="8"/>
    <x v="7"/>
    <x v="3"/>
    <s v="Medium"/>
    <x v="295"/>
    <x v="1"/>
    <n v="488.68"/>
    <n v="984.36"/>
    <n v="984.36"/>
    <n v="5.8999999999999997E-2"/>
    <n v="5.8999999999999997E-2"/>
    <x v="0"/>
    <n v="14"/>
    <n v="12967.958640000001"/>
    <n v="6841.52"/>
    <n v="6126.4386400000003"/>
    <n v="0.47242891576649876"/>
    <n v="8896336.3990400024"/>
    <n v="0.81276493981885867"/>
  </r>
  <r>
    <s v="ORD-2024-381197"/>
    <d v="2024-11-01T00:00:00"/>
    <x v="261"/>
    <d v="2024-11-12T00:00:00"/>
    <d v="2024-11-12T00:00:00"/>
    <n v="11"/>
    <n v="0"/>
    <x v="5"/>
    <s v="Q4-2024"/>
    <d v="2023-01-21T00:00:00"/>
    <s v="01-2023"/>
    <x v="1"/>
    <x v="4"/>
    <s v="Frankfurt"/>
    <s v="Frankfurt"/>
    <s v="Consumer"/>
    <s v="Online"/>
    <x v="0"/>
    <x v="1"/>
    <x v="1"/>
    <x v="6"/>
    <s v="Medium"/>
    <x v="296"/>
    <x v="1"/>
    <n v="599.84"/>
    <n v="1330.85"/>
    <n v="1330.85"/>
    <n v="0.115"/>
    <n v="0.115"/>
    <x v="0"/>
    <n v="11"/>
    <n v="12955.824749999998"/>
    <n v="6598.2400000000007"/>
    <n v="6357.5847499999973"/>
    <n v="0.49071246892252063"/>
    <n v="8909292.223790003"/>
    <n v="0.81394857762783068"/>
  </r>
  <r>
    <s v="ORD-2023-825495"/>
    <d v="2023-11-30T00:00:00"/>
    <x v="262"/>
    <d v="2023-11-29T00:00:00"/>
    <d v="2023-11-30T00:00:00"/>
    <n v="1"/>
    <n v="1"/>
    <x v="31"/>
    <s v="Q4-2023"/>
    <d v="2023-01-07T00:00:00"/>
    <s v="01-2023"/>
    <x v="2"/>
    <x v="8"/>
    <s v="Durban"/>
    <s v="Durban"/>
    <s v="Small Business"/>
    <s v="Marketplace"/>
    <x v="2"/>
    <x v="15"/>
    <x v="14"/>
    <x v="2"/>
    <s v="Low"/>
    <x v="297"/>
    <x v="1"/>
    <n v="275.56"/>
    <n v="630.72"/>
    <n v="630.72"/>
    <n v="0.107"/>
    <n v="0.107"/>
    <x v="0"/>
    <n v="23"/>
    <n v="12954.358080000002"/>
    <n v="6337.88"/>
    <n v="6616.4780800000017"/>
    <n v="0.5107530638831933"/>
    <n v="8922246.5818700027"/>
    <n v="0.81513208144254923"/>
  </r>
  <r>
    <s v="ORD-2025-822030"/>
    <d v="2025-08-07T00:00:00"/>
    <x v="263"/>
    <d v="2025-09-06T00:00:00"/>
    <d v="2025-09-06T00:00:00"/>
    <n v="30"/>
    <n v="0"/>
    <x v="14"/>
    <s v="Q3-2025"/>
    <d v="2023-01-02T00:00:00"/>
    <s v="01-2023"/>
    <x v="0"/>
    <x v="0"/>
    <s v="Montreal"/>
    <s v="Montreal"/>
    <s v="Education"/>
    <s v="Direct"/>
    <x v="3"/>
    <x v="7"/>
    <x v="6"/>
    <x v="1"/>
    <s v="Medium"/>
    <x v="298"/>
    <x v="1"/>
    <n v="833.73"/>
    <n v="1116.5999999999999"/>
    <n v="1116.5999999999999"/>
    <n v="0.17599999999999999"/>
    <n v="0.17599999999999999"/>
    <x v="0"/>
    <n v="14"/>
    <n v="12881.097599999999"/>
    <n v="11672.220000000001"/>
    <n v="1208.877599999998"/>
    <n v="9.3848958958279924E-2"/>
    <n v="8935127.6794700027"/>
    <n v="0.81630889221566638"/>
  </r>
  <r>
    <s v="ORD-2023-455933"/>
    <d v="2023-11-19T00:00:00"/>
    <x v="89"/>
    <d v="2023-12-19T00:00:00"/>
    <d v="2023-12-19T00:00:00"/>
    <n v="30"/>
    <n v="0"/>
    <x v="31"/>
    <s v="Q4-2023"/>
    <d v="2023-03-03T00:00:00"/>
    <s v="03-2023"/>
    <x v="3"/>
    <x v="7"/>
    <s v="Nagoya"/>
    <s v="Nagoya"/>
    <s v="Consumer"/>
    <s v="Retail"/>
    <x v="1"/>
    <x v="2"/>
    <x v="3"/>
    <x v="5"/>
    <s v="High"/>
    <x v="299"/>
    <x v="1"/>
    <n v="807.11"/>
    <n v="1853.86"/>
    <n v="1853.86"/>
    <n v="0.13900000000000001"/>
    <n v="0.13900000000000001"/>
    <x v="0"/>
    <n v="8"/>
    <n v="12769.38768"/>
    <n v="6456.88"/>
    <n v="6312.5076799999997"/>
    <n v="0.49434693645388639"/>
    <n v="8947897.0671500023"/>
    <n v="0.81747549722515978"/>
  </r>
  <r>
    <s v="ORD-2023-386663"/>
    <d v="2023-06-05T00:00:00"/>
    <x v="264"/>
    <d v="2023-06-28T00:00:00"/>
    <d v="2023-06-28T00:00:00"/>
    <n v="23"/>
    <n v="0"/>
    <x v="24"/>
    <s v="Q2-2023"/>
    <d v="2023-01-19T00:00:00"/>
    <s v="01-2023"/>
    <x v="1"/>
    <x v="1"/>
    <s v="Birmingham"/>
    <s v="Birmingham"/>
    <s v="Corporate"/>
    <s v="Direct"/>
    <x v="3"/>
    <x v="3"/>
    <x v="3"/>
    <x v="6"/>
    <s v="Low"/>
    <x v="300"/>
    <x v="1"/>
    <n v="605.82000000000005"/>
    <n v="771.12"/>
    <n v="771.12"/>
    <n v="0.13200000000000001"/>
    <n v="0.13200000000000001"/>
    <x v="0"/>
    <n v="19"/>
    <n v="12717.311040000001"/>
    <n v="11510.580000000002"/>
    <n v="1206.7310399999988"/>
    <n v="9.4888851597986767E-2"/>
    <n v="8960614.3781900015"/>
    <n v="0.8186373445383075"/>
  </r>
  <r>
    <s v="ORD-2025-939953"/>
    <d v="2025-01-22T00:00:00"/>
    <x v="265"/>
    <d v="2025-01-22T00:00:00"/>
    <d v="2025-01-22T00:00:00"/>
    <n v="0"/>
    <n v="1"/>
    <x v="17"/>
    <s v="Q1-2025"/>
    <d v="2023-01-10T00:00:00"/>
    <s v="01-2023"/>
    <x v="1"/>
    <x v="11"/>
    <s v="Lyon"/>
    <s v="Lyon"/>
    <s v="Small Business"/>
    <s v="Online"/>
    <x v="0"/>
    <x v="1"/>
    <x v="1"/>
    <x v="4"/>
    <s v="Low"/>
    <x v="301"/>
    <x v="1"/>
    <n v="591.72"/>
    <n v="577.24"/>
    <n v="577.24"/>
    <n v="0"/>
    <n v="0"/>
    <x v="0"/>
    <n v="22"/>
    <n v="12699.28"/>
    <n v="13017.84"/>
    <n v="318.55999999999949"/>
    <n v="2.5084886702238195E-2"/>
    <n v="8973313.6581900008"/>
    <n v="0.81979754454446463"/>
  </r>
  <r>
    <s v="ORD-2024-446030"/>
    <d v="2024-03-23T00:00:00"/>
    <x v="266"/>
    <d v="2024-03-26T00:00:00"/>
    <d v="2024-03-26T00:00:00"/>
    <n v="3"/>
    <n v="1"/>
    <x v="8"/>
    <s v="Q1-2024"/>
    <d v="2023-01-29T00:00:00"/>
    <s v="01-2023"/>
    <x v="3"/>
    <x v="3"/>
    <s v="Bengaluru"/>
    <s v="Bengaluru"/>
    <s v="Education"/>
    <s v="Direct"/>
    <x v="3"/>
    <x v="12"/>
    <x v="11"/>
    <x v="5"/>
    <s v="Low"/>
    <x v="302"/>
    <x v="1"/>
    <n v="382.21"/>
    <n v="571.89"/>
    <n v="571.89"/>
    <n v="0.14799999999999999"/>
    <n v="0.14799999999999999"/>
    <x v="0"/>
    <n v="26"/>
    <n v="12668.50728"/>
    <n v="9937.4599999999991"/>
    <n v="2731.0472800000007"/>
    <n v="0.2155776698578809"/>
    <n v="8985982.1654700004"/>
    <n v="0.8209549331699818"/>
  </r>
  <r>
    <s v="ORD-2025-898022"/>
    <d v="2025-09-02T00:00:00"/>
    <x v="267"/>
    <d v="2025-09-11T00:00:00"/>
    <d v="2025-09-11T00:00:00"/>
    <n v="9"/>
    <n v="0"/>
    <x v="29"/>
    <s v="Q3-2025"/>
    <d v="2023-01-02T00:00:00"/>
    <s v="01-2023"/>
    <x v="0"/>
    <x v="0"/>
    <s v="Toronto"/>
    <s v="Toronto"/>
    <s v="Corporate"/>
    <s v="Distributor"/>
    <x v="4"/>
    <x v="7"/>
    <x v="6"/>
    <x v="6"/>
    <s v="Medium"/>
    <x v="303"/>
    <x v="1"/>
    <n v="1207.6300000000001"/>
    <n v="921.68"/>
    <n v="921.68"/>
    <n v="0.19600000000000001"/>
    <n v="0.19600000000000001"/>
    <x v="0"/>
    <n v="17"/>
    <n v="12597.52224"/>
    <n v="20529.710000000003"/>
    <n v="7932.1877600000025"/>
    <n v="0.62966253274897988"/>
    <n v="8998579.6877100002"/>
    <n v="0.82210583663698267"/>
  </r>
  <r>
    <s v="ORD-2023-109927"/>
    <d v="2023-07-22T00:00:00"/>
    <x v="268"/>
    <d v="2023-07-21T00:00:00"/>
    <d v="2023-07-22T00:00:00"/>
    <n v="1"/>
    <n v="1"/>
    <x v="6"/>
    <s v="Q3-2023"/>
    <d v="2023-01-29T00:00:00"/>
    <s v="01-2023"/>
    <x v="3"/>
    <x v="3"/>
    <s v="Delhi"/>
    <s v="Delhi"/>
    <s v="Small Business"/>
    <s v="Distributor"/>
    <x v="4"/>
    <x v="15"/>
    <x v="14"/>
    <x v="6"/>
    <s v="High"/>
    <x v="304"/>
    <x v="1"/>
    <n v="946.99"/>
    <n v="2132.19"/>
    <n v="2132.19"/>
    <n v="0.16500000000000001"/>
    <n v="0.16500000000000001"/>
    <x v="0"/>
    <n v="7"/>
    <n v="12462.65055"/>
    <n v="6628.93"/>
    <n v="5833.72055"/>
    <n v="0.46809629513362228"/>
    <n v="9011042.3382600006"/>
    <n v="0.82324441829238715"/>
  </r>
  <r>
    <s v="ORD-2024-329104"/>
    <d v="2024-05-23T00:00:00"/>
    <x v="269"/>
    <d v="2024-06-14T00:00:00"/>
    <d v="2024-06-14T00:00:00"/>
    <n v="22"/>
    <n v="0"/>
    <x v="1"/>
    <s v="Q2-2024"/>
    <d v="2023-01-10T00:00:00"/>
    <s v="01-2023"/>
    <x v="1"/>
    <x v="11"/>
    <s v="Marseille"/>
    <s v="Marseille"/>
    <s v="Small Business"/>
    <s v="Online"/>
    <x v="0"/>
    <x v="14"/>
    <x v="13"/>
    <x v="3"/>
    <s v="High"/>
    <x v="305"/>
    <x v="1"/>
    <n v="1481.74"/>
    <n v="1848.97"/>
    <n v="1848.97"/>
    <n v="0.254"/>
    <n v="0.254"/>
    <x v="1"/>
    <n v="9"/>
    <n v="12413.98458"/>
    <n v="13335.66"/>
    <n v="921.67541999999958"/>
    <n v="7.4244930309072407E-2"/>
    <n v="9023456.3228400014"/>
    <n v="0.82437855384858816"/>
  </r>
  <r>
    <s v="ORD-2024-771210"/>
    <d v="2024-09-14T00:00:00"/>
    <x v="270"/>
    <d v="2024-10-05T00:00:00"/>
    <d v="2024-10-05T00:00:00"/>
    <n v="21"/>
    <n v="0"/>
    <x v="27"/>
    <s v="Q3-2024"/>
    <d v="2023-01-12T00:00:00"/>
    <s v="01-2023"/>
    <x v="3"/>
    <x v="10"/>
    <s v="Shanghai"/>
    <s v="Shanghai"/>
    <s v="Small Business"/>
    <s v="Online"/>
    <x v="0"/>
    <x v="0"/>
    <x v="0"/>
    <x v="2"/>
    <s v="High"/>
    <x v="306"/>
    <x v="1"/>
    <n v="1405.56"/>
    <n v="2968.87"/>
    <n v="2968.87"/>
    <n v="0.16900000000000001"/>
    <n v="0.16900000000000001"/>
    <x v="0"/>
    <n v="5"/>
    <n v="12335.654849999999"/>
    <n v="7027.7999999999993"/>
    <n v="5307.8548499999997"/>
    <n v="0.4302856163327235"/>
    <n v="9035791.9776900019"/>
    <n v="0.82550553323898856"/>
  </r>
  <r>
    <s v="ORD-2024-566589"/>
    <d v="2024-06-11T00:00:00"/>
    <x v="271"/>
    <d v="2024-07-09T00:00:00"/>
    <d v="2024-07-09T00:00:00"/>
    <n v="28"/>
    <n v="0"/>
    <x v="7"/>
    <s v="Q2-2024"/>
    <d v="2023-01-13T00:00:00"/>
    <s v="01-2023"/>
    <x v="2"/>
    <x v="2"/>
    <s v="Port Harcourt"/>
    <s v="Port Harcourt"/>
    <s v="Corporate"/>
    <s v="Marketplace"/>
    <x v="2"/>
    <x v="13"/>
    <x v="12"/>
    <x v="5"/>
    <s v="Medium"/>
    <x v="307"/>
    <x v="1"/>
    <n v="895.54"/>
    <n v="1045"/>
    <n v="1045"/>
    <n v="0.216"/>
    <n v="0.216"/>
    <x v="1"/>
    <n v="15"/>
    <n v="12289.2"/>
    <n v="13433.099999999999"/>
    <n v="1143.8999999999978"/>
    <n v="9.3081730299775234E-2"/>
    <n v="9048081.1776900012"/>
    <n v="0.82662826853702642"/>
  </r>
  <r>
    <s v="ORD-2023-747341"/>
    <d v="2023-04-19T00:00:00"/>
    <x v="90"/>
    <d v="2023-04-28T00:00:00"/>
    <d v="2023-04-28T00:00:00"/>
    <n v="9"/>
    <n v="0"/>
    <x v="15"/>
    <s v="Q2-2023"/>
    <d v="2023-01-29T00:00:00"/>
    <s v="01-2023"/>
    <x v="0"/>
    <x v="9"/>
    <s v="Rio de Janeiro"/>
    <s v="Rio de Janeiro"/>
    <s v="Corporate"/>
    <s v="Distributor"/>
    <x v="4"/>
    <x v="7"/>
    <x v="6"/>
    <x v="5"/>
    <s v="Medium"/>
    <x v="308"/>
    <x v="1"/>
    <n v="1013.54"/>
    <n v="927.93"/>
    <n v="927.93"/>
    <n v="0.17499999999999999"/>
    <n v="0.17499999999999999"/>
    <x v="0"/>
    <n v="16"/>
    <n v="12248.675999999999"/>
    <n v="16216.64"/>
    <n v="3967.9639999999999"/>
    <n v="0.32395044166406234"/>
    <n v="9060329.8536900021"/>
    <n v="0.82774730158225562"/>
  </r>
  <r>
    <s v="ORD-2025-480172"/>
    <d v="2025-06-17T00:00:00"/>
    <x v="272"/>
    <d v="2025-07-05T00:00:00"/>
    <d v="2025-07-05T00:00:00"/>
    <n v="18"/>
    <n v="0"/>
    <x v="25"/>
    <s v="Q2-2025"/>
    <d v="2023-01-29T00:00:00"/>
    <s v="01-2023"/>
    <x v="3"/>
    <x v="3"/>
    <s v="Delhi"/>
    <s v="Delhi"/>
    <s v="Consumer"/>
    <s v="Marketplace"/>
    <x v="2"/>
    <x v="4"/>
    <x v="4"/>
    <x v="2"/>
    <s v="High"/>
    <x v="309"/>
    <x v="1"/>
    <n v="982.93"/>
    <n v="2299.3000000000002"/>
    <n v="2299.3000000000002"/>
    <n v="0.113"/>
    <n v="0.113"/>
    <x v="0"/>
    <n v="6"/>
    <n v="12236.874600000001"/>
    <n v="5897.58"/>
    <n v="6339.2946000000011"/>
    <n v="0.51804850562087157"/>
    <n v="9072566.7282900028"/>
    <n v="0.82886525645735609"/>
  </r>
  <r>
    <s v="ORD-2023-240507"/>
    <d v="2023-03-25T00:00:00"/>
    <x v="273"/>
    <d v="2023-03-26T00:00:00"/>
    <d v="2023-03-26T00:00:00"/>
    <n v="1"/>
    <n v="1"/>
    <x v="16"/>
    <s v="Q1-2023"/>
    <d v="2023-03-03T00:00:00"/>
    <s v="03-2023"/>
    <x v="3"/>
    <x v="7"/>
    <s v="Osaka"/>
    <s v="Osaka"/>
    <s v="Small Business"/>
    <s v="Distributor"/>
    <x v="4"/>
    <x v="13"/>
    <x v="12"/>
    <x v="3"/>
    <s v="Low"/>
    <x v="310"/>
    <x v="1"/>
    <n v="135.12"/>
    <n v="301.7"/>
    <n v="301.7"/>
    <n v="0.14000000000000001"/>
    <n v="0.14000000000000001"/>
    <x v="0"/>
    <n v="47"/>
    <n v="12194.714"/>
    <n v="6350.64"/>
    <n v="5844.0739999999996"/>
    <n v="0.47923009920527859"/>
    <n v="9084761.4422900025"/>
    <n v="0.82997935956067259"/>
  </r>
  <r>
    <s v="ORD-2024-664046"/>
    <d v="2024-09-02T00:00:00"/>
    <x v="274"/>
    <d v="2024-09-08T00:00:00"/>
    <d v="2024-09-08T00:00:00"/>
    <n v="6"/>
    <n v="1"/>
    <x v="27"/>
    <s v="Q3-2024"/>
    <d v="2023-01-13T00:00:00"/>
    <s v="01-2023"/>
    <x v="0"/>
    <x v="6"/>
    <s v="Austin"/>
    <s v="Austin"/>
    <s v="Consumer"/>
    <s v="Direct"/>
    <x v="3"/>
    <x v="0"/>
    <x v="0"/>
    <x v="0"/>
    <s v="Medium"/>
    <x v="311"/>
    <x v="1"/>
    <n v="462.94"/>
    <n v="1015.7"/>
    <n v="1015.7"/>
    <n v="0.14299999999999999"/>
    <n v="0.14299999999999999"/>
    <x v="0"/>
    <n v="14"/>
    <n v="12186.368600000002"/>
    <n v="6481.16"/>
    <n v="5705.2086000000018"/>
    <n v="0.46816314090483041"/>
    <n v="9096947.8108900022"/>
    <n v="0.83109270023232906"/>
  </r>
  <r>
    <s v="ORD-2023-239789"/>
    <d v="2023-12-03T00:00:00"/>
    <x v="275"/>
    <d v="2023-12-26T00:00:00"/>
    <d v="2023-12-26T00:00:00"/>
    <n v="23"/>
    <n v="0"/>
    <x v="10"/>
    <s v="Q4-2023"/>
    <d v="2023-01-29T00:00:00"/>
    <s v="01-2023"/>
    <x v="0"/>
    <x v="9"/>
    <s v="Rio de Janeiro"/>
    <s v="Rio de Janeiro"/>
    <s v="Education"/>
    <s v="Retail"/>
    <x v="1"/>
    <x v="8"/>
    <x v="7"/>
    <x v="5"/>
    <s v="Medium"/>
    <x v="312"/>
    <x v="1"/>
    <n v="1303.1099999999999"/>
    <n v="1145.67"/>
    <n v="1145.67"/>
    <n v="0.184"/>
    <n v="0.184"/>
    <x v="0"/>
    <n v="13"/>
    <n v="12153.267360000002"/>
    <n v="16940.43"/>
    <n v="4787.1626399999986"/>
    <n v="0.39389922875851208"/>
    <n v="9109101.0782500021"/>
    <n v="0.83220301679089792"/>
  </r>
  <r>
    <s v="ORD-2025-281413"/>
    <d v="2025-08-03T00:00:00"/>
    <x v="276"/>
    <d v="2025-08-16T00:00:00"/>
    <d v="2025-08-16T00:00:00"/>
    <n v="13"/>
    <n v="0"/>
    <x v="14"/>
    <s v="Q3-2025"/>
    <d v="2023-01-02T00:00:00"/>
    <s v="01-2023"/>
    <x v="0"/>
    <x v="0"/>
    <s v="Montreal"/>
    <s v="Montreal"/>
    <s v="Enterprise"/>
    <s v="Distributor"/>
    <x v="4"/>
    <x v="8"/>
    <x v="7"/>
    <x v="1"/>
    <s v="Medium"/>
    <x v="313"/>
    <x v="1"/>
    <n v="698.66"/>
    <n v="868.62"/>
    <n v="868.62"/>
    <n v="7.1999999999999995E-2"/>
    <n v="7.1999999999999995E-2"/>
    <x v="0"/>
    <n v="15"/>
    <n v="12091.190399999999"/>
    <n v="10479.9"/>
    <n v="1611.2903999999999"/>
    <n v="0.13326151906432637"/>
    <n v="9121192.2686500028"/>
    <n v="0.83330766202877982"/>
  </r>
  <r>
    <s v="ORD-2024-155337"/>
    <d v="2024-05-21T00:00:00"/>
    <x v="277"/>
    <d v="2024-05-27T00:00:00"/>
    <d v="2024-05-27T00:00:00"/>
    <n v="6"/>
    <n v="1"/>
    <x v="1"/>
    <s v="Q2-2024"/>
    <d v="2023-01-07T00:00:00"/>
    <s v="01-2023"/>
    <x v="2"/>
    <x v="8"/>
    <s v="Johannesburg"/>
    <s v="Johannesburg"/>
    <s v="Non-Profit"/>
    <s v="Online"/>
    <x v="0"/>
    <x v="7"/>
    <x v="6"/>
    <x v="0"/>
    <s v="Medium"/>
    <x v="314"/>
    <x v="1"/>
    <n v="1157.51"/>
    <n v="1394.3"/>
    <n v="1394.3"/>
    <n v="0.27800000000000002"/>
    <n v="0.27800000000000002"/>
    <x v="1"/>
    <n v="12"/>
    <n v="12080.215199999999"/>
    <n v="13890.119999999999"/>
    <n v="1809.9048000000003"/>
    <n v="0.14982388724333326"/>
    <n v="9133272.4838500023"/>
    <n v="0.83441130457776058"/>
  </r>
  <r>
    <s v="ORD-2025-281062"/>
    <d v="2025-02-15T00:00:00"/>
    <x v="221"/>
    <d v="2025-02-27T00:00:00"/>
    <d v="2025-02-27T00:00:00"/>
    <n v="12"/>
    <n v="0"/>
    <x v="30"/>
    <s v="Q1-2025"/>
    <d v="2023-01-10T00:00:00"/>
    <s v="01-2023"/>
    <x v="1"/>
    <x v="11"/>
    <s v="Lyon"/>
    <s v="Lyon"/>
    <s v="Non-Profit"/>
    <s v="Direct"/>
    <x v="3"/>
    <x v="3"/>
    <x v="3"/>
    <x v="4"/>
    <s v="High"/>
    <x v="315"/>
    <x v="1"/>
    <n v="1027.26"/>
    <n v="2200.41"/>
    <n v="2200.41"/>
    <n v="8.7999999999999995E-2"/>
    <n v="8.7999999999999995E-2"/>
    <x v="0"/>
    <n v="6"/>
    <n v="12040.64352"/>
    <n v="6163.5599999999995"/>
    <n v="5877.0835200000001"/>
    <n v="0.48810377204822358"/>
    <n v="9145313.1273700017"/>
    <n v="0.83551133187742166"/>
  </r>
  <r>
    <s v="ORD-2024-164288"/>
    <d v="2024-12-21T00:00:00"/>
    <x v="278"/>
    <d v="2024-12-26T00:00:00"/>
    <d v="2024-12-26T00:00:00"/>
    <n v="5"/>
    <n v="1"/>
    <x v="11"/>
    <s v="Q4-2024"/>
    <d v="2023-01-13T00:00:00"/>
    <s v="01-2023"/>
    <x v="0"/>
    <x v="6"/>
    <s v="San Francisco"/>
    <s v="San Francisco"/>
    <s v="Consumer"/>
    <s v="Marketplace"/>
    <x v="2"/>
    <x v="7"/>
    <x v="6"/>
    <x v="6"/>
    <s v="Low"/>
    <x v="316"/>
    <x v="1"/>
    <n v="699.57"/>
    <n v="572.71"/>
    <n v="572.71"/>
    <n v="0.192"/>
    <n v="0.192"/>
    <x v="0"/>
    <n v="26"/>
    <n v="12031.491680000001"/>
    <n v="18188.82"/>
    <n v="6157.3283199999987"/>
    <n v="0.51176765805651114"/>
    <n v="9157344.6190500017"/>
    <n v="0.83661052306945904"/>
  </r>
  <r>
    <s v="ORD-2025-718992"/>
    <d v="2025-06-24T00:00:00"/>
    <x v="44"/>
    <d v="2025-07-10T00:00:00"/>
    <d v="2025-07-10T00:00:00"/>
    <n v="16"/>
    <n v="0"/>
    <x v="25"/>
    <s v="Q2-2025"/>
    <d v="2023-01-12T00:00:00"/>
    <s v="01-2023"/>
    <x v="3"/>
    <x v="10"/>
    <s v="Shanghai"/>
    <s v="Shanghai"/>
    <s v="Enterprise"/>
    <s v="Direct"/>
    <x v="3"/>
    <x v="14"/>
    <x v="13"/>
    <x v="0"/>
    <s v="High"/>
    <x v="317"/>
    <x v="1"/>
    <n v="757.19"/>
    <n v="1735.41"/>
    <n v="1735.41"/>
    <n v="0.13600000000000001"/>
    <n v="0.13600000000000001"/>
    <x v="0"/>
    <n v="8"/>
    <n v="11995.153920000001"/>
    <n v="6057.52"/>
    <n v="5937.6339200000002"/>
    <n v="0.4950027285685718"/>
    <n v="9169339.7729700021"/>
    <n v="0.83770639446152539"/>
  </r>
  <r>
    <s v="ORD-2025-417942"/>
    <d v="2025-06-09T00:00:00"/>
    <x v="187"/>
    <d v="2025-06-24T00:00:00"/>
    <d v="2025-06-24T00:00:00"/>
    <n v="15"/>
    <n v="0"/>
    <x v="25"/>
    <s v="Q2-2025"/>
    <d v="2023-03-03T00:00:00"/>
    <s v="03-2023"/>
    <x v="3"/>
    <x v="7"/>
    <s v="Nagoya"/>
    <s v="Nagoya"/>
    <s v="Corporate"/>
    <s v="Direct"/>
    <x v="3"/>
    <x v="1"/>
    <x v="1"/>
    <x v="5"/>
    <s v="Low"/>
    <x v="318"/>
    <x v="1"/>
    <n v="400.39"/>
    <n v="712.75"/>
    <n v="712.75"/>
    <n v="0.115"/>
    <n v="0.115"/>
    <x v="0"/>
    <n v="19"/>
    <n v="11984.891250000001"/>
    <n v="7607.41"/>
    <n v="4377.4812500000007"/>
    <n v="0.36524997671547504"/>
    <n v="9181324.6642200015"/>
    <n v="0.83880132826108278"/>
  </r>
  <r>
    <s v="ORD-2023-525643"/>
    <d v="2023-08-17T00:00:00"/>
    <x v="279"/>
    <d v="2023-09-03T00:00:00"/>
    <d v="2023-09-03T00:00:00"/>
    <n v="17"/>
    <n v="0"/>
    <x v="21"/>
    <s v="Q3-2023"/>
    <d v="2023-01-07T00:00:00"/>
    <s v="01-2023"/>
    <x v="2"/>
    <x v="8"/>
    <s v="Durban"/>
    <s v="Durban"/>
    <s v="Enterprise"/>
    <s v="Retail"/>
    <x v="1"/>
    <x v="6"/>
    <x v="2"/>
    <x v="5"/>
    <s v="Medium"/>
    <x v="319"/>
    <x v="1"/>
    <n v="676.37"/>
    <n v="1276.67"/>
    <n v="1276.67"/>
    <n v="6.6000000000000003E-2"/>
    <n v="6.6000000000000003E-2"/>
    <x v="0"/>
    <n v="10"/>
    <n v="11924.0978"/>
    <n v="6763.7"/>
    <n v="5160.3977999999997"/>
    <n v="0.4327705027712872"/>
    <n v="9193248.7620200012"/>
    <n v="0.83989070800079868"/>
  </r>
  <r>
    <s v="ORD-2024-578646"/>
    <d v="2024-05-27T00:00:00"/>
    <x v="280"/>
    <d v="2024-06-17T00:00:00"/>
    <d v="2024-06-17T00:00:00"/>
    <n v="21"/>
    <n v="0"/>
    <x v="1"/>
    <s v="Q2-2024"/>
    <d v="2023-01-29T00:00:00"/>
    <s v="01-2023"/>
    <x v="3"/>
    <x v="3"/>
    <s v="Delhi"/>
    <s v="Delhi"/>
    <s v="Small Business"/>
    <s v="Online"/>
    <x v="0"/>
    <x v="0"/>
    <x v="0"/>
    <x v="4"/>
    <s v="Low"/>
    <x v="320"/>
    <x v="1"/>
    <n v="465.02"/>
    <n v="651.55999999999995"/>
    <n v="651.55999999999995"/>
    <n v="4.2000000000000003E-2"/>
    <n v="4.2000000000000003E-2"/>
    <x v="0"/>
    <n v="19"/>
    <n v="11859.695119999998"/>
    <n v="8835.3799999999992"/>
    <n v="3024.3151199999993"/>
    <n v="0.25500783025187918"/>
    <n v="9205108.4571400005"/>
    <n v="0.84097420394318645"/>
  </r>
  <r>
    <s v="ORD-2024-134084"/>
    <d v="2024-06-04T00:00:00"/>
    <x v="281"/>
    <d v="2024-06-16T00:00:00"/>
    <d v="2024-06-16T00:00:00"/>
    <n v="12"/>
    <n v="0"/>
    <x v="7"/>
    <s v="Q2-2024"/>
    <d v="2023-01-12T00:00:00"/>
    <s v="01-2023"/>
    <x v="3"/>
    <x v="10"/>
    <s v="Shanghai"/>
    <s v="Shanghai"/>
    <s v="Corporate"/>
    <s v="Retail"/>
    <x v="1"/>
    <x v="9"/>
    <x v="8"/>
    <x v="6"/>
    <s v="Medium"/>
    <x v="321"/>
    <x v="1"/>
    <n v="918.42"/>
    <n v="1511.71"/>
    <n v="1511.71"/>
    <n v="0.02"/>
    <n v="0.02"/>
    <x v="0"/>
    <n v="8"/>
    <n v="11851.806399999999"/>
    <n v="7347.36"/>
    <n v="4504.4463999999998"/>
    <n v="0.38006412254590999"/>
    <n v="9216960.2635399997"/>
    <n v="0.84205697917597544"/>
  </r>
  <r>
    <s v="ORD-2024-604471"/>
    <d v="2024-01-21T00:00:00"/>
    <x v="282"/>
    <d v="2024-01-25T00:00:00"/>
    <d v="2024-01-25T00:00:00"/>
    <n v="4"/>
    <n v="1"/>
    <x v="28"/>
    <s v="Q1-2024"/>
    <d v="2023-01-29T00:00:00"/>
    <s v="01-2023"/>
    <x v="3"/>
    <x v="3"/>
    <s v="Delhi"/>
    <s v="Delhi"/>
    <s v="Consumer"/>
    <s v="Direct"/>
    <x v="3"/>
    <x v="5"/>
    <x v="5"/>
    <x v="3"/>
    <s v="Medium"/>
    <x v="322"/>
    <x v="1"/>
    <n v="523.70000000000005"/>
    <n v="1109.92"/>
    <n v="1109.92"/>
    <n v="0.03"/>
    <n v="0.03"/>
    <x v="0"/>
    <n v="11"/>
    <n v="11842.8464"/>
    <n v="5760.7000000000007"/>
    <n v="6082.1463999999996"/>
    <n v="0.51357133197302973"/>
    <n v="9228803.1099399999"/>
    <n v="0.84313893582754929"/>
  </r>
  <r>
    <s v="ORD-2025-248586"/>
    <d v="2025-09-12T00:00:00"/>
    <x v="283"/>
    <d v="2025-09-30T00:00:00"/>
    <d v="2025-09-30T00:00:00"/>
    <n v="18"/>
    <n v="0"/>
    <x v="29"/>
    <s v="Q3-2025"/>
    <d v="2023-03-03T00:00:00"/>
    <s v="03-2023"/>
    <x v="3"/>
    <x v="7"/>
    <s v="Nagoya"/>
    <s v="Nagoya"/>
    <s v="Non-Profit"/>
    <s v="Marketplace"/>
    <x v="2"/>
    <x v="10"/>
    <x v="9"/>
    <x v="3"/>
    <s v="High"/>
    <x v="323"/>
    <x v="1"/>
    <n v="1212.99"/>
    <n v="1653.64"/>
    <n v="1653.64"/>
    <n v="0.107"/>
    <n v="0.107"/>
    <x v="0"/>
    <n v="8"/>
    <n v="11813.604160000001"/>
    <n v="9703.92"/>
    <n v="2109.6841600000007"/>
    <n v="0.17858090819931455"/>
    <n v="9240616.7140999995"/>
    <n v="0.84421822092238696"/>
  </r>
  <r>
    <s v="ORD-2025-993993"/>
    <d v="2025-08-30T00:00:00"/>
    <x v="67"/>
    <d v="2025-09-22T00:00:00"/>
    <d v="2025-09-22T00:00:00"/>
    <n v="23"/>
    <n v="0"/>
    <x v="14"/>
    <s v="Q3-2025"/>
    <d v="2023-01-10T00:00:00"/>
    <s v="01-2023"/>
    <x v="1"/>
    <x v="11"/>
    <s v="Marseille"/>
    <s v="Marseille"/>
    <s v="Corporate"/>
    <s v="Direct"/>
    <x v="3"/>
    <x v="15"/>
    <x v="14"/>
    <x v="0"/>
    <s v="Medium"/>
    <x v="324"/>
    <x v="1"/>
    <n v="663.9"/>
    <n v="947.77"/>
    <n v="947.77"/>
    <n v="0.17399999999999999"/>
    <n v="0.17399999999999999"/>
    <x v="0"/>
    <n v="15"/>
    <n v="11742.8703"/>
    <n v="9958.5"/>
    <n v="1784.3703000000005"/>
    <n v="0.1519535049280073"/>
    <n v="9252359.5844000001"/>
    <n v="0.8452910438063902"/>
  </r>
  <r>
    <s v="ORD-2025-983096"/>
    <d v="2025-05-17T00:00:00"/>
    <x v="284"/>
    <d v="2025-05-28T00:00:00"/>
    <d v="2025-05-28T00:00:00"/>
    <n v="11"/>
    <n v="0"/>
    <x v="12"/>
    <s v="Q2-2025"/>
    <d v="2023-01-29T00:00:00"/>
    <s v="01-2023"/>
    <x v="3"/>
    <x v="3"/>
    <s v="Bengaluru"/>
    <s v="Bengaluru"/>
    <s v="Corporate"/>
    <s v="Distributor"/>
    <x v="4"/>
    <x v="1"/>
    <x v="1"/>
    <x v="2"/>
    <s v="Medium"/>
    <x v="325"/>
    <x v="1"/>
    <n v="623.4"/>
    <n v="1100.0899999999999"/>
    <n v="1100.0899999999999"/>
    <n v="0.114"/>
    <n v="0.114"/>
    <x v="0"/>
    <n v="12"/>
    <n v="11696.156879999999"/>
    <n v="7480.7999999999993"/>
    <n v="4215.3568799999994"/>
    <n v="0.36040529579490388"/>
    <n v="9264055.7412800007"/>
    <n v="0.8463595989752023"/>
  </r>
  <r>
    <s v="ORD-2024-834983"/>
    <d v="2024-03-16T00:00:00"/>
    <x v="285"/>
    <d v="2024-04-13T00:00:00"/>
    <d v="2024-04-13T00:00:00"/>
    <n v="28"/>
    <n v="0"/>
    <x v="8"/>
    <s v="Q1-2024"/>
    <d v="2023-01-10T00:00:00"/>
    <s v="01-2023"/>
    <x v="1"/>
    <x v="11"/>
    <s v="Paris"/>
    <s v="Paris"/>
    <s v="Small Business"/>
    <s v="Online"/>
    <x v="0"/>
    <x v="3"/>
    <x v="3"/>
    <x v="6"/>
    <s v="Low"/>
    <x v="326"/>
    <x v="1"/>
    <n v="287.61"/>
    <n v="628.54"/>
    <n v="628.54"/>
    <n v="0.13500000000000001"/>
    <n v="0.13500000000000001"/>
    <x v="0"/>
    <n v="21"/>
    <n v="11417.429099999999"/>
    <n v="6039.81"/>
    <n v="5377.619099999999"/>
    <n v="0.47100087531964613"/>
    <n v="9275473.17038"/>
    <n v="0.84740268971043442"/>
  </r>
  <r>
    <s v="ORD-2023-700699"/>
    <d v="2023-01-12T00:00:00"/>
    <x v="286"/>
    <d v="2023-01-26T00:00:00"/>
    <d v="2023-01-26T00:00:00"/>
    <n v="14"/>
    <n v="0"/>
    <x v="23"/>
    <s v="Q1-2023"/>
    <d v="2023-01-12T00:00:00"/>
    <s v="01-2023"/>
    <x v="3"/>
    <x v="10"/>
    <s v="Shenzhen"/>
    <s v="Shenzhen"/>
    <s v="Non-Profit"/>
    <s v="Retail"/>
    <x v="1"/>
    <x v="7"/>
    <x v="6"/>
    <x v="6"/>
    <s v="Medium"/>
    <x v="327"/>
    <x v="1"/>
    <n v="1083.0899999999999"/>
    <n v="1425.87"/>
    <n v="1425.87"/>
    <n v="0"/>
    <n v="0"/>
    <x v="0"/>
    <n v="8"/>
    <n v="11406.96"/>
    <n v="8664.7199999999993"/>
    <n v="2742.24"/>
    <n v="0.24040059752992909"/>
    <n v="9286880.1303800009"/>
    <n v="0.84844482399381405"/>
  </r>
  <r>
    <s v="ORD-2025-192876"/>
    <d v="2025-01-31T00:00:00"/>
    <x v="287"/>
    <d v="2025-02-17T00:00:00"/>
    <d v="2025-02-17T00:00:00"/>
    <n v="17"/>
    <n v="0"/>
    <x v="17"/>
    <s v="Q1-2025"/>
    <d v="2023-01-19T00:00:00"/>
    <s v="01-2023"/>
    <x v="1"/>
    <x v="1"/>
    <s v="London"/>
    <s v="London"/>
    <s v="Enterprise"/>
    <s v="Retail"/>
    <x v="1"/>
    <x v="0"/>
    <x v="0"/>
    <x v="0"/>
    <s v="Low"/>
    <x v="328"/>
    <x v="1"/>
    <n v="378.26"/>
    <n v="541.55999999999995"/>
    <n v="541.55999999999995"/>
    <n v="0.16300000000000001"/>
    <n v="0.16300000000000001"/>
    <x v="0"/>
    <n v="25"/>
    <n v="11332.142999999998"/>
    <n v="9456.5"/>
    <n v="1875.6429999999982"/>
    <n v="0.16551529573885526"/>
    <n v="9298212.2733800001"/>
    <n v="0.84948012303268661"/>
  </r>
  <r>
    <s v="ORD-2024-968374"/>
    <d v="2024-02-11T00:00:00"/>
    <x v="288"/>
    <d v="2024-03-03T00:00:00"/>
    <d v="2024-03-03T00:00:00"/>
    <n v="21"/>
    <n v="0"/>
    <x v="13"/>
    <s v="Q1-2024"/>
    <d v="2023-01-20T00:00:00"/>
    <s v="01-2023"/>
    <x v="2"/>
    <x v="5"/>
    <s v="Kisumu"/>
    <s v="Kisumu"/>
    <s v="Enterprise"/>
    <s v="Online"/>
    <x v="0"/>
    <x v="1"/>
    <x v="1"/>
    <x v="5"/>
    <s v="Medium"/>
    <x v="329"/>
    <x v="1"/>
    <n v="516.86"/>
    <n v="852.54"/>
    <n v="852.54"/>
    <n v="5.0999999999999997E-2"/>
    <n v="5.0999999999999997E-2"/>
    <x v="0"/>
    <n v="14"/>
    <n v="11326.846439999999"/>
    <n v="7236.04"/>
    <n v="4090.8064399999994"/>
    <n v="0.36116022775355994"/>
    <n v="9309539.1198200006"/>
    <n v="0.85051493818042956"/>
  </r>
  <r>
    <s v="ORD-2024-251426"/>
    <d v="2024-03-09T00:00:00"/>
    <x v="80"/>
    <d v="2024-03-26T00:00:00"/>
    <d v="2024-03-26T00:00:00"/>
    <n v="17"/>
    <n v="0"/>
    <x v="8"/>
    <s v="Q1-2024"/>
    <d v="2023-01-13T00:00:00"/>
    <s v="01-2023"/>
    <x v="0"/>
    <x v="6"/>
    <s v="San Francisco"/>
    <s v="San Francisco"/>
    <s v="Education"/>
    <s v="Direct"/>
    <x v="3"/>
    <x v="13"/>
    <x v="12"/>
    <x v="5"/>
    <s v="High"/>
    <x v="330"/>
    <x v="1"/>
    <n v="1137.4100000000001"/>
    <n v="1680.93"/>
    <n v="1680.93"/>
    <n v="0.254"/>
    <n v="0.254"/>
    <x v="1"/>
    <n v="9"/>
    <n v="11285.764020000001"/>
    <n v="10236.69"/>
    <n v="1049.07402"/>
    <n v="9.2955516183121464E-2"/>
    <n v="9320824.8838400003"/>
    <n v="0.85154600005838588"/>
  </r>
  <r>
    <s v="ORD-2023-890605"/>
    <d v="2023-06-24T00:00:00"/>
    <x v="289"/>
    <d v="2023-06-22T00:00:00"/>
    <d v="2023-06-24T00:00:00"/>
    <n v="2"/>
    <n v="1"/>
    <x v="24"/>
    <s v="Q2-2023"/>
    <d v="2023-01-02T00:00:00"/>
    <s v="01-2023"/>
    <x v="0"/>
    <x v="0"/>
    <s v="Toronto"/>
    <s v="Toronto"/>
    <s v="Non-Profit"/>
    <s v="Retail"/>
    <x v="1"/>
    <x v="7"/>
    <x v="6"/>
    <x v="4"/>
    <s v="Medium"/>
    <x v="331"/>
    <x v="1"/>
    <n v="471.42"/>
    <n v="824.81"/>
    <n v="824.81"/>
    <n v="8.7999999999999995E-2"/>
    <n v="8.7999999999999995E-2"/>
    <x v="0"/>
    <n v="15"/>
    <n v="11283.400799999999"/>
    <n v="7071.3"/>
    <n v="4212.1007999999993"/>
    <n v="0.37330064531608231"/>
    <n v="9332108.2846400011"/>
    <n v="0.85257684603371953"/>
  </r>
  <r>
    <s v="ORD-2023-842488"/>
    <d v="2023-10-31T00:00:00"/>
    <x v="290"/>
    <d v="2023-11-02T00:00:00"/>
    <d v="2023-11-02T00:00:00"/>
    <n v="2"/>
    <n v="1"/>
    <x v="18"/>
    <s v="Q4-2023"/>
    <d v="2023-01-20T00:00:00"/>
    <s v="01-2023"/>
    <x v="2"/>
    <x v="5"/>
    <s v="Kisumu"/>
    <s v="Kisumu"/>
    <s v="Education"/>
    <s v="Retail"/>
    <x v="1"/>
    <x v="8"/>
    <x v="7"/>
    <x v="4"/>
    <s v="Medium"/>
    <x v="332"/>
    <x v="1"/>
    <n v="867.89"/>
    <n v="1349.94"/>
    <n v="1349.94"/>
    <n v="0.184"/>
    <n v="0.184"/>
    <x v="0"/>
    <n v="10"/>
    <n v="11015.510400000003"/>
    <n v="8678.9"/>
    <n v="2336.6104000000032"/>
    <n v="0.21212003031652557"/>
    <n v="9343123.7950400002"/>
    <n v="0.85358321767320644"/>
  </r>
  <r>
    <s v="ORD-2023-824839"/>
    <d v="2023-12-06T00:00:00"/>
    <x v="291"/>
    <d v="2023-12-31T00:00:00"/>
    <d v="2023-12-31T00:00:00"/>
    <n v="25"/>
    <n v="0"/>
    <x v="10"/>
    <s v="Q4-2023"/>
    <d v="2023-03-03T00:00:00"/>
    <s v="03-2023"/>
    <x v="3"/>
    <x v="7"/>
    <s v="Osaka"/>
    <s v="Osaka"/>
    <s v="Consumer"/>
    <s v="Retail"/>
    <x v="1"/>
    <x v="4"/>
    <x v="4"/>
    <x v="6"/>
    <s v="Low"/>
    <x v="333"/>
    <x v="1"/>
    <n v="663.03"/>
    <n v="813.51"/>
    <n v="813.51"/>
    <n v="0.10199999999999999"/>
    <n v="0.10199999999999999"/>
    <x v="0"/>
    <n v="15"/>
    <n v="10957.9797"/>
    <n v="9945.4499999999989"/>
    <n v="1012.529700000001"/>
    <n v="9.2401129379715952E-2"/>
    <n v="9354081.7747399993"/>
    <n v="0.85458433333609518"/>
  </r>
  <r>
    <s v="ORD-2025-526650"/>
    <d v="2025-04-27T00:00:00"/>
    <x v="74"/>
    <d v="2025-05-25T00:00:00"/>
    <d v="2025-05-25T00:00:00"/>
    <n v="28"/>
    <n v="0"/>
    <x v="2"/>
    <s v="Q2-2025"/>
    <d v="2023-01-10T00:00:00"/>
    <s v="01-2023"/>
    <x v="1"/>
    <x v="11"/>
    <s v="Paris"/>
    <s v="Paris"/>
    <s v="Small Business"/>
    <s v="Marketplace"/>
    <x v="2"/>
    <x v="13"/>
    <x v="12"/>
    <x v="5"/>
    <s v="Medium"/>
    <x v="334"/>
    <x v="1"/>
    <n v="603.45000000000005"/>
    <n v="1244.08"/>
    <n v="1244.08"/>
    <n v="0.2"/>
    <n v="0.2"/>
    <x v="0"/>
    <n v="11"/>
    <n v="10947.904"/>
    <n v="6637.9500000000007"/>
    <n v="4309.9539999999997"/>
    <n v="0.39367846119220623"/>
    <n v="9365029.6787399985"/>
    <n v="0.85558452848796263"/>
  </r>
  <r>
    <s v="ORD-2024-202877"/>
    <d v="2024-07-13T00:00:00"/>
    <x v="292"/>
    <d v="2024-08-03T00:00:00"/>
    <d v="2024-08-03T00:00:00"/>
    <n v="21"/>
    <n v="0"/>
    <x v="9"/>
    <s v="Q3-2024"/>
    <d v="2023-01-29T00:00:00"/>
    <s v="01-2023"/>
    <x v="0"/>
    <x v="9"/>
    <s v="Rio de Janeiro"/>
    <s v="Rio de Janeiro"/>
    <s v="Corporate"/>
    <s v="Marketplace"/>
    <x v="2"/>
    <x v="7"/>
    <x v="6"/>
    <x v="3"/>
    <s v="Medium"/>
    <x v="335"/>
    <x v="1"/>
    <n v="702.98"/>
    <n v="1104.8"/>
    <n v="1104.8"/>
    <n v="0.17499999999999999"/>
    <n v="0.17499999999999999"/>
    <x v="0"/>
    <n v="12"/>
    <n v="10937.519999999999"/>
    <n v="8435.76"/>
    <n v="2501.7599999999984"/>
    <n v="0.22873192460448061"/>
    <n v="9375967.198739998"/>
    <n v="0.8565837749626718"/>
  </r>
  <r>
    <s v="ORD-2025-580047"/>
    <d v="2025-06-14T00:00:00"/>
    <x v="293"/>
    <d v="2025-06-29T00:00:00"/>
    <d v="2025-06-29T00:00:00"/>
    <n v="15"/>
    <n v="0"/>
    <x v="25"/>
    <s v="Q2-2025"/>
    <d v="2023-01-13T00:00:00"/>
    <s v="01-2023"/>
    <x v="2"/>
    <x v="2"/>
    <s v="Port Harcourt"/>
    <s v="Port Harcourt"/>
    <s v="Consumer"/>
    <s v="Marketplace"/>
    <x v="2"/>
    <x v="7"/>
    <x v="6"/>
    <x v="4"/>
    <s v="Medium"/>
    <x v="336"/>
    <x v="1"/>
    <n v="730.99"/>
    <n v="1242.8399999999999"/>
    <n v="1242.8399999999999"/>
    <n v="0.12"/>
    <n v="0.12"/>
    <x v="0"/>
    <n v="10"/>
    <n v="10936.992"/>
    <n v="7309.9"/>
    <n v="3627.0920000000006"/>
    <n v="0.33163524303574515"/>
    <n v="9386904.1907399986"/>
    <n v="0.85758297319955945"/>
  </r>
  <r>
    <s v="ORD-2024-655710"/>
    <d v="2024-11-30T00:00:00"/>
    <x v="86"/>
    <d v="2024-12-10T00:00:00"/>
    <d v="2024-12-10T00:00:00"/>
    <n v="10"/>
    <n v="0"/>
    <x v="5"/>
    <s v="Q4-2024"/>
    <d v="2023-01-29T00:00:00"/>
    <s v="01-2023"/>
    <x v="3"/>
    <x v="3"/>
    <s v="Hyderabad"/>
    <s v="Hyderabad"/>
    <s v="Small Business"/>
    <s v="Retail"/>
    <x v="1"/>
    <x v="10"/>
    <x v="9"/>
    <x v="4"/>
    <s v="Medium"/>
    <x v="337"/>
    <x v="1"/>
    <n v="851.49"/>
    <n v="901.79"/>
    <n v="901.79"/>
    <n v="0.245"/>
    <n v="0.245"/>
    <x v="1"/>
    <n v="16"/>
    <n v="10893.6232"/>
    <n v="13623.84"/>
    <n v="2730.2168000000001"/>
    <n v="0.25062522816100341"/>
    <n v="9397797.8139399979"/>
    <n v="0.85857820928410222"/>
  </r>
  <r>
    <s v="ORD-2023-744942"/>
    <d v="2023-02-23T00:00:00"/>
    <x v="128"/>
    <d v="2023-03-18T00:00:00"/>
    <d v="2023-03-18T00:00:00"/>
    <n v="23"/>
    <n v="0"/>
    <x v="4"/>
    <s v="Q1-2023"/>
    <d v="2023-01-12T00:00:00"/>
    <s v="01-2023"/>
    <x v="3"/>
    <x v="10"/>
    <s v="Beijing"/>
    <s v="Beijing"/>
    <s v="Education"/>
    <s v="Distributor"/>
    <x v="4"/>
    <x v="3"/>
    <x v="3"/>
    <x v="6"/>
    <s v="High"/>
    <x v="338"/>
    <x v="1"/>
    <n v="770.11"/>
    <n v="1667.82"/>
    <n v="1667.82"/>
    <n v="6.9000000000000006E-2"/>
    <n v="6.9000000000000006E-2"/>
    <x v="0"/>
    <n v="7"/>
    <n v="10869.182940000001"/>
    <n v="5390.77"/>
    <n v="5478.4129400000002"/>
    <n v="0.50403171703355287"/>
    <n v="9408666.9968799986"/>
    <n v="0.85957121251845203"/>
  </r>
  <r>
    <s v="ORD-2025-635337"/>
    <d v="2025-08-05T00:00:00"/>
    <x v="294"/>
    <d v="2025-08-28T00:00:00"/>
    <d v="2025-08-28T00:00:00"/>
    <n v="23"/>
    <n v="0"/>
    <x v="14"/>
    <s v="Q3-2025"/>
    <d v="2023-01-29T00:00:00"/>
    <s v="01-2023"/>
    <x v="3"/>
    <x v="3"/>
    <s v="Mumbai"/>
    <s v="Mumbai"/>
    <s v="Non-Profit"/>
    <s v="Distributor"/>
    <x v="4"/>
    <x v="14"/>
    <x v="13"/>
    <x v="2"/>
    <s v="Medium"/>
    <x v="339"/>
    <x v="1"/>
    <n v="638.54"/>
    <n v="987.24"/>
    <n v="987.24"/>
    <n v="0"/>
    <n v="0"/>
    <x v="0"/>
    <n v="11"/>
    <n v="10859.64"/>
    <n v="7023.94"/>
    <n v="3835.7"/>
    <n v="0.35320692030306716"/>
    <n v="9419526.6368799992"/>
    <n v="0.86056334391447331"/>
  </r>
  <r>
    <s v="ORD-2024-588972"/>
    <d v="2024-11-02T00:00:00"/>
    <x v="11"/>
    <d v="2024-11-29T00:00:00"/>
    <d v="2024-11-29T00:00:00"/>
    <n v="27"/>
    <n v="0"/>
    <x v="5"/>
    <s v="Q4-2024"/>
    <d v="2023-01-29T00:00:00"/>
    <s v="01-2023"/>
    <x v="0"/>
    <x v="9"/>
    <s v="Brasília"/>
    <s v="Brasília"/>
    <s v="Small Business"/>
    <s v="Direct"/>
    <x v="3"/>
    <x v="13"/>
    <x v="12"/>
    <x v="1"/>
    <s v="Medium"/>
    <x v="340"/>
    <x v="1"/>
    <n v="1363.51"/>
    <n v="1433.9"/>
    <n v="1433.9"/>
    <n v="5.7000000000000002E-2"/>
    <n v="5.7000000000000002E-2"/>
    <x v="0"/>
    <n v="8"/>
    <n v="10817.3416"/>
    <n v="10908.08"/>
    <n v="90.738400000000183"/>
    <n v="8.3882346842037592E-3"/>
    <n v="9430343.97848"/>
    <n v="0.86155161094937027"/>
  </r>
  <r>
    <s v="ORD-2025-960931"/>
    <d v="2025-08-20T00:00:00"/>
    <x v="295"/>
    <d v="2025-08-26T00:00:00"/>
    <d v="2025-08-26T00:00:00"/>
    <n v="6"/>
    <n v="1"/>
    <x v="14"/>
    <s v="Q3-2025"/>
    <d v="2023-01-13T00:00:00"/>
    <s v="01-2023"/>
    <x v="0"/>
    <x v="6"/>
    <s v="New York"/>
    <s v="New York"/>
    <s v="Corporate"/>
    <s v="Retail"/>
    <x v="1"/>
    <x v="7"/>
    <x v="6"/>
    <x v="1"/>
    <s v="High"/>
    <x v="341"/>
    <x v="1"/>
    <n v="1304.95"/>
    <n v="1712.03"/>
    <n v="1712.03"/>
    <n v="0.21199999999999999"/>
    <n v="0.21199999999999999"/>
    <x v="1"/>
    <n v="8"/>
    <n v="10792.637119999999"/>
    <n v="10439.6"/>
    <n v="353.03711999999905"/>
    <n v="3.2710922833287949E-2"/>
    <n v="9441136.6155999992"/>
    <n v="0.86253762099506381"/>
  </r>
  <r>
    <s v="ORD-2023-502205"/>
    <d v="2023-10-09T00:00:00"/>
    <x v="27"/>
    <d v="2023-10-11T00:00:00"/>
    <d v="2023-10-11T00:00:00"/>
    <n v="2"/>
    <n v="1"/>
    <x v="18"/>
    <s v="Q4-2023"/>
    <d v="2023-01-13T00:00:00"/>
    <s v="01-2023"/>
    <x v="2"/>
    <x v="2"/>
    <s v="Port Harcourt"/>
    <s v="Port Harcourt"/>
    <s v="Education"/>
    <s v="Marketplace"/>
    <x v="2"/>
    <x v="3"/>
    <x v="3"/>
    <x v="1"/>
    <s v="Medium"/>
    <x v="342"/>
    <x v="1"/>
    <n v="391.16"/>
    <n v="902.47"/>
    <n v="902.47"/>
    <n v="4.0000000000000001E-3"/>
    <n v="4.0000000000000001E-3"/>
    <x v="0"/>
    <n v="12"/>
    <n v="10786.32144"/>
    <n v="4693.92"/>
    <n v="6092.4014399999996"/>
    <n v="0.56482661618139207"/>
    <n v="9451922.9370399993"/>
    <n v="0.86352305404332341"/>
  </r>
  <r>
    <s v="ORD-2025-649633"/>
    <d v="2025-07-19T00:00:00"/>
    <x v="296"/>
    <d v="2025-07-31T00:00:00"/>
    <d v="2025-07-31T00:00:00"/>
    <n v="12"/>
    <n v="0"/>
    <x v="0"/>
    <s v="Q3-2025"/>
    <d v="2023-01-20T00:00:00"/>
    <s v="01-2023"/>
    <x v="2"/>
    <x v="5"/>
    <s v="Nairobi"/>
    <s v="Nairobi"/>
    <s v="Small Business"/>
    <s v="Marketplace"/>
    <x v="2"/>
    <x v="8"/>
    <x v="7"/>
    <x v="4"/>
    <s v="Medium"/>
    <x v="343"/>
    <x v="1"/>
    <n v="619.64"/>
    <n v="861.16"/>
    <n v="861.16"/>
    <n v="0.113"/>
    <n v="0.113"/>
    <x v="0"/>
    <n v="14"/>
    <n v="10693.88488"/>
    <n v="8674.9599999999991"/>
    <n v="2018.9248800000005"/>
    <n v="0.18879246435276761"/>
    <n v="9462616.82192"/>
    <n v="0.86450004213269704"/>
  </r>
  <r>
    <s v="ORD-2025-820255"/>
    <d v="2025-05-29T00:00:00"/>
    <x v="297"/>
    <d v="2025-06-20T00:00:00"/>
    <d v="2025-06-20T00:00:00"/>
    <n v="22"/>
    <n v="0"/>
    <x v="12"/>
    <s v="Q2-2025"/>
    <d v="2023-01-21T00:00:00"/>
    <s v="01-2023"/>
    <x v="1"/>
    <x v="4"/>
    <s v="Berlin"/>
    <s v="Berlin"/>
    <s v="Corporate"/>
    <s v="Direct"/>
    <x v="3"/>
    <x v="6"/>
    <x v="2"/>
    <x v="6"/>
    <s v="Medium"/>
    <x v="344"/>
    <x v="1"/>
    <n v="483.47"/>
    <n v="1135.43"/>
    <n v="1135.43"/>
    <n v="0.14599999999999999"/>
    <n v="0.14599999999999999"/>
    <x v="0"/>
    <n v="11"/>
    <n v="10666.229420000001"/>
    <n v="5318.17"/>
    <n v="5348.0594200000014"/>
    <n v="0.50140112399719983"/>
    <n v="9473283.0513400007"/>
    <n v="0.86547450363277889"/>
  </r>
  <r>
    <s v="ORD-2024-287210"/>
    <d v="2024-03-18T00:00:00"/>
    <x v="298"/>
    <d v="2024-03-21T00:00:00"/>
    <d v="2024-03-21T00:00:00"/>
    <n v="3"/>
    <n v="1"/>
    <x v="8"/>
    <s v="Q1-2024"/>
    <d v="2023-01-21T00:00:00"/>
    <s v="01-2023"/>
    <x v="1"/>
    <x v="4"/>
    <s v="Munich"/>
    <s v="Munich"/>
    <s v="Small Business"/>
    <s v="Online"/>
    <x v="0"/>
    <x v="7"/>
    <x v="6"/>
    <x v="4"/>
    <s v="Medium"/>
    <x v="345"/>
    <x v="1"/>
    <n v="910.63"/>
    <n v="1269.4000000000001"/>
    <n v="1269.4000000000001"/>
    <n v="6.8000000000000005E-2"/>
    <n v="6.8000000000000005E-2"/>
    <x v="0"/>
    <n v="9"/>
    <n v="10647.727199999999"/>
    <n v="8195.67"/>
    <n v="2452.0571999999993"/>
    <n v="0.23028925834989455"/>
    <n v="9483930.7785400003"/>
    <n v="0.86644727477909578"/>
  </r>
  <r>
    <s v="ORD-2024-296582"/>
    <d v="2024-01-11T00:00:00"/>
    <x v="207"/>
    <d v="2024-02-02T00:00:00"/>
    <d v="2024-02-02T00:00:00"/>
    <n v="22"/>
    <n v="0"/>
    <x v="28"/>
    <s v="Q1-2024"/>
    <d v="2023-01-07T00:00:00"/>
    <s v="01-2023"/>
    <x v="2"/>
    <x v="8"/>
    <s v="Durban"/>
    <s v="Durban"/>
    <s v="Consumer"/>
    <s v="Online"/>
    <x v="0"/>
    <x v="3"/>
    <x v="3"/>
    <x v="1"/>
    <s v="High"/>
    <x v="346"/>
    <x v="1"/>
    <n v="1206.2"/>
    <n v="1759.79"/>
    <n v="1759.79"/>
    <n v="0"/>
    <n v="0"/>
    <x v="0"/>
    <n v="6"/>
    <n v="10558.74"/>
    <n v="7237.2000000000007"/>
    <n v="3321.5399999999991"/>
    <n v="0.31457730751964713"/>
    <n v="9494489.5185400005"/>
    <n v="0.86741191609836843"/>
  </r>
  <r>
    <s v="ORD-2024-687073"/>
    <d v="2024-03-11T00:00:00"/>
    <x v="299"/>
    <d v="2024-03-29T00:00:00"/>
    <d v="2024-03-29T00:00:00"/>
    <n v="18"/>
    <n v="0"/>
    <x v="8"/>
    <s v="Q1-2024"/>
    <d v="2023-01-13T00:00:00"/>
    <s v="01-2023"/>
    <x v="0"/>
    <x v="6"/>
    <s v="New York"/>
    <s v="New York"/>
    <s v="Corporate"/>
    <s v="Retail"/>
    <x v="1"/>
    <x v="7"/>
    <x v="6"/>
    <x v="3"/>
    <s v="Medium"/>
    <x v="347"/>
    <x v="1"/>
    <n v="710.98"/>
    <n v="1481.45"/>
    <n v="1481.45"/>
    <n v="0.21099999999999999"/>
    <n v="0.21099999999999999"/>
    <x v="1"/>
    <n v="9"/>
    <n v="10519.776450000001"/>
    <n v="6398.82"/>
    <n v="4120.9564500000015"/>
    <n v="0.39173422264120461"/>
    <n v="9505009.2949900012"/>
    <n v="0.86837299772678078"/>
  </r>
  <r>
    <s v="ORD-2025-532859"/>
    <d v="2025-03-11T00:00:00"/>
    <x v="300"/>
    <d v="2025-03-27T00:00:00"/>
    <d v="2025-03-27T00:00:00"/>
    <n v="16"/>
    <n v="0"/>
    <x v="26"/>
    <s v="Q1-2025"/>
    <d v="2023-03-03T00:00:00"/>
    <s v="03-2023"/>
    <x v="3"/>
    <x v="7"/>
    <s v="Tokyo"/>
    <s v="Tokyo"/>
    <s v="Enterprise"/>
    <s v="Distributor"/>
    <x v="4"/>
    <x v="1"/>
    <x v="1"/>
    <x v="6"/>
    <s v="High"/>
    <x v="348"/>
    <x v="1"/>
    <n v="1317.58"/>
    <n v="1897.74"/>
    <n v="1897.74"/>
    <n v="8.1000000000000003E-2"/>
    <n v="8.1000000000000003E-2"/>
    <x v="0"/>
    <n v="6"/>
    <n v="10464.138360000001"/>
    <n v="7905.48"/>
    <n v="2558.6583600000013"/>
    <n v="0.24451687009230266"/>
    <n v="9515473.4333500005"/>
    <n v="0.86932899628651805"/>
  </r>
  <r>
    <s v="ORD-2023-369150"/>
    <d v="2023-07-18T00:00:00"/>
    <x v="56"/>
    <d v="2023-08-10T00:00:00"/>
    <d v="2023-08-10T00:00:00"/>
    <n v="23"/>
    <n v="0"/>
    <x v="6"/>
    <s v="Q3-2023"/>
    <d v="2023-01-07T00:00:00"/>
    <s v="01-2023"/>
    <x v="2"/>
    <x v="8"/>
    <s v="Johannesburg"/>
    <s v="Johannesburg"/>
    <s v="Small Business"/>
    <s v="Retail"/>
    <x v="1"/>
    <x v="4"/>
    <x v="4"/>
    <x v="0"/>
    <s v="Medium"/>
    <x v="349"/>
    <x v="1"/>
    <n v="1271.56"/>
    <n v="995.47"/>
    <n v="995.47"/>
    <n v="0.192"/>
    <n v="0.192"/>
    <x v="0"/>
    <n v="13"/>
    <n v="10456.416880000001"/>
    <n v="16530.28"/>
    <n v="6073.8631199999982"/>
    <n v="0.58087423155607754"/>
    <n v="9525929.8502300009"/>
    <n v="0.8702842894156213"/>
  </r>
  <r>
    <s v="ORD-2023-290279"/>
    <d v="2023-06-14T00:00:00"/>
    <x v="301"/>
    <d v="2023-06-16T00:00:00"/>
    <d v="2023-06-16T00:00:00"/>
    <n v="2"/>
    <n v="1"/>
    <x v="24"/>
    <s v="Q2-2023"/>
    <d v="2023-01-19T00:00:00"/>
    <s v="01-2023"/>
    <x v="1"/>
    <x v="1"/>
    <s v="Manchester"/>
    <s v="Manchester"/>
    <s v="Non-Profit"/>
    <s v="Direct"/>
    <x v="3"/>
    <x v="3"/>
    <x v="3"/>
    <x v="0"/>
    <s v="Low"/>
    <x v="328"/>
    <x v="1"/>
    <n v="357.36"/>
    <n v="703.62"/>
    <n v="703.62"/>
    <n v="0.25700000000000001"/>
    <n v="0.25700000000000001"/>
    <x v="1"/>
    <n v="20"/>
    <n v="10455.7932"/>
    <n v="7147.2000000000007"/>
    <n v="3308.5931999999993"/>
    <n v="0.31643636563125593"/>
    <n v="9536385.6434300002"/>
    <n v="0.87123952556562489"/>
  </r>
  <r>
    <s v="ORD-2023-931633"/>
    <d v="2023-05-14T00:00:00"/>
    <x v="302"/>
    <d v="2023-05-22T00:00:00"/>
    <d v="2023-05-22T00:00:00"/>
    <n v="8"/>
    <n v="0"/>
    <x v="3"/>
    <s v="Q2-2023"/>
    <d v="2023-01-20T00:00:00"/>
    <s v="01-2023"/>
    <x v="2"/>
    <x v="5"/>
    <s v="Mombasa"/>
    <s v="Mombasa"/>
    <s v="Small Business"/>
    <s v="Distributor"/>
    <x v="4"/>
    <x v="10"/>
    <x v="9"/>
    <x v="6"/>
    <s v="Medium"/>
    <x v="350"/>
    <x v="1"/>
    <n v="432.01"/>
    <n v="913.78"/>
    <n v="913.78"/>
    <n v="4.9000000000000002E-2"/>
    <n v="4.9000000000000002E-2"/>
    <x v="0"/>
    <n v="12"/>
    <n v="10428.057360000001"/>
    <n v="5184.12"/>
    <n v="5243.9373600000008"/>
    <n v="0.50286809699711899"/>
    <n v="9546813.7007900011"/>
    <n v="0.87219222778285932"/>
  </r>
  <r>
    <s v="ORD-2023-399631"/>
    <d v="2023-06-22T00:00:00"/>
    <x v="289"/>
    <d v="2023-07-21T00:00:00"/>
    <d v="2023-07-21T00:00:00"/>
    <n v="29"/>
    <n v="0"/>
    <x v="24"/>
    <s v="Q2-2023"/>
    <d v="2023-01-10T00:00:00"/>
    <s v="01-2023"/>
    <x v="1"/>
    <x v="11"/>
    <s v="Lyon"/>
    <s v="Lyon"/>
    <s v="Corporate"/>
    <s v="Retail"/>
    <x v="1"/>
    <x v="9"/>
    <x v="8"/>
    <x v="4"/>
    <s v="Medium"/>
    <x v="351"/>
    <x v="1"/>
    <n v="734.34"/>
    <n v="887.9"/>
    <n v="887.9"/>
    <n v="2.5000000000000001E-2"/>
    <n v="2.5000000000000001E-2"/>
    <x v="0"/>
    <n v="12"/>
    <n v="10388.429999999998"/>
    <n v="8812.08"/>
    <n v="1576.3499999999985"/>
    <n v="0.15174092716608753"/>
    <n v="9557202.1307900008"/>
    <n v="0.87314130966387649"/>
  </r>
  <r>
    <s v="ORD-2025-766923"/>
    <d v="2025-02-15T00:00:00"/>
    <x v="221"/>
    <d v="2025-02-15T00:00:00"/>
    <d v="2025-02-15T00:00:00"/>
    <n v="0"/>
    <n v="1"/>
    <x v="30"/>
    <s v="Q1-2025"/>
    <d v="2023-01-21T00:00:00"/>
    <s v="01-2023"/>
    <x v="1"/>
    <x v="4"/>
    <s v="Frankfurt"/>
    <s v="Frankfurt"/>
    <s v="Small Business"/>
    <s v="Marketplace"/>
    <x v="2"/>
    <x v="4"/>
    <x v="4"/>
    <x v="4"/>
    <s v="High"/>
    <x v="352"/>
    <x v="1"/>
    <n v="815.83"/>
    <n v="1982.18"/>
    <n v="1982.18"/>
    <n v="0.127"/>
    <n v="0.127"/>
    <x v="0"/>
    <n v="6"/>
    <n v="10382.65884"/>
    <n v="4894.9800000000005"/>
    <n v="5487.6788399999996"/>
    <n v="0.52854272923408507"/>
    <n v="9567584.7896300014"/>
    <n v="0.87408986429454039"/>
  </r>
  <r>
    <s v="ORD-2025-515515"/>
    <d v="2025-01-03T00:00:00"/>
    <x v="303"/>
    <d v="2025-01-23T00:00:00"/>
    <d v="2025-01-23T00:00:00"/>
    <n v="20"/>
    <n v="0"/>
    <x v="17"/>
    <s v="Q1-2025"/>
    <d v="2023-03-03T00:00:00"/>
    <s v="03-2023"/>
    <x v="3"/>
    <x v="7"/>
    <s v="Osaka"/>
    <s v="Osaka"/>
    <s v="Corporate"/>
    <s v="Distributor"/>
    <x v="4"/>
    <x v="10"/>
    <x v="9"/>
    <x v="5"/>
    <s v="Low"/>
    <x v="353"/>
    <x v="1"/>
    <n v="908.6"/>
    <n v="691.37"/>
    <n v="691.37"/>
    <n v="0.25"/>
    <n v="0.25"/>
    <x v="1"/>
    <n v="20"/>
    <n v="10370.549999999999"/>
    <n v="18172"/>
    <n v="7801.4500000000007"/>
    <n v="0.75226964818645115"/>
    <n v="9577955.3396300022"/>
    <n v="0.87503731266750751"/>
  </r>
  <r>
    <s v="ORD-2023-664790"/>
    <d v="2023-04-16T00:00:00"/>
    <x v="155"/>
    <d v="2023-04-23T00:00:00"/>
    <d v="2023-04-23T00:00:00"/>
    <n v="7"/>
    <n v="1"/>
    <x v="15"/>
    <s v="Q2-2023"/>
    <d v="2023-01-13T00:00:00"/>
    <s v="01-2023"/>
    <x v="0"/>
    <x v="6"/>
    <s v="Austin"/>
    <s v="Austin"/>
    <s v="Corporate"/>
    <s v="Distributor"/>
    <x v="4"/>
    <x v="8"/>
    <x v="7"/>
    <x v="6"/>
    <s v="Medium"/>
    <x v="354"/>
    <x v="1"/>
    <n v="1099.1500000000001"/>
    <n v="1431.37"/>
    <n v="1431.37"/>
    <n v="0.104"/>
    <n v="0.104"/>
    <x v="0"/>
    <n v="8"/>
    <n v="10260.060159999999"/>
    <n v="8793.2000000000007"/>
    <n v="1466.8601599999984"/>
    <n v="0.14296798821109433"/>
    <n v="9588215.399790002"/>
    <n v="0.87597466674276259"/>
  </r>
  <r>
    <s v="ORD-2025-680118"/>
    <d v="2025-03-10T00:00:00"/>
    <x v="304"/>
    <d v="2025-03-27T00:00:00"/>
    <d v="2025-03-27T00:00:00"/>
    <n v="17"/>
    <n v="0"/>
    <x v="26"/>
    <s v="Q1-2025"/>
    <d v="2023-01-29T00:00:00"/>
    <s v="01-2023"/>
    <x v="0"/>
    <x v="9"/>
    <s v="Rio de Janeiro"/>
    <s v="Rio de Janeiro"/>
    <s v="Enterprise"/>
    <s v="Direct"/>
    <x v="3"/>
    <x v="10"/>
    <x v="9"/>
    <x v="1"/>
    <s v="Medium"/>
    <x v="355"/>
    <x v="1"/>
    <n v="996.73"/>
    <n v="1217.43"/>
    <n v="1217.43"/>
    <n v="7.0000000000000007E-2"/>
    <n v="7.0000000000000007E-2"/>
    <x v="0"/>
    <n v="9"/>
    <n v="10189.8891"/>
    <n v="8970.57"/>
    <n v="1219.3191000000006"/>
    <n v="0.11965970267527255"/>
    <n v="9598405.2888900023"/>
    <n v="0.87690561002431566"/>
  </r>
  <r>
    <s v="ORD-2025-659650"/>
    <d v="2025-02-04T00:00:00"/>
    <x v="133"/>
    <d v="2025-02-08T00:00:00"/>
    <d v="2025-02-08T00:00:00"/>
    <n v="4"/>
    <n v="1"/>
    <x v="30"/>
    <s v="Q1-2025"/>
    <d v="2023-01-19T00:00:00"/>
    <s v="01-2023"/>
    <x v="1"/>
    <x v="1"/>
    <s v="Manchester"/>
    <s v="Manchester"/>
    <s v="Enterprise"/>
    <s v="Marketplace"/>
    <x v="2"/>
    <x v="4"/>
    <x v="4"/>
    <x v="1"/>
    <s v="Low"/>
    <x v="356"/>
    <x v="1"/>
    <n v="586.21"/>
    <n v="727.22"/>
    <n v="727.22"/>
    <n v="6.8000000000000005E-2"/>
    <n v="6.8000000000000005E-2"/>
    <x v="0"/>
    <n v="15"/>
    <n v="10166.535600000001"/>
    <n v="8793.1500000000015"/>
    <n v="1373.3855999999996"/>
    <n v="0.13508884973559721"/>
    <n v="9608571.8244900014"/>
    <n v="0.8778344197415372"/>
  </r>
  <r>
    <s v="ORD-2023-374486"/>
    <d v="2023-06-24T00:00:00"/>
    <x v="88"/>
    <d v="2023-06-23T00:00:00"/>
    <d v="2023-06-24T00:00:00"/>
    <n v="1"/>
    <n v="1"/>
    <x v="24"/>
    <s v="Q2-2023"/>
    <d v="2023-01-29T00:00:00"/>
    <s v="01-2023"/>
    <x v="0"/>
    <x v="9"/>
    <s v="Rio de Janeiro"/>
    <s v="Rio de Janeiro"/>
    <s v="Non-Profit"/>
    <s v="Retail"/>
    <x v="1"/>
    <x v="15"/>
    <x v="14"/>
    <x v="6"/>
    <s v="Medium"/>
    <x v="357"/>
    <x v="1"/>
    <n v="804.01"/>
    <n v="1405.07"/>
    <n v="1405.07"/>
    <n v="9.6000000000000002E-2"/>
    <n v="9.6000000000000002E-2"/>
    <x v="0"/>
    <n v="8"/>
    <n v="10161.46624"/>
    <n v="6432.08"/>
    <n v="3729.3862399999998"/>
    <n v="0.36701260939287439"/>
    <n v="9618733.2907300014"/>
    <n v="0.87876276632451"/>
  </r>
  <r>
    <s v="ORD-2025-276968"/>
    <d v="2025-02-25T00:00:00"/>
    <x v="305"/>
    <d v="2025-03-17T00:00:00"/>
    <d v="2025-03-17T00:00:00"/>
    <n v="20"/>
    <n v="0"/>
    <x v="30"/>
    <s v="Q1-2025"/>
    <d v="2023-01-13T00:00:00"/>
    <s v="01-2023"/>
    <x v="0"/>
    <x v="6"/>
    <s v="San Francisco"/>
    <s v="San Francisco"/>
    <s v="Non-Profit"/>
    <s v="Marketplace"/>
    <x v="2"/>
    <x v="0"/>
    <x v="0"/>
    <x v="5"/>
    <s v="High"/>
    <x v="358"/>
    <x v="1"/>
    <n v="1205.26"/>
    <n v="1696.35"/>
    <n v="1696.35"/>
    <n v="1.9E-2"/>
    <n v="1.9E-2"/>
    <x v="0"/>
    <n v="6"/>
    <n v="9984.7160999999978"/>
    <n v="7231.5599999999995"/>
    <n v="2753.1560999999983"/>
    <n v="0.27573704374028213"/>
    <n v="9628718.0068300012"/>
    <n v="0.87967496510118848"/>
  </r>
  <r>
    <s v="ORD-2024-389102"/>
    <d v="2024-06-15T00:00:00"/>
    <x v="306"/>
    <d v="2024-07-06T00:00:00"/>
    <d v="2024-07-06T00:00:00"/>
    <n v="21"/>
    <n v="0"/>
    <x v="7"/>
    <s v="Q2-2024"/>
    <d v="2023-01-02T00:00:00"/>
    <s v="01-2023"/>
    <x v="0"/>
    <x v="0"/>
    <s v="Toronto"/>
    <s v="Toronto"/>
    <s v="Enterprise"/>
    <s v="Distributor"/>
    <x v="4"/>
    <x v="4"/>
    <x v="4"/>
    <x v="6"/>
    <s v="Medium"/>
    <x v="359"/>
    <x v="1"/>
    <n v="817.23"/>
    <n v="1467.17"/>
    <n v="1467.17"/>
    <n v="0.245"/>
    <n v="0.245"/>
    <x v="1"/>
    <n v="9"/>
    <n v="9969.4201499999999"/>
    <n v="7355.07"/>
    <n v="2614.3501500000002"/>
    <n v="0.26223693160328893"/>
    <n v="9638687.4269800019"/>
    <n v="0.88058576644736042"/>
  </r>
  <r>
    <s v="ORD-2023-166668"/>
    <d v="2023-10-05T00:00:00"/>
    <x v="189"/>
    <d v="2023-10-31T00:00:00"/>
    <d v="2023-10-31T00:00:00"/>
    <n v="26"/>
    <n v="0"/>
    <x v="18"/>
    <s v="Q4-2023"/>
    <d v="2023-01-12T00:00:00"/>
    <s v="01-2023"/>
    <x v="3"/>
    <x v="10"/>
    <s v="Shanghai"/>
    <s v="Shanghai"/>
    <s v="Consumer"/>
    <m/>
    <x v="2"/>
    <x v="9"/>
    <x v="8"/>
    <x v="6"/>
    <s v="Medium"/>
    <x v="360"/>
    <x v="1"/>
    <n v="649.91"/>
    <n v="1360.12"/>
    <n v="1360.12"/>
    <n v="0.19400000000000001"/>
    <n v="0.19400000000000001"/>
    <x v="0"/>
    <n v="9"/>
    <n v="9866.3104799999983"/>
    <n v="5849.19"/>
    <n v="4017.1204799999987"/>
    <n v="0.40715528749506769"/>
    <n v="9648553.7374600023"/>
    <n v="0.88148714774453996"/>
  </r>
  <r>
    <s v="ORD-2023-884192"/>
    <d v="2023-01-10T00:00:00"/>
    <x v="307"/>
    <d v="2023-01-29T00:00:00"/>
    <d v="2023-01-29T00:00:00"/>
    <n v="19"/>
    <n v="0"/>
    <x v="23"/>
    <s v="Q1-2023"/>
    <d v="2023-01-10T00:00:00"/>
    <s v="01-2023"/>
    <x v="1"/>
    <x v="11"/>
    <s v="Lyon"/>
    <s v="Lyon"/>
    <s v="Non-Profit"/>
    <s v="Direct"/>
    <x v="3"/>
    <x v="11"/>
    <x v="10"/>
    <x v="2"/>
    <s v="Low"/>
    <x v="361"/>
    <x v="1"/>
    <n v="401.66"/>
    <n v="772.09"/>
    <n v="772.09"/>
    <n v="8.8999999999999996E-2"/>
    <n v="8.8999999999999996E-2"/>
    <x v="0"/>
    <n v="14"/>
    <n v="9847.2358600000007"/>
    <n v="5623.2400000000007"/>
    <n v="4223.99586"/>
    <n v="0.42895244107619046"/>
    <n v="9658400.9733200017"/>
    <n v="0.88238678639377066"/>
  </r>
  <r>
    <s v="ORD-2023-144816"/>
    <d v="2023-05-07T00:00:00"/>
    <x v="36"/>
    <d v="2023-05-29T00:00:00"/>
    <d v="2023-05-29T00:00:00"/>
    <n v="22"/>
    <n v="0"/>
    <x v="3"/>
    <s v="Q2-2023"/>
    <d v="2023-01-07T00:00:00"/>
    <s v="01-2023"/>
    <x v="2"/>
    <x v="8"/>
    <s v="Durban"/>
    <s v="Durban"/>
    <s v="Education"/>
    <s v="Distributor"/>
    <x v="4"/>
    <x v="3"/>
    <x v="3"/>
    <x v="4"/>
    <s v="Medium"/>
    <x v="362"/>
    <x v="1"/>
    <n v="653.86"/>
    <n v="931.84"/>
    <n v="931.84"/>
    <n v="0.121"/>
    <n v="0.121"/>
    <x v="0"/>
    <n v="12"/>
    <n v="9829.0483199999999"/>
    <n v="7846.32"/>
    <n v="1982.7283200000002"/>
    <n v="0.20172129136506273"/>
    <n v="9668230.0216400009"/>
    <n v="0.88328476343824736"/>
  </r>
  <r>
    <s v="ORD-2024-402240"/>
    <d v="2024-05-01T00:00:00"/>
    <x v="147"/>
    <d v="2024-05-26T00:00:00"/>
    <d v="2024-05-26T00:00:00"/>
    <n v="25"/>
    <n v="0"/>
    <x v="1"/>
    <s v="Q2-2024"/>
    <d v="2023-01-21T00:00:00"/>
    <s v="01-2023"/>
    <x v="1"/>
    <x v="4"/>
    <s v="Berlin"/>
    <s v="Berlin"/>
    <s v="Non-Profit"/>
    <s v="Retail"/>
    <x v="1"/>
    <x v="1"/>
    <x v="1"/>
    <x v="1"/>
    <s v="Medium"/>
    <x v="363"/>
    <x v="1"/>
    <n v="930.71"/>
    <n v="1625.42"/>
    <n v="1625.42"/>
    <n v="0.13800000000000001"/>
    <n v="0.13800000000000001"/>
    <x v="0"/>
    <n v="7"/>
    <n v="9807.7842799999999"/>
    <n v="6514.97"/>
    <n v="3292.8142799999996"/>
    <n v="0.33573477821231196"/>
    <n v="9678037.8059200011"/>
    <n v="0.88418079781043579"/>
  </r>
  <r>
    <s v="ORD-2024-170313"/>
    <d v="2024-12-27T00:00:00"/>
    <x v="15"/>
    <d v="2025-01-15T00:00:00"/>
    <d v="2025-01-15T00:00:00"/>
    <n v="19"/>
    <n v="0"/>
    <x v="11"/>
    <s v="Q4-2024"/>
    <d v="2023-01-29T00:00:00"/>
    <s v="01-2023"/>
    <x v="3"/>
    <x v="3"/>
    <s v="Delhi"/>
    <s v="Delhi"/>
    <s v="Non-Profit"/>
    <s v="Distributor"/>
    <x v="4"/>
    <x v="12"/>
    <x v="11"/>
    <x v="0"/>
    <s v="Low"/>
    <x v="364"/>
    <x v="1"/>
    <n v="495.59"/>
    <n v="631.78"/>
    <n v="631.78"/>
    <n v="8.6999999999999994E-2"/>
    <n v="8.6999999999999994E-2"/>
    <x v="0"/>
    <n v="17"/>
    <n v="9805.8573800000013"/>
    <n v="8425.0299999999988"/>
    <n v="1380.8273800000024"/>
    <n v="0.14081658813601899"/>
    <n v="9687843.663300002"/>
    <n v="0.88507665614198328"/>
  </r>
  <r>
    <s v="ORD-2024-544865"/>
    <d v="2024-02-16T00:00:00"/>
    <x v="308"/>
    <d v="2024-03-04T00:00:00"/>
    <d v="2024-03-04T00:00:00"/>
    <n v="17"/>
    <n v="0"/>
    <x v="13"/>
    <s v="Q1-2024"/>
    <d v="2023-01-02T00:00:00"/>
    <s v="01-2023"/>
    <x v="0"/>
    <x v="0"/>
    <s v="Montreal"/>
    <s v="Montreal"/>
    <s v="Non-Profit"/>
    <s v="Retail"/>
    <x v="1"/>
    <x v="11"/>
    <x v="10"/>
    <x v="2"/>
    <s v="High"/>
    <x v="365"/>
    <x v="1"/>
    <n v="1350.98"/>
    <n v="2210.4"/>
    <n v="2210.4"/>
    <n v="0.26300000000000001"/>
    <n v="0.26300000000000001"/>
    <x v="1"/>
    <n v="6"/>
    <n v="9774.3888000000006"/>
    <n v="8105.88"/>
    <n v="1668.5088000000005"/>
    <n v="0.17070211080615091"/>
    <n v="9697618.0521000028"/>
    <n v="0.88596963951946162"/>
  </r>
  <r>
    <s v="ORD-2023-580751"/>
    <d v="2023-12-24T00:00:00"/>
    <x v="309"/>
    <d v="2024-01-13T00:00:00"/>
    <d v="2024-01-13T00:00:00"/>
    <n v="20"/>
    <n v="0"/>
    <x v="10"/>
    <s v="Q4-2023"/>
    <d v="2023-03-03T00:00:00"/>
    <s v="03-2023"/>
    <x v="3"/>
    <x v="7"/>
    <s v="Nagoya"/>
    <s v="Nagoya"/>
    <s v="Education"/>
    <s v="Direct"/>
    <x v="3"/>
    <x v="1"/>
    <x v="1"/>
    <x v="2"/>
    <s v="Medium"/>
    <x v="366"/>
    <x v="1"/>
    <n v="625.37"/>
    <n v="1319.04"/>
    <n v="1319.04"/>
    <n v="7.3999999999999996E-2"/>
    <n v="7.3999999999999996E-2"/>
    <x v="0"/>
    <n v="8"/>
    <n v="9771.4483199999995"/>
    <n v="5002.96"/>
    <n v="4768.4883199999995"/>
    <n v="0.48800220436513547"/>
    <n v="9707389.5004200023"/>
    <n v="0.88686235425612614"/>
  </r>
  <r>
    <s v="ORD-2024-836421"/>
    <d v="2024-12-14T00:00:00"/>
    <x v="310"/>
    <d v="2025-01-12T00:00:00"/>
    <d v="2025-01-12T00:00:00"/>
    <n v="29"/>
    <n v="0"/>
    <x v="11"/>
    <s v="Q4-2024"/>
    <d v="2023-01-12T00:00:00"/>
    <s v="01-2023"/>
    <x v="3"/>
    <x v="10"/>
    <s v="Shenzhen"/>
    <s v="Shenzhen"/>
    <s v="Education"/>
    <s v="Online"/>
    <x v="0"/>
    <x v="9"/>
    <x v="8"/>
    <x v="0"/>
    <s v="Medium"/>
    <x v="367"/>
    <x v="1"/>
    <n v="1412.15"/>
    <n v="1631.04"/>
    <n v="1631.04"/>
    <n v="8.9999999999999993E-3"/>
    <n v="8.9999999999999993E-3"/>
    <x v="0"/>
    <n v="6"/>
    <n v="9698.1638399999993"/>
    <n v="8472.9000000000015"/>
    <n v="1225.2638399999978"/>
    <n v="0.12633977526203535"/>
    <n v="9717087.6642600019"/>
    <n v="0.88774837375856097"/>
  </r>
  <r>
    <s v="ORD-2025-509940"/>
    <d v="2025-05-16T00:00:00"/>
    <x v="55"/>
    <d v="2025-05-27T00:00:00"/>
    <d v="2025-05-27T00:00:00"/>
    <n v="11"/>
    <n v="0"/>
    <x v="12"/>
    <s v="Q2-2025"/>
    <d v="2023-01-12T00:00:00"/>
    <s v="01-2023"/>
    <x v="3"/>
    <x v="10"/>
    <s v="Beijing"/>
    <s v="Beijing"/>
    <s v="Enterprise"/>
    <s v="Online"/>
    <x v="0"/>
    <x v="10"/>
    <x v="9"/>
    <x v="5"/>
    <s v="Medium"/>
    <x v="368"/>
    <x v="1"/>
    <n v="918.12"/>
    <n v="1337.69"/>
    <n v="1337.69"/>
    <n v="9.5000000000000001E-2"/>
    <n v="9.5000000000000001E-2"/>
    <x v="0"/>
    <n v="8"/>
    <n v="9684.8756000000012"/>
    <n v="7344.96"/>
    <n v="2339.9156000000012"/>
    <n v="0.24160512707050164"/>
    <n v="9726772.5398600027"/>
    <n v="0.8886331792538924"/>
  </r>
  <r>
    <s v="ORD-2025-474710"/>
    <d v="2025-07-24T00:00:00"/>
    <x v="311"/>
    <d v="2025-08-06T00:00:00"/>
    <d v="2025-08-06T00:00:00"/>
    <n v="13"/>
    <n v="0"/>
    <x v="0"/>
    <s v="Q3-2025"/>
    <d v="2023-01-07T00:00:00"/>
    <s v="01-2023"/>
    <x v="2"/>
    <x v="8"/>
    <s v="Johannesburg"/>
    <s v="Johannesburg"/>
    <s v="Education"/>
    <s v="Marketplace"/>
    <x v="2"/>
    <x v="11"/>
    <x v="10"/>
    <x v="1"/>
    <s v="High"/>
    <x v="369"/>
    <x v="1"/>
    <n v="1463.9"/>
    <n v="2633.02"/>
    <n v="2633.02"/>
    <n v="8.4000000000000005E-2"/>
    <n v="8.4000000000000005E-2"/>
    <x v="0"/>
    <n v="4"/>
    <n v="9647.3852800000004"/>
    <n v="5855.6"/>
    <n v="3791.7852800000001"/>
    <n v="0.39303761277791527"/>
    <n v="9736419.9251400027"/>
    <n v="0.88951455965193527"/>
  </r>
  <r>
    <s v="ORD-2025-254721"/>
    <d v="2025-05-15T00:00:00"/>
    <x v="312"/>
    <d v="2025-06-05T00:00:00"/>
    <d v="2025-06-05T00:00:00"/>
    <n v="21"/>
    <n v="0"/>
    <x v="12"/>
    <s v="Q2-2025"/>
    <d v="2023-03-03T00:00:00"/>
    <s v="03-2023"/>
    <x v="3"/>
    <x v="7"/>
    <s v="Osaka"/>
    <s v="Osaka"/>
    <s v="Enterprise"/>
    <s v="Direct"/>
    <x v="3"/>
    <x v="0"/>
    <x v="0"/>
    <x v="5"/>
    <s v="High"/>
    <x v="370"/>
    <x v="1"/>
    <n v="1466.5"/>
    <n v="2778.74"/>
    <n v="2778.74"/>
    <n v="0.13500000000000001"/>
    <n v="0.13500000000000001"/>
    <x v="0"/>
    <n v="4"/>
    <n v="9614.4403999999995"/>
    <n v="5866"/>
    <n v="3748.4403999999995"/>
    <n v="0.38987608680792279"/>
    <n v="9746034.3655400034"/>
    <n v="0.8903929302218635"/>
  </r>
  <r>
    <s v="ORD-2025-866565"/>
    <d v="2025-05-12T00:00:00"/>
    <x v="30"/>
    <d v="2025-05-26T00:00:00"/>
    <d v="2025-05-26T00:00:00"/>
    <n v="14"/>
    <n v="0"/>
    <x v="12"/>
    <s v="Q2-2025"/>
    <d v="2023-01-29T00:00:00"/>
    <s v="01-2023"/>
    <x v="3"/>
    <x v="3"/>
    <s v="Hyderabad"/>
    <s v="Hyderabad"/>
    <s v="Corporate"/>
    <s v="Marketplace"/>
    <x v="2"/>
    <x v="12"/>
    <x v="11"/>
    <x v="6"/>
    <s v="Low"/>
    <x v="371"/>
    <x v="1"/>
    <n v="320.12"/>
    <n v="594.41999999999996"/>
    <n v="594.41999999999996"/>
    <n v="0.104"/>
    <n v="0.104"/>
    <x v="0"/>
    <n v="18"/>
    <n v="9586.8057599999993"/>
    <n v="5762.16"/>
    <n v="3824.6457599999994"/>
    <n v="0.39894891538931104"/>
    <n v="9755621.1713000033"/>
    <n v="0.89126877610460487"/>
  </r>
  <r>
    <s v="ORD-2024-749242"/>
    <d v="2024-01-16T00:00:00"/>
    <x v="313"/>
    <d v="2024-02-11T00:00:00"/>
    <d v="2024-02-11T00:00:00"/>
    <n v="26"/>
    <n v="0"/>
    <x v="28"/>
    <s v="Q1-2024"/>
    <d v="2023-01-21T00:00:00"/>
    <s v="01-2023"/>
    <x v="1"/>
    <x v="4"/>
    <s v="Frankfurt"/>
    <s v="Frankfurt"/>
    <s v="Non-Profit"/>
    <s v="Distributor"/>
    <x v="4"/>
    <x v="15"/>
    <x v="14"/>
    <x v="3"/>
    <s v="Medium"/>
    <x v="372"/>
    <x v="1"/>
    <n v="504.93"/>
    <n v="819.06"/>
    <n v="819.06"/>
    <n v="0.22600000000000001"/>
    <n v="0.22600000000000001"/>
    <x v="1"/>
    <n v="15"/>
    <n v="9509.2865999999995"/>
    <n v="7573.95"/>
    <n v="1935.3365999999996"/>
    <n v="0.20352069312959814"/>
    <n v="9765130.4579000026"/>
    <n v="0.89213753987482414"/>
  </r>
  <r>
    <s v="ORD-2024-800947"/>
    <d v="2024-12-15T00:00:00"/>
    <x v="314"/>
    <d v="2024-12-20T00:00:00"/>
    <d v="2024-12-20T00:00:00"/>
    <n v="5"/>
    <n v="1"/>
    <x v="11"/>
    <s v="Q4-2024"/>
    <d v="2023-01-12T00:00:00"/>
    <s v="01-2023"/>
    <x v="3"/>
    <x v="10"/>
    <s v="Shenzhen"/>
    <s v="Shenzhen"/>
    <s v="Small Business"/>
    <s v="Direct"/>
    <x v="3"/>
    <x v="9"/>
    <x v="8"/>
    <x v="1"/>
    <s v="Low"/>
    <x v="373"/>
    <x v="1"/>
    <n v="717.55"/>
    <n v="546.42999999999995"/>
    <n v="546.42999999999995"/>
    <n v="4.7E-2"/>
    <n v="4.7E-2"/>
    <x v="0"/>
    <n v="18"/>
    <n v="9373.460219999999"/>
    <n v="12915.9"/>
    <n v="3542.4397800000006"/>
    <n v="0.37792231437026369"/>
    <n v="9774503.9181200024"/>
    <n v="0.89299389461343592"/>
  </r>
  <r>
    <s v="ORD-2024-532184"/>
    <d v="2024-01-25T00:00:00"/>
    <x v="315"/>
    <d v="2024-02-08T00:00:00"/>
    <d v="2024-02-08T00:00:00"/>
    <n v="14"/>
    <n v="0"/>
    <x v="28"/>
    <s v="Q1-2024"/>
    <d v="2023-03-03T00:00:00"/>
    <s v="03-2023"/>
    <x v="3"/>
    <x v="7"/>
    <s v="Osaka"/>
    <s v="Osaka"/>
    <s v="Consumer"/>
    <s v="Marketplace"/>
    <x v="2"/>
    <x v="13"/>
    <x v="12"/>
    <x v="1"/>
    <s v="Medium"/>
    <x v="374"/>
    <x v="1"/>
    <n v="937.16"/>
    <n v="1069.77"/>
    <n v="1069.77"/>
    <n v="3.7999999999999999E-2"/>
    <n v="3.7999999999999999E-2"/>
    <x v="0"/>
    <n v="9"/>
    <n v="9262.0686600000008"/>
    <n v="8434.44"/>
    <n v="827.62866000000031"/>
    <n v="8.9356783066645962E-2"/>
    <n v="9783765.9867800027"/>
    <n v="0.89384007267363785"/>
  </r>
  <r>
    <s v="ORD-2024-741404"/>
    <d v="2024-10-19T00:00:00"/>
    <x v="316"/>
    <d v="2024-11-06T00:00:00"/>
    <d v="2024-11-06T00:00:00"/>
    <n v="18"/>
    <n v="0"/>
    <x v="20"/>
    <s v="Q4-2024"/>
    <d v="2023-01-13T00:00:00"/>
    <s v="01-2023"/>
    <x v="0"/>
    <x v="6"/>
    <s v="Chicago"/>
    <s v="Chicago"/>
    <s v="Education"/>
    <m/>
    <x v="3"/>
    <x v="5"/>
    <x v="5"/>
    <x v="3"/>
    <s v="Medium"/>
    <x v="375"/>
    <x v="1"/>
    <n v="942.02"/>
    <n v="1028.46"/>
    <n v="1028.46"/>
    <n v="0"/>
    <n v="0"/>
    <x v="0"/>
    <n v="9"/>
    <n v="9256.14"/>
    <n v="8478.18"/>
    <n v="777.95999999999913"/>
    <n v="8.4047994088248354E-2"/>
    <n v="9793022.1267800033"/>
    <n v="0.89468570909436351"/>
  </r>
  <r>
    <s v="ORD-2023-913592"/>
    <d v="2023-05-10T00:00:00"/>
    <x v="17"/>
    <d v="2023-05-14T00:00:00"/>
    <d v="2023-05-14T00:00:00"/>
    <n v="4"/>
    <n v="1"/>
    <x v="3"/>
    <s v="Q2-2023"/>
    <d v="2023-01-29T00:00:00"/>
    <s v="01-2023"/>
    <x v="3"/>
    <x v="3"/>
    <s v="Delhi"/>
    <s v="Delhi"/>
    <s v="Non-Profit"/>
    <s v="Distributor"/>
    <x v="4"/>
    <x v="5"/>
    <x v="5"/>
    <x v="3"/>
    <s v="Medium"/>
    <x v="376"/>
    <x v="1"/>
    <n v="622.6"/>
    <n v="833.69"/>
    <n v="833.69"/>
    <n v="0.20899999999999999"/>
    <n v="0.20899999999999999"/>
    <x v="1"/>
    <n v="14"/>
    <n v="9232.2830599999998"/>
    <n v="8716.4"/>
    <n v="515.88306000000011"/>
    <n v="5.5878167582959715E-2"/>
    <n v="9802254.4098400027"/>
    <n v="0.89552916595672549"/>
  </r>
  <r>
    <s v="ORD-2023-363031"/>
    <d v="2023-05-06T00:00:00"/>
    <x v="317"/>
    <d v="2023-05-14T00:00:00"/>
    <d v="2023-05-14T00:00:00"/>
    <n v="8"/>
    <n v="0"/>
    <x v="3"/>
    <s v="Q2-2023"/>
    <d v="2023-03-03T00:00:00"/>
    <s v="03-2023"/>
    <x v="3"/>
    <x v="7"/>
    <s v="Osaka"/>
    <s v="Osaka"/>
    <s v="Enterprise"/>
    <s v="Marketplace"/>
    <x v="2"/>
    <x v="1"/>
    <x v="1"/>
    <x v="5"/>
    <s v="Low"/>
    <x v="377"/>
    <x v="1"/>
    <n v="291.18"/>
    <n v="479.54"/>
    <n v="479.54"/>
    <n v="0.14099999999999999"/>
    <n v="0.14099999999999999"/>
    <x v="0"/>
    <n v="22"/>
    <n v="9062.34692"/>
    <n v="6405.96"/>
    <n v="2656.3869199999999"/>
    <n v="0.29312350801066001"/>
    <n v="9811316.756760003"/>
    <n v="0.89635709753649873"/>
  </r>
  <r>
    <s v="ORD-2023-727290"/>
    <d v="2023-04-03T00:00:00"/>
    <x v="318"/>
    <d v="2023-04-16T00:00:00"/>
    <d v="2023-04-16T00:00:00"/>
    <n v="13"/>
    <n v="0"/>
    <x v="15"/>
    <s v="Q2-2023"/>
    <d v="2023-01-10T00:00:00"/>
    <s v="01-2023"/>
    <x v="1"/>
    <x v="11"/>
    <s v="Marseille"/>
    <s v="Marseille"/>
    <s v="Non-Profit"/>
    <s v="Marketplace"/>
    <x v="2"/>
    <x v="7"/>
    <x v="6"/>
    <x v="4"/>
    <s v="Low"/>
    <x v="378"/>
    <x v="1"/>
    <n v="790.54"/>
    <n v="601.49"/>
    <n v="601.49"/>
    <n v="0"/>
    <n v="0"/>
    <x v="0"/>
    <n v="15"/>
    <n v="9022.35"/>
    <n v="11858.099999999999"/>
    <n v="2835.7499999999982"/>
    <n v="0.31430281467688553"/>
    <n v="9820339.1067600027"/>
    <n v="0.89718137501723405"/>
  </r>
  <r>
    <s v="ORD-2024-647473"/>
    <d v="2024-02-17T00:00:00"/>
    <x v="319"/>
    <d v="2024-03-04T00:00:00"/>
    <d v="2024-03-04T00:00:00"/>
    <n v="16"/>
    <n v="0"/>
    <x v="13"/>
    <s v="Q1-2024"/>
    <d v="2023-01-29T00:00:00"/>
    <s v="01-2023"/>
    <x v="3"/>
    <x v="3"/>
    <s v="Delhi"/>
    <s v="Delhi"/>
    <s v="Small Business"/>
    <s v="Marketplace"/>
    <x v="2"/>
    <x v="10"/>
    <x v="9"/>
    <x v="5"/>
    <s v="High"/>
    <x v="379"/>
    <x v="1"/>
    <n v="1231.8"/>
    <n v="2015.99"/>
    <n v="2015.99"/>
    <n v="0.26100000000000001"/>
    <n v="0.26100000000000001"/>
    <x v="1"/>
    <n v="6"/>
    <n v="8938.8996600000009"/>
    <n v="7390.7999999999993"/>
    <n v="1548.0996600000017"/>
    <n v="0.17318682599464391"/>
    <n v="9829278.0064200033"/>
    <n v="0.89799802851574506"/>
  </r>
  <r>
    <s v="ORD-2023-809913"/>
    <d v="2023-04-21T00:00:00"/>
    <x v="320"/>
    <d v="2023-05-10T00:00:00"/>
    <d v="2023-05-10T00:00:00"/>
    <n v="19"/>
    <n v="0"/>
    <x v="15"/>
    <s v="Q2-2023"/>
    <d v="2023-01-12T00:00:00"/>
    <s v="01-2023"/>
    <x v="3"/>
    <x v="10"/>
    <s v="Shanghai"/>
    <s v="Shanghai"/>
    <s v="Corporate"/>
    <s v="Retail"/>
    <x v="1"/>
    <x v="6"/>
    <x v="2"/>
    <x v="0"/>
    <s v="High"/>
    <x v="380"/>
    <x v="1"/>
    <n v="882.33"/>
    <n v="1880.15"/>
    <n v="1880.15"/>
    <n v="0.05"/>
    <n v="0.05"/>
    <x v="0"/>
    <n v="5"/>
    <n v="8930.7124999999996"/>
    <n v="4411.6500000000005"/>
    <n v="4519.0624999999991"/>
    <n v="0.50601365792482955"/>
    <n v="9838208.7189200036"/>
    <n v="0.89881393403932508"/>
  </r>
  <r>
    <s v="ORD-2023-450877"/>
    <d v="2023-09-21T00:00:00"/>
    <x v="321"/>
    <d v="2023-10-10T00:00:00"/>
    <d v="2023-10-10T00:00:00"/>
    <n v="19"/>
    <n v="0"/>
    <x v="32"/>
    <s v="Q3-2023"/>
    <d v="2023-03-03T00:00:00"/>
    <s v="03-2023"/>
    <x v="3"/>
    <x v="7"/>
    <s v="Tokyo"/>
    <s v="Tokyo"/>
    <s v="Education"/>
    <s v="Online"/>
    <x v="0"/>
    <x v="11"/>
    <x v="10"/>
    <x v="0"/>
    <s v="High"/>
    <x v="381"/>
    <x v="1"/>
    <n v="845.63"/>
    <n v="2062.12"/>
    <n v="2062.12"/>
    <n v="0.13400000000000001"/>
    <n v="0.13400000000000001"/>
    <x v="0"/>
    <n v="5"/>
    <n v="8928.9795999999988"/>
    <n v="4228.1499999999996"/>
    <n v="4700.8295999999991"/>
    <n v="0.52646884757133949"/>
    <n v="9847137.6985200029"/>
    <n v="0.89962968124600895"/>
  </r>
  <r>
    <s v="ORD-2023-883066"/>
    <d v="2023-08-12T00:00:00"/>
    <x v="322"/>
    <d v="2023-09-06T00:00:00"/>
    <d v="2023-09-06T00:00:00"/>
    <n v="25"/>
    <n v="0"/>
    <x v="21"/>
    <s v="Q3-2023"/>
    <d v="2023-01-12T00:00:00"/>
    <s v="01-2023"/>
    <x v="3"/>
    <x v="10"/>
    <s v="Shanghai"/>
    <s v="Shanghai"/>
    <s v="Small Business"/>
    <s v="Retail"/>
    <x v="1"/>
    <x v="1"/>
    <x v="1"/>
    <x v="0"/>
    <s v="Low"/>
    <x v="382"/>
    <x v="1"/>
    <n v="950.77"/>
    <n v="694.78"/>
    <n v="694.78"/>
    <n v="8.4000000000000005E-2"/>
    <n v="8.4000000000000005E-2"/>
    <x v="0"/>
    <n v="14"/>
    <n v="8909.8587200000002"/>
    <n v="13310.779999999999"/>
    <n v="4400.9212799999987"/>
    <n v="0.49393839097821279"/>
    <n v="9856047.5572400037"/>
    <n v="0.90044368157845345"/>
  </r>
  <r>
    <s v="ORD-2024-136321"/>
    <d v="2024-08-07T00:00:00"/>
    <x v="323"/>
    <d v="2024-08-17T00:00:00"/>
    <d v="2024-08-17T00:00:00"/>
    <n v="10"/>
    <n v="0"/>
    <x v="19"/>
    <s v="Q3-2024"/>
    <d v="2023-03-03T00:00:00"/>
    <s v="03-2023"/>
    <x v="3"/>
    <x v="7"/>
    <s v="Osaka"/>
    <s v="Osaka"/>
    <s v="Consumer"/>
    <s v="Online"/>
    <x v="0"/>
    <x v="3"/>
    <x v="3"/>
    <x v="1"/>
    <s v="Low"/>
    <x v="383"/>
    <x v="1"/>
    <n v="436.58"/>
    <n v="527.48"/>
    <n v="527.48"/>
    <n v="0.111"/>
    <n v="0.111"/>
    <x v="0"/>
    <n v="19"/>
    <n v="8909.6646800000017"/>
    <n v="8295.02"/>
    <n v="614.64468000000124"/>
    <n v="6.8986286473802644E-2"/>
    <n v="9864957.2219200041"/>
    <n v="0.9012576641834984"/>
  </r>
  <r>
    <s v="ORD-2023-211715"/>
    <d v="2023-10-30T00:00:00"/>
    <x v="324"/>
    <d v="2023-11-14T00:00:00"/>
    <d v="2023-11-14T00:00:00"/>
    <n v="15"/>
    <n v="0"/>
    <x v="18"/>
    <s v="Q4-2023"/>
    <d v="2023-01-29T00:00:00"/>
    <s v="01-2023"/>
    <x v="3"/>
    <x v="3"/>
    <s v="Bengaluru"/>
    <s v="Bengaluru"/>
    <s v="Corporate"/>
    <s v="Online"/>
    <x v="0"/>
    <x v="10"/>
    <x v="9"/>
    <x v="2"/>
    <s v="High"/>
    <x v="384"/>
    <x v="1"/>
    <n v="953.46"/>
    <n v="2066.75"/>
    <n v="2066.75"/>
    <n v="0.13800000000000001"/>
    <n v="0.13800000000000001"/>
    <x v="0"/>
    <n v="5"/>
    <n v="8907.6924999999992"/>
    <n v="4767.3"/>
    <n v="4140.392499999999"/>
    <n v="0.46481089238318446"/>
    <n v="9873864.9144200049"/>
    <n v="0.90207146661114368"/>
  </r>
  <r>
    <s v="ORD-2025-487025"/>
    <d v="2025-04-11T00:00:00"/>
    <x v="325"/>
    <d v="2025-05-04T00:00:00"/>
    <d v="2025-05-04T00:00:00"/>
    <n v="23"/>
    <n v="0"/>
    <x v="2"/>
    <s v="Q2-2025"/>
    <d v="2023-03-03T00:00:00"/>
    <s v="03-2023"/>
    <x v="3"/>
    <x v="7"/>
    <s v="Osaka"/>
    <s v="Osaka"/>
    <s v="Small Business"/>
    <s v="Online"/>
    <x v="0"/>
    <x v="7"/>
    <x v="6"/>
    <x v="0"/>
    <s v="Medium"/>
    <x v="385"/>
    <x v="1"/>
    <n v="786.2"/>
    <n v="1075.3"/>
    <n v="1075.3"/>
    <n v="0.08"/>
    <n v="0.08"/>
    <x v="0"/>
    <n v="9"/>
    <n v="8903.4839999999986"/>
    <n v="7075.8"/>
    <n v="1827.6839999999984"/>
    <n v="0.20527739478163815"/>
    <n v="9882768.3984200042"/>
    <n v="0.90288488455228832"/>
  </r>
  <r>
    <s v="ORD-2025-231184"/>
    <d v="2025-06-01T00:00:00"/>
    <x v="136"/>
    <d v="2025-06-06T00:00:00"/>
    <d v="2025-06-06T00:00:00"/>
    <n v="5"/>
    <n v="1"/>
    <x v="25"/>
    <s v="Q2-2025"/>
    <d v="2023-01-10T00:00:00"/>
    <s v="01-2023"/>
    <x v="1"/>
    <x v="11"/>
    <s v="Paris"/>
    <s v="Paris"/>
    <s v="Consumer"/>
    <s v="Distributor"/>
    <x v="4"/>
    <x v="12"/>
    <x v="11"/>
    <x v="0"/>
    <s v="Low"/>
    <x v="386"/>
    <x v="1"/>
    <n v="379.45"/>
    <n v="742.23"/>
    <n v="742.23"/>
    <n v="0.09"/>
    <n v="0.09"/>
    <x v="0"/>
    <n v="13"/>
    <n v="8780.5809000000008"/>
    <n v="4932.8499999999995"/>
    <n v="3847.7309000000014"/>
    <n v="0.43820915083192286"/>
    <n v="9891548.9793200046"/>
    <n v="0.90368707412636218"/>
  </r>
  <r>
    <s v="ORD-2025-737787"/>
    <d v="2025-09-14T00:00:00"/>
    <x v="259"/>
    <d v="2025-09-26T00:00:00"/>
    <d v="2025-09-26T00:00:00"/>
    <n v="12"/>
    <n v="0"/>
    <x v="29"/>
    <s v="Q3-2025"/>
    <d v="2023-01-19T00:00:00"/>
    <s v="01-2023"/>
    <x v="1"/>
    <x v="1"/>
    <s v="London"/>
    <s v="London"/>
    <s v="Small Business"/>
    <s v="Direct"/>
    <x v="3"/>
    <x v="14"/>
    <x v="13"/>
    <x v="1"/>
    <s v="Medium"/>
    <x v="387"/>
    <x v="1"/>
    <n v="425.15"/>
    <n v="885.92"/>
    <n v="885.92"/>
    <n v="0.23899999999999999"/>
    <n v="0.23899999999999999"/>
    <x v="1"/>
    <n v="13"/>
    <n v="8764.4065599999994"/>
    <n v="5526.95"/>
    <n v="3237.4565599999996"/>
    <n v="0.3693868532725848"/>
    <n v="9900313.3858800046"/>
    <n v="0.90448778602064883"/>
  </r>
  <r>
    <s v="ORD-2023-197661"/>
    <d v="2023-08-08T00:00:00"/>
    <x v="326"/>
    <d v="2023-08-22T00:00:00"/>
    <d v="2023-08-22T00:00:00"/>
    <n v="14"/>
    <n v="0"/>
    <x v="21"/>
    <s v="Q3-2023"/>
    <d v="2023-01-19T00:00:00"/>
    <s v="01-2023"/>
    <x v="1"/>
    <x v="1"/>
    <s v="Birmingham"/>
    <s v="Birmingham"/>
    <s v="Non-Profit"/>
    <s v="Direct"/>
    <x v="3"/>
    <x v="14"/>
    <x v="13"/>
    <x v="3"/>
    <s v="Medium"/>
    <x v="388"/>
    <x v="1"/>
    <n v="446.69"/>
    <n v="967.25"/>
    <n v="967.25"/>
    <n v="9.4E-2"/>
    <n v="9.4E-2"/>
    <x v="0"/>
    <n v="10"/>
    <n v="8763.2849999999999"/>
    <n v="4466.8999999999996"/>
    <n v="4296.3850000000002"/>
    <n v="0.49027105702941309"/>
    <n v="9909076.6708800048"/>
    <n v="0.9052883954497627"/>
  </r>
  <r>
    <s v="ORD-2023-334213"/>
    <d v="2023-08-19T00:00:00"/>
    <x v="195"/>
    <d v="2023-08-23T00:00:00"/>
    <d v="2023-08-23T00:00:00"/>
    <n v="4"/>
    <n v="1"/>
    <x v="21"/>
    <s v="Q3-2023"/>
    <d v="2023-01-13T00:00:00"/>
    <s v="01-2023"/>
    <x v="2"/>
    <x v="2"/>
    <s v="Abuja"/>
    <s v="Abuja"/>
    <s v="Small Business"/>
    <s v="Online"/>
    <x v="0"/>
    <x v="9"/>
    <x v="8"/>
    <x v="3"/>
    <s v="Medium"/>
    <x v="389"/>
    <x v="1"/>
    <n v="790.63"/>
    <n v="1382.31"/>
    <n v="1382.31"/>
    <n v="0.10100000000000001"/>
    <n v="0.10100000000000001"/>
    <x v="0"/>
    <n v="7"/>
    <n v="8698.8768300000011"/>
    <n v="5534.41"/>
    <n v="3164.4668300000012"/>
    <n v="0.36377878338116448"/>
    <n v="9917775.5477100052"/>
    <n v="0.90608312057998486"/>
  </r>
  <r>
    <s v="ORD-2023-749324"/>
    <d v="2023-08-19T00:00:00"/>
    <x v="195"/>
    <d v="2023-09-07T00:00:00"/>
    <d v="2023-09-07T00:00:00"/>
    <n v="19"/>
    <n v="0"/>
    <x v="21"/>
    <s v="Q3-2023"/>
    <d v="2023-01-07T00:00:00"/>
    <s v="01-2023"/>
    <x v="2"/>
    <x v="8"/>
    <s v="Johannesburg"/>
    <s v="Johannesburg"/>
    <s v="Enterprise"/>
    <s v="Retail"/>
    <x v="1"/>
    <x v="11"/>
    <x v="10"/>
    <x v="3"/>
    <s v="Low"/>
    <x v="390"/>
    <x v="1"/>
    <n v="494.61"/>
    <n v="605.23"/>
    <n v="605.23"/>
    <n v="0.20399999999999999"/>
    <n v="0.20399999999999999"/>
    <x v="1"/>
    <n v="18"/>
    <n v="8671.7354400000004"/>
    <n v="8902.98"/>
    <n v="231.24455999999918"/>
    <n v="2.6666468505639647E-2"/>
    <n v="9926447.2831500061"/>
    <n v="0.90687536608609876"/>
  </r>
  <r>
    <s v="ORD-2023-406606"/>
    <d v="2023-10-25T00:00:00"/>
    <x v="327"/>
    <d v="2023-10-28T00:00:00"/>
    <d v="2023-10-28T00:00:00"/>
    <n v="3"/>
    <n v="1"/>
    <x v="18"/>
    <s v="Q4-2023"/>
    <d v="2023-01-29T00:00:00"/>
    <s v="01-2023"/>
    <x v="0"/>
    <x v="9"/>
    <s v="Brasília"/>
    <s v="Brasília"/>
    <s v="Corporate"/>
    <s v="Distributor"/>
    <x v="4"/>
    <x v="4"/>
    <x v="4"/>
    <x v="4"/>
    <s v="Medium"/>
    <x v="391"/>
    <x v="1"/>
    <n v="509.31"/>
    <n v="1145.9000000000001"/>
    <n v="1145.9000000000001"/>
    <n v="5.7000000000000002E-2"/>
    <n v="5.7000000000000002E-2"/>
    <x v="0"/>
    <n v="8"/>
    <n v="8644.6696000000011"/>
    <n v="4074.48"/>
    <n v="4570.1896000000015"/>
    <n v="0.52867140231709964"/>
    <n v="9935091.9527500067"/>
    <n v="0.90766513887031552"/>
  </r>
  <r>
    <s v="ORD-2025-331237"/>
    <d v="2025-03-24T00:00:00"/>
    <x v="328"/>
    <d v="2025-03-25T00:00:00"/>
    <d v="2025-03-25T00:00:00"/>
    <n v="1"/>
    <n v="1"/>
    <x v="26"/>
    <s v="Q1-2025"/>
    <d v="2023-01-12T00:00:00"/>
    <s v="01-2023"/>
    <x v="3"/>
    <x v="10"/>
    <s v="Beijing"/>
    <s v="Beijing"/>
    <s v="Non-Profit"/>
    <s v="Online"/>
    <x v="0"/>
    <x v="12"/>
    <x v="11"/>
    <x v="1"/>
    <s v="High"/>
    <x v="392"/>
    <x v="1"/>
    <n v="1133.03"/>
    <n v="1921.51"/>
    <n v="1921.51"/>
    <n v="0.10100000000000001"/>
    <n v="0.10100000000000001"/>
    <x v="0"/>
    <n v="5"/>
    <n v="8637.1874499999994"/>
    <n v="5665.15"/>
    <n v="2972.0374499999998"/>
    <n v="0.3440978289755654"/>
    <n v="9943729.1402000058"/>
    <n v="0.90845422808896958"/>
  </r>
  <r>
    <s v="ORD-2024-215294"/>
    <d v="2024-06-30T00:00:00"/>
    <x v="234"/>
    <d v="2024-07-14T00:00:00"/>
    <d v="2024-07-14T00:00:00"/>
    <n v="14"/>
    <n v="0"/>
    <x v="7"/>
    <s v="Q2-2024"/>
    <d v="2023-01-29T00:00:00"/>
    <s v="01-2023"/>
    <x v="0"/>
    <x v="9"/>
    <s v="Brasília"/>
    <s v="Brasília"/>
    <s v="Education"/>
    <s v="Retail"/>
    <x v="1"/>
    <x v="5"/>
    <x v="5"/>
    <x v="4"/>
    <s v="High"/>
    <x v="393"/>
    <x v="1"/>
    <n v="1491.85"/>
    <n v="2583.02"/>
    <n v="2583.02"/>
    <n v="0.16800000000000001"/>
    <n v="0.16800000000000001"/>
    <x v="0"/>
    <n v="4"/>
    <n v="8596.2905599999995"/>
    <n v="5967.4"/>
    <n v="2628.8905599999998"/>
    <n v="0.30581685689321325"/>
    <n v="9952325.4307600055"/>
    <n v="0.90923958098776714"/>
  </r>
  <r>
    <s v="ORD-2024-503082"/>
    <d v="2024-05-19T00:00:00"/>
    <x v="329"/>
    <d v="2024-06-08T00:00:00"/>
    <d v="2024-06-08T00:00:00"/>
    <n v="20"/>
    <n v="0"/>
    <x v="1"/>
    <s v="Q2-2024"/>
    <d v="2023-01-29T00:00:00"/>
    <s v="01-2023"/>
    <x v="0"/>
    <x v="9"/>
    <s v="Brasília"/>
    <s v="Brasília"/>
    <s v="Small Business"/>
    <s v="Retail"/>
    <x v="1"/>
    <x v="15"/>
    <x v="14"/>
    <x v="3"/>
    <s v="Medium"/>
    <x v="394"/>
    <x v="1"/>
    <n v="1075.9000000000001"/>
    <n v="1242.1500000000001"/>
    <n v="1242.1500000000001"/>
    <n v="1.2E-2"/>
    <n v="1.2E-2"/>
    <x v="0"/>
    <n v="7"/>
    <n v="8590.7094000000016"/>
    <n v="7531.3000000000011"/>
    <n v="1059.4094000000005"/>
    <n v="0.12332036280961853"/>
    <n v="9960916.1401600055"/>
    <n v="0.91002442399451822"/>
  </r>
  <r>
    <s v="ORD-2024-499009"/>
    <d v="2024-01-25T00:00:00"/>
    <x v="315"/>
    <d v="2024-01-27T00:00:00"/>
    <d v="2024-01-27T00:00:00"/>
    <n v="2"/>
    <n v="1"/>
    <x v="28"/>
    <s v="Q1-2024"/>
    <d v="2023-01-29T00:00:00"/>
    <s v="01-2023"/>
    <x v="0"/>
    <x v="9"/>
    <s v="São Paulo"/>
    <s v="São Paulo"/>
    <s v="Non-Profit"/>
    <s v="Marketplace"/>
    <x v="2"/>
    <x v="14"/>
    <x v="13"/>
    <x v="2"/>
    <s v="High"/>
    <x v="395"/>
    <x v="1"/>
    <n v="1410.97"/>
    <n v="1650.75"/>
    <n v="1650.75"/>
    <n v="0.13500000000000001"/>
    <n v="0.13500000000000001"/>
    <x v="0"/>
    <n v="6"/>
    <n v="8567.3924999999999"/>
    <n v="8465.82"/>
    <n v="101.57250000000022"/>
    <n v="1.1855707556295596E-2"/>
    <n v="9969483.5326600056"/>
    <n v="0.91080713678069603"/>
  </r>
  <r>
    <s v="ORD-2023-356427"/>
    <d v="2023-04-13T00:00:00"/>
    <x v="330"/>
    <d v="2023-05-02T00:00:00"/>
    <d v="2023-05-02T00:00:00"/>
    <n v="19"/>
    <n v="0"/>
    <x v="15"/>
    <s v="Q2-2023"/>
    <d v="2023-01-02T00:00:00"/>
    <s v="01-2023"/>
    <x v="0"/>
    <x v="0"/>
    <s v="Montreal"/>
    <s v="Montreal"/>
    <s v="Consumer"/>
    <s v="Distributor"/>
    <x v="4"/>
    <x v="15"/>
    <x v="14"/>
    <x v="3"/>
    <s v="High"/>
    <x v="396"/>
    <x v="1"/>
    <n v="671.05"/>
    <n v="1645.48"/>
    <n v="1645.48"/>
    <n v="0.13700000000000001"/>
    <n v="0.13700000000000001"/>
    <x v="0"/>
    <n v="6"/>
    <n v="8520.2954399999999"/>
    <n v="4026.2999999999997"/>
    <n v="4493.9954400000006"/>
    <n v="0.52744596377517172"/>
    <n v="9978003.8281000052"/>
    <n v="0.91158554680252002"/>
  </r>
  <r>
    <s v="ORD-2025-856556"/>
    <d v="2025-06-15T00:00:00"/>
    <x v="215"/>
    <d v="2025-07-12T00:00:00"/>
    <d v="2025-07-12T00:00:00"/>
    <n v="27"/>
    <n v="0"/>
    <x v="25"/>
    <s v="Q2-2025"/>
    <d v="2023-01-10T00:00:00"/>
    <s v="01-2023"/>
    <x v="1"/>
    <x v="11"/>
    <s v="Marseille"/>
    <s v="Marseille"/>
    <s v="Consumer"/>
    <s v="Direct"/>
    <x v="3"/>
    <x v="5"/>
    <x v="5"/>
    <x v="4"/>
    <s v="Low"/>
    <x v="397"/>
    <x v="1"/>
    <n v="318.83"/>
    <n v="699.5"/>
    <n v="699.5"/>
    <n v="0.08"/>
    <n v="0.08"/>
    <x v="0"/>
    <n v="13"/>
    <n v="8366.02"/>
    <n v="4144.79"/>
    <n v="4221.2300000000005"/>
    <n v="0.50456848059172699"/>
    <n v="9986369.8481000047"/>
    <n v="0.9123498622956433"/>
  </r>
  <r>
    <s v="ORD-2023-575584"/>
    <d v="2023-01-30T00:00:00"/>
    <x v="331"/>
    <d v="2023-02-21T00:00:00"/>
    <d v="2023-02-21T00:00:00"/>
    <n v="22"/>
    <n v="0"/>
    <x v="23"/>
    <s v="Q1-2023"/>
    <d v="2023-01-21T00:00:00"/>
    <s v="01-2023"/>
    <x v="1"/>
    <x v="4"/>
    <s v="Munich"/>
    <s v="Munich"/>
    <s v="Small Business"/>
    <s v="Marketplace"/>
    <x v="2"/>
    <x v="12"/>
    <x v="11"/>
    <x v="1"/>
    <s v="Medium"/>
    <x v="398"/>
    <x v="1"/>
    <n v="1142.8800000000001"/>
    <n v="1465.29"/>
    <n v="1465.29"/>
    <n v="0.186"/>
    <n v="0.186"/>
    <x v="0"/>
    <n v="7"/>
    <n v="8349.2224200000001"/>
    <n v="8000.1600000000008"/>
    <n v="349.06241999999929"/>
    <n v="4.1807775915017401E-2"/>
    <n v="9994719.0705200043"/>
    <n v="0.91311264317007801"/>
  </r>
  <r>
    <s v="ORD-2023-430904"/>
    <d v="2023-01-27T00:00:00"/>
    <x v="332"/>
    <d v="2023-01-31T00:00:00"/>
    <d v="2023-01-31T00:00:00"/>
    <n v="4"/>
    <n v="1"/>
    <x v="23"/>
    <s v="Q1-2023"/>
    <d v="2023-01-19T00:00:00"/>
    <s v="01-2023"/>
    <x v="1"/>
    <x v="1"/>
    <s v="Manchester"/>
    <s v="Manchester"/>
    <s v="Enterprise"/>
    <s v="Online"/>
    <x v="0"/>
    <x v="14"/>
    <x v="13"/>
    <x v="2"/>
    <s v="Low"/>
    <x v="399"/>
    <x v="1"/>
    <n v="941.2"/>
    <n v="668.02"/>
    <n v="668.02"/>
    <n v="0.22"/>
    <n v="0.22"/>
    <x v="1"/>
    <n v="16"/>
    <n v="8336.8896000000004"/>
    <n v="15059.2"/>
    <n v="6722.3104000000003"/>
    <n v="0.80633314371825193"/>
    <n v="10003055.960120004"/>
    <n v="0.91387429732411285"/>
  </r>
  <r>
    <s v="ORD-2024-647571"/>
    <d v="2024-02-06T00:00:00"/>
    <x v="333"/>
    <d v="2024-02-28T00:00:00"/>
    <d v="2024-02-28T00:00:00"/>
    <n v="22"/>
    <n v="0"/>
    <x v="13"/>
    <s v="Q1-2024"/>
    <d v="2023-01-20T00:00:00"/>
    <s v="01-2023"/>
    <x v="2"/>
    <x v="5"/>
    <s v="Kisumu"/>
    <s v="Kisumu"/>
    <s v="Non-Profit"/>
    <s v="Online"/>
    <x v="0"/>
    <x v="3"/>
    <x v="3"/>
    <x v="3"/>
    <s v="Medium"/>
    <x v="400"/>
    <x v="1"/>
    <n v="834.93"/>
    <n v="1588.53"/>
    <n v="1588.53"/>
    <n v="0.126"/>
    <n v="0.126"/>
    <x v="0"/>
    <n v="6"/>
    <n v="8330.2513199999994"/>
    <n v="5009.58"/>
    <n v="3320.6713199999995"/>
    <n v="0.39862798761274343"/>
    <n v="10011386.211440004"/>
    <n v="0.91463534500813548"/>
  </r>
  <r>
    <s v="ORD-2024-364080"/>
    <d v="2024-04-16T00:00:00"/>
    <x v="334"/>
    <d v="2024-04-27T00:00:00"/>
    <d v="2024-04-27T00:00:00"/>
    <n v="11"/>
    <n v="0"/>
    <x v="22"/>
    <s v="Q2-2024"/>
    <d v="2023-01-20T00:00:00"/>
    <s v="01-2023"/>
    <x v="2"/>
    <x v="5"/>
    <s v="Nakuru"/>
    <s v="Nakuru"/>
    <s v="Enterprise"/>
    <s v="Online"/>
    <x v="0"/>
    <x v="11"/>
    <x v="10"/>
    <x v="6"/>
    <s v="Medium"/>
    <x v="401"/>
    <x v="1"/>
    <n v="401.3"/>
    <n v="826.47"/>
    <n v="826.47"/>
    <n v="0.22500000000000001"/>
    <n v="0.22500000000000001"/>
    <x v="1"/>
    <n v="13"/>
    <n v="8326.6852500000005"/>
    <n v="5216.9000000000005"/>
    <n v="3109.7852499999999"/>
    <n v="0.37347217489696755"/>
    <n v="10019712.896690004"/>
    <n v="0.915396066897748"/>
  </r>
  <r>
    <s v="ORD-2025-626047"/>
    <d v="2025-04-28T00:00:00"/>
    <x v="335"/>
    <d v="2025-05-15T00:00:00"/>
    <d v="2025-05-15T00:00:00"/>
    <n v="17"/>
    <n v="0"/>
    <x v="2"/>
    <s v="Q2-2025"/>
    <d v="2023-03-03T00:00:00"/>
    <s v="03-2023"/>
    <x v="3"/>
    <x v="7"/>
    <s v="Nagoya"/>
    <s v="Nagoya"/>
    <s v="Education"/>
    <s v="Direct"/>
    <x v="3"/>
    <x v="14"/>
    <x v="13"/>
    <x v="1"/>
    <s v="Medium"/>
    <x v="402"/>
    <x v="1"/>
    <n v="691.19"/>
    <n v="1284.3"/>
    <n v="1284.3"/>
    <n v="7.3999999999999996E-2"/>
    <n v="7.3999999999999996E-2"/>
    <x v="0"/>
    <n v="7"/>
    <n v="8324.8326000000015"/>
    <n v="4838.33"/>
    <n v="3486.5026000000016"/>
    <n v="0.41880753253825198"/>
    <n v="10028037.729290003"/>
    <n v="0.91615661953016314"/>
  </r>
  <r>
    <s v="ORD-2024-776337"/>
    <d v="2024-11-12T00:00:00"/>
    <x v="336"/>
    <d v="2024-11-21T00:00:00"/>
    <d v="2024-11-21T00:00:00"/>
    <n v="9"/>
    <n v="0"/>
    <x v="5"/>
    <s v="Q4-2024"/>
    <d v="2023-01-29T00:00:00"/>
    <s v="01-2023"/>
    <x v="3"/>
    <x v="3"/>
    <s v="Mumbai"/>
    <s v="Mumbai"/>
    <s v="Corporate"/>
    <s v="Direct"/>
    <x v="3"/>
    <x v="0"/>
    <x v="0"/>
    <x v="2"/>
    <s v="High"/>
    <x v="403"/>
    <x v="1"/>
    <n v="903.41"/>
    <n v="1860.41"/>
    <n v="1860.41"/>
    <n v="0.108"/>
    <n v="0.108"/>
    <x v="0"/>
    <n v="5"/>
    <n v="8297.4286000000011"/>
    <n v="4517.05"/>
    <n v="3780.3786000000009"/>
    <n v="0.455608451996803"/>
    <n v="10036335.157890003"/>
    <n v="0.91691466854654913"/>
  </r>
  <r>
    <s v="ORD-2024-902741"/>
    <d v="2024-12-23T00:00:00"/>
    <x v="337"/>
    <d v="2025-01-11T00:00:00"/>
    <d v="2025-01-11T00:00:00"/>
    <n v="19"/>
    <n v="0"/>
    <x v="11"/>
    <s v="Q4-2024"/>
    <d v="2023-01-21T00:00:00"/>
    <s v="01-2023"/>
    <x v="1"/>
    <x v="4"/>
    <s v="Berlin"/>
    <s v="Berlin"/>
    <s v="Education"/>
    <s v="Retail"/>
    <x v="1"/>
    <x v="3"/>
    <x v="3"/>
    <x v="5"/>
    <s v="Medium"/>
    <x v="404"/>
    <x v="1"/>
    <n v="501.81"/>
    <n v="921.62"/>
    <n v="921.62"/>
    <n v="0.01"/>
    <n v="0.01"/>
    <x v="0"/>
    <n v="9"/>
    <n v="8211.6342000000004"/>
    <n v="4516.29"/>
    <n v="3695.3442000000005"/>
    <n v="0.45001325071202031"/>
    <n v="10044546.792090002"/>
    <n v="0.91766487942853614"/>
  </r>
  <r>
    <s v="ORD-2023-630430"/>
    <d v="2023-08-04T00:00:00"/>
    <x v="338"/>
    <d v="2023-08-24T00:00:00"/>
    <d v="2023-08-24T00:00:00"/>
    <n v="20"/>
    <n v="0"/>
    <x v="21"/>
    <s v="Q3-2023"/>
    <d v="2023-01-29T00:00:00"/>
    <s v="01-2023"/>
    <x v="0"/>
    <x v="9"/>
    <s v="Brasília"/>
    <s v="Brasília"/>
    <s v="Non-Profit"/>
    <s v="Direct"/>
    <x v="3"/>
    <x v="2"/>
    <x v="0"/>
    <x v="1"/>
    <s v="Medium"/>
    <x v="405"/>
    <x v="1"/>
    <n v="582.88"/>
    <n v="1044.1400000000001"/>
    <n v="1044.1400000000001"/>
    <n v="0.216"/>
    <n v="0.216"/>
    <x v="1"/>
    <n v="10"/>
    <n v="8186.057600000001"/>
    <n v="5828.8"/>
    <n v="2357.2576000000008"/>
    <n v="0.28796005539956138"/>
    <n v="10052732.849690003"/>
    <n v="0.91841275364486363"/>
  </r>
  <r>
    <s v="ORD-2024-219735"/>
    <d v="2024-04-03T00:00:00"/>
    <x v="33"/>
    <d v="2024-04-07T00:00:00"/>
    <d v="2024-04-07T00:00:00"/>
    <n v="4"/>
    <n v="1"/>
    <x v="22"/>
    <s v="Q2-2024"/>
    <d v="2023-01-29T00:00:00"/>
    <s v="01-2023"/>
    <x v="0"/>
    <x v="9"/>
    <s v="Brasília"/>
    <s v="Brasília"/>
    <s v="Non-Profit"/>
    <s v="Direct"/>
    <x v="3"/>
    <x v="14"/>
    <x v="13"/>
    <x v="5"/>
    <s v="Medium"/>
    <x v="406"/>
    <x v="1"/>
    <n v="1023.27"/>
    <n v="1343.64"/>
    <n v="1343.64"/>
    <n v="0.13300000000000001"/>
    <n v="0.13300000000000001"/>
    <x v="0"/>
    <n v="7"/>
    <n v="8154.5511600000009"/>
    <n v="7162.8899999999994"/>
    <n v="991.66116000000147"/>
    <n v="0.12160830688810116"/>
    <n v="10060887.400850004"/>
    <n v="0.91915774944825102"/>
  </r>
  <r>
    <s v="ORD-2025-705398"/>
    <d v="2025-02-17T00:00:00"/>
    <x v="221"/>
    <d v="2025-02-15T00:00:00"/>
    <d v="2025-02-17T00:00:00"/>
    <n v="2"/>
    <n v="1"/>
    <x v="30"/>
    <s v="Q1-2025"/>
    <d v="2023-01-02T00:00:00"/>
    <s v="01-2023"/>
    <x v="0"/>
    <x v="0"/>
    <s v="Toronto"/>
    <s v="Toronto"/>
    <s v="Small Business"/>
    <s v="Retail"/>
    <x v="1"/>
    <x v="11"/>
    <x v="10"/>
    <x v="0"/>
    <s v="High"/>
    <x v="407"/>
    <x v="1"/>
    <n v="1133.47"/>
    <n v="1698.75"/>
    <n v="1698.75"/>
    <n v="4.2999999999999997E-2"/>
    <n v="4.2999999999999997E-2"/>
    <x v="0"/>
    <n v="5"/>
    <n v="8128.5187499999993"/>
    <n v="5667.35"/>
    <n v="2461.1687499999989"/>
    <n v="0.30278194904821976"/>
    <n v="10069015.919600004"/>
    <n v="0.91990036694340038"/>
  </r>
  <r>
    <s v="ORD-2025-278048"/>
    <d v="2025-06-22T00:00:00"/>
    <x v="339"/>
    <d v="2025-07-08T00:00:00"/>
    <d v="2025-07-08T00:00:00"/>
    <n v="16"/>
    <n v="0"/>
    <x v="25"/>
    <s v="Q2-2025"/>
    <d v="2023-01-19T00:00:00"/>
    <s v="01-2023"/>
    <x v="1"/>
    <x v="1"/>
    <s v="London"/>
    <s v="London"/>
    <s v="Education"/>
    <s v="Direct"/>
    <x v="3"/>
    <x v="6"/>
    <x v="2"/>
    <x v="5"/>
    <s v="Medium"/>
    <x v="408"/>
    <x v="1"/>
    <n v="892.73"/>
    <n v="979.84"/>
    <n v="979.84"/>
    <n v="0.17399999999999999"/>
    <n v="0.17399999999999999"/>
    <x v="0"/>
    <n v="10"/>
    <n v="8093.4784"/>
    <n v="8927.2999999999993"/>
    <n v="833.82159999999931"/>
    <n v="0.10302388649112838"/>
    <n v="10077109.398000004"/>
    <n v="0.92063978316932127"/>
  </r>
  <r>
    <s v="ORD-2025-411385"/>
    <d v="2025-06-05T00:00:00"/>
    <x v="340"/>
    <d v="2025-06-14T00:00:00"/>
    <d v="2025-06-14T00:00:00"/>
    <n v="9"/>
    <n v="0"/>
    <x v="25"/>
    <s v="Q2-2025"/>
    <d v="2023-01-29T00:00:00"/>
    <s v="01-2023"/>
    <x v="3"/>
    <x v="3"/>
    <s v="Delhi"/>
    <s v="Delhi"/>
    <s v="Non-Profit"/>
    <s v="Retail"/>
    <x v="1"/>
    <x v="6"/>
    <x v="2"/>
    <x v="4"/>
    <s v="Low"/>
    <x v="409"/>
    <x v="1"/>
    <n v="618.69000000000005"/>
    <n v="796.15"/>
    <n v="796.15"/>
    <n v="0.09"/>
    <n v="0.09"/>
    <x v="0"/>
    <n v="11"/>
    <n v="7969.4615000000003"/>
    <n v="6805.59"/>
    <n v="1163.8715000000002"/>
    <n v="0.14604142325049191"/>
    <n v="10085078.859500004"/>
    <n v="0.92136786927194836"/>
  </r>
  <r>
    <s v="ORD-2025-246470"/>
    <d v="2025-04-16T00:00:00"/>
    <x v="54"/>
    <d v="2025-05-16T00:00:00"/>
    <d v="2025-05-16T00:00:00"/>
    <n v="30"/>
    <n v="0"/>
    <x v="2"/>
    <s v="Q2-2025"/>
    <d v="2023-01-02T00:00:00"/>
    <s v="01-2023"/>
    <x v="0"/>
    <x v="0"/>
    <s v="Montreal"/>
    <s v="Montreal"/>
    <s v="Enterprise"/>
    <s v="Distributor"/>
    <x v="4"/>
    <x v="3"/>
    <x v="3"/>
    <x v="6"/>
    <s v="Low"/>
    <x v="410"/>
    <x v="1"/>
    <n v="763.32"/>
    <n v="568.29"/>
    <n v="568.29"/>
    <n v="0.13100000000000001"/>
    <n v="0.13100000000000001"/>
    <x v="0"/>
    <n v="16"/>
    <n v="7901.5041599999995"/>
    <n v="12213.12"/>
    <n v="4311.6158400000013"/>
    <n v="0.54567026134426555"/>
    <n v="10092980.363660004"/>
    <n v="0.92208974682524925"/>
  </r>
  <r>
    <s v="ORD-2023-880296"/>
    <d v="2023-05-02T00:00:00"/>
    <x v="4"/>
    <d v="2023-05-19T00:00:00"/>
    <d v="2023-05-19T00:00:00"/>
    <n v="17"/>
    <n v="0"/>
    <x v="3"/>
    <s v="Q2-2023"/>
    <d v="2023-01-12T00:00:00"/>
    <s v="01-2023"/>
    <x v="3"/>
    <x v="10"/>
    <s v="Shanghai"/>
    <s v="Shanghai"/>
    <s v="Non-Profit"/>
    <s v="Direct"/>
    <x v="3"/>
    <x v="9"/>
    <x v="8"/>
    <x v="3"/>
    <s v="Low"/>
    <x v="411"/>
    <x v="1"/>
    <n v="714.28"/>
    <n v="757.59"/>
    <n v="757.59"/>
    <n v="0.13600000000000001"/>
    <n v="0.13600000000000001"/>
    <x v="0"/>
    <n v="12"/>
    <n v="7854.6931199999999"/>
    <n v="8571.36"/>
    <n v="716.66688000000067"/>
    <n v="9.1240595787910383E-2"/>
    <n v="10100835.056780005"/>
    <n v="0.92280734774484374"/>
  </r>
  <r>
    <s v="ORD-2023-653343"/>
    <d v="2023-11-10T00:00:00"/>
    <x v="341"/>
    <d v="2023-11-28T00:00:00"/>
    <d v="2023-11-28T00:00:00"/>
    <n v="18"/>
    <n v="0"/>
    <x v="31"/>
    <s v="Q4-2023"/>
    <d v="2023-01-29T00:00:00"/>
    <s v="01-2023"/>
    <x v="0"/>
    <x v="9"/>
    <s v="Brasília"/>
    <s v="Brasília"/>
    <s v="Education"/>
    <s v="Marketplace"/>
    <x v="2"/>
    <x v="4"/>
    <x v="4"/>
    <x v="4"/>
    <s v="Low"/>
    <x v="412"/>
    <x v="1"/>
    <n v="388.51"/>
    <n v="776.46"/>
    <n v="776.46"/>
    <n v="0.157"/>
    <n v="0.157"/>
    <x v="0"/>
    <n v="12"/>
    <n v="7854.6693599999999"/>
    <n v="4662.12"/>
    <n v="3192.54936"/>
    <n v="0.40645241876864946"/>
    <n v="10108689.726140006"/>
    <n v="0.92352494649373629"/>
  </r>
  <r>
    <s v="ORD-2025-909340"/>
    <d v="2025-01-20T00:00:00"/>
    <x v="342"/>
    <d v="2025-02-03T00:00:00"/>
    <d v="2025-02-03T00:00:00"/>
    <n v="14"/>
    <n v="0"/>
    <x v="17"/>
    <s v="Q1-2025"/>
    <d v="2023-01-29T00:00:00"/>
    <s v="01-2023"/>
    <x v="0"/>
    <x v="9"/>
    <s v="Brasília"/>
    <s v="Brasília"/>
    <s v="Enterprise"/>
    <s v="Marketplace"/>
    <x v="2"/>
    <x v="10"/>
    <x v="9"/>
    <x v="0"/>
    <s v="Medium"/>
    <x v="413"/>
    <x v="1"/>
    <n v="974.11"/>
    <n v="880.99"/>
    <n v="880.99"/>
    <n v="0.111"/>
    <n v="0.111"/>
    <x v="0"/>
    <n v="10"/>
    <n v="7832.0010999999995"/>
    <n v="9741.1"/>
    <n v="1909.0989000000009"/>
    <n v="0.2437562093805121"/>
    <n v="10116521.727240006"/>
    <n v="0.92424047428148826"/>
  </r>
  <r>
    <s v="ORD-2023-215819"/>
    <d v="2023-07-01T00:00:00"/>
    <x v="7"/>
    <d v="2023-07-11T00:00:00"/>
    <d v="2023-07-11T00:00:00"/>
    <n v="10"/>
    <n v="0"/>
    <x v="6"/>
    <s v="Q3-2023"/>
    <d v="2023-01-10T00:00:00"/>
    <s v="01-2023"/>
    <x v="1"/>
    <x v="11"/>
    <s v="Paris"/>
    <s v="Paris"/>
    <s v="Corporate"/>
    <s v="Direct"/>
    <x v="3"/>
    <x v="10"/>
    <x v="9"/>
    <x v="1"/>
    <s v="Low"/>
    <x v="414"/>
    <x v="1"/>
    <n v="479.5"/>
    <n v="656.66"/>
    <n v="656.66"/>
    <n v="0.14899999999999999"/>
    <n v="0.14899999999999999"/>
    <x v="0"/>
    <n v="14"/>
    <n v="7823.4472399999995"/>
    <n v="6713"/>
    <n v="1110.4472399999995"/>
    <n v="0.14193835606412289"/>
    <n v="10124345.174480006"/>
    <n v="0.92495522059277668"/>
  </r>
  <r>
    <s v="ORD-2023-431328"/>
    <d v="2023-12-20T00:00:00"/>
    <x v="343"/>
    <d v="2024-01-14T00:00:00"/>
    <d v="2024-01-14T00:00:00"/>
    <n v="25"/>
    <n v="0"/>
    <x v="10"/>
    <s v="Q4-2023"/>
    <d v="2023-01-29T00:00:00"/>
    <s v="01-2023"/>
    <x v="3"/>
    <x v="3"/>
    <s v="Mumbai"/>
    <s v="Mumbai"/>
    <s v="Non-Profit"/>
    <s v="Marketplace"/>
    <x v="2"/>
    <x v="4"/>
    <x v="4"/>
    <x v="3"/>
    <s v="Medium"/>
    <x v="415"/>
    <x v="1"/>
    <n v="1085.6099999999999"/>
    <n v="1246.4100000000001"/>
    <n v="1246.4100000000001"/>
    <n v="0.113"/>
    <n v="0.113"/>
    <x v="0"/>
    <n v="7"/>
    <n v="7738.9596900000006"/>
    <n v="7599.2699999999995"/>
    <n v="139.68969000000106"/>
    <n v="1.8050189637310417E-2"/>
    <n v="10132084.134170007"/>
    <n v="0.92566224816284282"/>
  </r>
  <r>
    <s v="ORD-2025-650719"/>
    <d v="2025-02-12T00:00:00"/>
    <x v="344"/>
    <d v="2025-02-28T00:00:00"/>
    <d v="2025-02-28T00:00:00"/>
    <n v="16"/>
    <n v="0"/>
    <x v="30"/>
    <s v="Q1-2025"/>
    <d v="2023-01-29T00:00:00"/>
    <s v="01-2023"/>
    <x v="0"/>
    <x v="9"/>
    <s v="São Paulo"/>
    <s v="São Paulo"/>
    <s v="Non-Profit"/>
    <s v="Direct"/>
    <x v="3"/>
    <x v="1"/>
    <x v="1"/>
    <x v="3"/>
    <s v="Medium"/>
    <x v="416"/>
    <x v="1"/>
    <n v="414.95"/>
    <n v="1027.73"/>
    <n v="1027.73"/>
    <n v="6.3E-2"/>
    <n v="6.3E-2"/>
    <x v="0"/>
    <n v="8"/>
    <n v="7703.8640800000003"/>
    <n v="3319.6"/>
    <n v="4384.2640800000008"/>
    <n v="0.56909935513815568"/>
    <n v="10139787.998250008"/>
    <n v="0.92636606941515409"/>
  </r>
  <r>
    <s v="ORD-2025-898843"/>
    <d v="2025-02-02T00:00:00"/>
    <x v="345"/>
    <d v="2025-03-04T00:00:00"/>
    <d v="2025-03-04T00:00:00"/>
    <n v="30"/>
    <n v="0"/>
    <x v="30"/>
    <s v="Q1-2025"/>
    <d v="2023-03-03T00:00:00"/>
    <s v="03-2023"/>
    <x v="3"/>
    <x v="7"/>
    <s v="Osaka"/>
    <s v="Osaka"/>
    <s v="Education"/>
    <s v="Distributor"/>
    <x v="4"/>
    <x v="4"/>
    <x v="4"/>
    <x v="4"/>
    <s v="High"/>
    <x v="417"/>
    <x v="1"/>
    <n v="766.59"/>
    <n v="1912.8"/>
    <n v="1912.8"/>
    <n v="0.19600000000000001"/>
    <n v="0.19600000000000001"/>
    <x v="0"/>
    <n v="5"/>
    <n v="7689.4560000000001"/>
    <n v="3832.9500000000003"/>
    <n v="3856.5059999999999"/>
    <n v="0.50153170783472845"/>
    <n v="10147477.454250008"/>
    <n v="0.92706857435232737"/>
  </r>
  <r>
    <s v="ORD-2024-885858"/>
    <d v="2024-01-10T00:00:00"/>
    <x v="346"/>
    <d v="2024-01-23T00:00:00"/>
    <d v="2024-01-23T00:00:00"/>
    <n v="13"/>
    <n v="0"/>
    <x v="28"/>
    <s v="Q1-2024"/>
    <d v="2023-01-10T00:00:00"/>
    <s v="01-2023"/>
    <x v="1"/>
    <x v="11"/>
    <s v="Marseille"/>
    <s v="Marseille"/>
    <s v="Corporate"/>
    <s v="Direct"/>
    <x v="3"/>
    <x v="6"/>
    <x v="2"/>
    <x v="6"/>
    <s v="Medium"/>
    <x v="418"/>
    <x v="1"/>
    <n v="720"/>
    <n v="907.59"/>
    <n v="907.59"/>
    <n v="0.154"/>
    <n v="0.154"/>
    <x v="0"/>
    <n v="10"/>
    <n v="7678.2113999999992"/>
    <n v="7200"/>
    <n v="478.21139999999923"/>
    <n v="6.2281614179052078E-2"/>
    <n v="10155155.665650008"/>
    <n v="0.92777005198834739"/>
  </r>
  <r>
    <s v="ORD-2023-191563"/>
    <d v="2023-11-30T00:00:00"/>
    <x v="347"/>
    <d v="2023-12-10T00:00:00"/>
    <d v="2023-12-10T00:00:00"/>
    <n v="10"/>
    <n v="0"/>
    <x v="31"/>
    <s v="Q4-2023"/>
    <d v="2023-01-21T00:00:00"/>
    <s v="01-2023"/>
    <x v="1"/>
    <x v="4"/>
    <s v="Munich"/>
    <s v="Munich"/>
    <s v="Small Business"/>
    <s v="Direct"/>
    <x v="3"/>
    <x v="10"/>
    <x v="9"/>
    <x v="2"/>
    <s v="Low"/>
    <x v="419"/>
    <x v="1"/>
    <n v="174.74"/>
    <n v="415.96"/>
    <n v="415.96"/>
    <n v="0.125"/>
    <n v="0.125"/>
    <x v="0"/>
    <n v="21"/>
    <n v="7643.2649999999994"/>
    <n v="3669.54"/>
    <n v="3973.7249999999995"/>
    <n v="0.51989889137691803"/>
    <n v="10162798.930650009"/>
    <n v="0.92846833693836517"/>
  </r>
  <r>
    <s v="ORD-2025-840976"/>
    <d v="2025-09-01T00:00:00"/>
    <x v="348"/>
    <d v="2025-09-30T00:00:00"/>
    <d v="2025-09-30T00:00:00"/>
    <n v="29"/>
    <n v="0"/>
    <x v="29"/>
    <s v="Q3-2025"/>
    <d v="2023-01-29T00:00:00"/>
    <s v="01-2023"/>
    <x v="0"/>
    <x v="9"/>
    <s v="Brasília"/>
    <s v="Brasília"/>
    <s v="Education"/>
    <s v="Retail"/>
    <x v="1"/>
    <x v="3"/>
    <x v="3"/>
    <x v="4"/>
    <s v="Low"/>
    <x v="420"/>
    <x v="1"/>
    <n v="780.59"/>
    <n v="631.57000000000005"/>
    <n v="631.57000000000005"/>
    <n v="0"/>
    <n v="0"/>
    <x v="0"/>
    <n v="12"/>
    <n v="7578.84"/>
    <n v="9367.08"/>
    <n v="1788.2399999999998"/>
    <n v="0.23595167598207639"/>
    <n v="10170377.770650009"/>
    <n v="0.92916073605191063"/>
  </r>
  <r>
    <s v="ORD-2023-888140"/>
    <d v="2023-10-11T00:00:00"/>
    <x v="349"/>
    <d v="2023-10-13T00:00:00"/>
    <d v="2023-10-13T00:00:00"/>
    <n v="2"/>
    <n v="1"/>
    <x v="18"/>
    <s v="Q4-2023"/>
    <d v="2023-01-29T00:00:00"/>
    <s v="01-2023"/>
    <x v="0"/>
    <x v="9"/>
    <s v="Brasília"/>
    <s v="Brasília"/>
    <s v="Consumer"/>
    <s v="Distributor"/>
    <x v="4"/>
    <x v="2"/>
    <x v="0"/>
    <x v="4"/>
    <s v="Low"/>
    <x v="421"/>
    <x v="1"/>
    <n v="715.94"/>
    <n v="550.07000000000005"/>
    <n v="550.07000000000005"/>
    <n v="0.14000000000000001"/>
    <n v="0.14000000000000001"/>
    <x v="0"/>
    <n v="16"/>
    <n v="7568.9632000000001"/>
    <n v="11455.04"/>
    <n v="3886.0768000000007"/>
    <n v="0.51342260456491595"/>
    <n v="10177946.733850008"/>
    <n v="0.92985223282584129"/>
  </r>
  <r>
    <s v="ORD-2025-703623"/>
    <d v="2025-07-23T00:00:00"/>
    <x v="64"/>
    <d v="2025-08-19T00:00:00"/>
    <d v="2025-08-19T00:00:00"/>
    <n v="27"/>
    <n v="0"/>
    <x v="0"/>
    <s v="Q3-2025"/>
    <d v="2023-03-03T00:00:00"/>
    <s v="03-2023"/>
    <x v="3"/>
    <x v="7"/>
    <s v="Nagoya"/>
    <s v="Nagoya"/>
    <s v="Consumer"/>
    <s v="Marketplace"/>
    <x v="2"/>
    <x v="1"/>
    <x v="1"/>
    <x v="4"/>
    <s v="Low"/>
    <x v="422"/>
    <x v="1"/>
    <n v="896.09"/>
    <n v="744.27"/>
    <n v="744.27"/>
    <n v="8.3000000000000004E-2"/>
    <n v="8.3000000000000004E-2"/>
    <x v="0"/>
    <n v="11"/>
    <n v="7507.4514899999995"/>
    <n v="9856.99"/>
    <n v="2349.5385100000003"/>
    <n v="0.31296086469950679"/>
    <n v="10185454.185340008"/>
    <n v="0.93053810992004848"/>
  </r>
  <r>
    <s v="ORD-2024-719055"/>
    <d v="2024-01-02T00:00:00"/>
    <x v="151"/>
    <d v="2024-01-01T00:00:00"/>
    <d v="2024-01-02T00:00:00"/>
    <n v="1"/>
    <n v="1"/>
    <x v="28"/>
    <s v="Q1-2024"/>
    <d v="2023-01-13T00:00:00"/>
    <s v="01-2023"/>
    <x v="0"/>
    <x v="6"/>
    <s v="Chicago"/>
    <s v="Chicago"/>
    <s v="Education"/>
    <s v="Marketplace"/>
    <x v="2"/>
    <x v="1"/>
    <x v="1"/>
    <x v="1"/>
    <s v="Low"/>
    <x v="423"/>
    <x v="1"/>
    <n v="404.77"/>
    <n v="433.88"/>
    <n v="433.88"/>
    <n v="0.215"/>
    <n v="0.215"/>
    <x v="1"/>
    <n v="22"/>
    <n v="7493.1076000000012"/>
    <n v="8904.9399999999987"/>
    <n v="1411.8323999999975"/>
    <n v="0.18841747314558746"/>
    <n v="10192947.292940008"/>
    <n v="0.93122267656348467"/>
  </r>
  <r>
    <s v="ORD-2024-550400"/>
    <d v="2024-08-19T00:00:00"/>
    <x v="350"/>
    <d v="2024-09-02T00:00:00"/>
    <d v="2024-09-02T00:00:00"/>
    <n v="14"/>
    <n v="0"/>
    <x v="19"/>
    <s v="Q3-2024"/>
    <d v="2023-01-02T00:00:00"/>
    <s v="01-2023"/>
    <x v="0"/>
    <x v="0"/>
    <s v="Toronto"/>
    <s v="Toronto"/>
    <s v="Consumer"/>
    <s v="Distributor"/>
    <x v="4"/>
    <x v="5"/>
    <x v="5"/>
    <x v="6"/>
    <s v="Medium"/>
    <x v="424"/>
    <x v="1"/>
    <n v="1337.01"/>
    <n v="1269.78"/>
    <n v="1269.78"/>
    <n v="0.16"/>
    <n v="0.16"/>
    <x v="0"/>
    <n v="7"/>
    <n v="7466.3063999999986"/>
    <n v="9359.07"/>
    <n v="1892.7636000000011"/>
    <n v="0.25350735672996244"/>
    <n v="10200413.599340007"/>
    <n v="0.9319047946624045"/>
  </r>
  <r>
    <s v="ORD-2023-949710"/>
    <d v="2023-03-07T00:00:00"/>
    <x v="351"/>
    <d v="2023-04-01T00:00:00"/>
    <d v="2023-04-01T00:00:00"/>
    <n v="25"/>
    <n v="0"/>
    <x v="16"/>
    <s v="Q1-2023"/>
    <d v="2023-01-20T00:00:00"/>
    <s v="01-2023"/>
    <x v="2"/>
    <x v="5"/>
    <s v="Nairobi"/>
    <s v="Nairobi"/>
    <s v="Consumer"/>
    <s v="Marketplace"/>
    <x v="2"/>
    <x v="11"/>
    <x v="10"/>
    <x v="6"/>
    <s v="Medium"/>
    <x v="425"/>
    <x v="1"/>
    <n v="1024.0999999999999"/>
    <n v="918.19"/>
    <n v="918.19"/>
    <n v="0.189"/>
    <n v="0.189"/>
    <x v="0"/>
    <n v="10"/>
    <n v="7446.5209000000004"/>
    <n v="10241"/>
    <n v="2794.4790999999996"/>
    <n v="0.37527311579827827"/>
    <n v="10207860.120240007"/>
    <n v="0.93258510516772675"/>
  </r>
  <r>
    <s v="ORD-2024-567435"/>
    <d v="2024-04-26T00:00:00"/>
    <x v="217"/>
    <d v="2024-04-24T00:00:00"/>
    <d v="2024-04-26T00:00:00"/>
    <n v="2"/>
    <n v="1"/>
    <x v="22"/>
    <s v="Q2-2024"/>
    <d v="2023-01-19T00:00:00"/>
    <s v="01-2023"/>
    <x v="1"/>
    <x v="1"/>
    <s v="London"/>
    <s v="London"/>
    <s v="Non-Profit"/>
    <s v="Distributor"/>
    <x v="4"/>
    <x v="14"/>
    <x v="13"/>
    <x v="5"/>
    <s v="Medium"/>
    <x v="426"/>
    <x v="1"/>
    <n v="1232.77"/>
    <n v="891.73"/>
    <n v="891.73"/>
    <n v="0.16700000000000001"/>
    <n v="0.16700000000000001"/>
    <x v="0"/>
    <n v="10"/>
    <n v="7428.1108999999988"/>
    <n v="12327.7"/>
    <n v="4899.589100000002"/>
    <n v="0.65960096260813805"/>
    <n v="10215288.231140006"/>
    <n v="0.93326373374445837"/>
  </r>
  <r>
    <s v="ORD-2024-892879"/>
    <d v="2024-07-09T00:00:00"/>
    <x v="156"/>
    <d v="2024-08-08T00:00:00"/>
    <d v="2024-08-08T00:00:00"/>
    <n v="30"/>
    <n v="0"/>
    <x v="9"/>
    <s v="Q3-2024"/>
    <d v="2023-01-10T00:00:00"/>
    <s v="01-2023"/>
    <x v="1"/>
    <x v="11"/>
    <s v="Marseille"/>
    <s v="Marseille"/>
    <s v="Corporate"/>
    <s v="Direct"/>
    <x v="3"/>
    <x v="9"/>
    <x v="8"/>
    <x v="0"/>
    <s v="Medium"/>
    <x v="427"/>
    <x v="1"/>
    <n v="1062.3800000000001"/>
    <n v="1503.96"/>
    <n v="1503.96"/>
    <n v="0.18"/>
    <n v="0.18"/>
    <x v="0"/>
    <n v="6"/>
    <n v="7399.4832000000006"/>
    <n v="6374.2800000000007"/>
    <n v="1025.2031999999999"/>
    <n v="0.13855064905073369"/>
    <n v="10222687.714340007"/>
    <n v="0.93393974690852766"/>
  </r>
  <r>
    <s v="ORD-2023-375011"/>
    <d v="2023-08-23T00:00:00"/>
    <x v="352"/>
    <d v="2023-09-22T00:00:00"/>
    <d v="2023-09-22T00:00:00"/>
    <n v="30"/>
    <n v="0"/>
    <x v="21"/>
    <s v="Q3-2023"/>
    <d v="2023-01-19T00:00:00"/>
    <s v="01-2023"/>
    <x v="1"/>
    <x v="1"/>
    <s v="London"/>
    <s v="London"/>
    <s v="Consumer"/>
    <s v="Distributor"/>
    <x v="4"/>
    <x v="8"/>
    <x v="7"/>
    <x v="4"/>
    <s v="Low"/>
    <x v="428"/>
    <x v="1"/>
    <n v="209.81"/>
    <n v="523"/>
    <n v="523"/>
    <n v="5.8999999999999997E-2"/>
    <n v="5.8999999999999997E-2"/>
    <x v="0"/>
    <n v="15"/>
    <n v="7382.1450000000004"/>
    <n v="3147.15"/>
    <n v="4234.9950000000008"/>
    <n v="0.57368082041195356"/>
    <n v="10230069.859340006"/>
    <n v="0.93461417606312946"/>
  </r>
  <r>
    <s v="ORD-2023-752962"/>
    <d v="2023-04-21T00:00:00"/>
    <x v="90"/>
    <d v="2023-04-19T00:00:00"/>
    <d v="2023-04-21T00:00:00"/>
    <n v="2"/>
    <n v="1"/>
    <x v="15"/>
    <s v="Q2-2023"/>
    <d v="2023-03-03T00:00:00"/>
    <s v="03-2023"/>
    <x v="3"/>
    <x v="7"/>
    <s v="Nagoya"/>
    <s v="Nagoya"/>
    <s v="Small Business"/>
    <s v="Direct"/>
    <x v="3"/>
    <x v="7"/>
    <x v="6"/>
    <x v="0"/>
    <s v="Medium"/>
    <x v="429"/>
    <x v="1"/>
    <n v="607.04"/>
    <n v="1229.3399999999999"/>
    <n v="1229.3399999999999"/>
    <n v="0.14699999999999999"/>
    <n v="0.14699999999999999"/>
    <x v="0"/>
    <n v="7"/>
    <n v="7340.3891399999993"/>
    <n v="4249.28"/>
    <n v="3091.1091399999996"/>
    <n v="0.42110970972310058"/>
    <n v="10237410.248480007"/>
    <n v="0.935284790422796"/>
  </r>
  <r>
    <s v="ORD-2024-343877"/>
    <d v="2024-03-09T00:00:00"/>
    <x v="80"/>
    <d v="2024-03-26T00:00:00"/>
    <d v="2024-03-26T00:00:00"/>
    <n v="17"/>
    <n v="0"/>
    <x v="8"/>
    <s v="Q1-2024"/>
    <d v="2023-01-12T00:00:00"/>
    <s v="01-2023"/>
    <x v="3"/>
    <x v="10"/>
    <s v="Shenzhen"/>
    <s v="Shenzhen"/>
    <s v="Enterprise"/>
    <s v="Online"/>
    <x v="0"/>
    <x v="3"/>
    <x v="3"/>
    <x v="3"/>
    <s v="Medium"/>
    <x v="430"/>
    <x v="1"/>
    <n v="1029.67"/>
    <n v="1118.43"/>
    <n v="1118.43"/>
    <n v="0.27200000000000002"/>
    <n v="0.27200000000000002"/>
    <x v="1"/>
    <n v="9"/>
    <n v="7327.9533600000004"/>
    <n v="9267.0300000000007"/>
    <n v="1939.0766400000002"/>
    <n v="0.26461367106736061"/>
    <n v="10244738.201840008"/>
    <n v="0.93595426865568732"/>
  </r>
  <r>
    <s v="ORD-2023-253245"/>
    <d v="2023-08-03T00:00:00"/>
    <x v="353"/>
    <d v="2023-08-14T00:00:00"/>
    <d v="2023-08-14T00:00:00"/>
    <n v="11"/>
    <n v="0"/>
    <x v="21"/>
    <s v="Q3-2023"/>
    <d v="2023-01-29T00:00:00"/>
    <s v="01-2023"/>
    <x v="0"/>
    <x v="9"/>
    <s v="Brasília"/>
    <s v="Brasília"/>
    <s v="Corporate"/>
    <s v="Direct"/>
    <x v="3"/>
    <x v="9"/>
    <x v="8"/>
    <x v="4"/>
    <s v="Low"/>
    <x v="431"/>
    <x v="1"/>
    <n v="232.73"/>
    <n v="334.19"/>
    <n v="334.19"/>
    <n v="0.13400000000000001"/>
    <n v="0.13400000000000001"/>
    <x v="0"/>
    <n v="25"/>
    <n v="7235.2134999999998"/>
    <n v="5818.25"/>
    <n v="1416.9634999999998"/>
    <n v="0.1958426658729559"/>
    <n v="10251973.415340008"/>
    <n v="0.93661527422035318"/>
  </r>
  <r>
    <s v="ORD-2024-764468"/>
    <d v="2024-02-01T00:00:00"/>
    <x v="197"/>
    <d v="2024-02-21T00:00:00"/>
    <d v="2024-02-21T00:00:00"/>
    <n v="20"/>
    <n v="0"/>
    <x v="13"/>
    <s v="Q1-2024"/>
    <d v="2023-01-10T00:00:00"/>
    <s v="01-2023"/>
    <x v="1"/>
    <x v="11"/>
    <s v="Paris"/>
    <s v="Paris"/>
    <s v="Small Business"/>
    <s v="Marketplace"/>
    <x v="2"/>
    <x v="6"/>
    <x v="2"/>
    <x v="1"/>
    <s v="Medium"/>
    <x v="432"/>
    <x v="1"/>
    <n v="656.2"/>
    <n v="1467.17"/>
    <n v="1467.17"/>
    <n v="1.7999999999999999E-2"/>
    <n v="1.7999999999999999E-2"/>
    <x v="0"/>
    <n v="5"/>
    <n v="7203.8047000000006"/>
    <n v="3281"/>
    <n v="3922.8047000000006"/>
    <n v="0.54454623124360946"/>
    <n v="10259177.220040008"/>
    <n v="0.93727341029242139"/>
  </r>
  <r>
    <s v="ORD-2025-155182"/>
    <d v="2025-07-11T00:00:00"/>
    <x v="137"/>
    <d v="2025-08-03T00:00:00"/>
    <d v="2025-08-03T00:00:00"/>
    <n v="23"/>
    <n v="0"/>
    <x v="0"/>
    <s v="Q3-2025"/>
    <d v="2023-01-20T00:00:00"/>
    <s v="01-2023"/>
    <x v="2"/>
    <x v="5"/>
    <s v="Nakuru"/>
    <s v="Nakuru"/>
    <s v="Small Business"/>
    <s v="Retail"/>
    <x v="1"/>
    <x v="5"/>
    <x v="5"/>
    <x v="5"/>
    <s v="Low"/>
    <x v="433"/>
    <x v="1"/>
    <n v="389.93"/>
    <n v="486.13"/>
    <n v="486.13"/>
    <n v="0.13200000000000001"/>
    <n v="0.13200000000000001"/>
    <x v="0"/>
    <n v="17"/>
    <n v="7173.3342799999991"/>
    <n v="6628.81"/>
    <n v="544.52427999999873"/>
    <n v="7.5909508569562828E-2"/>
    <n v="10266350.554320008"/>
    <n v="0.93792876260182978"/>
  </r>
  <r>
    <s v="ORD-2023-128295"/>
    <d v="2023-06-23T00:00:00"/>
    <x v="88"/>
    <d v="2023-07-03T00:00:00"/>
    <d v="2023-07-03T00:00:00"/>
    <n v="10"/>
    <n v="0"/>
    <x v="24"/>
    <s v="Q2-2023"/>
    <d v="2023-01-13T00:00:00"/>
    <s v="01-2023"/>
    <x v="2"/>
    <x v="2"/>
    <s v="Abuja"/>
    <s v="Abuja"/>
    <s v="Consumer"/>
    <s v="Online"/>
    <x v="0"/>
    <x v="9"/>
    <x v="8"/>
    <x v="6"/>
    <s v="Low"/>
    <x v="434"/>
    <x v="1"/>
    <n v="337.75"/>
    <n v="548.89"/>
    <n v="548.89"/>
    <n v="0"/>
    <n v="0"/>
    <x v="0"/>
    <n v="13"/>
    <n v="7135.57"/>
    <n v="4390.75"/>
    <n v="2744.8199999999997"/>
    <n v="0.38466723751571352"/>
    <n v="10273486.124320008"/>
    <n v="0.93858066478509805"/>
  </r>
  <r>
    <s v="ORD-2025-484073"/>
    <d v="2025-02-19T00:00:00"/>
    <x v="354"/>
    <d v="2025-03-09T00:00:00"/>
    <d v="2025-03-09T00:00:00"/>
    <n v="18"/>
    <n v="0"/>
    <x v="30"/>
    <s v="Q1-2025"/>
    <d v="2023-01-29T00:00:00"/>
    <s v="01-2023"/>
    <x v="3"/>
    <x v="3"/>
    <s v="Delhi"/>
    <s v="Delhi"/>
    <s v="Small Business"/>
    <s v="Direct"/>
    <x v="3"/>
    <x v="8"/>
    <x v="7"/>
    <x v="3"/>
    <s v="Low"/>
    <x v="435"/>
    <x v="1"/>
    <n v="325.87"/>
    <n v="538.79"/>
    <n v="538.79"/>
    <n v="0.17399999999999999"/>
    <n v="0.17399999999999999"/>
    <x v="0"/>
    <n v="16"/>
    <n v="7120.6486400000003"/>
    <n v="5213.92"/>
    <n v="1906.7286400000003"/>
    <n v="0.26777457172778013"/>
    <n v="10280606.772960007"/>
    <n v="0.93923120376021874"/>
  </r>
  <r>
    <s v="ORD-2023-944052"/>
    <d v="2023-08-30T00:00:00"/>
    <x v="355"/>
    <d v="2023-09-03T00:00:00"/>
    <d v="2023-09-03T00:00:00"/>
    <n v="4"/>
    <n v="1"/>
    <x v="21"/>
    <s v="Q3-2023"/>
    <d v="2023-01-29T00:00:00"/>
    <s v="01-2023"/>
    <x v="3"/>
    <x v="3"/>
    <s v="Delhi"/>
    <s v="Delhi"/>
    <s v="Small Business"/>
    <s v="Marketplace"/>
    <x v="2"/>
    <x v="4"/>
    <x v="4"/>
    <x v="4"/>
    <s v="High"/>
    <x v="436"/>
    <x v="1"/>
    <n v="1082.25"/>
    <n v="2433.34"/>
    <n v="2433.34"/>
    <n v="0.27"/>
    <n v="0.27"/>
    <x v="1"/>
    <n v="4"/>
    <n v="7105.3528000000006"/>
    <n v="4329"/>
    <n v="2776.3528000000006"/>
    <n v="0.3907410199251472"/>
    <n v="10287712.125760008"/>
    <n v="0.9398803453148824"/>
  </r>
  <r>
    <s v="ORD-2023-987700"/>
    <d v="2023-04-05T00:00:00"/>
    <x v="356"/>
    <d v="2023-04-16T00:00:00"/>
    <d v="2023-04-16T00:00:00"/>
    <n v="11"/>
    <n v="0"/>
    <x v="15"/>
    <s v="Q2-2023"/>
    <d v="2023-01-02T00:00:00"/>
    <s v="01-2023"/>
    <x v="0"/>
    <x v="0"/>
    <s v="Vancouver"/>
    <s v="Vancouver"/>
    <s v="Non-Profit"/>
    <s v="Online"/>
    <x v="0"/>
    <x v="8"/>
    <x v="7"/>
    <x v="3"/>
    <s v="Low"/>
    <x v="437"/>
    <x v="1"/>
    <n v="213.1"/>
    <n v="501.31"/>
    <n v="501.31"/>
    <n v="5.6000000000000001E-2"/>
    <n v="5.6000000000000001E-2"/>
    <x v="0"/>
    <n v="15"/>
    <n v="7098.5495999999994"/>
    <n v="3196.5"/>
    <n v="3902.0495999999994"/>
    <n v="0.54969674368409005"/>
    <n v="10294810.675360007"/>
    <n v="0.94052886533252333"/>
  </r>
  <r>
    <s v="ORD-2023-937291"/>
    <d v="2023-04-23T00:00:00"/>
    <x v="248"/>
    <d v="2023-04-22T00:00:00"/>
    <d v="2023-04-23T00:00:00"/>
    <n v="1"/>
    <n v="1"/>
    <x v="15"/>
    <s v="Q2-2023"/>
    <d v="2023-01-20T00:00:00"/>
    <s v="01-2023"/>
    <x v="2"/>
    <x v="5"/>
    <s v="Nairobi"/>
    <s v="Nairobi"/>
    <s v="Small Business"/>
    <s v="Direct"/>
    <x v="3"/>
    <x v="15"/>
    <x v="14"/>
    <x v="2"/>
    <s v="Medium"/>
    <x v="438"/>
    <x v="1"/>
    <n v="756.51"/>
    <n v="850.8"/>
    <n v="850.8"/>
    <n v="7.3999999999999996E-2"/>
    <n v="7.3999999999999996E-2"/>
    <x v="0"/>
    <n v="9"/>
    <n v="7090.5672000000004"/>
    <n v="6808.59"/>
    <n v="281.97720000000027"/>
    <n v="3.9767932810791252E-2"/>
    <n v="10301901.242560007"/>
    <n v="0.94117665608200662"/>
  </r>
  <r>
    <s v="ORD-2023-552115"/>
    <d v="2023-09-17T00:00:00"/>
    <x v="357"/>
    <d v="2023-10-02T00:00:00"/>
    <d v="2023-10-02T00:00:00"/>
    <n v="15"/>
    <n v="0"/>
    <x v="32"/>
    <s v="Q3-2023"/>
    <d v="2023-01-29T00:00:00"/>
    <s v="01-2023"/>
    <x v="0"/>
    <x v="9"/>
    <s v="Rio de Janeiro"/>
    <s v="Rio de Janeiro"/>
    <s v="Small Business"/>
    <s v="Retail"/>
    <x v="1"/>
    <x v="1"/>
    <x v="1"/>
    <x v="2"/>
    <s v="Low"/>
    <x v="439"/>
    <x v="1"/>
    <n v="689.33"/>
    <n v="668.27"/>
    <n v="668.27"/>
    <n v="0.186"/>
    <n v="0.186"/>
    <x v="0"/>
    <n v="13"/>
    <n v="7071.6331400000008"/>
    <n v="8961.2900000000009"/>
    <n v="1889.6568600000001"/>
    <n v="0.26721647214861033"/>
    <n v="10308972.875700006"/>
    <n v="0.94182271702503395"/>
  </r>
  <r>
    <s v="ORD-2024-988736"/>
    <d v="2024-09-09T00:00:00"/>
    <x v="129"/>
    <d v="2024-10-01T00:00:00"/>
    <d v="2024-10-01T00:00:00"/>
    <n v="22"/>
    <n v="0"/>
    <x v="27"/>
    <s v="Q3-2024"/>
    <d v="2023-01-12T00:00:00"/>
    <s v="01-2023"/>
    <x v="3"/>
    <x v="10"/>
    <s v="Shenzhen"/>
    <s v="Shenzhen"/>
    <s v="Consumer"/>
    <s v="Direct"/>
    <x v="3"/>
    <x v="4"/>
    <x v="4"/>
    <x v="6"/>
    <s v="Medium"/>
    <x v="440"/>
    <x v="1"/>
    <n v="1166.18"/>
    <n v="1335.02"/>
    <n v="1335.02"/>
    <n v="0.128"/>
    <n v="0.128"/>
    <x v="0"/>
    <n v="6"/>
    <n v="6984.8246399999998"/>
    <n v="6997.08"/>
    <n v="12.25536000000011"/>
    <n v="1.7545694604582242E-3"/>
    <n v="10315957.700340007"/>
    <n v="0.94246084718598289"/>
  </r>
  <r>
    <s v="ORD-2023-967239"/>
    <d v="2023-12-24T00:00:00"/>
    <x v="309"/>
    <d v="2024-01-01T00:00:00"/>
    <d v="2024-01-01T00:00:00"/>
    <n v="8"/>
    <n v="0"/>
    <x v="10"/>
    <s v="Q4-2023"/>
    <d v="2023-01-29T00:00:00"/>
    <s v="01-2023"/>
    <x v="0"/>
    <x v="9"/>
    <s v="São Paulo"/>
    <s v="São Paulo"/>
    <s v="Education"/>
    <s v="Direct"/>
    <x v="3"/>
    <x v="5"/>
    <x v="5"/>
    <x v="5"/>
    <s v="Low"/>
    <x v="441"/>
    <x v="1"/>
    <n v="526.49"/>
    <n v="496.2"/>
    <n v="496.2"/>
    <n v="0"/>
    <n v="0"/>
    <x v="0"/>
    <n v="14"/>
    <n v="6946.8"/>
    <n v="7370.8600000000006"/>
    <n v="424.0600000000004"/>
    <n v="6.1043933897621985E-2"/>
    <n v="10322904.500340007"/>
    <n v="0.94309550343442961"/>
  </r>
  <r>
    <s v="ORD-2024-375848"/>
    <d v="2024-05-18T00:00:00"/>
    <x v="172"/>
    <d v="2024-05-21T00:00:00"/>
    <d v="2024-05-21T00:00:00"/>
    <n v="3"/>
    <n v="1"/>
    <x v="1"/>
    <s v="Q2-2024"/>
    <d v="2023-01-10T00:00:00"/>
    <s v="01-2023"/>
    <x v="1"/>
    <x v="11"/>
    <s v="Marseille"/>
    <s v="Marseille"/>
    <s v="Non-Profit"/>
    <s v="Marketplace"/>
    <x v="2"/>
    <x v="11"/>
    <x v="10"/>
    <x v="6"/>
    <s v="Medium"/>
    <x v="442"/>
    <x v="1"/>
    <n v="663.66"/>
    <n v="824.26"/>
    <n v="824.26"/>
    <n v="0.23899999999999999"/>
    <n v="0.23899999999999999"/>
    <x v="1"/>
    <n v="11"/>
    <n v="6899.8804600000003"/>
    <n v="7300.2599999999993"/>
    <n v="400.379539999999"/>
    <n v="5.8027025587048933E-2"/>
    <n v="10329804.380800007"/>
    <n v="0.94372587313666279"/>
  </r>
  <r>
    <s v="ORD-2023-722117"/>
    <d v="2023-09-18T00:00:00"/>
    <x v="358"/>
    <d v="2023-10-08T00:00:00"/>
    <d v="2023-10-08T00:00:00"/>
    <n v="20"/>
    <n v="0"/>
    <x v="32"/>
    <s v="Q3-2023"/>
    <d v="2023-01-29T00:00:00"/>
    <s v="01-2023"/>
    <x v="3"/>
    <x v="3"/>
    <s v="Delhi"/>
    <s v="Delhi"/>
    <s v="Small Business"/>
    <s v="Direct"/>
    <x v="3"/>
    <x v="1"/>
    <x v="1"/>
    <x v="0"/>
    <s v="Medium"/>
    <x v="443"/>
    <x v="1"/>
    <n v="825.64"/>
    <n v="1108.43"/>
    <n v="1108.43"/>
    <n v="0.114"/>
    <n v="0.114"/>
    <x v="0"/>
    <n v="7"/>
    <n v="6874.4828600000001"/>
    <n v="5779.48"/>
    <n v="1095.0028600000005"/>
    <n v="0.15928512475773349"/>
    <n v="10336678.863660008"/>
    <n v="0.94435392252658878"/>
  </r>
  <r>
    <s v="ORD-2023-304451"/>
    <d v="2023-10-07T00:00:00"/>
    <x v="359"/>
    <d v="2023-10-23T00:00:00"/>
    <d v="2023-10-23T00:00:00"/>
    <n v="16"/>
    <n v="0"/>
    <x v="18"/>
    <s v="Q4-2023"/>
    <d v="2023-01-29T00:00:00"/>
    <s v="01-2023"/>
    <x v="3"/>
    <x v="3"/>
    <s v="Hyderabad"/>
    <s v="Hyderabad"/>
    <s v="Consumer"/>
    <s v="Retail"/>
    <x v="1"/>
    <x v="12"/>
    <x v="11"/>
    <x v="3"/>
    <s v="Medium"/>
    <x v="444"/>
    <x v="1"/>
    <n v="906.81"/>
    <n v="1395.56"/>
    <n v="1395.56"/>
    <n v="0.185"/>
    <n v="0.185"/>
    <x v="0"/>
    <n v="6"/>
    <n v="6824.2884000000004"/>
    <n v="5440.86"/>
    <n v="1383.4284000000007"/>
    <n v="0.20272126834498974"/>
    <n v="10343503.152060008"/>
    <n v="0.94497738617521287"/>
  </r>
  <r>
    <s v="ORD-2024-250862"/>
    <d v="2024-10-25T00:00:00"/>
    <x v="97"/>
    <d v="2024-11-05T00:00:00"/>
    <d v="2024-11-05T00:00:00"/>
    <n v="11"/>
    <n v="0"/>
    <x v="20"/>
    <s v="Q4-2024"/>
    <d v="2023-01-13T00:00:00"/>
    <s v="01-2023"/>
    <x v="0"/>
    <x v="6"/>
    <s v="New York"/>
    <s v="New York"/>
    <s v="Corporate"/>
    <s v="Distributor"/>
    <x v="4"/>
    <x v="14"/>
    <x v="13"/>
    <x v="0"/>
    <s v="Low"/>
    <x v="445"/>
    <x v="1"/>
    <n v="446.66"/>
    <n v="527.64"/>
    <n v="527.64"/>
    <n v="0.14499999999999999"/>
    <n v="0.14499999999999999"/>
    <x v="0"/>
    <n v="15"/>
    <n v="6766.9829999999993"/>
    <n v="6699.9000000000005"/>
    <n v="67.082999999998719"/>
    <n v="9.9132804087137105E-3"/>
    <n v="10350270.135060007"/>
    <n v="0.94559561443053641"/>
  </r>
  <r>
    <s v="ORD-2023-173313"/>
    <d v="2023-06-15T00:00:00"/>
    <x v="206"/>
    <d v="2023-07-12T00:00:00"/>
    <d v="2023-07-12T00:00:00"/>
    <n v="27"/>
    <n v="0"/>
    <x v="24"/>
    <s v="Q2-2023"/>
    <d v="2023-01-19T00:00:00"/>
    <s v="01-2023"/>
    <x v="1"/>
    <x v="1"/>
    <s v="Manchester"/>
    <s v="Manchester"/>
    <s v="Consumer"/>
    <s v="Direct"/>
    <x v="3"/>
    <x v="13"/>
    <x v="12"/>
    <x v="4"/>
    <s v="Medium"/>
    <x v="446"/>
    <x v="1"/>
    <n v="751.28"/>
    <n v="1111.8800000000001"/>
    <n v="1111.8800000000001"/>
    <n v="0.13500000000000001"/>
    <n v="0.13500000000000001"/>
    <x v="0"/>
    <n v="7"/>
    <n v="6732.4334000000008"/>
    <n v="5258.96"/>
    <n v="1473.4734000000008"/>
    <n v="0.21886193482433863"/>
    <n v="10357002.568460006"/>
    <n v="0.94621068625131144"/>
  </r>
  <r>
    <s v="ORD-2023-920483"/>
    <d v="2023-07-02T00:00:00"/>
    <x v="360"/>
    <d v="2023-08-01T00:00:00"/>
    <d v="2023-08-01T00:00:00"/>
    <n v="30"/>
    <n v="0"/>
    <x v="6"/>
    <s v="Q3-2023"/>
    <d v="2023-01-19T00:00:00"/>
    <s v="01-2023"/>
    <x v="1"/>
    <x v="1"/>
    <s v="Birmingham"/>
    <s v="Birmingham"/>
    <s v="Small Business"/>
    <s v="Retail"/>
    <x v="1"/>
    <x v="1"/>
    <x v="1"/>
    <x v="0"/>
    <s v="Low"/>
    <x v="447"/>
    <x v="1"/>
    <n v="137.46"/>
    <n v="188.3"/>
    <n v="188.3"/>
    <n v="3.7999999999999999E-2"/>
    <n v="3.7999999999999999E-2"/>
    <x v="0"/>
    <n v="37"/>
    <n v="6702.3501999999999"/>
    <n v="5086.0200000000004"/>
    <n v="1616.3301999999994"/>
    <n v="0.24115872071262398"/>
    <n v="10363704.918660006"/>
    <n v="0.94682300968565636"/>
  </r>
  <r>
    <s v="ORD-2023-964434"/>
    <d v="2023-11-28T00:00:00"/>
    <x v="361"/>
    <d v="2023-12-07T00:00:00"/>
    <d v="2023-12-07T00:00:00"/>
    <n v="9"/>
    <n v="0"/>
    <x v="31"/>
    <s v="Q4-2023"/>
    <d v="2023-01-29T00:00:00"/>
    <s v="01-2023"/>
    <x v="3"/>
    <x v="3"/>
    <s v="Delhi"/>
    <s v="Delhi"/>
    <s v="Enterprise"/>
    <s v="Marketplace"/>
    <x v="2"/>
    <x v="4"/>
    <x v="4"/>
    <x v="5"/>
    <s v="Medium"/>
    <x v="448"/>
    <x v="1"/>
    <n v="699.33"/>
    <n v="873.75"/>
    <n v="873.75"/>
    <n v="0.23499999999999999"/>
    <n v="0.23499999999999999"/>
    <x v="1"/>
    <n v="10"/>
    <n v="6684.1875"/>
    <n v="6993.3"/>
    <n v="309.11250000000018"/>
    <n v="4.6245336475076469E-2"/>
    <n v="10370389.106160006"/>
    <n v="0.94743367378461751"/>
  </r>
  <r>
    <s v="ORD-2025-779530"/>
    <d v="2025-05-19T00:00:00"/>
    <x v="284"/>
    <d v="2025-05-17T00:00:00"/>
    <d v="2025-05-19T00:00:00"/>
    <n v="2"/>
    <n v="1"/>
    <x v="12"/>
    <s v="Q2-2025"/>
    <d v="2023-01-29T00:00:00"/>
    <s v="01-2023"/>
    <x v="0"/>
    <x v="9"/>
    <s v="São Paulo"/>
    <s v="São Paulo"/>
    <s v="Small Business"/>
    <s v="Distributor"/>
    <x v="4"/>
    <x v="4"/>
    <x v="4"/>
    <x v="3"/>
    <s v="Medium"/>
    <x v="449"/>
    <x v="1"/>
    <n v="383.77"/>
    <n v="952.56"/>
    <n v="952.56"/>
    <n v="0.34599999999999997"/>
    <n v="0.3"/>
    <x v="1"/>
    <n v="10"/>
    <n v="6667.9199999999983"/>
    <n v="3837.7"/>
    <n v="2830.2199999999984"/>
    <n v="0.42445320279787385"/>
    <n v="10377057.026160005"/>
    <n v="0.9480428516927395"/>
  </r>
  <r>
    <s v="ORD-2024-792353"/>
    <d v="2024-08-19T00:00:00"/>
    <x v="350"/>
    <d v="2024-09-07T00:00:00"/>
    <d v="2024-09-07T00:00:00"/>
    <n v="19"/>
    <n v="0"/>
    <x v="19"/>
    <s v="Q3-2024"/>
    <d v="2023-01-10T00:00:00"/>
    <s v="01-2023"/>
    <x v="1"/>
    <x v="11"/>
    <s v="Lyon"/>
    <s v="Lyon"/>
    <s v="Corporate"/>
    <s v="Direct"/>
    <x v="3"/>
    <x v="9"/>
    <x v="8"/>
    <x v="0"/>
    <s v="Low"/>
    <x v="450"/>
    <x v="1"/>
    <n v="297.58999999999997"/>
    <n v="666.41"/>
    <n v="666.41"/>
    <n v="0"/>
    <n v="0"/>
    <x v="0"/>
    <n v="10"/>
    <n v="6664.0999999999995"/>
    <n v="2975.8999999999996"/>
    <n v="3688.2"/>
    <n v="0.55344307558409989"/>
    <n v="10383721.126160005"/>
    <n v="0.94865168060753091"/>
  </r>
  <r>
    <s v="ORD-2023-864121"/>
    <d v="2023-03-27T00:00:00"/>
    <x v="362"/>
    <d v="2023-04-22T00:00:00"/>
    <d v="2023-04-22T00:00:00"/>
    <n v="26"/>
    <n v="0"/>
    <x v="16"/>
    <s v="Q1-2023"/>
    <d v="2023-01-29T00:00:00"/>
    <s v="01-2023"/>
    <x v="3"/>
    <x v="3"/>
    <s v="Delhi"/>
    <s v="Delhi"/>
    <s v="Non-Profit"/>
    <s v="Marketplace"/>
    <x v="2"/>
    <x v="9"/>
    <x v="8"/>
    <x v="6"/>
    <s v="Low"/>
    <x v="451"/>
    <x v="1"/>
    <n v="178.53"/>
    <n v="199.37"/>
    <n v="199.37"/>
    <n v="0.10100000000000001"/>
    <n v="0.10100000000000001"/>
    <x v="0"/>
    <n v="37"/>
    <n v="6631.6443100000006"/>
    <n v="6605.61"/>
    <n v="26.034310000000914"/>
    <n v="3.9257699573457538E-3"/>
    <n v="10390352.770470005"/>
    <n v="0.94925754438636667"/>
  </r>
  <r>
    <s v="ORD-2025-636162"/>
    <d v="2025-01-07T00:00:00"/>
    <x v="363"/>
    <d v="2025-01-20T00:00:00"/>
    <d v="2025-01-20T00:00:00"/>
    <n v="13"/>
    <n v="0"/>
    <x v="17"/>
    <s v="Q1-2025"/>
    <d v="2023-01-07T00:00:00"/>
    <s v="01-2023"/>
    <x v="2"/>
    <x v="8"/>
    <s v="Cape Town"/>
    <s v="Cape Town"/>
    <s v="Corporate"/>
    <s v="Direct"/>
    <x v="3"/>
    <x v="3"/>
    <x v="3"/>
    <x v="1"/>
    <s v="Medium"/>
    <x v="452"/>
    <x v="1"/>
    <n v="432.13"/>
    <n v="1034.6600000000001"/>
    <n v="1034.6600000000001"/>
    <n v="9.1999999999999998E-2"/>
    <n v="9.1999999999999998E-2"/>
    <x v="0"/>
    <n v="7"/>
    <n v="6576.298960000001"/>
    <n v="3024.91"/>
    <n v="3551.3889600000011"/>
    <n v="0.54002851476204794"/>
    <n v="10396929.069430005"/>
    <n v="0.94985835184111089"/>
  </r>
  <r>
    <s v="ORD-2024-720756"/>
    <d v="2024-10-11T00:00:00"/>
    <x v="364"/>
    <d v="2024-11-09T00:00:00"/>
    <d v="2024-11-09T00:00:00"/>
    <n v="29"/>
    <n v="0"/>
    <x v="20"/>
    <s v="Q4-2024"/>
    <d v="2023-01-12T00:00:00"/>
    <s v="01-2023"/>
    <x v="3"/>
    <x v="10"/>
    <s v="Shanghai"/>
    <s v="Shanghai"/>
    <s v="Non-Profit"/>
    <s v="Online"/>
    <x v="0"/>
    <x v="10"/>
    <x v="9"/>
    <x v="6"/>
    <s v="Low"/>
    <x v="453"/>
    <x v="2"/>
    <n v="391.64"/>
    <n v="504.76"/>
    <n v="504.76"/>
    <n v="4.0000000000000001E-3"/>
    <n v="4.0000000000000001E-3"/>
    <x v="0"/>
    <n v="13"/>
    <n v="6535.6324800000002"/>
    <n v="5091.32"/>
    <n v="1444.3124800000005"/>
    <n v="0.22099046793402319"/>
    <n v="10403464.701910004"/>
    <n v="0.95045544402614313"/>
  </r>
  <r>
    <s v="ORD-2024-350100"/>
    <d v="2024-10-27T00:00:00"/>
    <x v="365"/>
    <d v="2024-11-20T00:00:00"/>
    <d v="2024-11-20T00:00:00"/>
    <n v="24"/>
    <n v="0"/>
    <x v="20"/>
    <s v="Q4-2024"/>
    <d v="2023-03-03T00:00:00"/>
    <s v="03-2023"/>
    <x v="3"/>
    <x v="7"/>
    <s v="Nagoya"/>
    <s v="Nagoya"/>
    <s v="Non-Profit"/>
    <s v="Online"/>
    <x v="0"/>
    <x v="0"/>
    <x v="0"/>
    <x v="3"/>
    <s v="Low"/>
    <x v="454"/>
    <x v="2"/>
    <n v="317.25"/>
    <n v="758.92"/>
    <n v="758.92"/>
    <n v="5.2999999999999999E-2"/>
    <n v="5.2999999999999999E-2"/>
    <x v="0"/>
    <n v="9"/>
    <n v="6468.2751599999992"/>
    <n v="2855.25"/>
    <n v="3613.0251599999992"/>
    <n v="0.5585762928489888"/>
    <n v="10409932.977070004"/>
    <n v="0.95104638247938289"/>
  </r>
  <r>
    <s v="ORD-2024-206311"/>
    <d v="2024-01-13T00:00:00"/>
    <x v="225"/>
    <d v="2024-01-15T00:00:00"/>
    <d v="2024-01-15T00:00:00"/>
    <n v="2"/>
    <n v="1"/>
    <x v="28"/>
    <s v="Q1-2024"/>
    <d v="2023-01-13T00:00:00"/>
    <s v="01-2023"/>
    <x v="0"/>
    <x v="6"/>
    <s v="San Francisco"/>
    <s v="San Francisco"/>
    <s v="Non-Profit"/>
    <s v="Direct"/>
    <x v="3"/>
    <x v="15"/>
    <x v="14"/>
    <x v="0"/>
    <s v="High"/>
    <x v="455"/>
    <x v="2"/>
    <n v="1061.3699999999999"/>
    <n v="1938.33"/>
    <n v="1938.33"/>
    <n v="0.17"/>
    <n v="0.17"/>
    <x v="0"/>
    <n v="4"/>
    <n v="6435.2555999999995"/>
    <n v="4245.4799999999996"/>
    <n v="2189.7755999999999"/>
    <n v="0.34027795259600879"/>
    <n v="10416368.232670004"/>
    <n v="0.95163430428177975"/>
  </r>
  <r>
    <s v="ORD-2025-640677"/>
    <d v="2025-04-09T00:00:00"/>
    <x v="366"/>
    <d v="2025-05-06T00:00:00"/>
    <d v="2025-05-06T00:00:00"/>
    <n v="27"/>
    <n v="0"/>
    <x v="2"/>
    <s v="Q2-2025"/>
    <d v="2023-01-29T00:00:00"/>
    <s v="01-2023"/>
    <x v="0"/>
    <x v="9"/>
    <s v="Brasília"/>
    <s v="Brasília"/>
    <s v="Enterprise"/>
    <s v="Marketplace"/>
    <x v="2"/>
    <x v="10"/>
    <x v="9"/>
    <x v="2"/>
    <s v="Low"/>
    <x v="456"/>
    <x v="2"/>
    <n v="264.19"/>
    <n v="620.92999999999995"/>
    <n v="620.92999999999995"/>
    <n v="0.14199999999999999"/>
    <n v="0.14199999999999999"/>
    <x v="0"/>
    <n v="12"/>
    <n v="6393.0952799999995"/>
    <n v="3170.2799999999997"/>
    <n v="3222.8152799999998"/>
    <n v="0.50410875152794532"/>
    <n v="10422761.327950003"/>
    <n v="0.95221837433797341"/>
  </r>
  <r>
    <s v="ORD-2024-851883"/>
    <d v="2024-01-13T00:00:00"/>
    <x v="225"/>
    <d v="2024-01-22T00:00:00"/>
    <d v="2024-01-22T00:00:00"/>
    <n v="9"/>
    <n v="0"/>
    <x v="28"/>
    <s v="Q1-2024"/>
    <d v="2023-01-29T00:00:00"/>
    <s v="01-2023"/>
    <x v="3"/>
    <x v="3"/>
    <s v="Mumbai"/>
    <s v="Mumbai"/>
    <s v="Enterprise"/>
    <s v="Marketplace"/>
    <x v="2"/>
    <x v="9"/>
    <x v="8"/>
    <x v="0"/>
    <s v="Low"/>
    <x v="457"/>
    <x v="2"/>
    <n v="313.60000000000002"/>
    <n v="334.28"/>
    <n v="334.28"/>
    <n v="0.14000000000000001"/>
    <n v="0.14000000000000001"/>
    <x v="0"/>
    <n v="22"/>
    <n v="6324.5775999999996"/>
    <n v="6899.2000000000007"/>
    <n v="574.62240000000111"/>
    <n v="9.0855458868905517E-2"/>
    <n v="10429085.905550003"/>
    <n v="0.95279618465245286"/>
  </r>
  <r>
    <s v="ORD-2023-244375"/>
    <d v="2023-06-03T00:00:00"/>
    <x v="367"/>
    <d v="2023-07-01T00:00:00"/>
    <d v="2023-07-01T00:00:00"/>
    <n v="28"/>
    <n v="0"/>
    <x v="24"/>
    <s v="Q2-2023"/>
    <d v="2023-01-29T00:00:00"/>
    <s v="01-2023"/>
    <x v="0"/>
    <x v="9"/>
    <s v="Brasília"/>
    <s v="Brasília"/>
    <s v="Small Business"/>
    <s v="Marketplace"/>
    <x v="2"/>
    <x v="6"/>
    <x v="2"/>
    <x v="0"/>
    <s v="High"/>
    <x v="458"/>
    <x v="2"/>
    <n v="860.4"/>
    <n v="2066.6"/>
    <n v="2066.6"/>
    <n v="0.01"/>
    <n v="0.01"/>
    <x v="0"/>
    <n v="3"/>
    <n v="6137.8019999999988"/>
    <n v="2581.1999999999998"/>
    <n v="3556.601999999999"/>
    <n v="0.57945857491004105"/>
    <n v="10435223.707550002"/>
    <n v="0.95335693123951848"/>
  </r>
  <r>
    <s v="ORD-2025-678328"/>
    <d v="2025-06-24T00:00:00"/>
    <x v="44"/>
    <d v="2025-07-14T00:00:00"/>
    <d v="2025-07-14T00:00:00"/>
    <n v="20"/>
    <n v="0"/>
    <x v="25"/>
    <s v="Q2-2025"/>
    <d v="2023-01-21T00:00:00"/>
    <s v="01-2023"/>
    <x v="1"/>
    <x v="4"/>
    <s v="Berlin"/>
    <s v="Berlin"/>
    <s v="Corporate"/>
    <s v="Direct"/>
    <x v="3"/>
    <x v="8"/>
    <x v="7"/>
    <x v="4"/>
    <s v="Medium"/>
    <x v="459"/>
    <x v="2"/>
    <n v="385.08"/>
    <n v="893.19"/>
    <n v="893.19"/>
    <n v="0.151"/>
    <n v="0.151"/>
    <x v="0"/>
    <n v="8"/>
    <n v="6066.54648"/>
    <n v="3080.64"/>
    <n v="2985.9064800000001"/>
    <n v="0.49219213762621666"/>
    <n v="10441290.254030002"/>
    <n v="0.95391116795714725"/>
  </r>
  <r>
    <s v="ORD-2024-382152"/>
    <d v="2024-12-08T00:00:00"/>
    <x v="368"/>
    <d v="2024-12-08T00:00:00"/>
    <d v="2024-12-08T00:00:00"/>
    <n v="0"/>
    <n v="1"/>
    <x v="11"/>
    <s v="Q4-2024"/>
    <d v="2023-01-10T00:00:00"/>
    <s v="01-2023"/>
    <x v="1"/>
    <x v="11"/>
    <s v="Lyon"/>
    <s v="Lyon"/>
    <s v="Enterprise"/>
    <s v="Retail"/>
    <x v="1"/>
    <x v="0"/>
    <x v="0"/>
    <x v="0"/>
    <s v="Low"/>
    <x v="460"/>
    <x v="2"/>
    <n v="257.44"/>
    <n v="290.33"/>
    <n v="290.33"/>
    <n v="9.1999999999999998E-2"/>
    <n v="9.1999999999999998E-2"/>
    <x v="0"/>
    <n v="23"/>
    <n v="6063.2517199999993"/>
    <n v="5921.12"/>
    <n v="142.1317199999994"/>
    <n v="2.3441500792581216E-2"/>
    <n v="10447353.505750002"/>
    <n v="0.95446510366711479"/>
  </r>
  <r>
    <s v="ORD-2024-585443"/>
    <d v="2024-08-17T00:00:00"/>
    <x v="369"/>
    <d v="2024-08-15T00:00:00"/>
    <d v="2024-08-17T00:00:00"/>
    <n v="2"/>
    <n v="1"/>
    <x v="19"/>
    <s v="Q3-2024"/>
    <d v="2023-01-29T00:00:00"/>
    <s v="01-2023"/>
    <x v="0"/>
    <x v="9"/>
    <s v="Rio de Janeiro"/>
    <s v="Rio de Janeiro"/>
    <s v="Consumer"/>
    <s v="Direct"/>
    <x v="3"/>
    <x v="7"/>
    <x v="6"/>
    <x v="3"/>
    <s v="Low"/>
    <x v="461"/>
    <x v="2"/>
    <n v="165.3"/>
    <n v="275.07"/>
    <n v="275.07"/>
    <n v="0.13300000000000001"/>
    <n v="0.13300000000000001"/>
    <x v="0"/>
    <n v="25"/>
    <n v="5962.1422499999999"/>
    <n v="4132.5"/>
    <n v="1829.6422499999999"/>
    <n v="0.30687665159280625"/>
    <n v="10453315.648000002"/>
    <n v="0.955009802065383"/>
  </r>
  <r>
    <s v="ORD-2024-478165"/>
    <d v="2024-12-05T00:00:00"/>
    <x v="370"/>
    <d v="2024-12-28T00:00:00"/>
    <d v="2024-12-28T00:00:00"/>
    <n v="23"/>
    <n v="0"/>
    <x v="11"/>
    <s v="Q4-2024"/>
    <d v="2023-01-02T00:00:00"/>
    <s v="01-2023"/>
    <x v="0"/>
    <x v="0"/>
    <s v="Vancouver"/>
    <s v="Vancouver"/>
    <s v="Corporate"/>
    <s v="Direct"/>
    <x v="3"/>
    <x v="10"/>
    <x v="9"/>
    <x v="4"/>
    <s v="Low"/>
    <x v="462"/>
    <x v="2"/>
    <n v="107.03"/>
    <n v="242.29"/>
    <n v="242.29"/>
    <n v="0.18"/>
    <n v="0.18"/>
    <x v="0"/>
    <n v="30"/>
    <n v="5960.3340000000007"/>
    <n v="3210.9"/>
    <n v="2749.4340000000007"/>
    <n v="0.46128857879440988"/>
    <n v="10459275.982000003"/>
    <n v="0.9555543352628163"/>
  </r>
  <r>
    <s v="ORD-2024-745424"/>
    <d v="2024-08-22T00:00:00"/>
    <x v="371"/>
    <d v="2024-09-04T00:00:00"/>
    <d v="2024-09-04T00:00:00"/>
    <n v="13"/>
    <n v="0"/>
    <x v="19"/>
    <s v="Q3-2024"/>
    <d v="2023-01-21T00:00:00"/>
    <s v="01-2023"/>
    <x v="1"/>
    <x v="4"/>
    <s v="Frankfurt"/>
    <s v="Frankfurt"/>
    <s v="Non-Profit"/>
    <s v="Retail"/>
    <x v="1"/>
    <x v="4"/>
    <x v="4"/>
    <x v="6"/>
    <s v="Low"/>
    <x v="463"/>
    <x v="2"/>
    <n v="90.04"/>
    <n v="194.62"/>
    <n v="194.62"/>
    <n v="4.2999999999999997E-2"/>
    <n v="4.2999999999999997E-2"/>
    <x v="0"/>
    <n v="32"/>
    <n v="5960.04288"/>
    <n v="2881.28"/>
    <n v="3078.7628799999998"/>
    <n v="0.51656723650954672"/>
    <n v="10465236.024880003"/>
    <n v="0.95609884186366878"/>
  </r>
  <r>
    <s v="ORD-2024-878493"/>
    <d v="2024-06-19T00:00:00"/>
    <x v="372"/>
    <d v="2024-06-20T00:00:00"/>
    <d v="2024-06-20T00:00:00"/>
    <n v="1"/>
    <n v="1"/>
    <x v="7"/>
    <s v="Q2-2024"/>
    <d v="2023-01-20T00:00:00"/>
    <s v="01-2023"/>
    <x v="2"/>
    <x v="5"/>
    <s v="Kisumu"/>
    <s v="Kisumu"/>
    <s v="Small Business"/>
    <s v="Direct"/>
    <x v="3"/>
    <x v="9"/>
    <x v="8"/>
    <x v="2"/>
    <s v="Low"/>
    <x v="464"/>
    <x v="2"/>
    <n v="231.63"/>
    <n v="537.39"/>
    <n v="537.39"/>
    <n v="0.08"/>
    <n v="0.08"/>
    <x v="0"/>
    <n v="12"/>
    <n v="5932.7856000000002"/>
    <n v="2779.56"/>
    <n v="3153.2256000000002"/>
    <n v="0.53149158129024587"/>
    <n v="10471168.810480002"/>
    <n v="0.95664085825275924"/>
  </r>
  <r>
    <s v="ORD-2025-757957"/>
    <d v="2025-04-24T00:00:00"/>
    <x v="373"/>
    <d v="2025-05-06T00:00:00"/>
    <d v="2025-05-06T00:00:00"/>
    <n v="12"/>
    <n v="0"/>
    <x v="2"/>
    <s v="Q2-2025"/>
    <d v="2023-01-29T00:00:00"/>
    <s v="01-2023"/>
    <x v="0"/>
    <x v="9"/>
    <s v="Brasília"/>
    <s v="Brasília"/>
    <s v="Consumer"/>
    <s v="Online"/>
    <x v="0"/>
    <x v="5"/>
    <x v="5"/>
    <x v="5"/>
    <s v="Medium"/>
    <x v="465"/>
    <x v="2"/>
    <n v="394.13"/>
    <n v="932.29"/>
    <n v="932.29"/>
    <n v="0.109"/>
    <n v="0.109"/>
    <x v="0"/>
    <n v="7"/>
    <n v="5814.6927299999998"/>
    <n v="2758.91"/>
    <n v="3055.7827299999999"/>
    <n v="0.5255278089303268"/>
    <n v="10476983.503210003"/>
    <n v="0.95717208573503765"/>
  </r>
  <r>
    <s v="ORD-2023-419187"/>
    <d v="2023-03-31T00:00:00"/>
    <x v="374"/>
    <d v="2023-04-05T00:00:00"/>
    <d v="2023-04-05T00:00:00"/>
    <n v="5"/>
    <n v="1"/>
    <x v="16"/>
    <s v="Q1-2023"/>
    <d v="2023-01-20T00:00:00"/>
    <s v="01-2023"/>
    <x v="2"/>
    <x v="5"/>
    <s v="Nakuru"/>
    <s v="Nakuru"/>
    <s v="Education"/>
    <s v="Marketplace"/>
    <x v="2"/>
    <x v="1"/>
    <x v="1"/>
    <x v="2"/>
    <s v="Low"/>
    <x v="466"/>
    <x v="2"/>
    <n v="533.26"/>
    <n v="385.72"/>
    <n v="385.72"/>
    <n v="0"/>
    <n v="0"/>
    <x v="0"/>
    <n v="15"/>
    <n v="5785.8"/>
    <n v="7998.9"/>
    <n v="2213.0999999999995"/>
    <n v="0.38250544436378708"/>
    <n v="10482769.303210003"/>
    <n v="0.95770067359164246"/>
  </r>
  <r>
    <s v="ORD-2023-427304"/>
    <d v="2023-06-09T00:00:00"/>
    <x v="375"/>
    <d v="2023-06-19T00:00:00"/>
    <d v="2023-06-19T00:00:00"/>
    <n v="10"/>
    <n v="0"/>
    <x v="24"/>
    <s v="Q2-2023"/>
    <d v="2023-01-12T00:00:00"/>
    <s v="01-2023"/>
    <x v="3"/>
    <x v="10"/>
    <s v="Beijing"/>
    <s v="Beijing"/>
    <s v="Enterprise"/>
    <s v="Retail"/>
    <x v="1"/>
    <x v="10"/>
    <x v="9"/>
    <x v="3"/>
    <s v="Low"/>
    <x v="467"/>
    <x v="2"/>
    <n v="339.61"/>
    <n v="621.02"/>
    <n v="621.02"/>
    <n v="7.0999999999999994E-2"/>
    <n v="7.0999999999999994E-2"/>
    <x v="0"/>
    <n v="10"/>
    <n v="5769.2758000000003"/>
    <n v="3396.1000000000004"/>
    <n v="2373.1758"/>
    <n v="0.41134726129750981"/>
    <n v="10488538.579010004"/>
    <n v="0.95822775180542186"/>
  </r>
  <r>
    <s v="ORD-2024-947056"/>
    <d v="2024-07-31T00:00:00"/>
    <x v="376"/>
    <d v="2024-08-15T00:00:00"/>
    <d v="2024-08-15T00:00:00"/>
    <n v="15"/>
    <n v="0"/>
    <x v="9"/>
    <s v="Q3-2024"/>
    <d v="2023-03-03T00:00:00"/>
    <s v="03-2023"/>
    <x v="3"/>
    <x v="7"/>
    <s v="Tokyo"/>
    <s v="Tokyo"/>
    <s v="Corporate"/>
    <s v="Marketplace"/>
    <x v="2"/>
    <x v="10"/>
    <x v="9"/>
    <x v="3"/>
    <s v="Medium"/>
    <x v="468"/>
    <x v="2"/>
    <n v="1252.52"/>
    <n v="1417.24"/>
    <n v="1417.24"/>
    <n v="0.192"/>
    <n v="0.192"/>
    <x v="0"/>
    <n v="5"/>
    <n v="5725.6496000000006"/>
    <n v="6262.6"/>
    <n v="536.95039999999972"/>
    <n v="9.3779821943696953E-2"/>
    <n v="10494264.228610003"/>
    <n v="0.9587508443509184"/>
  </r>
  <r>
    <s v="ORD-2024-357368"/>
    <d v="2024-10-30T00:00:00"/>
    <x v="377"/>
    <d v="2024-11-24T00:00:00"/>
    <d v="2024-11-24T00:00:00"/>
    <n v="25"/>
    <n v="0"/>
    <x v="20"/>
    <s v="Q4-2024"/>
    <d v="2023-01-12T00:00:00"/>
    <s v="01-2023"/>
    <x v="3"/>
    <x v="10"/>
    <s v="Shenzhen"/>
    <s v="Shenzhen"/>
    <s v="Small Business"/>
    <s v="Online"/>
    <x v="0"/>
    <x v="15"/>
    <x v="14"/>
    <x v="0"/>
    <s v="Medium"/>
    <x v="469"/>
    <x v="2"/>
    <n v="811.05"/>
    <n v="1217.71"/>
    <n v="1217.71"/>
    <n v="7.1999999999999995E-2"/>
    <n v="7.1999999999999995E-2"/>
    <x v="0"/>
    <n v="5"/>
    <n v="5650.1744000000008"/>
    <n v="4055.25"/>
    <n v="1594.9244000000008"/>
    <n v="0.28227879125288602"/>
    <n v="10499914.403010003"/>
    <n v="0.95926704151907816"/>
  </r>
  <r>
    <s v="ORD-2023-181257"/>
    <d v="2023-11-15T00:00:00"/>
    <x v="378"/>
    <d v="2023-12-06T00:00:00"/>
    <d v="2023-12-06T00:00:00"/>
    <n v="21"/>
    <n v="0"/>
    <x v="31"/>
    <s v="Q4-2023"/>
    <d v="2023-01-19T00:00:00"/>
    <s v="01-2023"/>
    <x v="1"/>
    <x v="1"/>
    <s v="Manchester"/>
    <s v="Manchester"/>
    <s v="Education"/>
    <s v="Direct"/>
    <x v="3"/>
    <x v="0"/>
    <x v="0"/>
    <x v="4"/>
    <s v="Medium"/>
    <x v="470"/>
    <x v="2"/>
    <n v="1184.99"/>
    <n v="1154.3399999999999"/>
    <n v="1154.3399999999999"/>
    <n v="2.8000000000000001E-2"/>
    <n v="2.8000000000000001E-2"/>
    <x v="0"/>
    <n v="5"/>
    <n v="5610.0923999999995"/>
    <n v="5924.95"/>
    <n v="314.85760000000028"/>
    <n v="5.6123424990290764E-2"/>
    <n v="10505524.495410003"/>
    <n v="0.95977957681533299"/>
  </r>
  <r>
    <s v="ORD-2025-473192"/>
    <d v="2025-03-30T00:00:00"/>
    <x v="379"/>
    <d v="2025-04-29T00:00:00"/>
    <d v="2025-04-29T00:00:00"/>
    <n v="30"/>
    <n v="0"/>
    <x v="26"/>
    <s v="Q1-2025"/>
    <d v="2023-01-07T00:00:00"/>
    <s v="01-2023"/>
    <x v="2"/>
    <x v="8"/>
    <s v="Durban"/>
    <s v="Durban"/>
    <s v="Consumer"/>
    <s v="Marketplace"/>
    <x v="2"/>
    <x v="9"/>
    <x v="8"/>
    <x v="3"/>
    <s v="Low"/>
    <x v="471"/>
    <x v="2"/>
    <n v="194.6"/>
    <n v="314.87"/>
    <n v="314.87"/>
    <n v="0.29299999999999998"/>
    <n v="0.29299999999999998"/>
    <x v="1"/>
    <n v="25"/>
    <n v="5565.3272500000003"/>
    <n v="4865"/>
    <n v="700.32725000000028"/>
    <n v="0.1258375686712763"/>
    <n v="10511089.822660003"/>
    <n v="0.96028802238939048"/>
  </r>
  <r>
    <s v="ORD-2024-972318"/>
    <d v="2024-12-24T00:00:00"/>
    <x v="380"/>
    <d v="2025-01-13T00:00:00"/>
    <d v="2025-01-13T00:00:00"/>
    <n v="20"/>
    <n v="0"/>
    <x v="11"/>
    <s v="Q4-2024"/>
    <d v="2023-01-29T00:00:00"/>
    <s v="01-2023"/>
    <x v="3"/>
    <x v="3"/>
    <s v="Bengaluru"/>
    <s v="Bengaluru"/>
    <s v="Corporate"/>
    <s v="Marketplace"/>
    <x v="2"/>
    <x v="11"/>
    <x v="10"/>
    <x v="1"/>
    <s v="Low"/>
    <x v="472"/>
    <x v="2"/>
    <n v="126.15"/>
    <n v="284.23"/>
    <n v="284.23"/>
    <n v="0.113"/>
    <n v="0.113"/>
    <x v="0"/>
    <n v="22"/>
    <n v="5546.4642200000008"/>
    <n v="2775.3"/>
    <n v="2771.1642200000006"/>
    <n v="0.49962716968541088"/>
    <n v="10516636.286880003"/>
    <n v="0.96079474464625814"/>
  </r>
  <r>
    <s v="ORD-2023-302041"/>
    <d v="2023-10-04T00:00:00"/>
    <x v="381"/>
    <d v="2023-10-29T00:00:00"/>
    <d v="2023-10-29T00:00:00"/>
    <n v="25"/>
    <n v="0"/>
    <x v="18"/>
    <s v="Q4-2023"/>
    <d v="2023-01-13T00:00:00"/>
    <s v="01-2023"/>
    <x v="0"/>
    <x v="6"/>
    <s v="San Francisco"/>
    <s v="San Francisco"/>
    <s v="Small Business"/>
    <s v="Distributor"/>
    <x v="4"/>
    <x v="8"/>
    <x v="7"/>
    <x v="4"/>
    <s v="Medium"/>
    <x v="473"/>
    <x v="2"/>
    <n v="1239.8399999999999"/>
    <n v="1482.75"/>
    <n v="1482.75"/>
    <n v="6.7000000000000004E-2"/>
    <n v="6.7000000000000004E-2"/>
    <x v="0"/>
    <n v="4"/>
    <n v="5533.6230000000005"/>
    <n v="4959.3599999999997"/>
    <n v="574.26300000000083"/>
    <n v="0.10377703721413634"/>
    <n v="10522169.909880003"/>
    <n v="0.9613002937355507"/>
  </r>
  <r>
    <s v="ORD-2025-725646"/>
    <d v="2025-09-10T00:00:00"/>
    <x v="116"/>
    <d v="2025-09-30T00:00:00"/>
    <d v="2025-09-30T00:00:00"/>
    <n v="20"/>
    <n v="0"/>
    <x v="29"/>
    <s v="Q3-2025"/>
    <d v="2023-01-20T00:00:00"/>
    <s v="01-2023"/>
    <x v="2"/>
    <x v="5"/>
    <s v="Mombasa"/>
    <s v="Mombasa"/>
    <s v="Corporate"/>
    <s v="Direct"/>
    <x v="3"/>
    <x v="4"/>
    <x v="4"/>
    <x v="5"/>
    <s v="Medium"/>
    <x v="474"/>
    <x v="2"/>
    <n v="1009.48"/>
    <n v="1088.81"/>
    <n v="1088.81"/>
    <n v="0.16"/>
    <n v="0.16"/>
    <x v="0"/>
    <n v="6"/>
    <n v="5487.6023999999998"/>
    <n v="6056.88"/>
    <n v="569.27760000000035"/>
    <n v="0.10373885688219693"/>
    <n v="10527657.512280002"/>
    <n v="0.96180163840534838"/>
  </r>
  <r>
    <s v="ORD-2023-294716"/>
    <d v="2023-04-10T00:00:00"/>
    <x v="382"/>
    <d v="2023-04-25T00:00:00"/>
    <d v="2023-04-25T00:00:00"/>
    <n v="15"/>
    <n v="0"/>
    <x v="15"/>
    <s v="Q2-2023"/>
    <d v="2023-01-19T00:00:00"/>
    <s v="01-2023"/>
    <x v="1"/>
    <x v="1"/>
    <s v="London"/>
    <s v="London"/>
    <s v="Small Business"/>
    <s v="Retail"/>
    <x v="1"/>
    <x v="11"/>
    <x v="10"/>
    <x v="6"/>
    <s v="Medium"/>
    <x v="475"/>
    <x v="2"/>
    <n v="405.66"/>
    <n v="962.51"/>
    <n v="962.51"/>
    <n v="0.19"/>
    <n v="0.19"/>
    <x v="0"/>
    <n v="7"/>
    <n v="5457.4317000000001"/>
    <n v="2839.6200000000003"/>
    <n v="2617.8116999999997"/>
    <n v="0.47967832561239376"/>
    <n v="10533114.943980003"/>
    <n v="0.96230022669475879"/>
  </r>
  <r>
    <s v="ORD-2025-415018"/>
    <d v="2025-01-22T00:00:00"/>
    <x v="265"/>
    <d v="2025-02-04T00:00:00"/>
    <d v="2025-02-04T00:00:00"/>
    <n v="13"/>
    <n v="0"/>
    <x v="17"/>
    <s v="Q1-2025"/>
    <d v="2023-03-03T00:00:00"/>
    <s v="03-2023"/>
    <x v="3"/>
    <x v="7"/>
    <s v="Tokyo"/>
    <s v="Tokyo"/>
    <s v="Small Business"/>
    <s v="Distributor"/>
    <x v="4"/>
    <x v="4"/>
    <x v="4"/>
    <x v="6"/>
    <s v="Low"/>
    <x v="476"/>
    <x v="2"/>
    <n v="122.29"/>
    <n v="224.95"/>
    <n v="224.95"/>
    <n v="0.153"/>
    <n v="0.153"/>
    <x v="0"/>
    <n v="28"/>
    <n v="5334.9141999999993"/>
    <n v="3424.1200000000003"/>
    <n v="1910.7941999999989"/>
    <n v="0.3581677471026618"/>
    <n v="10538449.858180003"/>
    <n v="0.9627876218453254"/>
  </r>
  <r>
    <s v="ORD-2025-114382"/>
    <d v="2025-05-14T00:00:00"/>
    <x v="383"/>
    <d v="2025-05-24T00:00:00"/>
    <d v="2025-05-24T00:00:00"/>
    <n v="10"/>
    <n v="0"/>
    <x v="12"/>
    <s v="Q2-2025"/>
    <d v="2023-01-10T00:00:00"/>
    <s v="01-2023"/>
    <x v="1"/>
    <x v="11"/>
    <s v="Paris"/>
    <s v="Paris"/>
    <s v="Small Business"/>
    <s v="Marketplace"/>
    <x v="2"/>
    <x v="3"/>
    <x v="3"/>
    <x v="0"/>
    <s v="Low"/>
    <x v="477"/>
    <x v="2"/>
    <n v="170.39"/>
    <n v="388.04"/>
    <n v="388.04"/>
    <n v="8.4000000000000005E-2"/>
    <n v="8.4000000000000005E-2"/>
    <x v="0"/>
    <n v="15"/>
    <n v="5331.6696000000002"/>
    <n v="2555.85"/>
    <n v="2775.8196000000003"/>
    <n v="0.52062858508711796"/>
    <n v="10543781.527780004"/>
    <n v="0.96327472057082397"/>
  </r>
  <r>
    <s v="ORD-2025-541501"/>
    <d v="2025-07-22T00:00:00"/>
    <x v="384"/>
    <d v="2025-08-18T00:00:00"/>
    <d v="2025-08-18T00:00:00"/>
    <n v="27"/>
    <n v="0"/>
    <x v="0"/>
    <s v="Q3-2025"/>
    <d v="2023-01-12T00:00:00"/>
    <s v="01-2023"/>
    <x v="3"/>
    <x v="10"/>
    <s v="Shenzhen"/>
    <s v="Shenzhen"/>
    <s v="Non-Profit"/>
    <s v="Marketplace"/>
    <x v="2"/>
    <x v="7"/>
    <x v="6"/>
    <x v="1"/>
    <s v="Low"/>
    <x v="478"/>
    <x v="2"/>
    <n v="547.32000000000005"/>
    <n v="419.17"/>
    <n v="419.17"/>
    <n v="9.1999999999999998E-2"/>
    <n v="9.1999999999999998E-2"/>
    <x v="0"/>
    <n v="14"/>
    <n v="5328.4890400000004"/>
    <n v="7662.4800000000005"/>
    <n v="2333.9909600000001"/>
    <n v="0.43802116181137907"/>
    <n v="10549110.016820004"/>
    <n v="0.96376152872191734"/>
  </r>
  <r>
    <s v="ORD-2024-542244"/>
    <d v="2024-08-30T00:00:00"/>
    <x v="385"/>
    <d v="2024-09-05T00:00:00"/>
    <d v="2024-09-05T00:00:00"/>
    <n v="6"/>
    <n v="1"/>
    <x v="19"/>
    <s v="Q3-2024"/>
    <d v="2023-03-03T00:00:00"/>
    <s v="03-2023"/>
    <x v="3"/>
    <x v="7"/>
    <s v="Nagoya"/>
    <s v="Nagoya"/>
    <s v="Education"/>
    <s v="Online"/>
    <x v="0"/>
    <x v="14"/>
    <x v="13"/>
    <x v="2"/>
    <s v="Medium"/>
    <x v="479"/>
    <x v="2"/>
    <n v="466.16"/>
    <n v="876.81"/>
    <n v="876.81"/>
    <n v="0.24099999999999999"/>
    <n v="0.24099999999999999"/>
    <x v="1"/>
    <n v="8"/>
    <n v="5323.9903199999999"/>
    <n v="3729.28"/>
    <n v="1594.7103199999997"/>
    <n v="0.29953291124691594"/>
    <n v="10554434.007140005"/>
    <n v="0.96424792587215313"/>
  </r>
  <r>
    <s v="ORD-2024-569164"/>
    <d v="2024-09-05T00:00:00"/>
    <x v="386"/>
    <d v="2024-09-25T00:00:00"/>
    <d v="2024-09-25T00:00:00"/>
    <n v="20"/>
    <n v="0"/>
    <x v="27"/>
    <s v="Q3-2024"/>
    <d v="2023-03-03T00:00:00"/>
    <s v="03-2023"/>
    <x v="3"/>
    <x v="7"/>
    <s v="Osaka"/>
    <s v="Osaka"/>
    <s v="Enterprise"/>
    <s v="Distributor"/>
    <x v="4"/>
    <x v="11"/>
    <x v="10"/>
    <x v="3"/>
    <s v="Low"/>
    <x v="480"/>
    <x v="2"/>
    <n v="195.54"/>
    <n v="405.97"/>
    <n v="405.97"/>
    <n v="0.187"/>
    <n v="0.187"/>
    <x v="0"/>
    <n v="16"/>
    <n v="5280.8577599999999"/>
    <n v="3128.64"/>
    <n v="2152.21776"/>
    <n v="0.40755079152141377"/>
    <n v="10559714.864900004"/>
    <n v="0.96473038245281484"/>
  </r>
  <r>
    <s v="ORD-2024-678110"/>
    <d v="2024-07-24T00:00:00"/>
    <x v="146"/>
    <d v="2024-08-08T00:00:00"/>
    <d v="2024-08-08T00:00:00"/>
    <n v="15"/>
    <n v="0"/>
    <x v="9"/>
    <s v="Q3-2024"/>
    <d v="2023-01-10T00:00:00"/>
    <s v="01-2023"/>
    <x v="1"/>
    <x v="11"/>
    <s v="Marseille"/>
    <s v="Marseille"/>
    <s v="Enterprise"/>
    <s v="Marketplace"/>
    <x v="2"/>
    <x v="0"/>
    <x v="0"/>
    <x v="2"/>
    <s v="Medium"/>
    <x v="481"/>
    <x v="2"/>
    <n v="501.5"/>
    <n v="1201.47"/>
    <n v="1201.47"/>
    <n v="0.126"/>
    <n v="0.126"/>
    <x v="0"/>
    <n v="5"/>
    <n v="5250.4239000000007"/>
    <n v="2507.5"/>
    <n v="2742.9239000000007"/>
    <n v="0.52241951359394057"/>
    <n v="10564965.288800005"/>
    <n v="0.96521005861092057"/>
  </r>
  <r>
    <s v="ORD-2025-168148"/>
    <d v="2025-03-29T00:00:00"/>
    <x v="387"/>
    <d v="2025-04-02T00:00:00"/>
    <d v="2025-04-02T00:00:00"/>
    <n v="4"/>
    <n v="1"/>
    <x v="26"/>
    <s v="Q1-2025"/>
    <d v="2023-01-13T00:00:00"/>
    <s v="01-2023"/>
    <x v="2"/>
    <x v="2"/>
    <s v="Lagos"/>
    <s v="Lagos"/>
    <s v="Non-Profit"/>
    <s v="Marketplace"/>
    <x v="2"/>
    <x v="12"/>
    <x v="11"/>
    <x v="5"/>
    <s v="Low"/>
    <x v="482"/>
    <x v="2"/>
    <n v="259.93"/>
    <n v="255.94"/>
    <n v="255.94"/>
    <n v="7.1999999999999995E-2"/>
    <n v="7.1999999999999995E-2"/>
    <x v="0"/>
    <n v="22"/>
    <n v="5225.2710400000005"/>
    <n v="5718.46"/>
    <n v="493.1889599999995"/>
    <n v="9.4385335463861311E-2"/>
    <n v="10570190.559840005"/>
    <n v="0.96568743681604563"/>
  </r>
  <r>
    <s v="ORD-2023-349264"/>
    <d v="2023-06-01T00:00:00"/>
    <x v="388"/>
    <d v="2023-06-08T00:00:00"/>
    <d v="2023-06-08T00:00:00"/>
    <n v="7"/>
    <n v="1"/>
    <x v="24"/>
    <s v="Q2-2023"/>
    <d v="2023-01-21T00:00:00"/>
    <s v="01-2023"/>
    <x v="1"/>
    <x v="4"/>
    <s v="Frankfurt"/>
    <s v="Frankfurt"/>
    <s v="Consumer"/>
    <s v="Online"/>
    <x v="0"/>
    <x v="6"/>
    <x v="2"/>
    <x v="5"/>
    <s v="Medium"/>
    <x v="483"/>
    <x v="2"/>
    <n v="804.17"/>
    <n v="1072.29"/>
    <n v="1072.29"/>
    <n v="3.2000000000000001E-2"/>
    <n v="3.2000000000000001E-2"/>
    <x v="0"/>
    <n v="5"/>
    <n v="5189.8836000000001"/>
    <n v="4020.85"/>
    <n v="1169.0336000000002"/>
    <n v="0.2252523736755869"/>
    <n v="10575380.443440005"/>
    <n v="0.96616158204197"/>
  </r>
  <r>
    <s v="ORD-2023-597666"/>
    <d v="2023-10-25T00:00:00"/>
    <x v="327"/>
    <d v="2023-11-24T00:00:00"/>
    <d v="2023-11-24T00:00:00"/>
    <n v="30"/>
    <n v="0"/>
    <x v="18"/>
    <s v="Q4-2023"/>
    <d v="2023-01-10T00:00:00"/>
    <s v="01-2023"/>
    <x v="1"/>
    <x v="11"/>
    <s v="Paris"/>
    <s v="Paris"/>
    <s v="Enterprise"/>
    <s v="Distributor"/>
    <x v="4"/>
    <x v="5"/>
    <x v="5"/>
    <x v="5"/>
    <s v="Low"/>
    <x v="484"/>
    <x v="2"/>
    <n v="287.85000000000002"/>
    <n v="602.91999999999996"/>
    <n v="602.91999999999996"/>
    <n v="0.222"/>
    <n v="0.222"/>
    <x v="1"/>
    <n v="11"/>
    <n v="5159.7893599999998"/>
    <n v="3166.3500000000004"/>
    <n v="1993.4393599999994"/>
    <n v="0.38634122847216373"/>
    <n v="10580540.232800005"/>
    <n v="0.96663297787285496"/>
  </r>
  <r>
    <s v="ORD-2025-252117"/>
    <d v="2025-04-28T00:00:00"/>
    <x v="335"/>
    <d v="2025-05-19T00:00:00"/>
    <d v="2025-05-19T00:00:00"/>
    <n v="21"/>
    <n v="0"/>
    <x v="2"/>
    <s v="Q2-2025"/>
    <d v="2023-01-21T00:00:00"/>
    <s v="01-2023"/>
    <x v="1"/>
    <x v="4"/>
    <s v="Berlin"/>
    <s v="Berlin"/>
    <s v="Corporate"/>
    <s v="Distributor"/>
    <x v="4"/>
    <x v="1"/>
    <x v="1"/>
    <x v="5"/>
    <s v="Low"/>
    <x v="485"/>
    <x v="2"/>
    <n v="350.76"/>
    <n v="492.18"/>
    <n v="492.18"/>
    <n v="5.2999999999999999E-2"/>
    <n v="5.2999999999999999E-2"/>
    <x v="0"/>
    <n v="11"/>
    <n v="5127.0390600000001"/>
    <n v="3858.3599999999997"/>
    <n v="1268.6790600000004"/>
    <n v="0.24744868239798437"/>
    <n v="10585667.271860005"/>
    <n v="0.96710138165235904"/>
  </r>
  <r>
    <s v="ORD-2023-548934"/>
    <d v="2023-08-03T00:00:00"/>
    <x v="353"/>
    <d v="2023-08-30T00:00:00"/>
    <d v="2023-08-30T00:00:00"/>
    <n v="27"/>
    <n v="0"/>
    <x v="21"/>
    <s v="Q3-2023"/>
    <d v="2023-01-12T00:00:00"/>
    <s v="01-2023"/>
    <x v="3"/>
    <x v="10"/>
    <s v="Shanghai"/>
    <s v="Shanghai"/>
    <s v="Consumer"/>
    <s v="Distributor"/>
    <x v="4"/>
    <x v="14"/>
    <x v="13"/>
    <x v="3"/>
    <s v="Low"/>
    <x v="486"/>
    <x v="2"/>
    <n v="226.04"/>
    <n v="545.72"/>
    <n v="545.72"/>
    <n v="0.151"/>
    <n v="0.151"/>
    <x v="0"/>
    <n v="11"/>
    <n v="5096.4790800000001"/>
    <n v="2486.44"/>
    <n v="2610.03908"/>
    <n v="0.51212592831834014"/>
    <n v="10590763.750940006"/>
    <n v="0.96756699348704556"/>
  </r>
  <r>
    <s v="ORD-2024-427031"/>
    <d v="2024-06-08T00:00:00"/>
    <x v="389"/>
    <d v="2024-06-24T00:00:00"/>
    <d v="2024-06-24T00:00:00"/>
    <n v="16"/>
    <n v="0"/>
    <x v="7"/>
    <s v="Q2-2024"/>
    <d v="2023-01-07T00:00:00"/>
    <s v="01-2023"/>
    <x v="2"/>
    <x v="8"/>
    <s v="Durban"/>
    <s v="Durban"/>
    <s v="Education"/>
    <s v="Distributor"/>
    <x v="4"/>
    <x v="0"/>
    <x v="0"/>
    <x v="3"/>
    <s v="Low"/>
    <x v="487"/>
    <x v="2"/>
    <n v="597.85"/>
    <n v="741.92"/>
    <n v="741.92"/>
    <n v="3.1E-2"/>
    <n v="3.1E-2"/>
    <x v="0"/>
    <n v="7"/>
    <n v="5032.4433599999993"/>
    <n v="4184.95"/>
    <n v="847.49335999999948"/>
    <n v="0.16840594108544515"/>
    <n v="10595796.194300007"/>
    <n v="0.96802675504968994"/>
  </r>
  <r>
    <s v="ORD-2025-487261"/>
    <d v="2025-03-06T00:00:00"/>
    <x v="390"/>
    <d v="2025-03-31T00:00:00"/>
    <d v="2025-03-31T00:00:00"/>
    <n v="25"/>
    <n v="0"/>
    <x v="26"/>
    <s v="Q1-2025"/>
    <d v="2023-01-29T00:00:00"/>
    <s v="01-2023"/>
    <x v="0"/>
    <x v="9"/>
    <s v="Brasília"/>
    <s v="Brasília"/>
    <s v="Non-Profit"/>
    <s v="Online"/>
    <x v="0"/>
    <x v="9"/>
    <x v="8"/>
    <x v="0"/>
    <s v="Low"/>
    <x v="488"/>
    <x v="2"/>
    <n v="331.57"/>
    <n v="548.4"/>
    <n v="548.4"/>
    <n v="9.4E-2"/>
    <n v="9.4E-2"/>
    <x v="0"/>
    <n v="10"/>
    <n v="4968.5039999999999"/>
    <n v="3315.7"/>
    <n v="1652.8040000000001"/>
    <n v="0.33265626836568918"/>
    <n v="10600764.698300008"/>
    <n v="0.96848067514369474"/>
  </r>
  <r>
    <s v="ORD-2024-192263"/>
    <d v="2024-11-21T00:00:00"/>
    <x v="391"/>
    <d v="2024-12-21T00:00:00"/>
    <d v="2024-12-21T00:00:00"/>
    <n v="30"/>
    <n v="0"/>
    <x v="5"/>
    <s v="Q4-2024"/>
    <d v="2023-01-10T00:00:00"/>
    <s v="01-2023"/>
    <x v="1"/>
    <x v="11"/>
    <s v="Marseille"/>
    <s v="Marseille"/>
    <s v="Small Business"/>
    <s v="Direct"/>
    <x v="3"/>
    <x v="13"/>
    <x v="12"/>
    <x v="3"/>
    <s v="High"/>
    <x v="489"/>
    <x v="2"/>
    <n v="1122.68"/>
    <n v="1997.19"/>
    <n v="1997.19"/>
    <n v="0.186"/>
    <n v="0.186"/>
    <x v="0"/>
    <n v="3"/>
    <n v="4877.1379800000004"/>
    <n v="3368.04"/>
    <n v="1509.0979800000005"/>
    <n v="0.30942285951073306"/>
    <n v="10605641.836280007"/>
    <n v="0.9689262480828239"/>
  </r>
  <r>
    <s v="ORD-2024-275203"/>
    <d v="2024-03-11T00:00:00"/>
    <x v="299"/>
    <d v="2024-04-06T00:00:00"/>
    <d v="2024-04-06T00:00:00"/>
    <n v="26"/>
    <n v="0"/>
    <x v="8"/>
    <s v="Q1-2024"/>
    <d v="2023-01-20T00:00:00"/>
    <s v="01-2023"/>
    <x v="2"/>
    <x v="5"/>
    <s v="Kisumu"/>
    <s v="Kisumu"/>
    <s v="Corporate"/>
    <s v="Retail"/>
    <x v="1"/>
    <x v="5"/>
    <x v="5"/>
    <x v="0"/>
    <s v="Low"/>
    <x v="490"/>
    <x v="2"/>
    <n v="279.24"/>
    <n v="608.9"/>
    <n v="608.9"/>
    <n v="0.112"/>
    <n v="0.112"/>
    <x v="0"/>
    <n v="9"/>
    <n v="4866.3287999999993"/>
    <n v="2513.16"/>
    <n v="2353.1687999999995"/>
    <n v="0.48356140670149533"/>
    <n v="10610508.165080007"/>
    <n v="0.96937083350055808"/>
  </r>
  <r>
    <s v="ORD-2025-323492"/>
    <d v="2025-04-27T00:00:00"/>
    <x v="74"/>
    <d v="2025-05-27T00:00:00"/>
    <d v="2025-05-27T00:00:00"/>
    <n v="30"/>
    <n v="0"/>
    <x v="2"/>
    <s v="Q2-2025"/>
    <d v="2023-01-29T00:00:00"/>
    <s v="01-2023"/>
    <x v="3"/>
    <x v="3"/>
    <m/>
    <s v="Delhi"/>
    <s v="Enterprise"/>
    <s v="Marketplace"/>
    <x v="2"/>
    <x v="0"/>
    <x v="0"/>
    <x v="5"/>
    <s v="Medium"/>
    <x v="491"/>
    <x v="2"/>
    <n v="481.32"/>
    <n v="1135.99"/>
    <n v="1135.99"/>
    <n v="0.14499999999999999"/>
    <n v="0.14499999999999999"/>
    <x v="0"/>
    <n v="5"/>
    <n v="4856.35725"/>
    <n v="2406.6"/>
    <n v="2449.7572500000001"/>
    <n v="0.50444337677175621"/>
    <n v="10615364.522330007"/>
    <n v="0.96981450792236401"/>
  </r>
  <r>
    <s v="ORD-2025-542939"/>
    <d v="2025-01-13T00:00:00"/>
    <x v="392"/>
    <d v="2025-02-08T00:00:00"/>
    <d v="2025-02-08T00:00:00"/>
    <n v="26"/>
    <n v="0"/>
    <x v="17"/>
    <s v="Q1-2025"/>
    <d v="2023-01-10T00:00:00"/>
    <s v="01-2023"/>
    <x v="1"/>
    <x v="11"/>
    <s v="Paris"/>
    <s v="Paris"/>
    <s v="Non-Profit"/>
    <m/>
    <x v="4"/>
    <x v="15"/>
    <x v="14"/>
    <x v="3"/>
    <s v="Medium"/>
    <x v="492"/>
    <x v="2"/>
    <n v="594.74"/>
    <n v="1020.69"/>
    <n v="1020.69"/>
    <n v="0.21099999999999999"/>
    <n v="0.21099999999999999"/>
    <x v="1"/>
    <n v="6"/>
    <n v="4831.9464600000001"/>
    <n v="3568.44"/>
    <n v="1263.5064600000001"/>
    <n v="0.26149016146176424"/>
    <n v="10620196.468790006"/>
    <n v="0.97025595218634131"/>
  </r>
  <r>
    <s v="ORD-2024-419248"/>
    <d v="2024-03-04T00:00:00"/>
    <x v="393"/>
    <d v="2024-03-16T00:00:00"/>
    <d v="2024-03-16T00:00:00"/>
    <n v="12"/>
    <n v="0"/>
    <x v="8"/>
    <s v="Q1-2024"/>
    <d v="2023-01-07T00:00:00"/>
    <s v="01-2023"/>
    <x v="2"/>
    <x v="8"/>
    <s v="Johannesburg"/>
    <s v="Johannesburg"/>
    <s v="Enterprise"/>
    <s v="Distributor"/>
    <x v="4"/>
    <x v="7"/>
    <x v="6"/>
    <x v="3"/>
    <s v="Medium"/>
    <x v="493"/>
    <x v="2"/>
    <n v="441.08"/>
    <n v="1054.29"/>
    <n v="1054.29"/>
    <n v="0.23699999999999999"/>
    <n v="0.23699999999999999"/>
    <x v="1"/>
    <n v="6"/>
    <n v="4826.5396199999996"/>
    <n v="2646.48"/>
    <n v="2180.0596199999995"/>
    <n v="0.45168169985932899"/>
    <n v="10625023.008410007"/>
    <n v="0.97069690248406237"/>
  </r>
  <r>
    <s v="ORD-2025-591006"/>
    <d v="2025-06-25T00:00:00"/>
    <x v="394"/>
    <d v="2025-07-10T00:00:00"/>
    <d v="2025-07-10T00:00:00"/>
    <n v="15"/>
    <n v="0"/>
    <x v="25"/>
    <s v="Q2-2025"/>
    <d v="2023-01-19T00:00:00"/>
    <s v="01-2023"/>
    <x v="1"/>
    <x v="1"/>
    <s v="Birmingham"/>
    <s v="Birmingham"/>
    <s v="Non-Profit"/>
    <s v="Marketplace"/>
    <x v="2"/>
    <x v="11"/>
    <x v="10"/>
    <x v="5"/>
    <s v="Low"/>
    <x v="494"/>
    <x v="2"/>
    <n v="546.83000000000004"/>
    <n v="400.84"/>
    <n v="400.84"/>
    <n v="7.8E-2"/>
    <n v="7.8E-2"/>
    <x v="0"/>
    <n v="13"/>
    <n v="4804.4682400000002"/>
    <n v="7108.7900000000009"/>
    <n v="2304.3217600000007"/>
    <n v="0.47962056254533608"/>
    <n v="10629827.476650007"/>
    <n v="0.97113583635130762"/>
  </r>
  <r>
    <s v="ORD-2024-289089"/>
    <d v="2024-12-17T00:00:00"/>
    <x v="395"/>
    <d v="2024-12-18T00:00:00"/>
    <d v="2024-12-18T00:00:00"/>
    <n v="1"/>
    <n v="1"/>
    <x v="11"/>
    <s v="Q4-2024"/>
    <d v="2023-01-21T00:00:00"/>
    <s v="01-2023"/>
    <x v="1"/>
    <x v="4"/>
    <s v="Munich"/>
    <s v="Munich"/>
    <s v="Education"/>
    <s v="Retail"/>
    <x v="1"/>
    <x v="4"/>
    <x v="4"/>
    <x v="4"/>
    <s v="Low"/>
    <x v="495"/>
    <x v="2"/>
    <n v="346.82"/>
    <n v="701.95"/>
    <n v="701.95"/>
    <n v="0.14699999999999999"/>
    <n v="0.14699999999999999"/>
    <x v="0"/>
    <n v="8"/>
    <n v="4790.1068000000005"/>
    <n v="2774.56"/>
    <n v="2015.5468000000005"/>
    <n v="0.42077283120284509"/>
    <n v="10634617.583450006"/>
    <n v="0.97157345816442242"/>
  </r>
  <r>
    <s v="ORD-2024-207792"/>
    <d v="2024-09-03T00:00:00"/>
    <x v="396"/>
    <d v="2024-09-07T00:00:00"/>
    <d v="2024-09-07T00:00:00"/>
    <n v="4"/>
    <n v="1"/>
    <x v="27"/>
    <s v="Q3-2024"/>
    <d v="2023-03-03T00:00:00"/>
    <s v="03-2023"/>
    <x v="3"/>
    <x v="7"/>
    <s v="Tokyo"/>
    <s v="Tokyo"/>
    <s v="Small Business"/>
    <s v="Distributor"/>
    <x v="4"/>
    <x v="14"/>
    <x v="13"/>
    <x v="6"/>
    <s v="Low"/>
    <x v="496"/>
    <x v="2"/>
    <n v="43.23"/>
    <n v="94.78"/>
    <n v="94.78"/>
    <n v="9.0999999999999998E-2"/>
    <n v="9.0999999999999998E-2"/>
    <x v="0"/>
    <n v="55"/>
    <n v="4738.5261"/>
    <n v="2377.6499999999996"/>
    <n v="2360.8761000000004"/>
    <n v="0.49823005090127082"/>
    <n v="10639356.109550007"/>
    <n v="0.97200636759002745"/>
  </r>
  <r>
    <s v="ORD-2023-960380"/>
    <d v="2023-02-11T00:00:00"/>
    <x v="397"/>
    <d v="2023-02-12T00:00:00"/>
    <d v="2023-02-12T00:00:00"/>
    <n v="1"/>
    <n v="1"/>
    <x v="4"/>
    <s v="Q1-2023"/>
    <d v="2023-01-13T00:00:00"/>
    <s v="01-2023"/>
    <x v="2"/>
    <x v="2"/>
    <s v="Port Harcourt"/>
    <s v="Port Harcourt"/>
    <s v="Non-Profit"/>
    <s v="Direct"/>
    <x v="3"/>
    <x v="11"/>
    <x v="10"/>
    <x v="4"/>
    <s v="Medium"/>
    <x v="497"/>
    <x v="2"/>
    <n v="944.61"/>
    <n v="839.04"/>
    <n v="839.04"/>
    <n v="5.8999999999999997E-2"/>
    <n v="5.8999999999999997E-2"/>
    <x v="0"/>
    <n v="6"/>
    <n v="4737.2198399999997"/>
    <n v="5667.66"/>
    <n v="930.44016000000011"/>
    <n v="0.19641059343363726"/>
    <n v="10644093.329390006"/>
    <n v="0.97243915767635791"/>
  </r>
  <r>
    <s v="ORD-2023-382272"/>
    <d v="2023-05-20T00:00:00"/>
    <x v="398"/>
    <d v="2023-05-18T00:00:00"/>
    <d v="2023-05-20T00:00:00"/>
    <n v="2"/>
    <n v="1"/>
    <x v="3"/>
    <s v="Q2-2023"/>
    <d v="2023-01-07T00:00:00"/>
    <s v="01-2023"/>
    <x v="2"/>
    <x v="8"/>
    <s v="Durban"/>
    <s v="Durban"/>
    <s v="Corporate"/>
    <s v="Distributor"/>
    <x v="4"/>
    <x v="6"/>
    <x v="2"/>
    <x v="0"/>
    <s v="Medium"/>
    <x v="498"/>
    <x v="2"/>
    <n v="917.88"/>
    <n v="1347.92"/>
    <n v="1347.92"/>
    <n v="0.34300000000000003"/>
    <n v="0.3"/>
    <x v="1"/>
    <n v="5"/>
    <n v="4717.72"/>
    <n v="4589.3999999999996"/>
    <n v="128.32000000000062"/>
    <n v="2.7199579457873848E-2"/>
    <n v="10648811.049390007"/>
    <n v="0.97287016626684886"/>
  </r>
  <r>
    <s v="ORD-2024-433936"/>
    <d v="2024-08-04T00:00:00"/>
    <x v="399"/>
    <d v="2024-08-17T00:00:00"/>
    <d v="2024-08-17T00:00:00"/>
    <n v="13"/>
    <n v="0"/>
    <x v="19"/>
    <s v="Q3-2024"/>
    <d v="2023-01-13T00:00:00"/>
    <s v="01-2023"/>
    <x v="0"/>
    <x v="6"/>
    <s v="Austin"/>
    <s v="Austin"/>
    <s v="Consumer"/>
    <s v="Retail"/>
    <x v="1"/>
    <x v="11"/>
    <x v="10"/>
    <x v="3"/>
    <s v="Low"/>
    <x v="499"/>
    <x v="2"/>
    <n v="352.79"/>
    <n v="754.22"/>
    <n v="754.22"/>
    <n v="0.113"/>
    <n v="0.113"/>
    <x v="0"/>
    <n v="7"/>
    <n v="4682.9519799999998"/>
    <n v="2469.5300000000002"/>
    <n v="2213.4219799999996"/>
    <n v="0.47265528014233443"/>
    <n v="10653494.001370007"/>
    <n v="0.97329799846804688"/>
  </r>
  <r>
    <s v="ORD-2025-512310"/>
    <d v="2025-03-08T00:00:00"/>
    <x v="400"/>
    <d v="2025-03-15T00:00:00"/>
    <d v="2025-03-15T00:00:00"/>
    <n v="7"/>
    <n v="1"/>
    <x v="26"/>
    <s v="Q1-2025"/>
    <d v="2023-01-29T00:00:00"/>
    <s v="01-2023"/>
    <x v="3"/>
    <x v="3"/>
    <s v="Bengaluru"/>
    <s v="Bengaluru"/>
    <s v="Corporate"/>
    <s v="Distributor"/>
    <x v="4"/>
    <x v="3"/>
    <x v="3"/>
    <x v="2"/>
    <s v="Low"/>
    <x v="500"/>
    <x v="2"/>
    <n v="475.66"/>
    <n v="529.14"/>
    <n v="529.14"/>
    <n v="0.19600000000000001"/>
    <n v="0.19600000000000001"/>
    <x v="0"/>
    <n v="11"/>
    <n v="4679.7141600000004"/>
    <n v="5232.26"/>
    <n v="552.54583999999977"/>
    <n v="0.11807256193613323"/>
    <n v="10658173.715530008"/>
    <n v="0.97372553486359426"/>
  </r>
  <r>
    <s v="ORD-2024-999607"/>
    <d v="2024-01-12T00:00:00"/>
    <x v="401"/>
    <d v="2024-01-29T00:00:00"/>
    <d v="2024-01-29T00:00:00"/>
    <n v="17"/>
    <n v="0"/>
    <x v="28"/>
    <s v="Q1-2024"/>
    <d v="2023-01-13T00:00:00"/>
    <s v="01-2023"/>
    <x v="0"/>
    <x v="6"/>
    <s v="Chicago"/>
    <s v="Chicago"/>
    <s v="Education"/>
    <s v="Distributor"/>
    <x v="4"/>
    <x v="6"/>
    <x v="2"/>
    <x v="6"/>
    <s v="Low"/>
    <x v="501"/>
    <x v="2"/>
    <n v="493.76"/>
    <n v="625.04"/>
    <n v="625.04"/>
    <n v="0.25800000000000001"/>
    <n v="0.25800000000000001"/>
    <x v="1"/>
    <n v="10"/>
    <n v="4637.7968000000001"/>
    <n v="4937.6000000000004"/>
    <n v="299.80320000000029"/>
    <n v="6.464345311549663E-2"/>
    <n v="10662811.512330009"/>
    <n v="0.97414924170964512"/>
  </r>
  <r>
    <s v="ORD-2023-868460"/>
    <d v="2023-06-01T00:00:00"/>
    <x v="388"/>
    <d v="2023-06-01T00:00:00"/>
    <d v="2023-06-01T00:00:00"/>
    <n v="0"/>
    <n v="1"/>
    <x v="24"/>
    <s v="Q2-2023"/>
    <d v="2023-01-29T00:00:00"/>
    <s v="01-2023"/>
    <x v="3"/>
    <x v="3"/>
    <s v="Bengaluru"/>
    <s v="Bengaluru"/>
    <s v="Corporate"/>
    <s v="Retail"/>
    <x v="1"/>
    <x v="15"/>
    <x v="14"/>
    <x v="4"/>
    <s v="Medium"/>
    <x v="502"/>
    <x v="2"/>
    <n v="669.37"/>
    <n v="997.2"/>
    <n v="997.2"/>
    <n v="8.2000000000000003E-2"/>
    <n v="8.2000000000000003E-2"/>
    <x v="0"/>
    <n v="5"/>
    <n v="4577.1480000000001"/>
    <n v="3346.85"/>
    <n v="1230.2980000000002"/>
    <n v="0.26879139586484863"/>
    <n v="10667388.660330009"/>
    <n v="0.97456740771100758"/>
  </r>
  <r>
    <s v="ORD-2025-762301"/>
    <d v="2025-05-02T00:00:00"/>
    <x v="402"/>
    <d v="2025-05-13T00:00:00"/>
    <d v="2025-05-13T00:00:00"/>
    <n v="11"/>
    <n v="0"/>
    <x v="12"/>
    <s v="Q2-2025"/>
    <d v="2023-01-20T00:00:00"/>
    <s v="01-2023"/>
    <x v="2"/>
    <x v="5"/>
    <s v="Nakuru"/>
    <s v="Nakuru"/>
    <s v="Small Business"/>
    <s v="Online"/>
    <x v="0"/>
    <x v="6"/>
    <x v="2"/>
    <x v="4"/>
    <s v="Medium"/>
    <x v="503"/>
    <x v="2"/>
    <n v="1057.5999999999999"/>
    <n v="1437.06"/>
    <n v="1437.06"/>
    <n v="0.20499999999999999"/>
    <n v="0.20499999999999999"/>
    <x v="1"/>
    <n v="4"/>
    <n v="4569.8508000000002"/>
    <n v="4230.3999999999996"/>
    <n v="339.45080000000053"/>
    <n v="7.4280499485891424E-2"/>
    <n v="10671958.511130009"/>
    <n v="0.97498490704374907"/>
  </r>
  <r>
    <s v="ORD-2025-306903"/>
    <d v="2025-06-24T00:00:00"/>
    <x v="44"/>
    <d v="2025-07-23T00:00:00"/>
    <d v="2025-07-23T00:00:00"/>
    <n v="29"/>
    <n v="0"/>
    <x v="25"/>
    <s v="Q2-2025"/>
    <d v="2023-01-02T00:00:00"/>
    <s v="01-2023"/>
    <x v="0"/>
    <x v="0"/>
    <s v="Vancouver"/>
    <s v="Vancouver"/>
    <s v="Non-Profit"/>
    <s v="Marketplace"/>
    <x v="2"/>
    <x v="13"/>
    <x v="12"/>
    <x v="6"/>
    <s v="Low"/>
    <x v="504"/>
    <x v="2"/>
    <n v="255.4"/>
    <n v="322.70999999999998"/>
    <n v="322.70999999999998"/>
    <n v="0.115"/>
    <n v="0.115"/>
    <x v="0"/>
    <n v="16"/>
    <n v="4569.5735999999997"/>
    <n v="4086.4"/>
    <n v="483.17359999999962"/>
    <n v="0.10573713048412212"/>
    <n v="10676528.084730009"/>
    <n v="0.97540238105163424"/>
  </r>
  <r>
    <s v="ORD-2023-713375"/>
    <d v="2023-08-26T00:00:00"/>
    <x v="403"/>
    <d v="2023-09-10T00:00:00"/>
    <d v="2023-09-10T00:00:00"/>
    <n v="15"/>
    <n v="0"/>
    <x v="21"/>
    <s v="Q3-2023"/>
    <d v="2023-01-07T00:00:00"/>
    <s v="01-2023"/>
    <x v="2"/>
    <x v="8"/>
    <s v="Cape Town"/>
    <s v="Cape Town"/>
    <s v="Non-Profit"/>
    <s v="Direct"/>
    <x v="3"/>
    <x v="14"/>
    <x v="13"/>
    <x v="0"/>
    <s v="Low"/>
    <x v="505"/>
    <x v="2"/>
    <n v="241.14"/>
    <n v="496.52"/>
    <n v="496.52"/>
    <n v="9.2999999999999999E-2"/>
    <n v="9.2999999999999999E-2"/>
    <x v="0"/>
    <n v="10"/>
    <n v="4503.4363999999996"/>
    <n v="2411.3999999999996"/>
    <n v="2092.0364"/>
    <n v="0.46454223268257994"/>
    <n v="10681031.521130009"/>
    <n v="0.97581381279729296"/>
  </r>
  <r>
    <s v="ORD-2023-517216"/>
    <d v="2023-09-19T00:00:00"/>
    <x v="404"/>
    <d v="2023-10-08T00:00:00"/>
    <d v="2023-10-08T00:00:00"/>
    <n v="19"/>
    <n v="0"/>
    <x v="32"/>
    <s v="Q3-2023"/>
    <d v="2023-01-29T00:00:00"/>
    <s v="01-2023"/>
    <x v="3"/>
    <x v="3"/>
    <s v="Bengaluru"/>
    <s v="Bengaluru"/>
    <s v="Education"/>
    <s v="Direct"/>
    <x v="3"/>
    <x v="9"/>
    <x v="8"/>
    <x v="6"/>
    <s v="Low"/>
    <x v="506"/>
    <x v="2"/>
    <n v="385.32"/>
    <n v="606.76"/>
    <n v="606.76"/>
    <n v="8.5999999999999993E-2"/>
    <n v="8.5999999999999993E-2"/>
    <x v="0"/>
    <n v="8"/>
    <n v="4436.6291200000005"/>
    <n v="3082.56"/>
    <n v="1354.0691200000006"/>
    <n v="0.30520223425842735"/>
    <n v="10685468.150250008"/>
    <n v="0.97621914106254426"/>
  </r>
  <r>
    <s v="ORD-2025-652467"/>
    <d v="2025-08-21T00:00:00"/>
    <x v="23"/>
    <d v="2025-09-12T00:00:00"/>
    <d v="2025-09-12T00:00:00"/>
    <n v="22"/>
    <n v="0"/>
    <x v="14"/>
    <s v="Q3-2025"/>
    <d v="2023-01-12T00:00:00"/>
    <s v="01-2023"/>
    <x v="3"/>
    <x v="10"/>
    <s v="Shenzhen"/>
    <s v="Shenzhen"/>
    <s v="Education"/>
    <s v="Retail"/>
    <x v="1"/>
    <x v="1"/>
    <x v="1"/>
    <x v="6"/>
    <s v="Low"/>
    <x v="507"/>
    <x v="2"/>
    <n v="352.66"/>
    <n v="411.18"/>
    <n v="411.18"/>
    <n v="0.17299999999999999"/>
    <n v="0.17299999999999999"/>
    <x v="0"/>
    <n v="13"/>
    <n v="4420.5961799999995"/>
    <n v="4584.58"/>
    <n v="163.98382000000038"/>
    <n v="3.7095408248758066E-2"/>
    <n v="10689888.746430008"/>
    <n v="0.97662300456624318"/>
  </r>
  <r>
    <s v="ORD-2025-501927"/>
    <d v="2025-03-03T00:00:00"/>
    <x v="405"/>
    <d v="2025-03-24T00:00:00"/>
    <d v="2025-03-24T00:00:00"/>
    <n v="21"/>
    <n v="0"/>
    <x v="26"/>
    <s v="Q1-2025"/>
    <d v="2023-01-13T00:00:00"/>
    <s v="01-2023"/>
    <x v="2"/>
    <x v="2"/>
    <s v="Abuja"/>
    <s v="Abuja"/>
    <s v="Enterprise"/>
    <s v="Direct"/>
    <x v="3"/>
    <x v="0"/>
    <x v="0"/>
    <x v="4"/>
    <s v="Low"/>
    <x v="508"/>
    <x v="2"/>
    <n v="555.95000000000005"/>
    <n v="468.09"/>
    <n v="468.09"/>
    <n v="0.14199999999999999"/>
    <n v="0.14199999999999999"/>
    <x v="0"/>
    <n v="11"/>
    <n v="4417.8334199999999"/>
    <n v="6115.4500000000007"/>
    <n v="1697.6165800000008"/>
    <n v="0.38426450674095375"/>
    <n v="10694306.579850007"/>
    <n v="0.9770266156655405"/>
  </r>
  <r>
    <s v="ORD-2025-683247"/>
    <d v="2025-03-10T00:00:00"/>
    <x v="304"/>
    <d v="2025-04-04T00:00:00"/>
    <d v="2025-04-04T00:00:00"/>
    <n v="25"/>
    <n v="0"/>
    <x v="26"/>
    <s v="Q1-2025"/>
    <d v="2023-03-03T00:00:00"/>
    <s v="03-2023"/>
    <x v="3"/>
    <x v="7"/>
    <s v="Osaka"/>
    <s v="Osaka"/>
    <s v="Corporate"/>
    <s v="Direct"/>
    <x v="3"/>
    <x v="0"/>
    <x v="0"/>
    <x v="6"/>
    <s v="Medium"/>
    <x v="509"/>
    <x v="2"/>
    <n v="783.72"/>
    <n v="1355.94"/>
    <n v="1355.94"/>
    <n v="0.187"/>
    <n v="0.187"/>
    <x v="0"/>
    <n v="4"/>
    <n v="4409.5168800000001"/>
    <n v="3134.88"/>
    <n v="1274.63688"/>
    <n v="0.28906497348525856"/>
    <n v="10698716.096730007"/>
    <n v="0.97742946696981337"/>
  </r>
  <r>
    <s v="ORD-2023-925146"/>
    <d v="2023-10-15T00:00:00"/>
    <x v="406"/>
    <d v="2023-11-13T00:00:00"/>
    <d v="2023-11-13T00:00:00"/>
    <n v="29"/>
    <n v="0"/>
    <x v="18"/>
    <s v="Q4-2023"/>
    <d v="2023-01-12T00:00:00"/>
    <s v="01-2023"/>
    <x v="3"/>
    <x v="10"/>
    <s v="Shenzhen"/>
    <s v="Shenzhen"/>
    <s v="Non-Profit"/>
    <s v="Distributor"/>
    <x v="4"/>
    <x v="9"/>
    <x v="8"/>
    <x v="6"/>
    <s v="Low"/>
    <x v="510"/>
    <x v="2"/>
    <n v="986.44"/>
    <n v="790.61"/>
    <n v="790.61"/>
    <n v="7.1999999999999995E-2"/>
    <n v="7.1999999999999995E-2"/>
    <x v="0"/>
    <n v="6"/>
    <n v="4402.1164799999997"/>
    <n v="5918.64"/>
    <n v="1516.5235200000006"/>
    <n v="0.34449872621271499"/>
    <n v="10703118.213210007"/>
    <n v="0.97783164217716378"/>
  </r>
  <r>
    <s v="ORD-2025-184754"/>
    <d v="2025-06-27T00:00:00"/>
    <x v="40"/>
    <d v="2025-07-05T00:00:00"/>
    <d v="2025-07-05T00:00:00"/>
    <n v="8"/>
    <n v="0"/>
    <x v="25"/>
    <s v="Q2-2025"/>
    <d v="2023-01-21T00:00:00"/>
    <s v="01-2023"/>
    <x v="1"/>
    <x v="4"/>
    <s v="Munich"/>
    <s v="Munich"/>
    <s v="Small Business"/>
    <s v="Direct"/>
    <x v="3"/>
    <x v="12"/>
    <x v="11"/>
    <x v="3"/>
    <s v="Low"/>
    <x v="511"/>
    <x v="2"/>
    <n v="314.93"/>
    <n v="687.95"/>
    <n v="687.95"/>
    <n v="0.20499999999999999"/>
    <n v="0.20499999999999999"/>
    <x v="1"/>
    <n v="8"/>
    <n v="4375.3620000000001"/>
    <n v="2519.44"/>
    <n v="1855.922"/>
    <n v="0.424175645352316"/>
    <n v="10707493.575210007"/>
    <n v="0.97823137310831421"/>
  </r>
  <r>
    <s v="ORD-2023-613287"/>
    <d v="2023-03-31T00:00:00"/>
    <x v="374"/>
    <d v="2023-04-12T00:00:00"/>
    <d v="2023-04-12T00:00:00"/>
    <n v="12"/>
    <n v="0"/>
    <x v="16"/>
    <s v="Q1-2023"/>
    <d v="2023-01-20T00:00:00"/>
    <s v="01-2023"/>
    <x v="2"/>
    <x v="5"/>
    <s v="Mombasa"/>
    <s v="Mombasa"/>
    <s v="Small Business"/>
    <s v="Online"/>
    <x v="0"/>
    <x v="5"/>
    <x v="5"/>
    <x v="5"/>
    <s v="Low"/>
    <x v="512"/>
    <x v="2"/>
    <n v="304.22000000000003"/>
    <n v="393.31"/>
    <n v="393.31"/>
    <n v="0.26500000000000001"/>
    <n v="0.26500000000000001"/>
    <x v="1"/>
    <n v="15"/>
    <n v="4336.2427499999994"/>
    <n v="4563.3"/>
    <n v="227.05725000000075"/>
    <n v="5.2362670424759034E-2"/>
    <n v="10711829.817960007"/>
    <n v="0.97862753012392845"/>
  </r>
  <r>
    <s v="ORD-2024-496601"/>
    <d v="2024-11-11T00:00:00"/>
    <x v="407"/>
    <d v="2024-11-24T00:00:00"/>
    <d v="2024-11-24T00:00:00"/>
    <n v="13"/>
    <n v="0"/>
    <x v="5"/>
    <s v="Q4-2024"/>
    <d v="2023-01-19T00:00:00"/>
    <s v="01-2023"/>
    <x v="1"/>
    <x v="1"/>
    <s v="London"/>
    <s v="London"/>
    <s v="Corporate"/>
    <s v="Retail"/>
    <x v="1"/>
    <x v="15"/>
    <x v="14"/>
    <x v="1"/>
    <s v="Low"/>
    <x v="513"/>
    <x v="2"/>
    <n v="164.53"/>
    <n v="327.72"/>
    <n v="327.72"/>
    <n v="6.7000000000000004E-2"/>
    <n v="6.7000000000000004E-2"/>
    <x v="0"/>
    <n v="14"/>
    <n v="4280.6786400000001"/>
    <n v="2303.42"/>
    <n v="1977.25864"/>
    <n v="0.46190307805960412"/>
    <n v="10716110.496600008"/>
    <n v="0.97901861082964448"/>
  </r>
  <r>
    <s v="ORD-2024-792137"/>
    <d v="2024-03-02T00:00:00"/>
    <x v="408"/>
    <d v="2024-03-16T00:00:00"/>
    <d v="2024-03-16T00:00:00"/>
    <n v="14"/>
    <n v="0"/>
    <x v="8"/>
    <s v="Q1-2024"/>
    <d v="2023-01-02T00:00:00"/>
    <s v="01-2023"/>
    <x v="0"/>
    <x v="0"/>
    <s v="Vancouver"/>
    <s v="Vancouver"/>
    <s v="Non-Profit"/>
    <s v="Direct"/>
    <x v="3"/>
    <x v="8"/>
    <x v="7"/>
    <x v="6"/>
    <s v="Low"/>
    <x v="514"/>
    <x v="2"/>
    <n v="248.24"/>
    <n v="464.05"/>
    <n v="464.05"/>
    <n v="0.16900000000000001"/>
    <n v="0.16900000000000001"/>
    <x v="0"/>
    <n v="11"/>
    <n v="4241.88105"/>
    <n v="2730.6400000000003"/>
    <n v="1511.2410499999996"/>
    <n v="0.3562667203975462"/>
    <n v="10720352.377650008"/>
    <n v="0.9794061470065244"/>
  </r>
  <r>
    <s v="ORD-2024-207669"/>
    <d v="2024-01-24T00:00:00"/>
    <x v="409"/>
    <d v="2024-02-04T00:00:00"/>
    <d v="2024-02-04T00:00:00"/>
    <n v="11"/>
    <n v="0"/>
    <x v="28"/>
    <s v="Q1-2024"/>
    <d v="2023-01-19T00:00:00"/>
    <s v="01-2023"/>
    <x v="1"/>
    <x v="1"/>
    <s v="Manchester"/>
    <s v="Manchester"/>
    <s v="Consumer"/>
    <s v="Retail"/>
    <x v="1"/>
    <x v="1"/>
    <x v="1"/>
    <x v="2"/>
    <s v="Medium"/>
    <x v="515"/>
    <x v="2"/>
    <n v="525.34"/>
    <n v="1233.79"/>
    <n v="1233.79"/>
    <n v="0.14299999999999999"/>
    <n v="0.14299999999999999"/>
    <x v="0"/>
    <n v="4"/>
    <n v="4229.4321199999995"/>
    <n v="2101.36"/>
    <n v="2128.0721199999994"/>
    <n v="0.50315788494082736"/>
    <n v="10724581.809770007"/>
    <n v="0.97979254585525166"/>
  </r>
  <r>
    <s v="ORD-2023-799597"/>
    <d v="2023-03-14T00:00:00"/>
    <x v="244"/>
    <d v="2023-03-18T00:00:00"/>
    <d v="2023-03-18T00:00:00"/>
    <n v="4"/>
    <n v="1"/>
    <x v="16"/>
    <s v="Q1-2023"/>
    <d v="2023-01-21T00:00:00"/>
    <s v="01-2023"/>
    <x v="1"/>
    <x v="4"/>
    <s v="Frankfurt"/>
    <s v="Frankfurt"/>
    <s v="Enterprise"/>
    <s v="Direct"/>
    <x v="3"/>
    <x v="6"/>
    <x v="2"/>
    <x v="0"/>
    <s v="Low"/>
    <x v="516"/>
    <x v="2"/>
    <n v="472.33"/>
    <n v="360.34"/>
    <n v="360.34"/>
    <n v="0.16500000000000001"/>
    <n v="0.16500000000000001"/>
    <x v="0"/>
    <n v="14"/>
    <n v="4212.3745999999992"/>
    <n v="6612.62"/>
    <n v="2400.2454000000007"/>
    <n v="0.56980815523861561"/>
    <n v="10728794.184370007"/>
    <n v="0.98017738633729923"/>
  </r>
  <r>
    <s v="ORD-2023-723587"/>
    <d v="2023-01-02T00:00:00"/>
    <x v="410"/>
    <d v="2023-01-05T00:00:00"/>
    <d v="2023-01-05T00:00:00"/>
    <n v="3"/>
    <n v="1"/>
    <x v="23"/>
    <s v="Q1-2023"/>
    <d v="2023-01-02T00:00:00"/>
    <s v="01-2023"/>
    <x v="0"/>
    <x v="0"/>
    <s v="Toronto"/>
    <s v="Toronto"/>
    <s v="Corporate"/>
    <s v="Distributor"/>
    <x v="4"/>
    <x v="1"/>
    <x v="1"/>
    <x v="2"/>
    <s v="Low"/>
    <x v="517"/>
    <x v="2"/>
    <n v="315.87"/>
    <n v="591.67999999999995"/>
    <n v="591.67999999999995"/>
    <n v="0"/>
    <n v="0"/>
    <x v="0"/>
    <n v="7"/>
    <n v="4141.7599999999993"/>
    <n v="2211.09"/>
    <n v="1930.6699999999992"/>
    <n v="0.46614724175229844"/>
    <n v="10732935.944370007"/>
    <n v="0.98055577550404738"/>
  </r>
  <r>
    <s v="ORD-2023-596758"/>
    <d v="2023-12-07T00:00:00"/>
    <x v="169"/>
    <d v="2023-12-05T00:00:00"/>
    <d v="2023-12-07T00:00:00"/>
    <n v="2"/>
    <n v="1"/>
    <x v="10"/>
    <s v="Q4-2023"/>
    <d v="2023-03-03T00:00:00"/>
    <s v="03-2023"/>
    <x v="3"/>
    <x v="7"/>
    <s v="Tokyo"/>
    <s v="Tokyo"/>
    <s v="Non-Profit"/>
    <s v="Marketplace"/>
    <x v="2"/>
    <x v="0"/>
    <x v="0"/>
    <x v="6"/>
    <s v="Medium"/>
    <x v="518"/>
    <x v="2"/>
    <n v="1097.5899999999999"/>
    <n v="845.55"/>
    <n v="845.55"/>
    <n v="0.184"/>
    <n v="0.184"/>
    <x v="0"/>
    <n v="6"/>
    <n v="4139.8127999999997"/>
    <n v="6585.5399999999991"/>
    <n v="2445.7271999999994"/>
    <n v="0.59078207594314402"/>
    <n v="10737075.757170007"/>
    <n v="0.98093398677555643"/>
  </r>
  <r>
    <s v="ORD-2023-813340"/>
    <d v="2023-12-26T00:00:00"/>
    <x v="411"/>
    <d v="2024-01-03T00:00:00"/>
    <d v="2024-01-03T00:00:00"/>
    <n v="8"/>
    <n v="0"/>
    <x v="10"/>
    <s v="Q4-2023"/>
    <d v="2023-01-10T00:00:00"/>
    <s v="01-2023"/>
    <x v="1"/>
    <x v="11"/>
    <s v="Lyon"/>
    <s v="Lyon"/>
    <s v="Small Business"/>
    <s v="Retail"/>
    <x v="1"/>
    <x v="7"/>
    <x v="6"/>
    <x v="2"/>
    <s v="Low"/>
    <x v="519"/>
    <x v="2"/>
    <n v="492.75"/>
    <n v="731.29"/>
    <n v="731.29"/>
    <n v="5.8000000000000003E-2"/>
    <n v="5.8000000000000003E-2"/>
    <x v="0"/>
    <n v="6"/>
    <n v="4133.25108"/>
    <n v="2956.5"/>
    <n v="1176.75108"/>
    <n v="0.28470350753528384"/>
    <n v="10741209.008250007"/>
    <n v="0.98131159857153749"/>
  </r>
  <r>
    <s v="ORD-2023-735274"/>
    <d v="2023-02-23T00:00:00"/>
    <x v="128"/>
    <d v="2023-03-08T00:00:00"/>
    <d v="2023-03-08T00:00:00"/>
    <n v="13"/>
    <n v="0"/>
    <x v="4"/>
    <s v="Q1-2023"/>
    <d v="2023-01-19T00:00:00"/>
    <s v="01-2023"/>
    <x v="1"/>
    <x v="1"/>
    <s v="Manchester"/>
    <s v="Manchester"/>
    <s v="Small Business"/>
    <s v="Direct"/>
    <x v="3"/>
    <x v="5"/>
    <x v="5"/>
    <x v="6"/>
    <s v="Low"/>
    <x v="520"/>
    <x v="2"/>
    <n v="307.37"/>
    <n v="462.61"/>
    <n v="462.61"/>
    <n v="0.188"/>
    <n v="0.188"/>
    <x v="0"/>
    <n v="11"/>
    <n v="4132.0325200000007"/>
    <n v="3381.07"/>
    <n v="750.9625200000005"/>
    <n v="0.18174167709599739"/>
    <n v="10745341.040770007"/>
    <n v="0.98168909904047319"/>
  </r>
  <r>
    <s v="ORD-2025-269934"/>
    <d v="2025-04-04T00:00:00"/>
    <x v="412"/>
    <d v="2025-04-10T00:00:00"/>
    <d v="2025-04-10T00:00:00"/>
    <n v="6"/>
    <n v="1"/>
    <x v="2"/>
    <s v="Q2-2025"/>
    <d v="2023-01-19T00:00:00"/>
    <s v="01-2023"/>
    <x v="1"/>
    <x v="1"/>
    <s v="Birmingham"/>
    <s v="Birmingham"/>
    <s v="Non-Profit"/>
    <s v="Direct"/>
    <x v="3"/>
    <x v="14"/>
    <x v="13"/>
    <x v="6"/>
    <s v="Low"/>
    <x v="521"/>
    <x v="2"/>
    <n v="290.14"/>
    <n v="250.73"/>
    <n v="250.73"/>
    <n v="3.4000000000000002E-2"/>
    <n v="3.4000000000000002E-2"/>
    <x v="0"/>
    <n v="17"/>
    <n v="4117.4880599999997"/>
    <n v="4932.38"/>
    <n v="814.89194000000043"/>
    <n v="0.19790997038131072"/>
    <n v="10749458.528830007"/>
    <n v="0.98206527073466077"/>
  </r>
  <r>
    <s v="ORD-2024-961756"/>
    <d v="2024-11-25T00:00:00"/>
    <x v="413"/>
    <d v="2024-12-07T00:00:00"/>
    <d v="2024-12-07T00:00:00"/>
    <n v="12"/>
    <n v="0"/>
    <x v="5"/>
    <s v="Q4-2024"/>
    <d v="2023-01-12T00:00:00"/>
    <s v="01-2023"/>
    <x v="3"/>
    <x v="10"/>
    <s v="Shanghai"/>
    <s v="Shanghai"/>
    <s v="Corporate"/>
    <s v="Distributor"/>
    <x v="4"/>
    <x v="6"/>
    <x v="2"/>
    <x v="4"/>
    <s v="Low"/>
    <x v="522"/>
    <x v="2"/>
    <n v="769.9"/>
    <n v="814.36"/>
    <n v="814.36"/>
    <n v="0"/>
    <n v="0"/>
    <x v="0"/>
    <n v="5"/>
    <n v="4071.8"/>
    <n v="3849.5"/>
    <n v="222.30000000000018"/>
    <n v="5.4595019401738831E-2"/>
    <n v="10753530.328830007"/>
    <n v="0.98243726839004542"/>
  </r>
  <r>
    <s v="ORD-2024-356812"/>
    <d v="2024-03-07T00:00:00"/>
    <x v="191"/>
    <d v="2024-04-03T00:00:00"/>
    <d v="2024-04-03T00:00:00"/>
    <n v="27"/>
    <n v="0"/>
    <x v="8"/>
    <s v="Q1-2024"/>
    <d v="2023-01-21T00:00:00"/>
    <s v="01-2023"/>
    <x v="1"/>
    <x v="4"/>
    <s v="Frankfurt"/>
    <s v="Frankfurt"/>
    <s v="Corporate"/>
    <s v="Direct"/>
    <x v="3"/>
    <x v="7"/>
    <x v="6"/>
    <x v="6"/>
    <s v="Medium"/>
    <x v="523"/>
    <x v="2"/>
    <n v="738.16"/>
    <n v="956.49"/>
    <n v="956.49"/>
    <n v="0.152"/>
    <n v="0.152"/>
    <x v="0"/>
    <n v="5"/>
    <n v="4055.5175999999997"/>
    <n v="3690.7999999999997"/>
    <n v="364.71759999999995"/>
    <n v="8.9931208780847108E-2"/>
    <n v="10757585.846430007"/>
    <n v="0.98280777849333389"/>
  </r>
  <r>
    <s v="ORD-2024-973420"/>
    <d v="2024-05-12T00:00:00"/>
    <x v="414"/>
    <d v="2024-05-24T00:00:00"/>
    <d v="2024-05-24T00:00:00"/>
    <n v="12"/>
    <n v="0"/>
    <x v="1"/>
    <s v="Q2-2024"/>
    <d v="2023-01-19T00:00:00"/>
    <s v="01-2023"/>
    <x v="1"/>
    <x v="1"/>
    <s v="Manchester"/>
    <s v="Manchester"/>
    <s v="Education"/>
    <s v="Marketplace"/>
    <x v="2"/>
    <x v="3"/>
    <x v="3"/>
    <x v="6"/>
    <s v="Low"/>
    <x v="524"/>
    <x v="2"/>
    <n v="111.02"/>
    <n v="172.88"/>
    <n v="172.88"/>
    <n v="0.19700000000000001"/>
    <n v="0.19700000000000001"/>
    <x v="0"/>
    <n v="29"/>
    <n v="4025.8565599999993"/>
    <n v="3219.58"/>
    <n v="806.27655999999934"/>
    <n v="0.20027453735212053"/>
    <n v="10761611.702990007"/>
    <n v="0.98317557877852324"/>
  </r>
  <r>
    <s v="ORD-2024-855073"/>
    <d v="2024-07-19T00:00:00"/>
    <x v="415"/>
    <d v="2024-07-19T00:00:00"/>
    <d v="2024-07-19T00:00:00"/>
    <n v="0"/>
    <n v="1"/>
    <x v="9"/>
    <s v="Q3-2024"/>
    <d v="2023-01-20T00:00:00"/>
    <s v="01-2023"/>
    <x v="2"/>
    <x v="5"/>
    <s v="Kisumu"/>
    <s v="Kisumu"/>
    <s v="Small Business"/>
    <s v="Retail"/>
    <x v="1"/>
    <x v="6"/>
    <x v="2"/>
    <x v="5"/>
    <s v="Low"/>
    <x v="525"/>
    <x v="2"/>
    <n v="857.24"/>
    <n v="758.23"/>
    <n v="758.23"/>
    <n v="0.125"/>
    <n v="0.125"/>
    <x v="0"/>
    <n v="6"/>
    <n v="3980.7075"/>
    <n v="5143.4400000000005"/>
    <n v="1162.7325000000005"/>
    <n v="0.29209192084572921"/>
    <n v="10765592.410490006"/>
    <n v="0.98353925426768563"/>
  </r>
  <r>
    <s v="ORD-2023-610470"/>
    <d v="2023-06-24T00:00:00"/>
    <x v="416"/>
    <d v="2023-07-21T00:00:00"/>
    <d v="2023-07-21T00:00:00"/>
    <n v="27"/>
    <n v="0"/>
    <x v="24"/>
    <s v="Q2-2023"/>
    <d v="2023-03-03T00:00:00"/>
    <s v="03-2023"/>
    <x v="3"/>
    <x v="7"/>
    <s v="Nagoya"/>
    <s v="Nagoya"/>
    <s v="Consumer"/>
    <s v="Marketplace"/>
    <x v="2"/>
    <x v="9"/>
    <x v="8"/>
    <x v="5"/>
    <s v="Low"/>
    <x v="526"/>
    <x v="2"/>
    <n v="554.76"/>
    <n v="728.69"/>
    <n v="728.69"/>
    <n v="0.22"/>
    <n v="0.22"/>
    <x v="1"/>
    <n v="7"/>
    <n v="3978.6474000000003"/>
    <n v="3883.3199999999997"/>
    <n v="95.32740000000058"/>
    <n v="2.395975074343119E-2"/>
    <n v="10769571.057890005"/>
    <n v="0.9839027415471201"/>
  </r>
  <r>
    <s v="ORD-2023-177794"/>
    <d v="2023-05-04T00:00:00"/>
    <x v="417"/>
    <d v="2023-05-26T00:00:00"/>
    <d v="2023-05-26T00:00:00"/>
    <n v="22"/>
    <n v="0"/>
    <x v="3"/>
    <s v="Q2-2023"/>
    <d v="2023-01-13T00:00:00"/>
    <s v="01-2023"/>
    <x v="0"/>
    <x v="6"/>
    <s v="San Francisco"/>
    <s v="San Francisco"/>
    <s v="Enterprise"/>
    <s v="Online"/>
    <x v="0"/>
    <x v="9"/>
    <x v="8"/>
    <x v="1"/>
    <s v="Low"/>
    <x v="527"/>
    <x v="2"/>
    <n v="249.71"/>
    <n v="361.33"/>
    <n v="361.33"/>
    <n v="9.4E-2"/>
    <n v="9.4E-2"/>
    <x v="0"/>
    <n v="12"/>
    <n v="3928.3797600000003"/>
    <n v="2996.52"/>
    <n v="931.85976000000028"/>
    <n v="0.23721223937881206"/>
    <n v="10773499.437650006"/>
    <n v="0.98426163639956377"/>
  </r>
  <r>
    <s v="ORD-2023-867166"/>
    <d v="2023-04-13T00:00:00"/>
    <x v="330"/>
    <d v="2023-04-20T00:00:00"/>
    <d v="2023-04-20T00:00:00"/>
    <n v="7"/>
    <n v="1"/>
    <x v="15"/>
    <s v="Q2-2023"/>
    <d v="2023-01-10T00:00:00"/>
    <s v="01-2023"/>
    <x v="1"/>
    <x v="11"/>
    <s v="Lyon"/>
    <s v="Lyon"/>
    <s v="Small Business"/>
    <s v="Online"/>
    <x v="0"/>
    <x v="6"/>
    <x v="2"/>
    <x v="2"/>
    <s v="Low"/>
    <x v="528"/>
    <x v="2"/>
    <n v="227.02"/>
    <n v="434.72"/>
    <n v="434.72"/>
    <n v="9.8000000000000004E-2"/>
    <n v="9.8000000000000004E-2"/>
    <x v="0"/>
    <n v="10"/>
    <n v="3921.1744000000008"/>
    <n v="2270.2000000000003"/>
    <n v="1650.9744000000005"/>
    <n v="0.42104079838938052"/>
    <n v="10777420.612050006"/>
    <n v="0.98461987297384379"/>
  </r>
  <r>
    <s v="ORD-2023-897079"/>
    <d v="2023-04-14T00:00:00"/>
    <x v="24"/>
    <d v="2023-05-14T00:00:00"/>
    <d v="2023-05-14T00:00:00"/>
    <n v="30"/>
    <n v="0"/>
    <x v="15"/>
    <s v="Q2-2023"/>
    <d v="2023-01-20T00:00:00"/>
    <s v="01-2023"/>
    <x v="2"/>
    <x v="5"/>
    <s v="Nakuru"/>
    <s v="Nakuru"/>
    <s v="Consumer"/>
    <s v="Marketplace"/>
    <x v="2"/>
    <x v="7"/>
    <x v="6"/>
    <x v="5"/>
    <s v="Low"/>
    <x v="529"/>
    <x v="2"/>
    <n v="209.25"/>
    <n v="434.8"/>
    <n v="434.8"/>
    <n v="0"/>
    <n v="0"/>
    <x v="0"/>
    <n v="9"/>
    <n v="3913.2000000000003"/>
    <n v="1883.25"/>
    <n v="2029.9500000000003"/>
    <n v="0.51874425022999082"/>
    <n v="10781333.812050005"/>
    <n v="0.9849773810108422"/>
  </r>
  <r>
    <s v="ORD-2024-689872"/>
    <d v="2024-08-03T00:00:00"/>
    <x v="418"/>
    <d v="2024-08-09T00:00:00"/>
    <d v="2024-08-09T00:00:00"/>
    <n v="6"/>
    <n v="1"/>
    <x v="19"/>
    <s v="Q3-2024"/>
    <d v="2023-01-20T00:00:00"/>
    <s v="01-2023"/>
    <x v="2"/>
    <x v="5"/>
    <s v="Mombasa"/>
    <s v="Mombasa"/>
    <s v="Consumer"/>
    <s v="Marketplace"/>
    <x v="2"/>
    <x v="0"/>
    <x v="0"/>
    <x v="2"/>
    <s v="Medium"/>
    <x v="530"/>
    <x v="2"/>
    <n v="643.21"/>
    <n v="1112.81"/>
    <n v="1112.81"/>
    <n v="0.14099999999999999"/>
    <n v="0.14099999999999999"/>
    <x v="0"/>
    <n v="4"/>
    <n v="3823.6151599999998"/>
    <n v="2572.84"/>
    <n v="1250.7751599999997"/>
    <n v="0.32711847496702562"/>
    <n v="10785157.427210005"/>
    <n v="0.98532670462069838"/>
  </r>
  <r>
    <s v="ORD-2024-897622"/>
    <d v="2024-03-30T00:00:00"/>
    <x v="419"/>
    <d v="2024-04-24T00:00:00"/>
    <d v="2024-04-24T00:00:00"/>
    <n v="25"/>
    <n v="0"/>
    <x v="8"/>
    <s v="Q1-2024"/>
    <d v="2023-01-13T00:00:00"/>
    <s v="01-2023"/>
    <x v="0"/>
    <x v="6"/>
    <s v="Austin"/>
    <s v="Austin"/>
    <s v="Non-Profit"/>
    <s v="Online"/>
    <x v="0"/>
    <x v="12"/>
    <x v="11"/>
    <x v="2"/>
    <s v="Low"/>
    <x v="531"/>
    <x v="2"/>
    <n v="160.82"/>
    <n v="258.52"/>
    <n v="258.52"/>
    <n v="0.13"/>
    <n v="0.13"/>
    <x v="0"/>
    <n v="17"/>
    <n v="3823.5108"/>
    <n v="2733.94"/>
    <n v="1089.5708"/>
    <n v="0.28496605789631874"/>
    <n v="10788980.938010005"/>
    <n v="0.98567601869627619"/>
  </r>
  <r>
    <s v="ORD-2023-536542"/>
    <d v="2023-06-10T00:00:00"/>
    <x v="420"/>
    <d v="2023-06-18T00:00:00"/>
    <d v="2023-06-18T00:00:00"/>
    <n v="8"/>
    <n v="0"/>
    <x v="24"/>
    <s v="Q2-2023"/>
    <d v="2023-01-20T00:00:00"/>
    <s v="01-2023"/>
    <x v="2"/>
    <x v="5"/>
    <s v="Nakuru"/>
    <s v="Nakuru"/>
    <s v="Enterprise"/>
    <s v="Direct"/>
    <x v="3"/>
    <x v="0"/>
    <x v="0"/>
    <x v="5"/>
    <s v="Medium"/>
    <x v="532"/>
    <x v="2"/>
    <n v="894.23"/>
    <n v="1421.55"/>
    <n v="1421.55"/>
    <n v="0.109"/>
    <n v="0.109"/>
    <x v="0"/>
    <n v="3"/>
    <n v="3799.8031499999997"/>
    <n v="2682.69"/>
    <n v="1117.1131499999997"/>
    <n v="0.29399237431549574"/>
    <n v="10792780.741160005"/>
    <n v="0.98602316685255165"/>
  </r>
  <r>
    <s v="ORD-2025-364852"/>
    <d v="2025-05-18T00:00:00"/>
    <x v="421"/>
    <d v="2025-06-09T00:00:00"/>
    <d v="2025-06-09T00:00:00"/>
    <n v="22"/>
    <n v="0"/>
    <x v="12"/>
    <s v="Q2-2025"/>
    <d v="2023-01-13T00:00:00"/>
    <s v="01-2023"/>
    <x v="0"/>
    <x v="6"/>
    <s v="New York"/>
    <s v="New York"/>
    <s v="Consumer"/>
    <s v="Retail"/>
    <x v="1"/>
    <x v="0"/>
    <x v="0"/>
    <x v="1"/>
    <s v="Low"/>
    <x v="533"/>
    <x v="2"/>
    <n v="382.96"/>
    <n v="552.84"/>
    <n v="552.84"/>
    <n v="0.17599999999999999"/>
    <n v="0.17599999999999999"/>
    <x v="0"/>
    <n v="8"/>
    <n v="3644.3212800000006"/>
    <n v="3063.68"/>
    <n v="580.64128000000073"/>
    <n v="0.15932768693763483"/>
    <n v="10796425.062440006"/>
    <n v="0.98635611026127212"/>
  </r>
  <r>
    <s v="ORD-2024-320972"/>
    <d v="2024-11-08T00:00:00"/>
    <x v="422"/>
    <d v="2024-11-08T00:00:00"/>
    <d v="2024-11-08T00:00:00"/>
    <n v="0"/>
    <n v="1"/>
    <x v="5"/>
    <s v="Q4-2024"/>
    <d v="2023-01-20T00:00:00"/>
    <s v="01-2023"/>
    <x v="2"/>
    <x v="5"/>
    <s v="Nakuru"/>
    <s v="Nakuru"/>
    <s v="Enterprise"/>
    <s v="Marketplace"/>
    <x v="2"/>
    <x v="7"/>
    <x v="6"/>
    <x v="1"/>
    <s v="Medium"/>
    <x v="534"/>
    <x v="2"/>
    <n v="803.28"/>
    <n v="1009"/>
    <n v="1009"/>
    <n v="0.11"/>
    <n v="0.11"/>
    <x v="0"/>
    <n v="4"/>
    <n v="3592.04"/>
    <n v="3213.12"/>
    <n v="378.92000000000007"/>
    <n v="0.10548880302001093"/>
    <n v="10800017.102440005"/>
    <n v="0.98668427727783647"/>
  </r>
  <r>
    <s v="ORD-2025-244832"/>
    <d v="2025-09-11T00:00:00"/>
    <x v="423"/>
    <d v="2025-09-28T00:00:00"/>
    <d v="2025-09-28T00:00:00"/>
    <n v="17"/>
    <n v="0"/>
    <x v="29"/>
    <s v="Q3-2025"/>
    <d v="2023-01-20T00:00:00"/>
    <s v="01-2023"/>
    <x v="2"/>
    <x v="5"/>
    <s v="Nairobi"/>
    <s v="Nairobi"/>
    <s v="Non-Profit"/>
    <s v="Distributor"/>
    <x v="4"/>
    <x v="9"/>
    <x v="8"/>
    <x v="2"/>
    <s v="Low"/>
    <x v="535"/>
    <x v="2"/>
    <n v="891.46"/>
    <n v="728.61"/>
    <n v="728.61"/>
    <n v="0.185"/>
    <n v="0.185"/>
    <x v="0"/>
    <n v="6"/>
    <n v="3562.9028999999996"/>
    <n v="5348.76"/>
    <n v="1785.8571000000006"/>
    <n v="0.50123653383874167"/>
    <n v="10803580.005340004"/>
    <n v="0.98700978234320369"/>
  </r>
  <r>
    <s v="ORD-2023-651638"/>
    <d v="2023-06-17T00:00:00"/>
    <x v="424"/>
    <d v="2023-06-24T00:00:00"/>
    <d v="2023-06-24T00:00:00"/>
    <n v="7"/>
    <n v="1"/>
    <x v="24"/>
    <s v="Q2-2023"/>
    <d v="2023-01-13T00:00:00"/>
    <s v="01-2023"/>
    <x v="0"/>
    <x v="6"/>
    <s v="San Francisco"/>
    <s v="San Francisco"/>
    <s v="Corporate"/>
    <s v="Retail"/>
    <x v="1"/>
    <x v="13"/>
    <x v="12"/>
    <x v="6"/>
    <s v="Low"/>
    <x v="536"/>
    <x v="2"/>
    <n v="313.99"/>
    <n v="454.42"/>
    <n v="454.42"/>
    <n v="0.129"/>
    <n v="0.129"/>
    <x v="0"/>
    <n v="9"/>
    <n v="3562.1983800000003"/>
    <n v="2825.91"/>
    <n v="736.28838000000042"/>
    <n v="0.20669493988147858"/>
    <n v="10807142.203720005"/>
    <n v="0.9873352230439687"/>
  </r>
  <r>
    <s v="ORD-2024-961501"/>
    <d v="2024-03-02T00:00:00"/>
    <x v="408"/>
    <d v="2024-03-23T00:00:00"/>
    <d v="2024-03-23T00:00:00"/>
    <n v="21"/>
    <n v="0"/>
    <x v="8"/>
    <s v="Q1-2024"/>
    <d v="2023-01-13T00:00:00"/>
    <s v="01-2023"/>
    <x v="0"/>
    <x v="6"/>
    <s v="Chicago"/>
    <s v="Chicago"/>
    <s v="Small Business"/>
    <s v="Online"/>
    <x v="0"/>
    <x v="10"/>
    <x v="9"/>
    <x v="0"/>
    <s v="Low"/>
    <x v="537"/>
    <x v="2"/>
    <n v="225.01"/>
    <n v="333.48"/>
    <n v="333.48"/>
    <n v="0.11899999999999999"/>
    <n v="0.11899999999999999"/>
    <x v="0"/>
    <n v="12"/>
    <n v="3525.5505600000001"/>
    <n v="2700.12"/>
    <n v="825.43056000000024"/>
    <n v="0.23412813004729685"/>
    <n v="10810667.754280005"/>
    <n v="0.98765731561783265"/>
  </r>
  <r>
    <s v="ORD-2025-354346"/>
    <d v="2025-01-09T00:00:00"/>
    <x v="425"/>
    <d v="2025-01-15T00:00:00"/>
    <d v="2025-01-15T00:00:00"/>
    <n v="6"/>
    <n v="1"/>
    <x v="17"/>
    <s v="Q1-2025"/>
    <d v="2023-01-12T00:00:00"/>
    <s v="01-2023"/>
    <x v="3"/>
    <x v="10"/>
    <s v="Beijing"/>
    <s v="Beijing"/>
    <s v="Education"/>
    <s v="Online"/>
    <x v="0"/>
    <x v="5"/>
    <x v="5"/>
    <x v="5"/>
    <s v="Low"/>
    <x v="538"/>
    <x v="2"/>
    <n v="304.77999999999997"/>
    <n v="537.27"/>
    <n v="537.27"/>
    <n v="0.187"/>
    <n v="0.187"/>
    <x v="0"/>
    <n v="8"/>
    <n v="3494.4040799999998"/>
    <n v="2438.2399999999998"/>
    <n v="1056.16408"/>
    <n v="0.3022444044307549"/>
    <n v="10814162.158360004"/>
    <n v="0.98797656266452594"/>
  </r>
  <r>
    <s v="ORD-2025-169093"/>
    <d v="2025-04-13T00:00:00"/>
    <x v="426"/>
    <d v="2025-04-14T00:00:00"/>
    <d v="2025-04-14T00:00:00"/>
    <n v="1"/>
    <n v="1"/>
    <x v="2"/>
    <s v="Q2-2025"/>
    <d v="2023-03-03T00:00:00"/>
    <s v="03-2023"/>
    <x v="3"/>
    <x v="7"/>
    <s v="Osaka"/>
    <s v="Osaka"/>
    <s v="Enterprise"/>
    <s v="Online"/>
    <x v="0"/>
    <x v="12"/>
    <x v="11"/>
    <x v="0"/>
    <s v="Low"/>
    <x v="539"/>
    <x v="2"/>
    <n v="138.9"/>
    <n v="289.92"/>
    <n v="289.92"/>
    <n v="2.9000000000000001E-2"/>
    <n v="2.9000000000000001E-2"/>
    <x v="0"/>
    <n v="12"/>
    <n v="3378.1478400000001"/>
    <n v="1666.8000000000002"/>
    <n v="1711.3478399999999"/>
    <n v="0.50659353025828491"/>
    <n v="10817540.306200005"/>
    <n v="0.98828518859802517"/>
  </r>
  <r>
    <s v="ORD-2023-811823"/>
    <d v="2023-01-26T00:00:00"/>
    <x v="427"/>
    <d v="2023-02-15T00:00:00"/>
    <d v="2023-02-15T00:00:00"/>
    <n v="20"/>
    <n v="0"/>
    <x v="23"/>
    <s v="Q1-2023"/>
    <d v="2023-01-21T00:00:00"/>
    <s v="01-2023"/>
    <x v="1"/>
    <x v="4"/>
    <s v="Berlin"/>
    <s v="Berlin"/>
    <s v="Small Business"/>
    <s v="Online"/>
    <x v="0"/>
    <x v="8"/>
    <x v="7"/>
    <x v="1"/>
    <s v="Low"/>
    <x v="540"/>
    <x v="2"/>
    <n v="492.62"/>
    <n v="366.7"/>
    <n v="366.7"/>
    <n v="8.8999999999999996E-2"/>
    <n v="8.8999999999999996E-2"/>
    <x v="0"/>
    <n v="10"/>
    <n v="3340.6370000000002"/>
    <n v="4926.2"/>
    <n v="1585.5629999999996"/>
    <n v="0.47462894052840809"/>
    <n v="10820880.943200005"/>
    <n v="0.98859038755953865"/>
  </r>
  <r>
    <s v="ORD-2023-602648"/>
    <d v="2023-06-20T00:00:00"/>
    <x v="35"/>
    <d v="2023-07-08T00:00:00"/>
    <d v="2023-07-08T00:00:00"/>
    <n v="18"/>
    <n v="0"/>
    <x v="24"/>
    <s v="Q2-2023"/>
    <d v="2023-01-13T00:00:00"/>
    <s v="01-2023"/>
    <x v="0"/>
    <x v="6"/>
    <s v="Austin"/>
    <s v="Austin"/>
    <s v="Non-Profit"/>
    <s v="Direct"/>
    <x v="3"/>
    <x v="10"/>
    <x v="9"/>
    <x v="3"/>
    <s v="Low"/>
    <x v="541"/>
    <x v="2"/>
    <n v="337"/>
    <n v="511.03"/>
    <n v="511.03"/>
    <n v="0.108"/>
    <n v="0.108"/>
    <x v="0"/>
    <n v="7"/>
    <n v="3190.8713200000002"/>
    <n v="2359"/>
    <n v="831.8713200000002"/>
    <n v="0.26070349963219458"/>
    <n v="10824071.814520005"/>
    <n v="0.98888190400181819"/>
  </r>
  <r>
    <s v="ORD-2024-892908"/>
    <d v="2024-07-13T00:00:00"/>
    <x v="428"/>
    <d v="2024-07-12T00:00:00"/>
    <d v="2024-07-13T00:00:00"/>
    <n v="1"/>
    <n v="1"/>
    <x v="9"/>
    <s v="Q3-2024"/>
    <d v="2023-03-03T00:00:00"/>
    <s v="03-2023"/>
    <x v="3"/>
    <x v="7"/>
    <s v="Nagoya"/>
    <s v="Nagoya"/>
    <s v="Small Business"/>
    <s v="Marketplace"/>
    <x v="2"/>
    <x v="10"/>
    <x v="9"/>
    <x v="1"/>
    <s v="Low"/>
    <x v="542"/>
    <x v="2"/>
    <n v="105.13"/>
    <n v="244.13"/>
    <n v="244.13"/>
    <n v="7.0999999999999994E-2"/>
    <n v="7.0999999999999994E-2"/>
    <x v="0"/>
    <n v="14"/>
    <n v="3175.1547799999998"/>
    <n v="1471.82"/>
    <n v="1703.3347799999999"/>
    <n v="0.53645724319618837"/>
    <n v="10827246.969300006"/>
    <n v="0.98917198458869449"/>
  </r>
  <r>
    <s v="ORD-2023-689428"/>
    <d v="2023-01-07T00:00:00"/>
    <x v="429"/>
    <d v="2023-01-30T00:00:00"/>
    <d v="2023-01-30T00:00:00"/>
    <n v="23"/>
    <n v="0"/>
    <x v="23"/>
    <s v="Q1-2023"/>
    <d v="2023-01-07T00:00:00"/>
    <s v="01-2023"/>
    <x v="2"/>
    <x v="8"/>
    <s v="Cape Town"/>
    <s v="Cape Town"/>
    <s v="Consumer"/>
    <s v="Online"/>
    <x v="0"/>
    <x v="6"/>
    <x v="2"/>
    <x v="6"/>
    <s v="Low"/>
    <x v="543"/>
    <x v="2"/>
    <n v="299.02"/>
    <n v="724.7"/>
    <n v="724.7"/>
    <n v="0.14000000000000001"/>
    <n v="0.14000000000000001"/>
    <x v="0"/>
    <n v="5"/>
    <n v="3116.21"/>
    <n v="1495.1"/>
    <n v="1621.1100000000001"/>
    <n v="0.52021847051386139"/>
    <n v="10830363.179300006"/>
    <n v="0.98945668000931586"/>
  </r>
  <r>
    <s v="ORD-2023-660608"/>
    <d v="2023-07-25T00:00:00"/>
    <x v="430"/>
    <d v="2023-08-10T00:00:00"/>
    <d v="2023-08-10T00:00:00"/>
    <n v="16"/>
    <n v="0"/>
    <x v="6"/>
    <s v="Q3-2023"/>
    <d v="2023-01-13T00:00:00"/>
    <s v="01-2023"/>
    <x v="2"/>
    <x v="2"/>
    <s v="Port Harcourt"/>
    <s v="Port Harcourt"/>
    <s v="Corporate"/>
    <s v="Distributor"/>
    <x v="4"/>
    <x v="13"/>
    <x v="12"/>
    <x v="4"/>
    <s v="Low"/>
    <x v="544"/>
    <x v="2"/>
    <n v="506.83"/>
    <n v="441.74"/>
    <n v="441.74"/>
    <n v="0.24"/>
    <n v="0.24"/>
    <x v="1"/>
    <n v="9"/>
    <n v="3021.5016000000001"/>
    <n v="4561.47"/>
    <n v="1539.9684000000002"/>
    <n v="0.50966989393618067"/>
    <n v="10833384.680900006"/>
    <n v="0.98973272291686043"/>
  </r>
  <r>
    <s v="ORD-2025-861401"/>
    <d v="2025-04-01T00:00:00"/>
    <x v="431"/>
    <d v="2025-04-27T00:00:00"/>
    <d v="2025-04-27T00:00:00"/>
    <n v="26"/>
    <n v="0"/>
    <x v="2"/>
    <s v="Q2-2025"/>
    <d v="2023-01-13T00:00:00"/>
    <s v="01-2023"/>
    <x v="0"/>
    <x v="6"/>
    <s v="San Francisco"/>
    <s v="San Francisco"/>
    <s v="Corporate"/>
    <s v="Direct"/>
    <x v="3"/>
    <x v="13"/>
    <x v="12"/>
    <x v="3"/>
    <s v="Low"/>
    <x v="545"/>
    <x v="2"/>
    <n v="156.55000000000001"/>
    <n v="227.45"/>
    <n v="227.45"/>
    <n v="1.4E-2"/>
    <n v="1.4E-2"/>
    <x v="0"/>
    <n v="13"/>
    <n v="2915.4540999999999"/>
    <n v="2035.15"/>
    <n v="880.30409999999983"/>
    <n v="0.3019440779396938"/>
    <n v="10836300.135000005"/>
    <n v="0.98999907737670156"/>
  </r>
  <r>
    <s v="ORD-2024-853298"/>
    <d v="2024-03-06T00:00:00"/>
    <x v="432"/>
    <d v="2024-03-26T00:00:00"/>
    <d v="2024-03-26T00:00:00"/>
    <n v="20"/>
    <n v="0"/>
    <x v="8"/>
    <s v="Q1-2024"/>
    <d v="2023-01-13T00:00:00"/>
    <s v="01-2023"/>
    <x v="2"/>
    <x v="2"/>
    <s v="Port Harcourt"/>
    <s v="Port Harcourt"/>
    <s v="Consumer"/>
    <s v="Marketplace"/>
    <x v="2"/>
    <x v="13"/>
    <x v="12"/>
    <x v="5"/>
    <s v="Low"/>
    <x v="546"/>
    <x v="2"/>
    <n v="65.64"/>
    <n v="151.88"/>
    <n v="151.88"/>
    <n v="0.16700000000000001"/>
    <n v="0.16700000000000001"/>
    <x v="0"/>
    <n v="23"/>
    <n v="2909.8689199999999"/>
    <n v="1509.72"/>
    <n v="1400.1489199999999"/>
    <n v="0.48117250587356353"/>
    <n v="10839210.003920006"/>
    <n v="0.99026492157723112"/>
  </r>
  <r>
    <s v="ORD-2024-336584"/>
    <d v="2024-12-27T00:00:00"/>
    <x v="15"/>
    <d v="2025-01-14T00:00:00"/>
    <d v="2025-01-14T00:00:00"/>
    <n v="18"/>
    <n v="0"/>
    <x v="11"/>
    <s v="Q4-2024"/>
    <d v="2023-01-29T00:00:00"/>
    <s v="01-2023"/>
    <x v="3"/>
    <x v="3"/>
    <s v="Bengaluru"/>
    <s v="Bengaluru"/>
    <s v="Small Business"/>
    <s v="Marketplace"/>
    <x v="2"/>
    <x v="15"/>
    <x v="14"/>
    <x v="3"/>
    <s v="Medium"/>
    <x v="547"/>
    <x v="2"/>
    <n v="586.07000000000005"/>
    <n v="845.97"/>
    <n v="845.97"/>
    <n v="0.14699999999999999"/>
    <n v="0.14699999999999999"/>
    <x v="0"/>
    <n v="4"/>
    <n v="2886.4496399999998"/>
    <n v="2344.2800000000002"/>
    <n v="542.16963999999962"/>
    <n v="0.18783270370862928"/>
    <n v="10842096.453560006"/>
    <n v="0.99052862620380056"/>
  </r>
  <r>
    <s v="ORD-2024-423853"/>
    <d v="2024-09-03T00:00:00"/>
    <x v="396"/>
    <d v="2024-09-08T00:00:00"/>
    <d v="2024-09-08T00:00:00"/>
    <n v="5"/>
    <n v="1"/>
    <x v="27"/>
    <s v="Q3-2024"/>
    <d v="2023-01-13T00:00:00"/>
    <s v="01-2023"/>
    <x v="2"/>
    <x v="2"/>
    <s v="Lagos"/>
    <s v="Lagos"/>
    <s v="Small Business"/>
    <s v="Direct"/>
    <x v="3"/>
    <x v="3"/>
    <x v="3"/>
    <x v="6"/>
    <s v="Low"/>
    <x v="548"/>
    <x v="2"/>
    <n v="197.63"/>
    <n v="325.79000000000002"/>
    <n v="325.79000000000002"/>
    <n v="0.11600000000000001"/>
    <n v="0.11600000000000001"/>
    <x v="0"/>
    <n v="10"/>
    <n v="2879.9836"/>
    <n v="1976.3"/>
    <n v="903.68360000000007"/>
    <n v="0.31378081458519419"/>
    <n v="10844976.437160006"/>
    <n v="0.99079174009611981"/>
  </r>
  <r>
    <s v="ORD-2023-156396"/>
    <d v="2023-02-21T00:00:00"/>
    <x v="433"/>
    <d v="2023-03-12T00:00:00"/>
    <d v="2023-03-12T00:00:00"/>
    <n v="19"/>
    <n v="0"/>
    <x v="4"/>
    <s v="Q1-2023"/>
    <d v="2023-01-20T00:00:00"/>
    <s v="01-2023"/>
    <x v="2"/>
    <x v="5"/>
    <s v="Nakuru"/>
    <s v="Nakuru"/>
    <s v="Corporate"/>
    <s v="Online"/>
    <x v="0"/>
    <x v="10"/>
    <x v="9"/>
    <x v="1"/>
    <s v="Low"/>
    <x v="549"/>
    <x v="2"/>
    <n v="352.65"/>
    <n v="485.86"/>
    <n v="485.86"/>
    <n v="4.1000000000000002E-2"/>
    <n v="4.1000000000000002E-2"/>
    <x v="0"/>
    <n v="6"/>
    <n v="2795.6384399999997"/>
    <n v="2115.8999999999996"/>
    <n v="679.73844000000008"/>
    <n v="0.24314247159943908"/>
    <n v="10847772.075600006"/>
    <n v="0.99104714825589746"/>
  </r>
  <r>
    <s v="ORD-2024-266562"/>
    <d v="2024-11-27T00:00:00"/>
    <x v="434"/>
    <d v="2024-12-24T00:00:00"/>
    <d v="2024-12-24T00:00:00"/>
    <n v="27"/>
    <n v="0"/>
    <x v="5"/>
    <s v="Q4-2024"/>
    <d v="2023-01-20T00:00:00"/>
    <s v="01-2023"/>
    <x v="2"/>
    <x v="5"/>
    <s v="Mombasa"/>
    <s v="Mombasa"/>
    <s v="Corporate"/>
    <s v="Distributor"/>
    <x v="4"/>
    <x v="1"/>
    <x v="1"/>
    <x v="6"/>
    <s v="Low"/>
    <x v="550"/>
    <x v="2"/>
    <n v="143.33000000000001"/>
    <n v="233.51"/>
    <n v="233.51"/>
    <n v="0.16300000000000001"/>
    <n v="0.16300000000000001"/>
    <x v="0"/>
    <n v="14"/>
    <n v="2736.27018"/>
    <n v="2006.6200000000001"/>
    <n v="729.65017999999986"/>
    <n v="0.26665867476580835"/>
    <n v="10850508.345780006"/>
    <n v="0.99129713256049456"/>
  </r>
  <r>
    <s v="ORD-2024-787018"/>
    <d v="2024-06-23T00:00:00"/>
    <x v="72"/>
    <d v="2024-06-28T00:00:00"/>
    <d v="2024-06-28T00:00:00"/>
    <n v="5"/>
    <n v="1"/>
    <x v="7"/>
    <s v="Q2-2024"/>
    <d v="2023-01-13T00:00:00"/>
    <s v="01-2023"/>
    <x v="2"/>
    <x v="2"/>
    <s v="Port Harcourt"/>
    <s v="Port Harcourt"/>
    <s v="Non-Profit"/>
    <s v="Direct"/>
    <x v="3"/>
    <x v="7"/>
    <x v="6"/>
    <x v="4"/>
    <s v="Low"/>
    <x v="551"/>
    <x v="2"/>
    <n v="242.31"/>
    <n v="587.95000000000005"/>
    <n v="587.95000000000005"/>
    <n v="0.22900000000000001"/>
    <n v="0.22900000000000001"/>
    <x v="1"/>
    <n v="6"/>
    <n v="2719.8567000000003"/>
    <n v="1453.8600000000001"/>
    <n v="1265.9967000000001"/>
    <n v="0.46546448568411714"/>
    <n v="10853228.202480005"/>
    <n v="0.99154561733759106"/>
  </r>
  <r>
    <s v="ORD-2024-605518"/>
    <d v="2024-05-30T00:00:00"/>
    <x v="435"/>
    <d v="2024-06-13T00:00:00"/>
    <d v="2024-06-13T00:00:00"/>
    <n v="14"/>
    <n v="0"/>
    <x v="1"/>
    <s v="Q2-2024"/>
    <d v="2023-01-13T00:00:00"/>
    <s v="01-2023"/>
    <x v="0"/>
    <x v="6"/>
    <s v="San Francisco"/>
    <s v="San Francisco"/>
    <s v="Small Business"/>
    <s v="Retail"/>
    <x v="1"/>
    <x v="10"/>
    <x v="9"/>
    <x v="5"/>
    <s v="Low"/>
    <x v="552"/>
    <x v="2"/>
    <n v="157.78"/>
    <n v="361.1"/>
    <n v="361.1"/>
    <n v="0.187"/>
    <n v="0.187"/>
    <x v="0"/>
    <n v="9"/>
    <n v="2642.1686999999997"/>
    <n v="1420.02"/>
    <n v="1222.1486999999997"/>
    <n v="0.46255513510549112"/>
    <n v="10855870.371180005"/>
    <n v="0.99178700457702584"/>
  </r>
  <r>
    <s v="ORD-2023-659070"/>
    <d v="2023-10-21T00:00:00"/>
    <x v="150"/>
    <d v="2023-10-21T00:00:00"/>
    <d v="2023-10-21T00:00:00"/>
    <n v="0"/>
    <n v="1"/>
    <x v="18"/>
    <s v="Q4-2023"/>
    <d v="2023-01-19T00:00:00"/>
    <s v="01-2023"/>
    <x v="1"/>
    <x v="1"/>
    <s v="Manchester"/>
    <s v="Manchester"/>
    <s v="Enterprise"/>
    <s v="Distributor"/>
    <x v="4"/>
    <x v="9"/>
    <x v="8"/>
    <x v="3"/>
    <s v="Low"/>
    <x v="553"/>
    <x v="2"/>
    <n v="384.19"/>
    <n v="278.35000000000002"/>
    <n v="278.35000000000002"/>
    <n v="5.6000000000000001E-2"/>
    <n v="5.6000000000000001E-2"/>
    <x v="0"/>
    <n v="10"/>
    <n v="2627.6239999999998"/>
    <n v="3841.9"/>
    <n v="1214.2760000000003"/>
    <n v="0.46211938998882657"/>
    <n v="10858497.995180005"/>
    <n v="0.99202706301978627"/>
  </r>
  <r>
    <s v="ORD-2025-653781"/>
    <d v="2025-01-11T00:00:00"/>
    <x v="436"/>
    <d v="2025-01-23T00:00:00"/>
    <d v="2025-01-23T00:00:00"/>
    <n v="12"/>
    <n v="0"/>
    <x v="17"/>
    <s v="Q1-2025"/>
    <d v="2023-01-13T00:00:00"/>
    <s v="01-2023"/>
    <x v="0"/>
    <x v="6"/>
    <s v="Austin"/>
    <s v="Austin"/>
    <s v="Consumer"/>
    <s v="Distributor"/>
    <x v="4"/>
    <x v="0"/>
    <x v="0"/>
    <x v="5"/>
    <s v="Low"/>
    <x v="554"/>
    <x v="2"/>
    <n v="100.69"/>
    <n v="226.14"/>
    <n v="226.14"/>
    <n v="6.5000000000000002E-2"/>
    <n v="6.5000000000000002E-2"/>
    <x v="0"/>
    <n v="12"/>
    <n v="2537.2908000000002"/>
    <n v="1208.28"/>
    <n v="1329.0108000000002"/>
    <n v="0.52379128162999689"/>
    <n v="10861035.285980005"/>
    <n v="0.99225886866560098"/>
  </r>
  <r>
    <s v="ORD-2024-307849"/>
    <d v="2024-08-10T00:00:00"/>
    <x v="437"/>
    <d v="2024-09-07T00:00:00"/>
    <d v="2024-09-07T00:00:00"/>
    <n v="28"/>
    <n v="0"/>
    <x v="19"/>
    <s v="Q3-2024"/>
    <d v="2023-01-10T00:00:00"/>
    <s v="01-2023"/>
    <x v="1"/>
    <x v="11"/>
    <s v="Marseille"/>
    <s v="Marseille"/>
    <s v="Non-Profit"/>
    <s v="Direct"/>
    <x v="3"/>
    <x v="10"/>
    <x v="9"/>
    <x v="6"/>
    <s v="Low"/>
    <x v="555"/>
    <x v="2"/>
    <n v="229.96"/>
    <n v="564.26"/>
    <n v="564.26"/>
    <n v="0.105"/>
    <n v="0.105"/>
    <x v="0"/>
    <n v="5"/>
    <n v="2525.0635000000002"/>
    <n v="1149.8"/>
    <n v="1375.2635000000002"/>
    <n v="0.54464511486542821"/>
    <n v="10863560.349480005"/>
    <n v="0.99248955723127141"/>
  </r>
  <r>
    <s v="ORD-2025-578007"/>
    <d v="2025-01-21T00:00:00"/>
    <x v="111"/>
    <d v="2025-02-16T00:00:00"/>
    <d v="2025-02-16T00:00:00"/>
    <n v="26"/>
    <n v="0"/>
    <x v="17"/>
    <s v="Q1-2025"/>
    <d v="2023-01-10T00:00:00"/>
    <s v="01-2023"/>
    <x v="1"/>
    <x v="11"/>
    <s v="Lyon"/>
    <s v="Lyon"/>
    <s v="Corporate"/>
    <s v="Distributor"/>
    <x v="4"/>
    <x v="8"/>
    <x v="7"/>
    <x v="2"/>
    <s v="Low"/>
    <x v="556"/>
    <x v="2"/>
    <n v="204.11"/>
    <n v="236.87"/>
    <n v="236.87"/>
    <n v="0.182"/>
    <n v="0.182"/>
    <x v="0"/>
    <n v="13"/>
    <n v="2518.8755800000004"/>
    <n v="2653.4300000000003"/>
    <n v="134.55441999999994"/>
    <n v="5.3418446337075494E-2"/>
    <n v="10866079.225060005"/>
    <n v="0.99271968047159886"/>
  </r>
  <r>
    <s v="ORD-2023-256951"/>
    <d v="2023-04-19T00:00:00"/>
    <x v="90"/>
    <d v="2023-05-07T00:00:00"/>
    <d v="2023-05-07T00:00:00"/>
    <n v="18"/>
    <n v="0"/>
    <x v="15"/>
    <s v="Q2-2023"/>
    <d v="2023-01-19T00:00:00"/>
    <s v="01-2023"/>
    <x v="1"/>
    <x v="1"/>
    <s v="London"/>
    <s v="London"/>
    <s v="Non-Profit"/>
    <s v="Direct"/>
    <x v="3"/>
    <x v="0"/>
    <x v="0"/>
    <x v="1"/>
    <s v="Low"/>
    <x v="557"/>
    <x v="2"/>
    <n v="516.96"/>
    <n v="745.38"/>
    <n v="745.38"/>
    <n v="0.19700000000000001"/>
    <n v="0.19700000000000001"/>
    <x v="0"/>
    <n v="4"/>
    <n v="2394.1605599999998"/>
    <n v="2067.84"/>
    <n v="326.32055999999966"/>
    <n v="0.13629852794835101"/>
    <n v="10868473.385620005"/>
    <n v="0.99293840980873083"/>
  </r>
  <r>
    <s v="ORD-2024-153053"/>
    <d v="2024-01-12T00:00:00"/>
    <x v="401"/>
    <d v="2024-01-29T00:00:00"/>
    <d v="2024-01-29T00:00:00"/>
    <n v="17"/>
    <n v="0"/>
    <x v="28"/>
    <s v="Q1-2024"/>
    <d v="2023-01-29T00:00:00"/>
    <s v="01-2023"/>
    <x v="3"/>
    <x v="3"/>
    <s v="Hyderabad"/>
    <s v="Hyderabad"/>
    <s v="Small Business"/>
    <s v="Direct"/>
    <x v="3"/>
    <x v="1"/>
    <x v="1"/>
    <x v="0"/>
    <s v="Low"/>
    <x v="558"/>
    <x v="2"/>
    <n v="310.02"/>
    <n v="619.51"/>
    <n v="619.51"/>
    <n v="4.2000000000000003E-2"/>
    <n v="4.2000000000000003E-2"/>
    <x v="0"/>
    <n v="4"/>
    <n v="2373.9623200000001"/>
    <n v="1240.08"/>
    <n v="1133.8823200000002"/>
    <n v="0.47763282106347843"/>
    <n v="10870847.347940005"/>
    <n v="0.99315529384454082"/>
  </r>
  <r>
    <s v="ORD-2025-907040"/>
    <d v="2025-04-17T00:00:00"/>
    <x v="154"/>
    <d v="2025-05-03T00:00:00"/>
    <d v="2025-05-03T00:00:00"/>
    <n v="16"/>
    <n v="0"/>
    <x v="2"/>
    <s v="Q2-2025"/>
    <d v="2023-01-29T00:00:00"/>
    <s v="01-2023"/>
    <x v="0"/>
    <x v="9"/>
    <s v="Rio de Janeiro"/>
    <s v="Rio de Janeiro"/>
    <s v="Consumer"/>
    <s v="Marketplace"/>
    <x v="2"/>
    <x v="9"/>
    <x v="8"/>
    <x v="1"/>
    <s v="Low"/>
    <x v="559"/>
    <x v="2"/>
    <n v="168.68"/>
    <n v="413.34"/>
    <n v="413.34"/>
    <n v="0.186"/>
    <n v="0.186"/>
    <x v="0"/>
    <n v="7"/>
    <n v="2355.2113199999999"/>
    <n v="1180.76"/>
    <n v="1174.4513199999999"/>
    <n v="0.49866069767361682"/>
    <n v="10873202.559260005"/>
    <n v="0.99337046479816693"/>
  </r>
  <r>
    <s v="ORD-2024-942981"/>
    <d v="2024-10-09T00:00:00"/>
    <x v="438"/>
    <d v="2024-11-08T00:00:00"/>
    <d v="2024-11-08T00:00:00"/>
    <n v="30"/>
    <n v="0"/>
    <x v="20"/>
    <s v="Q4-2024"/>
    <d v="2023-01-19T00:00:00"/>
    <s v="01-2023"/>
    <x v="1"/>
    <x v="1"/>
    <s v="Manchester"/>
    <s v="Manchester"/>
    <s v="Small Business"/>
    <s v="Distributor"/>
    <x v="4"/>
    <x v="9"/>
    <x v="8"/>
    <x v="0"/>
    <s v="Low"/>
    <x v="560"/>
    <x v="2"/>
    <n v="343.85"/>
    <n v="538.04"/>
    <n v="538.04"/>
    <n v="0.13900000000000001"/>
    <n v="0.13900000000000001"/>
    <x v="0"/>
    <n v="5"/>
    <n v="2316.2621999999997"/>
    <n v="1719.25"/>
    <n v="597.01219999999967"/>
    <n v="0.25774810813732563"/>
    <n v="10875518.821460005"/>
    <n v="0.99358207737925042"/>
  </r>
  <r>
    <s v="ORD-2023-613317"/>
    <d v="2023-01-22T00:00:00"/>
    <x v="439"/>
    <d v="2023-01-21T00:00:00"/>
    <d v="2023-01-22T00:00:00"/>
    <n v="1"/>
    <n v="1"/>
    <x v="23"/>
    <s v="Q1-2023"/>
    <d v="2023-01-21T00:00:00"/>
    <s v="01-2023"/>
    <x v="1"/>
    <x v="4"/>
    <s v="Munich"/>
    <s v="Munich"/>
    <s v="Corporate"/>
    <s v="Direct"/>
    <x v="3"/>
    <x v="10"/>
    <x v="9"/>
    <x v="3"/>
    <s v="Low"/>
    <x v="561"/>
    <x v="2"/>
    <n v="150.86000000000001"/>
    <n v="346.96"/>
    <n v="346.96"/>
    <n v="0.19600000000000001"/>
    <n v="0.19600000000000001"/>
    <x v="0"/>
    <n v="8"/>
    <n v="2231.6467200000002"/>
    <n v="1206.8800000000001"/>
    <n v="1024.7667200000001"/>
    <n v="0.45919755614365343"/>
    <n v="10877750.468180005"/>
    <n v="0.99378595953148929"/>
  </r>
  <r>
    <s v="ORD-2023-898009"/>
    <d v="2023-05-04T00:00:00"/>
    <x v="417"/>
    <d v="2023-05-16T00:00:00"/>
    <d v="2023-05-16T00:00:00"/>
    <n v="12"/>
    <n v="0"/>
    <x v="3"/>
    <s v="Q2-2023"/>
    <d v="2023-01-13T00:00:00"/>
    <s v="01-2023"/>
    <x v="2"/>
    <x v="2"/>
    <s v="Abuja"/>
    <s v="Abuja"/>
    <s v="Small Business"/>
    <s v="Marketplace"/>
    <x v="2"/>
    <x v="9"/>
    <x v="8"/>
    <x v="5"/>
    <s v="Low"/>
    <x v="562"/>
    <x v="2"/>
    <n v="77.739999999999995"/>
    <n v="147.12"/>
    <n v="147.12"/>
    <n v="0"/>
    <n v="0"/>
    <x v="0"/>
    <n v="15"/>
    <n v="2206.8000000000002"/>
    <n v="1166.0999999999999"/>
    <n v="1040.7000000000003"/>
    <n v="0.47158781946710177"/>
    <n v="10879957.268180005"/>
    <n v="0.99398757169954832"/>
  </r>
  <r>
    <s v="ORD-2025-460466"/>
    <d v="2025-02-07T00:00:00"/>
    <x v="440"/>
    <d v="2025-02-16T00:00:00"/>
    <d v="2025-02-16T00:00:00"/>
    <n v="9"/>
    <n v="0"/>
    <x v="30"/>
    <s v="Q1-2025"/>
    <d v="2023-01-13T00:00:00"/>
    <s v="01-2023"/>
    <x v="2"/>
    <x v="2"/>
    <s v="Lagos"/>
    <s v="Lagos"/>
    <s v="Small Business"/>
    <s v="Distributor"/>
    <x v="4"/>
    <x v="5"/>
    <x v="5"/>
    <x v="6"/>
    <s v="Low"/>
    <x v="563"/>
    <x v="2"/>
    <n v="90.68"/>
    <n v="118.17"/>
    <n v="118.17"/>
    <n v="0.13500000000000001"/>
    <n v="0.13500000000000001"/>
    <x v="0"/>
    <n v="21"/>
    <n v="2146.5580500000001"/>
    <n v="1904.2800000000002"/>
    <n v="242.27804999999989"/>
    <n v="0.11286815653552899"/>
    <n v="10882103.826230004"/>
    <n v="0.99418368019253578"/>
  </r>
  <r>
    <s v="ORD-2025-649239"/>
    <d v="2025-01-17T00:00:00"/>
    <x v="441"/>
    <d v="2025-01-24T00:00:00"/>
    <d v="2025-01-24T00:00:00"/>
    <n v="7"/>
    <n v="1"/>
    <x v="17"/>
    <s v="Q1-2025"/>
    <d v="2023-01-13T00:00:00"/>
    <s v="01-2023"/>
    <x v="0"/>
    <x v="6"/>
    <s v="Austin"/>
    <s v="Austin"/>
    <s v="Enterprise"/>
    <s v="Online"/>
    <x v="0"/>
    <x v="12"/>
    <x v="11"/>
    <x v="4"/>
    <s v="Low"/>
    <x v="564"/>
    <x v="2"/>
    <n v="142.09"/>
    <n v="218.5"/>
    <n v="218.5"/>
    <n v="0.11899999999999999"/>
    <n v="0.11899999999999999"/>
    <x v="0"/>
    <n v="11"/>
    <n v="2117.4834999999998"/>
    <n v="1562.99"/>
    <n v="554.49349999999981"/>
    <n v="0.26186437816398561"/>
    <n v="10884221.309730005"/>
    <n v="0.9943771324488635"/>
  </r>
  <r>
    <s v="ORD-2024-838925"/>
    <d v="2024-01-28T00:00:00"/>
    <x v="442"/>
    <d v="2024-01-27T00:00:00"/>
    <d v="2024-01-28T00:00:00"/>
    <n v="1"/>
    <n v="1"/>
    <x v="28"/>
    <s v="Q1-2024"/>
    <d v="2023-01-07T00:00:00"/>
    <s v="01-2023"/>
    <x v="2"/>
    <x v="8"/>
    <s v="Cape Town"/>
    <s v="Cape Town"/>
    <s v="Enterprise"/>
    <s v="Direct"/>
    <x v="3"/>
    <x v="8"/>
    <x v="7"/>
    <x v="0"/>
    <s v="Low"/>
    <x v="565"/>
    <x v="2"/>
    <n v="109.75"/>
    <n v="124.25"/>
    <n v="124.25"/>
    <n v="0.12"/>
    <n v="0.12"/>
    <x v="0"/>
    <n v="19"/>
    <n v="2077.46"/>
    <n v="2085.25"/>
    <n v="7.7899999999999636"/>
    <n v="3.7497713554051405E-3"/>
    <n v="10886298.769730005"/>
    <n v="0.99456692817781767"/>
  </r>
  <r>
    <s v="ORD-2023-603238"/>
    <d v="2023-08-21T00:00:00"/>
    <x v="443"/>
    <d v="2023-09-04T00:00:00"/>
    <d v="2023-09-04T00:00:00"/>
    <n v="14"/>
    <n v="0"/>
    <x v="21"/>
    <s v="Q3-2023"/>
    <d v="2023-01-02T00:00:00"/>
    <s v="01-2023"/>
    <x v="0"/>
    <x v="0"/>
    <s v="Montreal"/>
    <s v="Montreal"/>
    <s v="Education"/>
    <s v="Distributor"/>
    <x v="4"/>
    <x v="10"/>
    <x v="9"/>
    <x v="0"/>
    <s v="Low"/>
    <x v="566"/>
    <x v="2"/>
    <n v="178.19"/>
    <n v="284.43"/>
    <n v="284.43"/>
    <n v="8.8999999999999996E-2"/>
    <n v="8.8999999999999996E-2"/>
    <x v="0"/>
    <n v="8"/>
    <n v="2072.9258400000003"/>
    <n v="1425.52"/>
    <n v="647.40584000000035"/>
    <n v="0.31231500302972742"/>
    <n v="10888371.695570005"/>
    <n v="0.994756309668133"/>
  </r>
  <r>
    <s v="ORD-2023-933238"/>
    <d v="2023-03-17T00:00:00"/>
    <x v="444"/>
    <d v="2023-04-06T00:00:00"/>
    <d v="2023-04-06T00:00:00"/>
    <n v="20"/>
    <n v="0"/>
    <x v="16"/>
    <s v="Q1-2023"/>
    <d v="2023-01-21T00:00:00"/>
    <s v="01-2023"/>
    <x v="1"/>
    <x v="4"/>
    <s v="Munich"/>
    <s v="Munich"/>
    <s v="Consumer"/>
    <s v="Retail"/>
    <x v="1"/>
    <x v="8"/>
    <x v="7"/>
    <x v="5"/>
    <s v="Medium"/>
    <x v="567"/>
    <x v="2"/>
    <n v="692.18"/>
    <n v="1159.3499999999999"/>
    <n v="1159.3499999999999"/>
    <n v="0.112"/>
    <n v="0.112"/>
    <x v="0"/>
    <n v="2"/>
    <n v="2059.0056"/>
    <n v="1384.36"/>
    <n v="674.64560000000006"/>
    <n v="0.32765602968734037"/>
    <n v="10890430.701170005"/>
    <n v="0.99494441941213396"/>
  </r>
  <r>
    <s v="ORD-2024-970848"/>
    <d v="2024-05-23T00:00:00"/>
    <x v="269"/>
    <d v="2024-06-03T00:00:00"/>
    <d v="2024-06-03T00:00:00"/>
    <n v="11"/>
    <n v="0"/>
    <x v="1"/>
    <s v="Q2-2024"/>
    <d v="2023-01-07T00:00:00"/>
    <s v="01-2023"/>
    <x v="2"/>
    <x v="8"/>
    <s v="Johannesburg"/>
    <s v="Johannesburg"/>
    <s v="Small Business"/>
    <s v="Distributor"/>
    <x v="4"/>
    <x v="10"/>
    <x v="9"/>
    <x v="6"/>
    <s v="Low"/>
    <x v="568"/>
    <x v="2"/>
    <n v="180.89"/>
    <n v="249.57"/>
    <n v="249.57"/>
    <n v="2.1999999999999999E-2"/>
    <n v="2.1999999999999999E-2"/>
    <x v="0"/>
    <n v="8"/>
    <n v="1952.6356799999999"/>
    <n v="1447.12"/>
    <n v="505.51567999999997"/>
    <n v="0.25888888806948362"/>
    <n v="10892383.336850004"/>
    <n v="0.99512281125229796"/>
  </r>
  <r>
    <s v="ORD-2024-581530"/>
    <d v="2024-09-07T00:00:00"/>
    <x v="179"/>
    <d v="2024-09-18T00:00:00"/>
    <d v="2024-09-18T00:00:00"/>
    <n v="11"/>
    <n v="0"/>
    <x v="27"/>
    <s v="Q3-2024"/>
    <d v="2023-01-12T00:00:00"/>
    <s v="01-2023"/>
    <x v="3"/>
    <x v="10"/>
    <s v="Beijing"/>
    <s v="Beijing"/>
    <s v="Consumer"/>
    <s v="Distributor"/>
    <x v="4"/>
    <x v="8"/>
    <x v="7"/>
    <x v="1"/>
    <s v="Low"/>
    <x v="569"/>
    <x v="2"/>
    <n v="181.74"/>
    <n v="190.84"/>
    <n v="190.84"/>
    <n v="0.214"/>
    <n v="0.214"/>
    <x v="1"/>
    <n v="13"/>
    <n v="1950.0031200000001"/>
    <n v="2362.62"/>
    <n v="412.61687999999981"/>
    <n v="0.21159806144310159"/>
    <n v="10894333.339970004"/>
    <n v="0.99530096258306877"/>
  </r>
  <r>
    <s v="ORD-2023-769774"/>
    <d v="2023-06-13T00:00:00"/>
    <x v="445"/>
    <d v="2023-06-24T00:00:00"/>
    <d v="2023-06-24T00:00:00"/>
    <n v="11"/>
    <n v="0"/>
    <x v="24"/>
    <s v="Q2-2023"/>
    <d v="2023-01-02T00:00:00"/>
    <s v="01-2023"/>
    <x v="0"/>
    <x v="0"/>
    <s v="Toronto"/>
    <s v="Toronto"/>
    <s v="Corporate"/>
    <s v="Online"/>
    <x v="0"/>
    <x v="5"/>
    <x v="5"/>
    <x v="6"/>
    <s v="Low"/>
    <x v="570"/>
    <x v="2"/>
    <n v="247.07"/>
    <n v="495.19"/>
    <n v="495.19"/>
    <n v="2.8000000000000001E-2"/>
    <n v="2.8000000000000001E-2"/>
    <x v="0"/>
    <n v="4"/>
    <n v="1925.29872"/>
    <n v="988.28"/>
    <n v="937.01872000000003"/>
    <n v="0.48668744764968214"/>
    <n v="10896258.638690004"/>
    <n v="0.9954768569319451"/>
  </r>
  <r>
    <s v="ORD-2025-306251"/>
    <d v="2025-04-10T00:00:00"/>
    <x v="446"/>
    <d v="2025-04-19T00:00:00"/>
    <d v="2025-04-19T00:00:00"/>
    <n v="9"/>
    <n v="0"/>
    <x v="2"/>
    <s v="Q2-2025"/>
    <d v="2023-01-07T00:00:00"/>
    <s v="01-2023"/>
    <x v="2"/>
    <x v="8"/>
    <s v="Durban"/>
    <s v="Durban"/>
    <s v="Enterprise"/>
    <m/>
    <x v="4"/>
    <x v="12"/>
    <x v="11"/>
    <x v="1"/>
    <s v="Low"/>
    <x v="571"/>
    <x v="2"/>
    <n v="113.74"/>
    <n v="165.7"/>
    <n v="165.7"/>
    <n v="0.124"/>
    <n v="0.124"/>
    <x v="0"/>
    <n v="13"/>
    <n v="1886.9915999999998"/>
    <n v="1478.62"/>
    <n v="408.37159999999994"/>
    <n v="0.21641410592394794"/>
    <n v="10898145.630290003"/>
    <n v="0.99564925156108453"/>
  </r>
  <r>
    <s v="ORD-2025-419532"/>
    <d v="2025-08-06T00:00:00"/>
    <x v="447"/>
    <d v="2025-08-23T00:00:00"/>
    <d v="2025-08-23T00:00:00"/>
    <n v="17"/>
    <n v="0"/>
    <x v="14"/>
    <s v="Q3-2025"/>
    <d v="2023-01-29T00:00:00"/>
    <s v="01-2023"/>
    <x v="0"/>
    <x v="9"/>
    <s v="Brasília"/>
    <s v="Brasília"/>
    <s v="Consumer"/>
    <s v="Distributor"/>
    <x v="4"/>
    <x v="6"/>
    <x v="2"/>
    <x v="3"/>
    <s v="Low"/>
    <x v="572"/>
    <x v="2"/>
    <n v="86.64"/>
    <n v="213.06"/>
    <n v="213.06"/>
    <n v="0.21199999999999999"/>
    <n v="0.21199999999999999"/>
    <x v="1"/>
    <n v="11"/>
    <n v="1846.8040799999999"/>
    <n v="953.04"/>
    <n v="893.76407999999992"/>
    <n v="0.48395175735154322"/>
    <n v="10899992.434370004"/>
    <n v="0.99581797467806343"/>
  </r>
  <r>
    <s v="ORD-2025-496178"/>
    <d v="2025-07-27T00:00:00"/>
    <x v="448"/>
    <d v="2025-08-15T00:00:00"/>
    <d v="2025-08-15T00:00:00"/>
    <n v="19"/>
    <n v="0"/>
    <x v="0"/>
    <s v="Q3-2025"/>
    <d v="2023-03-03T00:00:00"/>
    <s v="03-2023"/>
    <x v="3"/>
    <x v="7"/>
    <s v="Tokyo"/>
    <s v="Tokyo"/>
    <s v="Small Business"/>
    <s v="Marketplace"/>
    <x v="2"/>
    <x v="9"/>
    <x v="8"/>
    <x v="0"/>
    <s v="Low"/>
    <x v="573"/>
    <x v="2"/>
    <n v="275.43"/>
    <n v="608.36"/>
    <n v="608.36"/>
    <n v="0.25700000000000001"/>
    <n v="0.25700000000000001"/>
    <x v="1"/>
    <n v="4"/>
    <n v="1808.04592"/>
    <n v="1101.72"/>
    <n v="706.32592"/>
    <n v="0.39065706915231446"/>
    <n v="10901800.480290003"/>
    <n v="0.99598315686851169"/>
  </r>
  <r>
    <s v="ORD-2023-856322"/>
    <d v="2023-01-29T00:00:00"/>
    <x v="124"/>
    <d v="2023-02-06T00:00:00"/>
    <d v="2023-02-06T00:00:00"/>
    <n v="8"/>
    <n v="0"/>
    <x v="23"/>
    <s v="Q1-2023"/>
    <d v="2023-01-29T00:00:00"/>
    <s v="01-2023"/>
    <x v="0"/>
    <x v="9"/>
    <s v="Brasília"/>
    <s v="Brasília"/>
    <s v="Corporate"/>
    <s v="Marketplace"/>
    <x v="2"/>
    <x v="11"/>
    <x v="10"/>
    <x v="3"/>
    <s v="Low"/>
    <x v="574"/>
    <x v="2"/>
    <n v="41.84"/>
    <n v="86.2"/>
    <n v="86.2"/>
    <n v="0.22600000000000001"/>
    <n v="0.22600000000000001"/>
    <x v="1"/>
    <n v="27"/>
    <n v="1801.4076000000002"/>
    <n v="1129.68"/>
    <n v="671.72760000000017"/>
    <n v="0.37289039970742882"/>
    <n v="10903601.887890004"/>
    <n v="0.99614773258529343"/>
  </r>
  <r>
    <s v="ORD-2025-586799"/>
    <d v="2025-07-14T00:00:00"/>
    <x v="449"/>
    <d v="2025-08-04T00:00:00"/>
    <d v="2025-08-04T00:00:00"/>
    <n v="21"/>
    <n v="0"/>
    <x v="0"/>
    <s v="Q3-2025"/>
    <d v="2023-01-02T00:00:00"/>
    <s v="01-2023"/>
    <x v="0"/>
    <x v="0"/>
    <s v="Montreal"/>
    <s v="Montreal"/>
    <s v="Consumer"/>
    <s v="Online"/>
    <x v="0"/>
    <x v="0"/>
    <x v="0"/>
    <x v="3"/>
    <s v="Low"/>
    <x v="575"/>
    <x v="2"/>
    <n v="90.3"/>
    <n v="131.76"/>
    <n v="131.76"/>
    <n v="0.10199999999999999"/>
    <n v="0.10199999999999999"/>
    <x v="0"/>
    <n v="15"/>
    <n v="1774.8072"/>
    <n v="1354.5"/>
    <n v="420.30719999999997"/>
    <n v="0.23681851189244668"/>
    <n v="10905376.695090003"/>
    <n v="0.99630987810254856"/>
  </r>
  <r>
    <s v="ORD-2024-788105"/>
    <d v="2024-11-30T00:00:00"/>
    <x v="86"/>
    <d v="2024-12-30T00:00:00"/>
    <d v="2024-12-30T00:00:00"/>
    <n v="30"/>
    <n v="0"/>
    <x v="5"/>
    <s v="Q4-2024"/>
    <d v="2023-01-10T00:00:00"/>
    <s v="01-2023"/>
    <x v="1"/>
    <x v="11"/>
    <s v="Marseille"/>
    <s v="Marseille"/>
    <s v="Consumer"/>
    <s v="Marketplace"/>
    <x v="2"/>
    <x v="10"/>
    <x v="9"/>
    <x v="6"/>
    <s v="Low"/>
    <x v="576"/>
    <x v="2"/>
    <n v="117.64"/>
    <n v="175.67"/>
    <n v="175.67"/>
    <n v="0"/>
    <n v="0"/>
    <x v="0"/>
    <n v="10"/>
    <n v="1756.6999999999998"/>
    <n v="1176.4000000000001"/>
    <n v="580.29999999999973"/>
    <n v="0.33033528775545046"/>
    <n v="10907133.395090003"/>
    <n v="0.99647036935487276"/>
  </r>
  <r>
    <s v="ORD-2023-539967"/>
    <d v="2023-07-09T00:00:00"/>
    <x v="450"/>
    <d v="2023-07-19T00:00:00"/>
    <d v="2023-07-19T00:00:00"/>
    <n v="10"/>
    <n v="0"/>
    <x v="6"/>
    <s v="Q3-2023"/>
    <d v="2023-03-03T00:00:00"/>
    <s v="03-2023"/>
    <x v="3"/>
    <x v="7"/>
    <s v="Tokyo"/>
    <s v="Tokyo"/>
    <s v="Enterprise"/>
    <s v="Distributor"/>
    <x v="4"/>
    <x v="14"/>
    <x v="13"/>
    <x v="0"/>
    <s v="Low"/>
    <x v="577"/>
    <x v="2"/>
    <n v="141.26"/>
    <n v="206.88"/>
    <n v="206.88"/>
    <n v="0.107"/>
    <n v="0.107"/>
    <x v="0"/>
    <n v="9"/>
    <n v="1662.6945600000001"/>
    <n v="1271.3399999999999"/>
    <n v="391.35456000000022"/>
    <n v="0.23537369365062469"/>
    <n v="10908796.089650003"/>
    <n v="0.99662227231620204"/>
  </r>
  <r>
    <s v="ORD-2024-792558"/>
    <d v="2024-10-16T00:00:00"/>
    <x v="451"/>
    <d v="2024-11-08T00:00:00"/>
    <d v="2024-11-08T00:00:00"/>
    <n v="23"/>
    <n v="0"/>
    <x v="20"/>
    <s v="Q4-2024"/>
    <d v="2023-03-03T00:00:00"/>
    <s v="03-2023"/>
    <x v="3"/>
    <x v="7"/>
    <s v="Osaka"/>
    <s v="Osaka"/>
    <s v="Small Business"/>
    <s v="Retail"/>
    <x v="1"/>
    <x v="9"/>
    <x v="8"/>
    <x v="1"/>
    <s v="Low"/>
    <x v="578"/>
    <x v="2"/>
    <n v="82.14"/>
    <n v="166.04"/>
    <n v="166.04"/>
    <n v="0"/>
    <n v="0"/>
    <x v="0"/>
    <n v="10"/>
    <n v="1660.3999999999999"/>
    <n v="821.4"/>
    <n v="838.99999999999989"/>
    <n v="0.50529992772825827"/>
    <n v="10910456.489650004"/>
    <n v="0.99677396564765264"/>
  </r>
  <r>
    <s v="ORD-2025-863978"/>
    <d v="2025-08-07T00:00:00"/>
    <x v="263"/>
    <d v="2025-08-19T00:00:00"/>
    <d v="2025-08-19T00:00:00"/>
    <n v="12"/>
    <n v="0"/>
    <x v="14"/>
    <s v="Q3-2025"/>
    <d v="2023-01-20T00:00:00"/>
    <s v="01-2023"/>
    <x v="2"/>
    <x v="5"/>
    <s v="Nakuru"/>
    <s v="Nakuru"/>
    <s v="Corporate"/>
    <m/>
    <x v="4"/>
    <x v="7"/>
    <x v="6"/>
    <x v="0"/>
    <s v="Low"/>
    <x v="579"/>
    <x v="2"/>
    <n v="601.51"/>
    <n v="679.35"/>
    <n v="679.35"/>
    <n v="0.188"/>
    <n v="0.188"/>
    <x v="0"/>
    <n v="3"/>
    <n v="1654.8966000000003"/>
    <n v="1804.53"/>
    <n v="149.63339999999971"/>
    <n v="9.0418579626062243E-2"/>
    <n v="10912111.386250004"/>
    <n v="0.9969251561911725"/>
  </r>
  <r>
    <s v="ORD-2025-138578"/>
    <d v="2025-04-09T00:00:00"/>
    <x v="366"/>
    <d v="2025-04-12T00:00:00"/>
    <d v="2025-04-12T00:00:00"/>
    <n v="3"/>
    <n v="1"/>
    <x v="2"/>
    <s v="Q2-2025"/>
    <d v="2023-01-10T00:00:00"/>
    <s v="01-2023"/>
    <x v="1"/>
    <x v="11"/>
    <s v="Lyon"/>
    <s v="Lyon"/>
    <s v="Small Business"/>
    <s v="Distributor"/>
    <x v="4"/>
    <x v="0"/>
    <x v="0"/>
    <x v="3"/>
    <s v="Low"/>
    <x v="580"/>
    <x v="2"/>
    <n v="86.68"/>
    <n v="213.32"/>
    <n v="213.32"/>
    <n v="3.7999999999999999E-2"/>
    <n v="3.7999999999999999E-2"/>
    <x v="0"/>
    <n v="8"/>
    <n v="1641.7107199999998"/>
    <n v="693.44"/>
    <n v="948.27071999999976"/>
    <n v="0.57761133459614611"/>
    <n v="10913753.096970005"/>
    <n v="0.99707514207914827"/>
  </r>
  <r>
    <s v="ORD-2024-247032"/>
    <d v="2024-04-21T00:00:00"/>
    <x v="452"/>
    <d v="2024-05-19T00:00:00"/>
    <d v="2024-05-19T00:00:00"/>
    <n v="28"/>
    <n v="0"/>
    <x v="22"/>
    <s v="Q2-2024"/>
    <d v="2023-01-13T00:00:00"/>
    <s v="01-2023"/>
    <x v="2"/>
    <x v="2"/>
    <s v="Lagos"/>
    <s v="Lagos"/>
    <s v="Corporate"/>
    <s v="Distributor"/>
    <x v="4"/>
    <x v="6"/>
    <x v="2"/>
    <x v="4"/>
    <s v="Low"/>
    <x v="581"/>
    <x v="2"/>
    <n v="187.22"/>
    <n v="309.47000000000003"/>
    <n v="309.47000000000003"/>
    <n v="0"/>
    <n v="0"/>
    <x v="0"/>
    <n v="5"/>
    <n v="1547.3500000000001"/>
    <n v="936.1"/>
    <n v="611.25000000000011"/>
    <n v="0.39503021294471197"/>
    <n v="10915300.446970005"/>
    <n v="0.99721650721792199"/>
  </r>
  <r>
    <s v="ORD-2023-975863"/>
    <d v="2023-11-20T00:00:00"/>
    <x v="453"/>
    <d v="2023-12-05T00:00:00"/>
    <d v="2023-12-05T00:00:00"/>
    <n v="15"/>
    <n v="0"/>
    <x v="31"/>
    <s v="Q4-2023"/>
    <d v="2023-03-03T00:00:00"/>
    <s v="03-2023"/>
    <x v="3"/>
    <x v="7"/>
    <s v="Tokyo"/>
    <s v="Tokyo"/>
    <s v="Enterprise"/>
    <s v="Retail"/>
    <x v="1"/>
    <x v="4"/>
    <x v="4"/>
    <x v="1"/>
    <s v="Low"/>
    <x v="582"/>
    <x v="2"/>
    <n v="354.24"/>
    <n v="249.87"/>
    <n v="249.87"/>
    <n v="0"/>
    <n v="0"/>
    <x v="0"/>
    <n v="6"/>
    <n v="1499.22"/>
    <n v="2125.44"/>
    <n v="626.22"/>
    <n v="0.41769720254532355"/>
    <n v="10916799.666970005"/>
    <n v="0.99735347522344919"/>
  </r>
  <r>
    <s v="ORD-2024-232632"/>
    <d v="2024-02-14T00:00:00"/>
    <x v="454"/>
    <d v="2024-02-14T00:00:00"/>
    <d v="2024-02-14T00:00:00"/>
    <n v="0"/>
    <n v="1"/>
    <x v="13"/>
    <s v="Q1-2024"/>
    <d v="2023-01-12T00:00:00"/>
    <s v="01-2023"/>
    <x v="3"/>
    <x v="10"/>
    <s v="Beijing"/>
    <s v="Beijing"/>
    <s v="Corporate"/>
    <s v="Distributor"/>
    <x v="4"/>
    <x v="4"/>
    <x v="4"/>
    <x v="4"/>
    <s v="Low"/>
    <x v="583"/>
    <x v="2"/>
    <n v="65.930000000000007"/>
    <n v="84.9"/>
    <n v="84.9"/>
    <n v="0.25900000000000001"/>
    <n v="0.25900000000000001"/>
    <x v="1"/>
    <n v="23"/>
    <n v="1446.9507000000001"/>
    <n v="1516.39"/>
    <n v="69.439300000000003"/>
    <n v="4.7990093926489688E-2"/>
    <n v="10918246.617670005"/>
    <n v="0.99748566793130744"/>
  </r>
  <r>
    <s v="ORD-2024-225829"/>
    <d v="2024-11-07T00:00:00"/>
    <x v="455"/>
    <d v="2024-11-26T00:00:00"/>
    <d v="2024-11-26T00:00:00"/>
    <n v="19"/>
    <n v="0"/>
    <x v="5"/>
    <s v="Q4-2024"/>
    <d v="2023-01-29T00:00:00"/>
    <s v="01-2023"/>
    <x v="0"/>
    <x v="9"/>
    <s v="Rio de Janeiro"/>
    <s v="Rio de Janeiro"/>
    <s v="Non-Profit"/>
    <s v="Distributor"/>
    <x v="4"/>
    <x v="9"/>
    <x v="8"/>
    <x v="6"/>
    <s v="Low"/>
    <x v="584"/>
    <x v="2"/>
    <n v="55.35"/>
    <n v="128.68"/>
    <n v="128.68"/>
    <n v="0.128"/>
    <n v="0.128"/>
    <x v="0"/>
    <n v="10"/>
    <n v="1122.0896000000002"/>
    <n v="553.5"/>
    <n v="568.58960000000025"/>
    <n v="0.50672388372550647"/>
    <n v="10919368.707270006"/>
    <n v="0.99758818148804684"/>
  </r>
  <r>
    <s v="ORD-2023-766015"/>
    <d v="2023-04-13T00:00:00"/>
    <x v="456"/>
    <d v="2023-04-11T00:00:00"/>
    <d v="2023-04-13T00:00:00"/>
    <n v="2"/>
    <n v="1"/>
    <x v="15"/>
    <s v="Q2-2023"/>
    <d v="2023-01-13T00:00:00"/>
    <s v="01-2023"/>
    <x v="0"/>
    <x v="6"/>
    <s v="San Francisco"/>
    <s v="San Francisco"/>
    <s v="Education"/>
    <s v="Marketplace"/>
    <x v="2"/>
    <x v="12"/>
    <x v="11"/>
    <x v="1"/>
    <s v="Low"/>
    <x v="585"/>
    <x v="2"/>
    <n v="32.1"/>
    <n v="70.599999999999994"/>
    <n v="70.599999999999994"/>
    <n v="0.28199999999999997"/>
    <n v="0.28199999999999997"/>
    <x v="1"/>
    <n v="22"/>
    <n v="1115.1975999999997"/>
    <n v="706.2"/>
    <n v="408.99759999999969"/>
    <n v="0.36674899587301818"/>
    <n v="10920483.904870005"/>
    <n v="0.99769006539503891"/>
  </r>
  <r>
    <s v="ORD-2025-752845"/>
    <d v="2025-03-30T00:00:00"/>
    <x v="379"/>
    <d v="2025-04-07T00:00:00"/>
    <d v="2025-04-07T00:00:00"/>
    <n v="8"/>
    <n v="0"/>
    <x v="26"/>
    <s v="Q1-2025"/>
    <d v="2023-01-29T00:00:00"/>
    <s v="01-2023"/>
    <x v="0"/>
    <x v="9"/>
    <s v="São Paulo"/>
    <s v="São Paulo"/>
    <s v="Non-Profit"/>
    <s v="Direct"/>
    <x v="3"/>
    <x v="4"/>
    <x v="4"/>
    <x v="6"/>
    <s v="Low"/>
    <x v="586"/>
    <x v="2"/>
    <n v="71.62"/>
    <n v="118.37"/>
    <n v="118.37"/>
    <n v="0.156"/>
    <n v="0.156"/>
    <x v="0"/>
    <n v="11"/>
    <n v="1098.9470800000001"/>
    <n v="787.82"/>
    <n v="311.12708000000009"/>
    <n v="0.28311379652603474"/>
    <n v="10921582.851950005"/>
    <n v="0.99779046466247623"/>
  </r>
  <r>
    <s v="ORD-2025-189846"/>
    <d v="2025-08-11T00:00:00"/>
    <x v="457"/>
    <d v="2025-08-28T00:00:00"/>
    <d v="2025-08-28T00:00:00"/>
    <n v="17"/>
    <n v="0"/>
    <x v="14"/>
    <s v="Q3-2025"/>
    <d v="2023-01-10T00:00:00"/>
    <s v="01-2023"/>
    <x v="1"/>
    <x v="11"/>
    <s v="Paris"/>
    <s v="Paris"/>
    <s v="Education"/>
    <s v="Online"/>
    <x v="0"/>
    <x v="10"/>
    <x v="9"/>
    <x v="1"/>
    <s v="Low"/>
    <x v="587"/>
    <x v="2"/>
    <n v="416.16"/>
    <n v="571.9"/>
    <n v="571.9"/>
    <n v="7.0999999999999994E-2"/>
    <n v="7.0999999999999994E-2"/>
    <x v="0"/>
    <n v="2"/>
    <n v="1062.5902000000001"/>
    <n v="832.32"/>
    <n v="230.27020000000005"/>
    <n v="0.21670649701079497"/>
    <n v="10922645.442150004"/>
    <n v="0.9978875423831487"/>
  </r>
  <r>
    <s v="ORD-2023-755337"/>
    <d v="2023-09-08T00:00:00"/>
    <x v="224"/>
    <d v="2023-09-14T00:00:00"/>
    <d v="2023-09-14T00:00:00"/>
    <n v="6"/>
    <n v="1"/>
    <x v="32"/>
    <s v="Q3-2023"/>
    <d v="2023-01-20T00:00:00"/>
    <s v="01-2023"/>
    <x v="2"/>
    <x v="5"/>
    <s v="Nakuru"/>
    <s v="Nakuru"/>
    <s v="Education"/>
    <s v="Direct"/>
    <x v="3"/>
    <x v="13"/>
    <x v="12"/>
    <x v="4"/>
    <s v="Low"/>
    <x v="588"/>
    <x v="2"/>
    <n v="251.03"/>
    <n v="411.48"/>
    <n v="411.48"/>
    <n v="0.16500000000000001"/>
    <n v="0.16500000000000001"/>
    <x v="0"/>
    <n v="3"/>
    <n v="1030.7574"/>
    <n v="753.09"/>
    <n v="277.66739999999993"/>
    <n v="0.26938191275658069"/>
    <n v="10923676.199550005"/>
    <n v="0.99798171187479134"/>
  </r>
  <r>
    <s v="ORD-2025-828263"/>
    <d v="2025-05-17T00:00:00"/>
    <x v="284"/>
    <d v="2025-05-30T00:00:00"/>
    <d v="2025-05-30T00:00:00"/>
    <n v="13"/>
    <n v="0"/>
    <x v="12"/>
    <s v="Q2-2025"/>
    <d v="2023-01-13T00:00:00"/>
    <s v="01-2023"/>
    <x v="2"/>
    <x v="2"/>
    <s v="Lagos"/>
    <s v="Lagos"/>
    <s v="Consumer"/>
    <s v="Distributor"/>
    <x v="4"/>
    <x v="10"/>
    <x v="9"/>
    <x v="4"/>
    <s v="Low"/>
    <x v="589"/>
    <x v="2"/>
    <n v="66.400000000000006"/>
    <n v="141.43"/>
    <n v="141.43"/>
    <n v="0.107"/>
    <n v="0.107"/>
    <x v="0"/>
    <n v="8"/>
    <n v="1010.3759200000001"/>
    <n v="531.20000000000005"/>
    <n v="479.17592000000002"/>
    <n v="0.47425508715607551"/>
    <n v="10924686.575470004"/>
    <n v="0.9980740193243951"/>
  </r>
  <r>
    <s v="ORD-2024-641220"/>
    <d v="2024-05-10T00:00:00"/>
    <x v="458"/>
    <d v="2024-05-16T00:00:00"/>
    <d v="2024-05-16T00:00:00"/>
    <n v="6"/>
    <n v="1"/>
    <x v="1"/>
    <s v="Q2-2024"/>
    <d v="2023-01-19T00:00:00"/>
    <s v="01-2023"/>
    <x v="1"/>
    <x v="1"/>
    <s v="Birmingham"/>
    <s v="Birmingham"/>
    <s v="Non-Profit"/>
    <s v="Direct"/>
    <x v="3"/>
    <x v="12"/>
    <x v="11"/>
    <x v="2"/>
    <s v="Low"/>
    <x v="590"/>
    <x v="2"/>
    <n v="210.76"/>
    <n v="221.58"/>
    <n v="221.58"/>
    <n v="8.8999999999999996E-2"/>
    <n v="8.8999999999999996E-2"/>
    <x v="0"/>
    <n v="5"/>
    <n v="1009.2969000000002"/>
    <n v="1053.8"/>
    <n v="44.50309999999979"/>
    <n v="4.4093170205912434E-2"/>
    <n v="10925695.872370005"/>
    <n v="0.99816622819525991"/>
  </r>
  <r>
    <s v="ORD-2023-704111"/>
    <d v="2023-05-17T00:00:00"/>
    <x v="170"/>
    <d v="2023-06-15T00:00:00"/>
    <d v="2023-06-15T00:00:00"/>
    <n v="29"/>
    <n v="0"/>
    <x v="3"/>
    <s v="Q2-2023"/>
    <d v="2023-01-07T00:00:00"/>
    <s v="01-2023"/>
    <x v="2"/>
    <x v="8"/>
    <s v="Durban"/>
    <s v="Durban"/>
    <s v="Enterprise"/>
    <s v="Retail"/>
    <x v="1"/>
    <x v="3"/>
    <x v="3"/>
    <x v="4"/>
    <s v="Low"/>
    <x v="591"/>
    <x v="2"/>
    <n v="40.89"/>
    <n v="62.82"/>
    <n v="62.82"/>
    <n v="0.129"/>
    <n v="0.129"/>
    <x v="0"/>
    <n v="17"/>
    <n v="930.17574000000002"/>
    <n v="695.13"/>
    <n v="235.04574000000002"/>
    <n v="0.25268960465470752"/>
    <n v="10926626.048110005"/>
    <n v="0.99825120859566641"/>
  </r>
  <r>
    <s v="ORD-2023-271918"/>
    <d v="2023-09-25T00:00:00"/>
    <x v="249"/>
    <d v="2023-10-02T00:00:00"/>
    <d v="2023-10-02T00:00:00"/>
    <n v="7"/>
    <n v="1"/>
    <x v="32"/>
    <s v="Q3-2023"/>
    <d v="2023-01-13T00:00:00"/>
    <s v="01-2023"/>
    <x v="0"/>
    <x v="6"/>
    <s v="New York"/>
    <s v="New York"/>
    <s v="Education"/>
    <s v="Marketplace"/>
    <x v="2"/>
    <x v="13"/>
    <x v="12"/>
    <x v="4"/>
    <s v="Low"/>
    <x v="592"/>
    <x v="2"/>
    <n v="145.58000000000001"/>
    <n v="228.15"/>
    <n v="228.15"/>
    <n v="0.20399999999999999"/>
    <n v="0.20399999999999999"/>
    <x v="1"/>
    <n v="5"/>
    <n v="908.03700000000003"/>
    <n v="727.90000000000009"/>
    <n v="180.13699999999994"/>
    <n v="0.19838068272548359"/>
    <n v="10927534.085110005"/>
    <n v="0.99833416641162065"/>
  </r>
  <r>
    <s v="ORD-2024-403664"/>
    <d v="2024-05-23T00:00:00"/>
    <x v="269"/>
    <d v="2024-06-06T00:00:00"/>
    <d v="2024-06-06T00:00:00"/>
    <n v="14"/>
    <n v="0"/>
    <x v="1"/>
    <s v="Q2-2024"/>
    <d v="2023-01-29T00:00:00"/>
    <s v="01-2023"/>
    <x v="0"/>
    <x v="9"/>
    <s v="Rio de Janeiro"/>
    <s v="Rio de Janeiro"/>
    <s v="Non-Profit"/>
    <s v="Online"/>
    <x v="0"/>
    <x v="13"/>
    <x v="12"/>
    <x v="1"/>
    <s v="Low"/>
    <x v="593"/>
    <x v="2"/>
    <n v="51.13"/>
    <n v="57.53"/>
    <n v="57.53"/>
    <n v="4.4999999999999998E-2"/>
    <n v="4.4999999999999998E-2"/>
    <x v="0"/>
    <n v="16"/>
    <n v="879.05840000000001"/>
    <n v="818.08"/>
    <n v="60.978399999999965"/>
    <n v="6.9367859973808302E-2"/>
    <n v="10928413.143510005"/>
    <n v="0.99841447675686013"/>
  </r>
  <r>
    <s v="ORD-2023-125739"/>
    <d v="2023-05-01T00:00:00"/>
    <x v="459"/>
    <d v="2023-05-18T00:00:00"/>
    <d v="2023-05-18T00:00:00"/>
    <n v="17"/>
    <n v="0"/>
    <x v="3"/>
    <s v="Q2-2023"/>
    <d v="2023-01-13T00:00:00"/>
    <s v="01-2023"/>
    <x v="2"/>
    <x v="2"/>
    <s v="Port Harcourt"/>
    <s v="Port Harcourt"/>
    <s v="Corporate"/>
    <s v="Direct"/>
    <x v="3"/>
    <x v="10"/>
    <x v="9"/>
    <x v="0"/>
    <s v="Low"/>
    <x v="594"/>
    <x v="2"/>
    <n v="327.97"/>
    <n v="299.94"/>
    <n v="299.94"/>
    <n v="4.9000000000000002E-2"/>
    <n v="4.9000000000000002E-2"/>
    <x v="0"/>
    <n v="3"/>
    <n v="855.72881999999993"/>
    <n v="983.91000000000008"/>
    <n v="128.18118000000015"/>
    <n v="0.14979182306843442"/>
    <n v="10929268.872330004"/>
    <n v="0.99849265572308754"/>
  </r>
  <r>
    <s v="ORD-2025-537785"/>
    <d v="2025-08-05T00:00:00"/>
    <x v="294"/>
    <d v="2025-08-14T00:00:00"/>
    <d v="2025-08-14T00:00:00"/>
    <n v="9"/>
    <n v="0"/>
    <x v="14"/>
    <s v="Q3-2025"/>
    <d v="2023-01-19T00:00:00"/>
    <s v="01-2023"/>
    <x v="1"/>
    <x v="1"/>
    <s v="London"/>
    <s v="London"/>
    <s v="Non-Profit"/>
    <s v="Direct"/>
    <x v="3"/>
    <x v="15"/>
    <x v="14"/>
    <x v="0"/>
    <s v="Low"/>
    <x v="595"/>
    <x v="2"/>
    <n v="41.76"/>
    <n v="45.19"/>
    <n v="45.19"/>
    <n v="0.17899999999999999"/>
    <n v="0.17899999999999999"/>
    <x v="0"/>
    <n v="23"/>
    <n v="853.32276999999988"/>
    <n v="960.4799999999999"/>
    <n v="107.15723000000003"/>
    <n v="0.12557643340514638"/>
    <n v="10930122.195100004"/>
    <n v="0.99857061487376442"/>
  </r>
  <r>
    <s v="ORD-2024-930679"/>
    <d v="2024-12-17T00:00:00"/>
    <x v="395"/>
    <d v="2025-01-16T00:00:00"/>
    <d v="2025-01-16T00:00:00"/>
    <n v="30"/>
    <n v="0"/>
    <x v="11"/>
    <s v="Q4-2024"/>
    <d v="2023-01-19T00:00:00"/>
    <s v="01-2023"/>
    <x v="1"/>
    <x v="1"/>
    <s v="Manchester"/>
    <s v="Manchester"/>
    <s v="Corporate"/>
    <s v="Retail"/>
    <x v="1"/>
    <x v="11"/>
    <x v="10"/>
    <x v="3"/>
    <s v="Low"/>
    <x v="596"/>
    <x v="2"/>
    <n v="722.87"/>
    <n v="-33.659999999999997"/>
    <n v="33.659999999999997"/>
    <n v="0.10199999999999999"/>
    <n v="0.10199999999999999"/>
    <x v="0"/>
    <n v="28"/>
    <n v="846.34703999999988"/>
    <n v="20240.36"/>
    <n v="19394.01296"/>
    <n v="22.914965189693348"/>
    <n v="10930968.542140003"/>
    <n v="0.99864793672516217"/>
  </r>
  <r>
    <s v="ORD-2025-177994"/>
    <d v="2025-03-24T00:00:00"/>
    <x v="328"/>
    <d v="2025-04-04T00:00:00"/>
    <d v="2025-04-04T00:00:00"/>
    <n v="11"/>
    <n v="0"/>
    <x v="26"/>
    <s v="Q1-2025"/>
    <d v="2023-01-29T00:00:00"/>
    <s v="01-2023"/>
    <x v="3"/>
    <x v="3"/>
    <s v="Mumbai"/>
    <s v="Mumbai"/>
    <s v="Education"/>
    <s v="Marketplace"/>
    <x v="2"/>
    <x v="9"/>
    <x v="8"/>
    <x v="5"/>
    <s v="Low"/>
    <x v="597"/>
    <x v="2"/>
    <n v="23.83"/>
    <n v="47.29"/>
    <n v="47.29"/>
    <n v="6.4000000000000001E-2"/>
    <n v="6.4000000000000001E-2"/>
    <x v="0"/>
    <n v="19"/>
    <n v="841.00536"/>
    <n v="452.77"/>
    <n v="388.23536000000001"/>
    <n v="0.46163244429262618"/>
    <n v="10931809.547500003"/>
    <n v="0.99872477056328923"/>
  </r>
  <r>
    <s v="ORD-2025-698069"/>
    <d v="2025-06-03T00:00:00"/>
    <x v="460"/>
    <d v="2025-06-10T00:00:00"/>
    <d v="2025-06-10T00:00:00"/>
    <n v="7"/>
    <n v="1"/>
    <x v="25"/>
    <s v="Q2-2025"/>
    <d v="2023-01-02T00:00:00"/>
    <s v="01-2023"/>
    <x v="0"/>
    <x v="0"/>
    <s v="Toronto"/>
    <s v="Toronto"/>
    <s v="Consumer"/>
    <s v="Distributor"/>
    <x v="4"/>
    <x v="8"/>
    <x v="7"/>
    <x v="6"/>
    <s v="Low"/>
    <x v="598"/>
    <x v="2"/>
    <n v="75.180000000000007"/>
    <n v="53.45"/>
    <n v="53.45"/>
    <n v="0.157"/>
    <n v="0.157"/>
    <x v="0"/>
    <n v="17"/>
    <n v="765.99195000000009"/>
    <n v="1278.0600000000002"/>
    <n v="512.06805000000008"/>
    <n v="0.66850317421743144"/>
    <n v="10932575.539450003"/>
    <n v="0.99879475121298789"/>
  </r>
  <r>
    <s v="ORD-2024-866535"/>
    <d v="2024-12-04T00:00:00"/>
    <x v="461"/>
    <d v="2024-12-12T00:00:00"/>
    <d v="2024-12-12T00:00:00"/>
    <n v="8"/>
    <n v="0"/>
    <x v="11"/>
    <s v="Q4-2024"/>
    <d v="2023-01-21T00:00:00"/>
    <s v="01-2023"/>
    <x v="1"/>
    <x v="4"/>
    <s v="Frankfurt"/>
    <s v="Frankfurt"/>
    <s v="Enterprise"/>
    <s v="Marketplace"/>
    <x v="2"/>
    <x v="1"/>
    <x v="1"/>
    <x v="6"/>
    <s v="Low"/>
    <x v="599"/>
    <x v="2"/>
    <n v="72.06"/>
    <n v="122.74"/>
    <n v="122.74"/>
    <n v="0.23799999999999999"/>
    <n v="0.23799999999999999"/>
    <x v="1"/>
    <n v="8"/>
    <n v="748.22303999999997"/>
    <n v="576.48"/>
    <n v="171.74303999999995"/>
    <n v="0.22953455162246802"/>
    <n v="10933323.762490002"/>
    <n v="0.99886310850376459"/>
  </r>
  <r>
    <s v="ORD-2025-222035"/>
    <d v="2025-03-14T00:00:00"/>
    <x v="255"/>
    <d v="2025-04-08T00:00:00"/>
    <d v="2025-04-08T00:00:00"/>
    <n v="25"/>
    <n v="0"/>
    <x v="26"/>
    <s v="Q1-2025"/>
    <d v="2023-01-12T00:00:00"/>
    <s v="01-2023"/>
    <x v="3"/>
    <x v="10"/>
    <m/>
    <s v="Beijing"/>
    <s v="Corporate"/>
    <s v="Distributor"/>
    <x v="4"/>
    <x v="11"/>
    <x v="10"/>
    <x v="6"/>
    <s v="Low"/>
    <x v="600"/>
    <x v="2"/>
    <n v="80.59"/>
    <n v="157.82"/>
    <n v="157.82"/>
    <n v="0.217"/>
    <n v="0.217"/>
    <x v="1"/>
    <n v="6"/>
    <n v="741.43835999999999"/>
    <n v="483.54"/>
    <n v="257.89835999999997"/>
    <n v="0.34783519967863541"/>
    <n v="10934065.200850002"/>
    <n v="0.99893084594949677"/>
  </r>
  <r>
    <s v="ORD-2024-206121"/>
    <d v="2024-02-18T00:00:00"/>
    <x v="61"/>
    <d v="2024-03-11T00:00:00"/>
    <d v="2024-03-11T00:00:00"/>
    <n v="22"/>
    <n v="0"/>
    <x v="13"/>
    <s v="Q1-2024"/>
    <d v="2023-01-29T00:00:00"/>
    <s v="01-2023"/>
    <x v="0"/>
    <x v="9"/>
    <s v="São Paulo"/>
    <s v="São Paulo"/>
    <s v="Consumer"/>
    <s v="Online"/>
    <x v="0"/>
    <x v="6"/>
    <x v="2"/>
    <x v="0"/>
    <s v="Low"/>
    <x v="601"/>
    <x v="2"/>
    <n v="80.48"/>
    <n v="65.650000000000006"/>
    <n v="65.650000000000006"/>
    <n v="0.17599999999999999"/>
    <n v="0.17599999999999999"/>
    <x v="0"/>
    <n v="13"/>
    <n v="703.2428000000001"/>
    <n v="1046.24"/>
    <n v="342.99719999999991"/>
    <n v="0.48773652570634191"/>
    <n v="10934768.443650002"/>
    <n v="0.99899509386755891"/>
  </r>
  <r>
    <s v="ORD-2023-112666"/>
    <d v="2023-01-15T00:00:00"/>
    <x v="233"/>
    <d v="2023-01-13T00:00:00"/>
    <d v="2023-01-15T00:00:00"/>
    <n v="2"/>
    <n v="1"/>
    <x v="23"/>
    <s v="Q1-2023"/>
    <d v="2023-01-13T00:00:00"/>
    <s v="01-2023"/>
    <x v="2"/>
    <x v="2"/>
    <s v="Abuja"/>
    <s v="Abuja"/>
    <s v="Education"/>
    <s v="Online"/>
    <x v="0"/>
    <x v="8"/>
    <x v="7"/>
    <x v="6"/>
    <s v="Low"/>
    <x v="602"/>
    <x v="2"/>
    <n v="28.38"/>
    <n v="47.22"/>
    <n v="47.22"/>
    <n v="0.19400000000000001"/>
    <n v="0.19400000000000001"/>
    <x v="0"/>
    <n v="18"/>
    <n v="685.06776000000002"/>
    <n v="510.84"/>
    <n v="174.22776000000005"/>
    <n v="0.25432193743871417"/>
    <n v="10935453.511410002"/>
    <n v="0.9990576813228611"/>
  </r>
  <r>
    <s v="ORD-2023-274037"/>
    <d v="2023-08-15T00:00:00"/>
    <x v="135"/>
    <d v="2023-08-25T00:00:00"/>
    <d v="2023-08-25T00:00:00"/>
    <n v="10"/>
    <n v="0"/>
    <x v="21"/>
    <s v="Q3-2023"/>
    <d v="2023-01-20T00:00:00"/>
    <s v="01-2023"/>
    <x v="2"/>
    <x v="5"/>
    <s v="Nairobi"/>
    <s v="Nairobi"/>
    <s v="Small Business"/>
    <s v="Retail"/>
    <x v="1"/>
    <x v="14"/>
    <x v="13"/>
    <x v="5"/>
    <s v="Low"/>
    <x v="603"/>
    <x v="2"/>
    <n v="91.85"/>
    <n v="111.29"/>
    <n v="111.29"/>
    <n v="0"/>
    <n v="0"/>
    <x v="0"/>
    <n v="6"/>
    <n v="667.74"/>
    <n v="551.09999999999991"/>
    <n v="116.6400000000001"/>
    <n v="0.17467876718483258"/>
    <n v="10936121.251410002"/>
    <n v="0.99911868572248941"/>
  </r>
  <r>
    <s v="ORD-2023-603650"/>
    <d v="2023-05-23T00:00:00"/>
    <x v="121"/>
    <d v="2023-06-10T00:00:00"/>
    <d v="2023-06-10T00:00:00"/>
    <n v="18"/>
    <n v="0"/>
    <x v="3"/>
    <s v="Q2-2023"/>
    <d v="2023-01-12T00:00:00"/>
    <s v="01-2023"/>
    <x v="3"/>
    <x v="10"/>
    <s v="Shanghai"/>
    <s v="Shanghai"/>
    <s v="Corporate"/>
    <s v="Distributor"/>
    <x v="4"/>
    <x v="15"/>
    <x v="14"/>
    <x v="0"/>
    <s v="Low"/>
    <x v="604"/>
    <x v="2"/>
    <n v="54.62"/>
    <n v="48.94"/>
    <n v="48.94"/>
    <n v="0.14799999999999999"/>
    <n v="0.14799999999999999"/>
    <x v="0"/>
    <n v="16"/>
    <n v="667.15008"/>
    <n v="873.92"/>
    <n v="206.76991999999996"/>
    <n v="0.3099301434543783"/>
    <n v="10936788.401490001"/>
    <n v="0.99917963622731509"/>
  </r>
  <r>
    <s v="ORD-2023-258768"/>
    <d v="2023-06-29T00:00:00"/>
    <x v="462"/>
    <d v="2023-07-02T00:00:00"/>
    <d v="2023-07-02T00:00:00"/>
    <n v="3"/>
    <n v="1"/>
    <x v="24"/>
    <s v="Q2-2023"/>
    <d v="2023-03-03T00:00:00"/>
    <s v="03-2023"/>
    <x v="3"/>
    <x v="7"/>
    <s v="Nagoya"/>
    <s v="Nagoya"/>
    <s v="Education"/>
    <s v="Marketplace"/>
    <x v="2"/>
    <x v="10"/>
    <x v="9"/>
    <x v="3"/>
    <s v="Low"/>
    <x v="605"/>
    <x v="2"/>
    <n v="55.65"/>
    <n v="83.57"/>
    <n v="83.57"/>
    <n v="6.6000000000000003E-2"/>
    <n v="6.6000000000000003E-2"/>
    <x v="0"/>
    <n v="8"/>
    <n v="624.43503999999996"/>
    <n v="445.2"/>
    <n v="179.23503999999997"/>
    <n v="0.2870355257449998"/>
    <n v="10937412.836530002"/>
    <n v="0.99923668430698998"/>
  </r>
  <r>
    <s v="ORD-2025-926547"/>
    <d v="2025-03-11T00:00:00"/>
    <x v="300"/>
    <d v="2025-03-26T00:00:00"/>
    <d v="2025-03-26T00:00:00"/>
    <n v="15"/>
    <n v="0"/>
    <x v="26"/>
    <s v="Q1-2025"/>
    <d v="2023-01-21T00:00:00"/>
    <s v="01-2023"/>
    <x v="1"/>
    <x v="4"/>
    <s v="Berlin"/>
    <s v="Berlin"/>
    <s v="Small Business"/>
    <s v="Online"/>
    <x v="0"/>
    <x v="13"/>
    <x v="12"/>
    <x v="5"/>
    <s v="Low"/>
    <x v="606"/>
    <x v="2"/>
    <n v="116.97"/>
    <n v="140.82"/>
    <n v="140.82"/>
    <n v="0.122"/>
    <n v="0.122"/>
    <x v="0"/>
    <n v="5"/>
    <n v="618.19979999999987"/>
    <n v="584.85"/>
    <n v="33.349799999999846"/>
    <n v="5.3946636669891926E-2"/>
    <n v="10938031.036330001"/>
    <n v="0.99929316273818969"/>
  </r>
  <r>
    <s v="ORD-2025-946490"/>
    <d v="2025-04-22T00:00:00"/>
    <x v="463"/>
    <d v="2025-05-02T00:00:00"/>
    <d v="2025-05-02T00:00:00"/>
    <n v="10"/>
    <n v="0"/>
    <x v="2"/>
    <s v="Q2-2025"/>
    <d v="2023-01-21T00:00:00"/>
    <s v="01-2023"/>
    <x v="1"/>
    <x v="4"/>
    <s v="Berlin"/>
    <s v="Berlin"/>
    <s v="Corporate"/>
    <s v="Marketplace"/>
    <x v="2"/>
    <x v="5"/>
    <x v="5"/>
    <x v="3"/>
    <s v="Low"/>
    <x v="607"/>
    <x v="2"/>
    <n v="20.149999999999999"/>
    <n v="39.74"/>
    <n v="39.74"/>
    <n v="0.151"/>
    <n v="0.151"/>
    <x v="0"/>
    <n v="18"/>
    <n v="607.30668000000003"/>
    <n v="362.7"/>
    <n v="244.60668000000004"/>
    <n v="0.4027729120318585"/>
    <n v="10938638.343010001"/>
    <n v="0.99934864597927697"/>
  </r>
  <r>
    <s v="ORD-2024-260775"/>
    <d v="2024-10-17T00:00:00"/>
    <x v="464"/>
    <d v="2024-11-06T00:00:00"/>
    <d v="2024-11-06T00:00:00"/>
    <n v="20"/>
    <n v="0"/>
    <x v="20"/>
    <s v="Q4-2024"/>
    <d v="2023-01-29T00:00:00"/>
    <s v="01-2023"/>
    <x v="3"/>
    <x v="3"/>
    <s v="Bengaluru"/>
    <s v="Bengaluru"/>
    <s v="Enterprise"/>
    <s v="Distributor"/>
    <x v="4"/>
    <x v="8"/>
    <x v="7"/>
    <x v="3"/>
    <s v="Low"/>
    <x v="608"/>
    <x v="2"/>
    <n v="72.94"/>
    <n v="106.3"/>
    <n v="106.3"/>
    <n v="0.29499999999999998"/>
    <n v="0.29499999999999998"/>
    <x v="1"/>
    <n v="8"/>
    <n v="599.53200000000004"/>
    <n v="583.52"/>
    <n v="16.012000000000057"/>
    <n v="2.6707498515508857E-2"/>
    <n v="10939237.875010001"/>
    <n v="0.99940341892940421"/>
  </r>
  <r>
    <s v="ORD-2025-956101"/>
    <d v="2025-07-09T00:00:00"/>
    <x v="465"/>
    <d v="2025-07-18T00:00:00"/>
    <d v="2025-07-18T00:00:00"/>
    <n v="9"/>
    <n v="0"/>
    <x v="0"/>
    <s v="Q3-2025"/>
    <d v="2023-01-02T00:00:00"/>
    <s v="01-2023"/>
    <x v="0"/>
    <x v="0"/>
    <s v="Vancouver"/>
    <s v="Vancouver"/>
    <s v="Education"/>
    <s v="Distributor"/>
    <x v="4"/>
    <x v="13"/>
    <x v="12"/>
    <x v="2"/>
    <s v="Low"/>
    <x v="609"/>
    <x v="2"/>
    <n v="57.96"/>
    <n v="88.51"/>
    <n v="88.51"/>
    <n v="4.2999999999999997E-2"/>
    <n v="4.2999999999999997E-2"/>
    <x v="0"/>
    <n v="7"/>
    <n v="592.92849000000001"/>
    <n v="405.72"/>
    <n v="187.20848999999998"/>
    <n v="0.3157353595877978"/>
    <n v="10939830.8035"/>
    <n v="0.99945758858608935"/>
  </r>
  <r>
    <s v="ORD-2025-908258"/>
    <d v="2025-06-21T00:00:00"/>
    <x v="466"/>
    <d v="2025-06-27T00:00:00"/>
    <d v="2025-06-27T00:00:00"/>
    <n v="6"/>
    <n v="1"/>
    <x v="25"/>
    <s v="Q2-2025"/>
    <d v="2023-01-07T00:00:00"/>
    <s v="01-2023"/>
    <x v="2"/>
    <x v="8"/>
    <s v="Durban"/>
    <s v="Durban"/>
    <s v="Enterprise"/>
    <s v="Distributor"/>
    <x v="4"/>
    <x v="14"/>
    <x v="13"/>
    <x v="5"/>
    <s v="Low"/>
    <x v="610"/>
    <x v="2"/>
    <n v="93.91"/>
    <n v="99.04"/>
    <n v="99.04"/>
    <n v="5.7000000000000002E-2"/>
    <n v="5.7000000000000002E-2"/>
    <x v="0"/>
    <n v="6"/>
    <n v="560.36831999999993"/>
    <n v="563.46"/>
    <n v="3.0916800000001103"/>
    <n v="5.5172283829323376E-3"/>
    <n v="10940391.17182"/>
    <n v="0.99950878356157724"/>
  </r>
  <r>
    <s v="ORD-2024-166150"/>
    <d v="2024-06-02T00:00:00"/>
    <x v="185"/>
    <d v="2024-06-08T00:00:00"/>
    <d v="2024-06-08T00:00:00"/>
    <n v="6"/>
    <n v="1"/>
    <x v="7"/>
    <s v="Q2-2024"/>
    <d v="2023-01-20T00:00:00"/>
    <s v="01-2023"/>
    <x v="2"/>
    <x v="5"/>
    <s v="Kisumu"/>
    <s v="Kisumu"/>
    <s v="Consumer"/>
    <s v="Marketplace"/>
    <x v="2"/>
    <x v="6"/>
    <x v="2"/>
    <x v="4"/>
    <s v="Low"/>
    <x v="611"/>
    <x v="2"/>
    <n v="292.94"/>
    <n v="356.55"/>
    <n v="356.55"/>
    <n v="0.22900000000000001"/>
    <n v="0.22900000000000001"/>
    <x v="1"/>
    <n v="2"/>
    <n v="549.80010000000004"/>
    <n v="585.88"/>
    <n v="36.079899999999952"/>
    <n v="6.5623669402751925E-2"/>
    <n v="10940940.97192"/>
    <n v="0.99955901302965777"/>
  </r>
  <r>
    <s v="ORD-2025-778145"/>
    <d v="2025-04-22T00:00:00"/>
    <x v="463"/>
    <d v="2025-05-12T00:00:00"/>
    <d v="2025-05-12T00:00:00"/>
    <n v="20"/>
    <n v="0"/>
    <x v="2"/>
    <s v="Q2-2025"/>
    <d v="2023-01-10T00:00:00"/>
    <s v="01-2023"/>
    <x v="1"/>
    <x v="11"/>
    <s v="Lyon"/>
    <s v="Lyon"/>
    <s v="Enterprise"/>
    <s v="Marketplace"/>
    <x v="2"/>
    <x v="3"/>
    <x v="3"/>
    <x v="3"/>
    <s v="Low"/>
    <x v="612"/>
    <x v="2"/>
    <n v="59.51"/>
    <n v="67.040000000000006"/>
    <n v="67.040000000000006"/>
    <n v="0.114"/>
    <n v="0.114"/>
    <x v="0"/>
    <n v="9"/>
    <n v="534.57695999999999"/>
    <n v="535.59"/>
    <n v="1.0130400000000463"/>
    <n v="1.8950311663264469E-3"/>
    <n v="10941475.54888"/>
    <n v="0.99960785171911748"/>
  </r>
  <r>
    <s v="ORD-2025-488349"/>
    <d v="2025-04-23T00:00:00"/>
    <x v="463"/>
    <d v="2025-04-22T00:00:00"/>
    <d v="2025-04-23T00:00:00"/>
    <n v="1"/>
    <n v="1"/>
    <x v="2"/>
    <s v="Q2-2025"/>
    <d v="2023-01-13T00:00:00"/>
    <s v="01-2023"/>
    <x v="0"/>
    <x v="6"/>
    <s v="San Francisco"/>
    <s v="San Francisco"/>
    <s v="Non-Profit"/>
    <s v="Distributor"/>
    <x v="4"/>
    <x v="11"/>
    <x v="10"/>
    <x v="3"/>
    <s v="Low"/>
    <x v="613"/>
    <x v="2"/>
    <n v="23.24"/>
    <n v="44.57"/>
    <n v="44.57"/>
    <n v="0.215"/>
    <n v="0.215"/>
    <x v="1"/>
    <n v="15"/>
    <n v="524.81174999999996"/>
    <n v="348.59999999999997"/>
    <n v="176.21174999999999"/>
    <n v="0.33576182316802167"/>
    <n v="10942000.36063"/>
    <n v="0.9996557982637706"/>
  </r>
  <r>
    <s v="ORD-2023-251563"/>
    <d v="2023-05-11T00:00:00"/>
    <x v="180"/>
    <d v="2023-06-07T00:00:00"/>
    <d v="2023-06-07T00:00:00"/>
    <n v="27"/>
    <n v="0"/>
    <x v="3"/>
    <s v="Q2-2023"/>
    <d v="2023-01-20T00:00:00"/>
    <s v="01-2023"/>
    <x v="2"/>
    <x v="5"/>
    <s v="Mombasa"/>
    <s v="Mombasa"/>
    <s v="Corporate"/>
    <s v="Online"/>
    <x v="0"/>
    <x v="9"/>
    <x v="8"/>
    <x v="5"/>
    <s v="Low"/>
    <x v="614"/>
    <x v="2"/>
    <n v="12.85"/>
    <n v="15.41"/>
    <n v="15.41"/>
    <n v="0.13700000000000001"/>
    <n v="0.13700000000000001"/>
    <x v="0"/>
    <n v="39"/>
    <n v="518.65436999999997"/>
    <n v="501.15"/>
    <n v="17.504369999999994"/>
    <n v="3.3749585489851353E-2"/>
    <n v="10942519.015000001"/>
    <n v="0.9997031822732001"/>
  </r>
  <r>
    <s v="ORD-2023-340056"/>
    <d v="2023-04-26T00:00:00"/>
    <x v="467"/>
    <d v="2023-04-26T00:00:00"/>
    <d v="2023-04-26T00:00:00"/>
    <n v="0"/>
    <n v="1"/>
    <x v="15"/>
    <s v="Q2-2023"/>
    <d v="2023-01-10T00:00:00"/>
    <s v="01-2023"/>
    <x v="1"/>
    <x v="11"/>
    <s v="Marseille"/>
    <s v="Marseille"/>
    <s v="Consumer"/>
    <s v="Direct"/>
    <x v="3"/>
    <x v="7"/>
    <x v="6"/>
    <x v="0"/>
    <s v="Low"/>
    <x v="615"/>
    <x v="2"/>
    <n v="81.489999999999995"/>
    <n v="113.08"/>
    <n v="113.08"/>
    <n v="0.121"/>
    <n v="0.121"/>
    <x v="0"/>
    <n v="5"/>
    <n v="496.98660000000001"/>
    <n v="407.45"/>
    <n v="89.536600000000021"/>
    <n v="0.18015898215364362"/>
    <n v="10943016.001600001"/>
    <n v="0.99974858672576594"/>
  </r>
  <r>
    <s v="ORD-2023-835226"/>
    <d v="2023-10-26T00:00:00"/>
    <x v="468"/>
    <d v="2023-11-05T00:00:00"/>
    <d v="2023-11-05T00:00:00"/>
    <n v="10"/>
    <n v="0"/>
    <x v="18"/>
    <s v="Q4-2023"/>
    <d v="2023-01-07T00:00:00"/>
    <s v="01-2023"/>
    <x v="2"/>
    <x v="8"/>
    <s v="Cape Town"/>
    <s v="Cape Town"/>
    <s v="Non-Profit"/>
    <s v="Online"/>
    <x v="0"/>
    <x v="13"/>
    <x v="12"/>
    <x v="2"/>
    <s v="Low"/>
    <x v="616"/>
    <x v="2"/>
    <n v="20.38"/>
    <n v="42.56"/>
    <n v="42.56"/>
    <n v="7.1999999999999995E-2"/>
    <n v="7.1999999999999995E-2"/>
    <x v="0"/>
    <n v="11"/>
    <n v="434.45248000000004"/>
    <n v="224.17999999999998"/>
    <n v="210.27248000000006"/>
    <n v="0.48399419885921713"/>
    <n v="10943450.454080001"/>
    <n v="0.99978827809173088"/>
  </r>
  <r>
    <s v="ORD-2023-378676"/>
    <d v="2023-05-03T00:00:00"/>
    <x v="469"/>
    <d v="2023-05-16T00:00:00"/>
    <d v="2023-05-16T00:00:00"/>
    <n v="13"/>
    <n v="0"/>
    <x v="3"/>
    <s v="Q2-2023"/>
    <d v="2023-01-13T00:00:00"/>
    <s v="01-2023"/>
    <x v="0"/>
    <x v="6"/>
    <s v="New York"/>
    <s v="New York"/>
    <s v="Corporate"/>
    <s v="Marketplace"/>
    <x v="2"/>
    <x v="4"/>
    <x v="4"/>
    <x v="5"/>
    <s v="Low"/>
    <x v="617"/>
    <x v="2"/>
    <n v="64.5"/>
    <n v="123.62"/>
    <n v="123.62"/>
    <n v="0"/>
    <n v="0"/>
    <x v="0"/>
    <n v="3"/>
    <n v="370.86"/>
    <n v="193.5"/>
    <n v="177.36"/>
    <n v="0.47823976702798904"/>
    <n v="10943821.31408"/>
    <n v="0.99982215967984311"/>
  </r>
  <r>
    <s v="ORD-2024-960952"/>
    <d v="2024-02-03T00:00:00"/>
    <x v="186"/>
    <d v="2024-02-21T00:00:00"/>
    <d v="2024-02-21T00:00:00"/>
    <n v="18"/>
    <n v="0"/>
    <x v="13"/>
    <s v="Q1-2024"/>
    <d v="2023-01-21T00:00:00"/>
    <s v="01-2023"/>
    <x v="1"/>
    <x v="4"/>
    <s v="Frankfurt"/>
    <s v="Frankfurt"/>
    <s v="Corporate"/>
    <s v="Retail"/>
    <x v="1"/>
    <x v="0"/>
    <x v="0"/>
    <x v="0"/>
    <s v="Low"/>
    <x v="618"/>
    <x v="2"/>
    <n v="39.229999999999997"/>
    <n v="30.09"/>
    <n v="30.09"/>
    <n v="0.17699999999999999"/>
    <n v="0.17699999999999999"/>
    <x v="0"/>
    <n v="13"/>
    <n v="321.93290999999999"/>
    <n v="509.98999999999995"/>
    <n v="188.05708999999996"/>
    <n v="0.58414993981199359"/>
    <n v="10944143.246990001"/>
    <n v="0.99985157131295666"/>
  </r>
  <r>
    <s v="ORD-2023-373538"/>
    <d v="2023-02-28T00:00:00"/>
    <x v="93"/>
    <d v="2023-03-25T00:00:00"/>
    <d v="2023-03-25T00:00:00"/>
    <n v="25"/>
    <n v="0"/>
    <x v="4"/>
    <s v="Q1-2023"/>
    <d v="2023-01-20T00:00:00"/>
    <s v="01-2023"/>
    <x v="2"/>
    <x v="5"/>
    <s v="Nairobi"/>
    <s v="Nairobi"/>
    <s v="Corporate"/>
    <s v="Retail"/>
    <x v="1"/>
    <x v="13"/>
    <x v="12"/>
    <x v="1"/>
    <s v="Low"/>
    <x v="619"/>
    <x v="2"/>
    <n v="1460.76"/>
    <n v="-30.66"/>
    <n v="30.66"/>
    <n v="0.13100000000000001"/>
    <n v="0.13100000000000001"/>
    <x v="0"/>
    <n v="12"/>
    <n v="319.72248000000002"/>
    <n v="17529.12"/>
    <n v="17209.397519999999"/>
    <n v="53.826047890032626"/>
    <n v="10944462.969470002"/>
    <n v="0.99988078100226696"/>
  </r>
  <r>
    <s v="ORD-2025-639542"/>
    <d v="2025-06-09T00:00:00"/>
    <x v="187"/>
    <d v="2025-06-18T00:00:00"/>
    <d v="2025-06-18T00:00:00"/>
    <n v="9"/>
    <n v="0"/>
    <x v="25"/>
    <s v="Q2-2025"/>
    <d v="2023-01-10T00:00:00"/>
    <s v="01-2023"/>
    <x v="1"/>
    <x v="11"/>
    <s v="Marseille"/>
    <s v="Marseille"/>
    <s v="Small Business"/>
    <s v="Marketplace"/>
    <x v="2"/>
    <x v="0"/>
    <x v="0"/>
    <x v="4"/>
    <s v="Low"/>
    <x v="620"/>
    <x v="2"/>
    <n v="1225.5"/>
    <n v="-5.27"/>
    <n v="5.27"/>
    <n v="7.4999999999999997E-2"/>
    <n v="7.4999999999999997E-2"/>
    <x v="0"/>
    <n v="56"/>
    <n v="272.98599999999999"/>
    <n v="68628"/>
    <n v="68355.013999999996"/>
    <n v="250.39750756449047"/>
    <n v="10944735.955470001"/>
    <n v="0.99990572086963592"/>
  </r>
  <r>
    <s v="ORD-2025-728935"/>
    <d v="2025-02-28T00:00:00"/>
    <x v="470"/>
    <d v="2025-03-10T00:00:00"/>
    <d v="2025-03-10T00:00:00"/>
    <n v="10"/>
    <n v="0"/>
    <x v="30"/>
    <s v="Q1-2025"/>
    <d v="2023-03-03T00:00:00"/>
    <s v="03-2023"/>
    <x v="3"/>
    <x v="7"/>
    <s v="Osaka"/>
    <s v="Osaka"/>
    <s v="Education"/>
    <s v="Distributor"/>
    <x v="4"/>
    <x v="14"/>
    <x v="13"/>
    <x v="2"/>
    <s v="Low"/>
    <x v="621"/>
    <x v="2"/>
    <n v="51.86"/>
    <n v="45.98"/>
    <n v="45.98"/>
    <n v="0.17299999999999999"/>
    <n v="0.17299999999999999"/>
    <x v="0"/>
    <n v="7"/>
    <n v="266.17821999999995"/>
    <n v="363.02"/>
    <n v="96.841780000000028"/>
    <n v="0.3638230806412337"/>
    <n v="10945002.133690001"/>
    <n v="0.99993003878155551"/>
  </r>
  <r>
    <s v="ORD-2023-235230"/>
    <d v="2023-08-30T00:00:00"/>
    <x v="355"/>
    <d v="2023-09-01T00:00:00"/>
    <d v="2023-09-01T00:00:00"/>
    <n v="2"/>
    <n v="1"/>
    <x v="21"/>
    <s v="Q3-2023"/>
    <d v="2023-01-21T00:00:00"/>
    <s v="01-2023"/>
    <x v="1"/>
    <x v="4"/>
    <s v="Munich"/>
    <s v="Munich"/>
    <s v="Corporate"/>
    <s v="Direct"/>
    <x v="3"/>
    <x v="14"/>
    <x v="13"/>
    <x v="1"/>
    <s v="Low"/>
    <x v="622"/>
    <x v="2"/>
    <n v="44.42"/>
    <n v="41.9"/>
    <n v="41.9"/>
    <n v="0.14399999999999999"/>
    <n v="0.14399999999999999"/>
    <x v="0"/>
    <n v="6"/>
    <n v="215.19839999999996"/>
    <n v="266.52"/>
    <n v="51.321600000000018"/>
    <n v="0.23848504449847224"/>
    <n v="10945217.332090002"/>
    <n v="0.999949699202068"/>
  </r>
  <r>
    <s v="ORD-2025-262491"/>
    <d v="2025-08-01T00:00:00"/>
    <x v="109"/>
    <d v="2025-08-16T00:00:00"/>
    <d v="2025-08-16T00:00:00"/>
    <n v="15"/>
    <n v="0"/>
    <x v="14"/>
    <s v="Q3-2025"/>
    <d v="2023-01-29T00:00:00"/>
    <s v="01-2023"/>
    <x v="3"/>
    <x v="3"/>
    <m/>
    <s v="Delhi"/>
    <s v="Enterprise"/>
    <s v="Direct"/>
    <x v="3"/>
    <x v="8"/>
    <x v="7"/>
    <x v="3"/>
    <s v="Low"/>
    <x v="623"/>
    <x v="2"/>
    <n v="24.44"/>
    <n v="28.69"/>
    <n v="28.69"/>
    <n v="0.14599999999999999"/>
    <n v="0.14599999999999999"/>
    <x v="0"/>
    <n v="6"/>
    <n v="147.00756000000001"/>
    <n v="146.64000000000001"/>
    <n v="0.36755999999999744"/>
    <n v="2.5002795774584476E-3"/>
    <n v="10945364.339650001"/>
    <n v="0.99996312974080848"/>
  </r>
  <r>
    <s v="ORD-2024-516704"/>
    <d v="2024-03-01T00:00:00"/>
    <x v="230"/>
    <d v="2024-02-29T00:00:00"/>
    <d v="2024-03-01T00:00:00"/>
    <n v="1"/>
    <n v="1"/>
    <x v="13"/>
    <s v="Q1-2024"/>
    <d v="2023-01-29T00:00:00"/>
    <s v="01-2023"/>
    <x v="0"/>
    <x v="9"/>
    <s v="São Paulo"/>
    <s v="São Paulo"/>
    <s v="Non-Profit"/>
    <s v="Direct"/>
    <x v="3"/>
    <x v="13"/>
    <x v="12"/>
    <x v="5"/>
    <s v="Low"/>
    <x v="624"/>
    <x v="2"/>
    <n v="5.34"/>
    <n v="12.69"/>
    <n v="12.69"/>
    <n v="0.13200000000000001"/>
    <n v="0.13200000000000001"/>
    <x v="0"/>
    <n v="10"/>
    <n v="110.14919999999999"/>
    <n v="53.4"/>
    <n v="56.749199999999995"/>
    <n v="0.51520301554618642"/>
    <n v="10945474.488850001"/>
    <n v="0.99997319291781683"/>
  </r>
  <r>
    <s v="ORD-2023-286994"/>
    <d v="2023-02-24T00:00:00"/>
    <x v="471"/>
    <d v="2023-03-09T00:00:00"/>
    <d v="2023-03-09T00:00:00"/>
    <n v="13"/>
    <n v="0"/>
    <x v="4"/>
    <s v="Q1-2023"/>
    <d v="2023-01-13T00:00:00"/>
    <s v="01-2023"/>
    <x v="0"/>
    <x v="6"/>
    <s v="New York"/>
    <s v="New York"/>
    <s v="Enterprise"/>
    <s v="Online"/>
    <x v="0"/>
    <x v="7"/>
    <x v="6"/>
    <x v="0"/>
    <s v="Low"/>
    <x v="625"/>
    <x v="2"/>
    <n v="6.85"/>
    <n v="10.18"/>
    <n v="10.18"/>
    <n v="4.7E-2"/>
    <n v="4.7E-2"/>
    <x v="0"/>
    <n v="10"/>
    <n v="97.0154"/>
    <n v="68.5"/>
    <n v="28.5154"/>
    <n v="0.2939265312517394"/>
    <n v="10945571.504250001"/>
    <n v="0.99998205619728442"/>
  </r>
  <r>
    <s v="ORD-2025-541048"/>
    <d v="2025-04-04T00:00:00"/>
    <x v="412"/>
    <d v="2025-04-13T00:00:00"/>
    <d v="2025-04-13T00:00:00"/>
    <n v="9"/>
    <n v="0"/>
    <x v="2"/>
    <s v="Q2-2025"/>
    <d v="2023-01-21T00:00:00"/>
    <s v="01-2023"/>
    <x v="1"/>
    <x v="4"/>
    <s v="Munich"/>
    <s v="Munich"/>
    <s v="Consumer"/>
    <s v="Marketplace"/>
    <x v="2"/>
    <x v="10"/>
    <x v="9"/>
    <x v="5"/>
    <s v="Low"/>
    <x v="626"/>
    <x v="2"/>
    <n v="7.02"/>
    <n v="6.28"/>
    <n v="6.28"/>
    <n v="0.13400000000000001"/>
    <n v="0.13400000000000001"/>
    <x v="0"/>
    <n v="14"/>
    <n v="76.138720000000006"/>
    <n v="98.28"/>
    <n v="22.141279999999995"/>
    <n v="0.29080184169106066"/>
    <n v="10945647.642970001"/>
    <n v="0.99998901219348368"/>
  </r>
  <r>
    <s v="ORD-2024-207096"/>
    <d v="2024-03-26T00:00:00"/>
    <x v="472"/>
    <d v="2024-04-05T00:00:00"/>
    <d v="2024-04-05T00:00:00"/>
    <n v="10"/>
    <n v="0"/>
    <x v="8"/>
    <s v="Q1-2024"/>
    <d v="2023-01-13T00:00:00"/>
    <s v="01-2023"/>
    <x v="0"/>
    <x v="6"/>
    <s v="Austin"/>
    <s v="Austin"/>
    <s v="Consumer"/>
    <s v="Direct"/>
    <x v="3"/>
    <x v="9"/>
    <x v="8"/>
    <x v="3"/>
    <s v="Low"/>
    <x v="627"/>
    <x v="2"/>
    <n v="5.66"/>
    <n v="4.22"/>
    <n v="4.22"/>
    <n v="0.11899999999999999"/>
    <n v="0.11899999999999999"/>
    <x v="0"/>
    <n v="18"/>
    <n v="66.920760000000001"/>
    <n v="101.88"/>
    <n v="34.959239999999994"/>
    <n v="0.52239753403876454"/>
    <n v="10945714.563730001"/>
    <n v="0.99999512604136831"/>
  </r>
  <r>
    <s v="ORD-2024-919471"/>
    <d v="2024-06-29T00:00:00"/>
    <x v="473"/>
    <d v="2024-07-26T00:00:00"/>
    <d v="2024-07-26T00:00:00"/>
    <n v="27"/>
    <n v="0"/>
    <x v="7"/>
    <s v="Q2-2024"/>
    <d v="2023-01-07T00:00:00"/>
    <s v="01-2023"/>
    <x v="2"/>
    <x v="8"/>
    <s v="Durban"/>
    <s v="Durban"/>
    <s v="Enterprise"/>
    <s v="Distributor"/>
    <x v="4"/>
    <x v="1"/>
    <x v="1"/>
    <x v="1"/>
    <s v="Low"/>
    <x v="628"/>
    <x v="2"/>
    <n v="5.36"/>
    <n v="4.37"/>
    <n v="4.37"/>
    <n v="0.11799999999999999"/>
    <n v="0.11799999999999999"/>
    <x v="0"/>
    <n v="9"/>
    <n v="34.689059999999998"/>
    <n v="48.24"/>
    <n v="13.550940000000004"/>
    <n v="0.39064016148030545"/>
    <n v="10945749.252790002"/>
    <n v="0.9999982952169141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5-132174"/>
    <d v="2025-07-17T00:00:00"/>
    <d v="2025-07-17T00:00:00"/>
    <d v="2025-07-23T00:00:00"/>
    <d v="2025-07-23T00:00:00"/>
    <n v="6"/>
    <n v="1"/>
    <s v="07-2025"/>
    <s v="Q3-2025"/>
    <d v="2023-01-02T00:00:00"/>
    <s v="01-2023"/>
    <x v="0"/>
    <x v="0"/>
    <s v="Vancouver"/>
    <s v="Vancouver"/>
    <s v="Consumer"/>
    <s v="Online"/>
    <s v="Online"/>
    <s v="H. Kim"/>
    <x v="0"/>
    <x v="0"/>
    <s v="High"/>
    <s v="CMP-8851"/>
    <s v="A"/>
    <n v="1364.89"/>
    <n v="2757.54"/>
    <n v="2757.54"/>
    <n v="0.17199999999999999"/>
    <n v="0.17199999999999999"/>
    <n v="0"/>
    <n v="61"/>
    <n v="139277.83032000001"/>
    <n v="83258.290000000008"/>
    <n v="56019.54032"/>
    <n v="0.4022143379983118"/>
    <n v="139277.82999999999"/>
    <n v="1.2724354390450722E-2"/>
  </r>
  <r>
    <s v="ORD-2024-548345"/>
    <d v="2024-05-14T00:00:00"/>
    <d v="2024-05-14T00:00:00"/>
    <d v="2024-05-28T00:00:00"/>
    <d v="2024-05-28T00:00:00"/>
    <n v="14"/>
    <n v="0"/>
    <s v="05-2024"/>
    <s v="Q2-2024"/>
    <d v="2023-01-19T00:00:00"/>
    <s v="01-2023"/>
    <x v="1"/>
    <x v="1"/>
    <s v="Birmingham"/>
    <s v="Birmingham"/>
    <s v="Consumer"/>
    <s v="Retail"/>
    <s v="Retail"/>
    <s v="B. Chen"/>
    <x v="1"/>
    <x v="1"/>
    <s v="High"/>
    <s v="NET-2365"/>
    <s v="A"/>
    <n v="1421.14"/>
    <n v="3524"/>
    <n v="3524"/>
    <n v="0"/>
    <n v="0"/>
    <n v="0"/>
    <n v="31"/>
    <n v="109244"/>
    <n v="44055.340000000004"/>
    <n v="65188.659999999996"/>
    <n v="0.59672531214528945"/>
    <n v="248521.83"/>
    <n v="2.270483276974769E-2"/>
  </r>
  <r>
    <s v="ORD-2025-650841"/>
    <d v="2025-07-03T00:00:00"/>
    <d v="2025-07-03T00:00:00"/>
    <d v="2025-07-06T00:00:00"/>
    <d v="2025-07-06T00:00:00"/>
    <n v="3"/>
    <n v="1"/>
    <s v="07-2025"/>
    <s v="Q3-2025"/>
    <d v="2023-01-13T00:00:00"/>
    <s v="01-2023"/>
    <x v="2"/>
    <x v="2"/>
    <s v="Lagos"/>
    <s v="Lagos"/>
    <s v="Consumer"/>
    <s v="Online"/>
    <s v="Online"/>
    <m/>
    <x v="2"/>
    <x v="2"/>
    <s v="High"/>
    <s v="LAP-8910"/>
    <s v="A"/>
    <n v="1313.3"/>
    <n v="2884.34"/>
    <n v="2884.34"/>
    <n v="0.157"/>
    <n v="0.157"/>
    <n v="0"/>
    <n v="42"/>
    <n v="102122.94203999999"/>
    <n v="55158.6"/>
    <n v="46964.342039999996"/>
    <n v="0.45988042551305253"/>
    <n v="350644.77203999995"/>
    <n v="3.2034734778649022E-2"/>
  </r>
  <r>
    <s v="ORD-2025-845715"/>
    <d v="2025-04-14T00:00:00"/>
    <d v="2025-04-14T00:00:00"/>
    <d v="2025-05-04T00:00:00"/>
    <d v="2025-05-04T00:00:00"/>
    <n v="20"/>
    <n v="0"/>
    <s v="04-2025"/>
    <s v="Q2-2025"/>
    <d v="2023-01-19T00:00:00"/>
    <s v="01-2023"/>
    <x v="1"/>
    <x v="1"/>
    <s v="Birmingham"/>
    <s v="Birmingham"/>
    <s v="Enterprise"/>
    <s v="Marketplace"/>
    <s v="Marketplace"/>
    <s v="K. Singh"/>
    <x v="3"/>
    <x v="3"/>
    <s v="High"/>
    <s v="MON-6962"/>
    <s v="A"/>
    <n v="1413.87"/>
    <n v="3275"/>
    <n v="3275"/>
    <n v="0.255"/>
    <n v="0.255"/>
    <n v="1"/>
    <n v="38"/>
    <n v="92715.25"/>
    <n v="53727.06"/>
    <n v="38988.19"/>
    <n v="0.42051539525590453"/>
    <n v="443360.02203999995"/>
    <n v="4.0505154646615346E-2"/>
  </r>
  <r>
    <s v="ORD-2023-906481"/>
    <d v="2023-05-02T00:00:00"/>
    <d v="2023-05-02T00:00:00"/>
    <d v="2023-05-18T00:00:00"/>
    <d v="2023-05-18T00:00:00"/>
    <n v="16"/>
    <n v="0"/>
    <s v="05-2023"/>
    <s v="Q2-2023"/>
    <d v="2023-01-29T00:00:00"/>
    <s v="01-2023"/>
    <x v="3"/>
    <x v="3"/>
    <s v="Delhi"/>
    <s v="Delhi"/>
    <s v="Small Business"/>
    <s v="Marketplace"/>
    <s v="Marketplace"/>
    <s v="K. Singh"/>
    <x v="3"/>
    <x v="3"/>
    <s v="High"/>
    <s v="MON-2266"/>
    <s v="A"/>
    <n v="1463.92"/>
    <n v="2252.2399999999998"/>
    <n v="2252.2399999999998"/>
    <n v="0.11799999999999999"/>
    <n v="0.11799999999999999"/>
    <n v="0"/>
    <n v="44"/>
    <n v="87404.929919999995"/>
    <n v="64412.480000000003"/>
    <n v="22992.449919999992"/>
    <n v="0.26305667130040061"/>
    <n v="530764.95195999998"/>
    <n v="4.8490426270782601E-2"/>
  </r>
  <r>
    <s v="ORD-2023-884625"/>
    <d v="2023-02-19T00:00:00"/>
    <d v="2023-02-19T00:00:00"/>
    <d v="2023-03-12T00:00:00"/>
    <d v="2023-03-12T00:00:00"/>
    <n v="21"/>
    <n v="0"/>
    <s v="02-2023"/>
    <s v="Q1-2023"/>
    <d v="2023-01-21T00:00:00"/>
    <s v="01-2023"/>
    <x v="1"/>
    <x v="4"/>
    <s v="Berlin"/>
    <s v="Berlin"/>
    <s v="Small Business"/>
    <s v="Direct"/>
    <s v="Direct"/>
    <s v="L. Okafor"/>
    <x v="4"/>
    <x v="3"/>
    <s v="High"/>
    <s v="MON-6699"/>
    <s v="A"/>
    <n v="1234.81"/>
    <n v="2055.2399999999998"/>
    <n v="2055.2399999999998"/>
    <n v="5.2999999999999999E-2"/>
    <n v="5.2999999999999999E-2"/>
    <n v="0"/>
    <n v="44"/>
    <n v="85637.740319999997"/>
    <n v="54331.64"/>
    <n v="31306.100319999998"/>
    <n v="0.36556429680441616"/>
    <n v="616402.69227999996"/>
    <n v="5.6314248317902882E-2"/>
  </r>
  <r>
    <s v="ORD-2024-508213"/>
    <d v="2024-11-22T00:00:00"/>
    <d v="2024-11-22T00:00:00"/>
    <d v="2024-12-15T00:00:00"/>
    <d v="2024-12-15T00:00:00"/>
    <n v="23"/>
    <n v="0"/>
    <s v="11-2024"/>
    <s v="Q4-2024"/>
    <d v="2023-01-20T00:00:00"/>
    <s v="01-2023"/>
    <x v="2"/>
    <x v="5"/>
    <s v="Mombasa"/>
    <s v="Mombasa"/>
    <s v="Non-Profit"/>
    <s v="Distributor"/>
    <s v="Distributor"/>
    <s v="C. Otieno"/>
    <x v="5"/>
    <x v="0"/>
    <s v="High"/>
    <s v="CMP-3938"/>
    <s v="A"/>
    <n v="1335.76"/>
    <n v="2665.91"/>
    <n v="2665.91"/>
    <n v="0.21099999999999999"/>
    <n v="0.21099999999999999"/>
    <n v="1"/>
    <n v="40"/>
    <n v="84136.119600000005"/>
    <n v="53430.400000000001"/>
    <n v="30705.719600000004"/>
    <n v="0.36495288522909253"/>
    <n v="700538.81187999994"/>
    <n v="6.4000883030891631E-2"/>
  </r>
  <r>
    <s v="ORD-2023-159821"/>
    <d v="2023-07-01T00:00:00"/>
    <d v="2023-07-01T00:00:00"/>
    <d v="2023-07-08T00:00:00"/>
    <d v="2023-07-08T00:00:00"/>
    <n v="7"/>
    <n v="1"/>
    <s v="07-2023"/>
    <s v="Q3-2023"/>
    <d v="2023-01-13T00:00:00"/>
    <s v="01-2023"/>
    <x v="2"/>
    <x v="2"/>
    <s v="Port Harcourt"/>
    <s v="Port Harcourt"/>
    <s v="Corporate"/>
    <s v="Retail"/>
    <s v="Retail"/>
    <s v="A. Patel"/>
    <x v="2"/>
    <x v="2"/>
    <s v="High"/>
    <s v="LAP-3904"/>
    <s v="A"/>
    <n v="834.26"/>
    <n v="1780.56"/>
    <n v="1780.56"/>
    <n v="1.4E-2"/>
    <n v="1.4E-2"/>
    <n v="0"/>
    <n v="47"/>
    <n v="82514.711519999997"/>
    <n v="39210.22"/>
    <n v="43304.491519999996"/>
    <n v="0.5248093427497933"/>
    <n v="783053.52339999995"/>
    <n v="7.1539386695159579E-2"/>
  </r>
  <r>
    <s v="ORD-2024-341535"/>
    <d v="2024-06-25T00:00:00"/>
    <d v="2024-06-25T00:00:00"/>
    <d v="2024-06-30T00:00:00"/>
    <d v="2024-06-30T00:00:00"/>
    <n v="5"/>
    <n v="1"/>
    <s v="06-2024"/>
    <s v="Q2-2024"/>
    <d v="2023-01-20T00:00:00"/>
    <s v="01-2023"/>
    <x v="2"/>
    <x v="5"/>
    <s v="Kisumu"/>
    <s v="Kisumu"/>
    <s v="Education"/>
    <s v="Direct"/>
    <s v="Direct"/>
    <s v="M. Rossi"/>
    <x v="6"/>
    <x v="1"/>
    <s v="High"/>
    <s v="NET-5987"/>
    <s v="A"/>
    <n v="1323.55"/>
    <n v="3230.35"/>
    <n v="3230.35"/>
    <n v="2.1999999999999999E-2"/>
    <n v="2.1999999999999999E-2"/>
    <n v="0"/>
    <n v="26"/>
    <n v="82141.339799999987"/>
    <n v="34412.299999999996"/>
    <n v="47729.039799999991"/>
    <n v="0.58105991351263542"/>
    <n v="865194.86319999991"/>
    <n v="7.9043779301805117E-2"/>
  </r>
  <r>
    <s v="ORD-2024-948800"/>
    <d v="2024-03-27T00:00:00"/>
    <d v="2024-03-27T00:00:00"/>
    <d v="2024-04-11T00:00:00"/>
    <d v="2024-04-11T00:00:00"/>
    <n v="15"/>
    <n v="0"/>
    <s v="03-2024"/>
    <s v="Q1-2024"/>
    <d v="2023-01-13T00:00:00"/>
    <s v="01-2023"/>
    <x v="0"/>
    <x v="6"/>
    <s v="San Francisco"/>
    <s v="San Francisco"/>
    <s v="Small Business"/>
    <s v="Direct"/>
    <s v="Direct"/>
    <s v="O. Wang"/>
    <x v="7"/>
    <x v="1"/>
    <s v="High"/>
    <s v="NET-5523"/>
    <s v="A"/>
    <n v="1338.35"/>
    <n v="2247.14"/>
    <n v="2247.14"/>
    <n v="0.115"/>
    <n v="0.115"/>
    <n v="0"/>
    <n v="40"/>
    <n v="79548.755999999994"/>
    <n v="53534"/>
    <n v="26014.755999999994"/>
    <n v="0.32702907384246205"/>
    <n v="944743.61919999984"/>
    <n v="8.6311314721214602E-2"/>
  </r>
  <r>
    <s v="ORD-2024-901115"/>
    <d v="2024-07-25T00:00:00"/>
    <d v="2024-07-25T00:00:00"/>
    <d v="2024-08-02T00:00:00"/>
    <d v="2024-08-02T00:00:00"/>
    <n v="8"/>
    <n v="0"/>
    <s v="07-2024"/>
    <s v="Q3-2024"/>
    <d v="2023-01-02T00:00:00"/>
    <s v="01-2023"/>
    <x v="0"/>
    <x v="0"/>
    <s v="Montreal"/>
    <s v="Montreal"/>
    <s v="Consumer"/>
    <s v="Direct"/>
    <s v="Direct"/>
    <s v="J. Njeri"/>
    <x v="8"/>
    <x v="4"/>
    <s v="High"/>
    <s v="ACC-6626"/>
    <s v="A"/>
    <n v="986.81"/>
    <n v="2050.31"/>
    <n v="2050.31"/>
    <n v="0.10299999999999999"/>
    <n v="0.10299999999999999"/>
    <n v="0"/>
    <n v="43"/>
    <n v="79082.507010000001"/>
    <n v="42432.829999999994"/>
    <n v="36649.677010000007"/>
    <n v="0.46343595310358138"/>
    <n v="1023826.1262099999"/>
    <n v="9.3536253861065816E-2"/>
  </r>
  <r>
    <s v="ORD-2024-247979"/>
    <d v="2024-11-02T00:00:00"/>
    <d v="2024-11-02T00:00:00"/>
    <d v="2024-11-18T00:00:00"/>
    <d v="2024-11-18T00:00:00"/>
    <n v="16"/>
    <n v="0"/>
    <s v="11-2024"/>
    <s v="Q4-2024"/>
    <d v="2023-01-29T00:00:00"/>
    <s v="01-2023"/>
    <x v="3"/>
    <x v="3"/>
    <s v="Mumbai"/>
    <s v="Mumbai"/>
    <s v="Small Business"/>
    <s v="Distributor"/>
    <s v="Distributor"/>
    <s v="O. Wang"/>
    <x v="7"/>
    <x v="3"/>
    <s v="High"/>
    <s v="MON-5188"/>
    <s v="A"/>
    <n v="1233.58"/>
    <n v="1912.51"/>
    <n v="1912.51"/>
    <n v="0.255"/>
    <n v="0.255"/>
    <n v="1"/>
    <n v="51"/>
    <n v="72665.817450000002"/>
    <n v="62912.579999999994"/>
    <n v="9753.2374500000078"/>
    <n v="0.134220432553601"/>
    <n v="1096491.9436599999"/>
    <n v="0.10017496738284884"/>
  </r>
  <r>
    <s v="ORD-2024-572312"/>
    <d v="2024-06-16T00:00:00"/>
    <d v="2024-06-16T00:00:00"/>
    <d v="2024-06-21T00:00:00"/>
    <d v="2024-06-21T00:00:00"/>
    <n v="5"/>
    <n v="1"/>
    <s v="06-2024"/>
    <s v="Q2-2024"/>
    <d v="2023-03-03T00:00:00"/>
    <s v="03-2023"/>
    <x v="3"/>
    <x v="7"/>
    <s v="Tokyo"/>
    <s v="Tokyo"/>
    <s v="Small Business"/>
    <s v="Distributor"/>
    <s v="Distributor"/>
    <s v="F. Müller"/>
    <x v="9"/>
    <x v="5"/>
    <s v="High"/>
    <s v="PHN-9677"/>
    <s v="A"/>
    <n v="1367.13"/>
    <n v="3062.01"/>
    <n v="3062.01"/>
    <n v="0.10299999999999999"/>
    <n v="0.10299999999999999"/>
    <n v="0"/>
    <n v="25"/>
    <n v="68665.574250000005"/>
    <n v="34178.25"/>
    <n v="34487.324250000005"/>
    <n v="0.50225057645971705"/>
    <n v="1165157.5179099999"/>
    <n v="0.10644822064347768"/>
  </r>
  <r>
    <s v="ORD-2025-678688"/>
    <d v="2025-07-16T00:00:00"/>
    <d v="2025-07-16T00:00:00"/>
    <d v="2025-07-17T00:00:00"/>
    <d v="2025-07-17T00:00:00"/>
    <n v="1"/>
    <n v="1"/>
    <s v="07-2025"/>
    <s v="Q3-2025"/>
    <d v="2023-01-07T00:00:00"/>
    <s v="01-2023"/>
    <x v="2"/>
    <x v="8"/>
    <s v="Durban"/>
    <s v="Durban"/>
    <s v="Small Business"/>
    <s v="Distributor"/>
    <s v="Distributor"/>
    <s v="B. Chen"/>
    <x v="1"/>
    <x v="1"/>
    <s v="High"/>
    <s v="NET-1612"/>
    <s v="A"/>
    <n v="1198.9000000000001"/>
    <n v="2941.2"/>
    <n v="2941.2"/>
    <n v="5.0999999999999997E-2"/>
    <n v="5.0999999999999997E-2"/>
    <n v="0"/>
    <n v="24"/>
    <n v="66988.771199999988"/>
    <n v="28773.600000000002"/>
    <n v="38215.171199999982"/>
    <n v="0.57047129713583977"/>
    <n v="1232146.28911"/>
    <n v="0.11256828199803511"/>
  </r>
  <r>
    <s v="ORD-2023-974506"/>
    <d v="2023-12-28T00:00:00"/>
    <d v="2023-12-28T00:00:00"/>
    <d v="2024-01-01T00:00:00"/>
    <d v="2024-01-01T00:00:00"/>
    <n v="4"/>
    <n v="1"/>
    <s v="12-2023"/>
    <s v="Q4-2023"/>
    <d v="2023-01-07T00:00:00"/>
    <s v="01-2023"/>
    <x v="2"/>
    <x v="8"/>
    <s v="Cape Town"/>
    <s v="Cape Town"/>
    <s v="Education"/>
    <s v="Distributor"/>
    <s v="Distributor"/>
    <s v="A. Patel"/>
    <x v="2"/>
    <x v="6"/>
    <s v="High"/>
    <s v="PRN-1654"/>
    <s v="A"/>
    <n v="1141.8"/>
    <n v="2318.7399999999998"/>
    <n v="2318.7399999999998"/>
    <n v="0.107"/>
    <n v="0.107"/>
    <n v="0"/>
    <n v="32"/>
    <n v="66260.314239999992"/>
    <n v="36537.599999999999"/>
    <n v="29722.714239999994"/>
    <n v="0.44857490612468304"/>
    <n v="1298406.60335"/>
    <n v="0.11862179188121169"/>
  </r>
  <r>
    <s v="ORD-2024-474999"/>
    <d v="2024-12-27T00:00:00"/>
    <d v="2024-12-27T00:00:00"/>
    <d v="2025-01-02T00:00:00"/>
    <d v="2025-01-02T00:00:00"/>
    <n v="6"/>
    <n v="1"/>
    <s v="12-2024"/>
    <s v="Q4-2024"/>
    <d v="2023-01-21T00:00:00"/>
    <s v="01-2023"/>
    <x v="1"/>
    <x v="4"/>
    <s v="Frankfurt"/>
    <s v="Frankfurt"/>
    <s v="Education"/>
    <s v="Direct"/>
    <s v="Direct"/>
    <s v="F. Müller"/>
    <x v="9"/>
    <x v="2"/>
    <s v="High"/>
    <s v="LAP-8214"/>
    <s v="A"/>
    <n v="1391.99"/>
    <n v="3469.7"/>
    <n v="3469.7"/>
    <n v="0.184"/>
    <n v="0.184"/>
    <n v="0"/>
    <n v="23"/>
    <n v="65119.329599999997"/>
    <n v="32015.77"/>
    <n v="33103.559599999993"/>
    <n v="0.50835227886006973"/>
    <n v="1363525.93295"/>
    <n v="0.12457106196604119"/>
  </r>
  <r>
    <s v="ORD-2024-584090"/>
    <d v="2024-06-07T00:00:00"/>
    <d v="2024-06-07T00:00:00"/>
    <d v="2024-06-26T00:00:00"/>
    <d v="2024-06-26T00:00:00"/>
    <n v="19"/>
    <n v="0"/>
    <s v="06-2024"/>
    <s v="Q2-2024"/>
    <d v="2023-01-21T00:00:00"/>
    <s v="01-2023"/>
    <x v="1"/>
    <x v="4"/>
    <s v="Berlin"/>
    <s v="Berlin"/>
    <s v="Non-Profit"/>
    <s v="Marketplace"/>
    <s v="Marketplace"/>
    <s v="M. Rossi"/>
    <x v="6"/>
    <x v="0"/>
    <s v="High"/>
    <s v="CMP-2040"/>
    <s v="A"/>
    <n v="1064.32"/>
    <n v="1848.39"/>
    <n v="1848.39"/>
    <n v="7.2999999999999995E-2"/>
    <n v="7.2999999999999995E-2"/>
    <n v="0"/>
    <n v="38"/>
    <n v="65111.38614000001"/>
    <n v="40444.159999999996"/>
    <n v="24667.226140000013"/>
    <n v="0.3788465827921631"/>
    <n v="1428637.3190900001"/>
    <n v="0.13051960634025239"/>
  </r>
  <r>
    <s v="ORD-2023-472050"/>
    <d v="2023-05-10T00:00:00"/>
    <d v="2023-05-10T00:00:00"/>
    <d v="2023-05-27T00:00:00"/>
    <d v="2023-05-27T00:00:00"/>
    <n v="17"/>
    <n v="0"/>
    <s v="05-2023"/>
    <s v="Q2-2023"/>
    <d v="2023-01-29T00:00:00"/>
    <s v="01-2023"/>
    <x v="3"/>
    <x v="3"/>
    <s v="Mumbai"/>
    <s v="Mumbai"/>
    <s v="Consumer"/>
    <s v="Retail"/>
    <s v="Retail"/>
    <s v="M. Rossi"/>
    <x v="6"/>
    <x v="2"/>
    <s v="High"/>
    <s v="LAP-6499"/>
    <s v="A"/>
    <n v="1286.1600000000001"/>
    <n v="3101.11"/>
    <n v="3101.11"/>
    <n v="0.1"/>
    <n v="0.1"/>
    <n v="0"/>
    <n v="23"/>
    <n v="64192.976999999999"/>
    <n v="29581.68"/>
    <n v="34611.296999999999"/>
    <n v="0.53917575749758417"/>
    <n v="1492830.2960900001"/>
    <n v="0.13638424530487475"/>
  </r>
  <r>
    <s v="ORD-2025-997421"/>
    <d v="2025-05-21T00:00:00"/>
    <d v="2025-05-21T00:00:00"/>
    <d v="2025-06-09T00:00:00"/>
    <d v="2025-06-09T00:00:00"/>
    <n v="19"/>
    <n v="0"/>
    <s v="05-2025"/>
    <s v="Q2-2025"/>
    <d v="2023-01-29T00:00:00"/>
    <s v="01-2023"/>
    <x v="0"/>
    <x v="9"/>
    <s v="São Paulo"/>
    <s v="São Paulo"/>
    <s v="Non-Profit"/>
    <s v="Online"/>
    <s v="Online"/>
    <s v="A. Patel"/>
    <x v="2"/>
    <x v="0"/>
    <s v="High"/>
    <s v="CMP-3731"/>
    <s v="A"/>
    <n v="1331.38"/>
    <n v="2309.56"/>
    <n v="2309.56"/>
    <n v="0.14899999999999999"/>
    <n v="0.14899999999999999"/>
    <n v="0"/>
    <n v="31"/>
    <n v="60928.502359999999"/>
    <n v="41272.780000000006"/>
    <n v="19655.722359999992"/>
    <n v="0.32260307735553528"/>
    <n v="1553758.7984500001"/>
    <n v="0.14195064346392172"/>
  </r>
  <r>
    <s v="ORD-2023-159379"/>
    <d v="2023-02-08T00:00:00"/>
    <d v="2023-02-08T00:00:00"/>
    <d v="2023-02-11T00:00:00"/>
    <d v="2023-02-11T00:00:00"/>
    <n v="3"/>
    <n v="1"/>
    <s v="02-2023"/>
    <s v="Q1-2023"/>
    <d v="2023-01-07T00:00:00"/>
    <s v="01-2023"/>
    <x v="2"/>
    <x v="8"/>
    <s v="Cape Town"/>
    <s v="Cape Town"/>
    <s v="Corporate"/>
    <s v="Direct"/>
    <s v="Direct"/>
    <s v="M. Rossi"/>
    <x v="6"/>
    <x v="1"/>
    <s v="High"/>
    <s v="NET-5018"/>
    <s v="A"/>
    <n v="1410.05"/>
    <n v="2763.95"/>
    <n v="2763.95"/>
    <n v="0.161"/>
    <n v="0.161"/>
    <n v="0"/>
    <n v="26"/>
    <n v="60292.805299999993"/>
    <n v="36661.299999999996"/>
    <n v="23631.505299999997"/>
    <n v="0.39194569206750779"/>
    <n v="1614051.60375"/>
    <n v="0.14745896465065791"/>
  </r>
  <r>
    <s v="ORD-2024-713332"/>
    <d v="2024-06-05T00:00:00"/>
    <d v="2024-06-05T00:00:00"/>
    <d v="2024-06-23T00:00:00"/>
    <d v="2024-06-23T00:00:00"/>
    <n v="18"/>
    <n v="0"/>
    <s v="06-2024"/>
    <s v="Q2-2024"/>
    <d v="2023-01-20T00:00:00"/>
    <s v="01-2023"/>
    <x v="2"/>
    <x v="5"/>
    <s v="Nairobi"/>
    <s v="Nairobi"/>
    <s v="Consumer"/>
    <s v="Distributor"/>
    <s v="Distributor"/>
    <s v="D. Smith"/>
    <x v="10"/>
    <x v="2"/>
    <s v="Medium"/>
    <s v="LAP-1739"/>
    <s v="A"/>
    <n v="1208.74"/>
    <n v="1594.78"/>
    <n v="1594.78"/>
    <n v="5.8999999999999997E-2"/>
    <n v="5.8999999999999997E-2"/>
    <n v="0"/>
    <n v="39"/>
    <n v="58526.83122"/>
    <n v="47140.86"/>
    <n v="11385.971219999999"/>
    <n v="0.1945427589817838"/>
    <n v="1672578.4349700001"/>
    <n v="0.15280594730965955"/>
  </r>
  <r>
    <s v="ORD-2024-468655"/>
    <d v="2024-02-19T00:00:00"/>
    <d v="2024-02-19T00:00:00"/>
    <d v="2024-03-06T00:00:00"/>
    <d v="2024-03-06T00:00:00"/>
    <n v="16"/>
    <n v="0"/>
    <s v="02-2024"/>
    <s v="Q1-2024"/>
    <d v="2023-01-12T00:00:00"/>
    <s v="01-2023"/>
    <x v="3"/>
    <x v="10"/>
    <s v="Beijing"/>
    <s v="Beijing"/>
    <s v="Education"/>
    <s v="Marketplace"/>
    <s v="Marketplace"/>
    <s v="O. Wang"/>
    <x v="7"/>
    <x v="6"/>
    <s v="High"/>
    <s v="PRN-6308"/>
    <s v="A"/>
    <n v="1477.84"/>
    <n v="3197.47"/>
    <n v="3197.47"/>
    <n v="0.24299999999999999"/>
    <n v="0.24299999999999999"/>
    <n v="1"/>
    <n v="24"/>
    <n v="58091.634960000003"/>
    <n v="35468.159999999996"/>
    <n v="22623.474960000007"/>
    <n v="0.38944462443823091"/>
    <n v="1730670.06993"/>
    <n v="0.15811317065131941"/>
  </r>
  <r>
    <s v="ORD-2024-651852"/>
    <d v="2024-12-28T00:00:00"/>
    <d v="2024-12-28T00:00:00"/>
    <d v="2025-01-08T00:00:00"/>
    <d v="2025-01-08T00:00:00"/>
    <n v="11"/>
    <n v="0"/>
    <s v="12-2024"/>
    <s v="Q4-2024"/>
    <d v="2023-01-12T00:00:00"/>
    <s v="01-2023"/>
    <x v="3"/>
    <x v="10"/>
    <s v="Shenzhen"/>
    <s v="Shenzhen"/>
    <s v="Enterprise"/>
    <s v="Online"/>
    <s v="Online"/>
    <s v="K. Singh"/>
    <x v="3"/>
    <x v="2"/>
    <s v="High"/>
    <s v="LAP-8825"/>
    <s v="A"/>
    <n v="1201.31"/>
    <n v="2764.65"/>
    <n v="2764.65"/>
    <n v="0"/>
    <n v="0"/>
    <n v="0"/>
    <n v="21"/>
    <n v="58057.65"/>
    <n v="25227.51"/>
    <n v="32830.14"/>
    <n v="0.56547483406579491"/>
    <n v="1788727.7199299999"/>
    <n v="0.16341728914366491"/>
  </r>
  <r>
    <s v="ORD-2025-677880"/>
    <d v="2025-08-21T00:00:00"/>
    <d v="2025-08-21T00:00:00"/>
    <d v="2025-09-14T00:00:00"/>
    <d v="2025-09-14T00:00:00"/>
    <n v="24"/>
    <n v="0"/>
    <s v="08-2025"/>
    <s v="Q3-2025"/>
    <d v="2023-01-21T00:00:00"/>
    <s v="01-2023"/>
    <x v="1"/>
    <x v="4"/>
    <s v="Berlin"/>
    <s v="Berlin"/>
    <s v="Non-Profit"/>
    <s v="Online"/>
    <s v="Online"/>
    <s v="A. Patel"/>
    <x v="2"/>
    <x v="3"/>
    <s v="High"/>
    <s v="MON-9662"/>
    <s v="A"/>
    <n v="1397.67"/>
    <n v="3131.37"/>
    <n v="3131.37"/>
    <n v="0.10299999999999999"/>
    <n v="0.10299999999999999"/>
    <n v="0"/>
    <n v="20"/>
    <n v="56176.777799999996"/>
    <n v="27953.4"/>
    <n v="28223.377799999995"/>
    <n v="0.50240293062874808"/>
    <n v="1844904.4977299999"/>
    <n v="0.16854957207226026"/>
  </r>
  <r>
    <s v="ORD-2023-701153"/>
    <d v="2023-04-14T00:00:00"/>
    <d v="2023-04-14T00:00:00"/>
    <d v="2023-05-13T00:00:00"/>
    <d v="2023-05-13T00:00:00"/>
    <n v="29"/>
    <n v="0"/>
    <s v="04-2023"/>
    <s v="Q2-2023"/>
    <d v="2023-01-21T00:00:00"/>
    <s v="01-2023"/>
    <x v="1"/>
    <x v="4"/>
    <s v="Frankfurt"/>
    <s v="Frankfurt"/>
    <s v="Consumer"/>
    <s v="Direct"/>
    <s v="Direct"/>
    <s v="J. Njeri"/>
    <x v="8"/>
    <x v="6"/>
    <s v="High"/>
    <s v="PRN-7019"/>
    <s v="A"/>
    <n v="1320.33"/>
    <n v="2645.23"/>
    <n v="2645.23"/>
    <n v="0.155"/>
    <n v="0.155"/>
    <n v="0"/>
    <n v="25"/>
    <n v="55880.483749999999"/>
    <n v="33008.25"/>
    <n v="22872.233749999999"/>
    <n v="0.40930629470436536"/>
    <n v="1900784.9814799998"/>
    <n v="0.17365478572144491"/>
  </r>
  <r>
    <s v="ORD-2023-835010"/>
    <d v="2023-03-23T00:00:00"/>
    <d v="2023-03-23T00:00:00"/>
    <d v="2023-04-15T00:00:00"/>
    <d v="2023-04-15T00:00:00"/>
    <n v="23"/>
    <n v="0"/>
    <s v="03-2023"/>
    <s v="Q1-2023"/>
    <d v="2023-01-20T00:00:00"/>
    <s v="01-2023"/>
    <x v="2"/>
    <x v="5"/>
    <s v="Mombasa"/>
    <s v="Mombasa"/>
    <s v="Small Business"/>
    <s v="Retail"/>
    <s v="Retail"/>
    <s v="C. Otieno"/>
    <x v="5"/>
    <x v="4"/>
    <s v="Medium"/>
    <s v="ACC-2988"/>
    <s v="A"/>
    <n v="875.36"/>
    <n v="1178.6199999999999"/>
    <n v="1178.6199999999999"/>
    <n v="0.151"/>
    <n v="0.151"/>
    <n v="0"/>
    <n v="53"/>
    <n v="53034.364139999991"/>
    <n v="46394.080000000002"/>
    <n v="6640.2841399999888"/>
    <n v="0.12520719815685888"/>
    <n v="1953819.3456199998"/>
    <n v="0.17849997927586467"/>
  </r>
  <r>
    <s v="ORD-2025-328504"/>
    <d v="2025-01-27T00:00:00"/>
    <d v="2025-01-27T00:00:00"/>
    <d v="2025-02-15T00:00:00"/>
    <d v="2025-02-15T00:00:00"/>
    <n v="19"/>
    <n v="0"/>
    <s v="01-2025"/>
    <s v="Q1-2025"/>
    <d v="2023-01-12T00:00:00"/>
    <s v="01-2023"/>
    <x v="3"/>
    <x v="10"/>
    <s v="Shenzhen"/>
    <s v="Shenzhen"/>
    <s v="Non-Profit"/>
    <s v="Direct"/>
    <s v="Direct"/>
    <s v="L. Okafor"/>
    <x v="4"/>
    <x v="5"/>
    <s v="High"/>
    <s v="PHN-8368"/>
    <s v="A"/>
    <n v="1253.22"/>
    <n v="3104.71"/>
    <n v="3104.71"/>
    <n v="0"/>
    <n v="0"/>
    <n v="0"/>
    <n v="17"/>
    <n v="52780.07"/>
    <n v="21304.74"/>
    <n v="31475.329999999998"/>
    <n v="0.59634877331538205"/>
    <n v="2006599.4156199999"/>
    <n v="0.18332194064209789"/>
  </r>
  <r>
    <s v="ORD-2023-368449"/>
    <d v="2023-10-09T00:00:00"/>
    <d v="2023-10-09T00:00:00"/>
    <d v="2023-10-26T00:00:00"/>
    <d v="2023-10-26T00:00:00"/>
    <n v="17"/>
    <n v="0"/>
    <s v="10-2023"/>
    <s v="Q4-2023"/>
    <d v="2023-01-12T00:00:00"/>
    <s v="01-2023"/>
    <x v="3"/>
    <x v="10"/>
    <s v="Shanghai"/>
    <s v="Shanghai"/>
    <s v="Consumer"/>
    <s v="Marketplace"/>
    <s v="Marketplace"/>
    <s v="C. Otieno"/>
    <x v="5"/>
    <x v="0"/>
    <s v="High"/>
    <s v="CMP-2096"/>
    <s v="A"/>
    <n v="1132.03"/>
    <n v="2137.21"/>
    <n v="2137.21"/>
    <n v="0.35699999999999998"/>
    <n v="0.3"/>
    <n v="1"/>
    <n v="35"/>
    <n v="52361.645000000004"/>
    <n v="39621.049999999996"/>
    <n v="12740.595000000008"/>
    <n v="0.24331922727026639"/>
    <n v="2058961.0606199999"/>
    <n v="0.18810567490509561"/>
  </r>
  <r>
    <s v="ORD-2023-619493"/>
    <d v="2023-02-27T00:00:00"/>
    <d v="2023-02-26T00:00:00"/>
    <d v="2023-02-26T00:00:00"/>
    <d v="2023-02-27T00:00:00"/>
    <n v="1"/>
    <n v="1"/>
    <s v="02-2023"/>
    <s v="Q1-2023"/>
    <d v="2023-01-13T00:00:00"/>
    <s v="01-2023"/>
    <x v="0"/>
    <x v="6"/>
    <s v="San Francisco"/>
    <s v="San Francisco"/>
    <s v="Non-Profit"/>
    <s v="Online"/>
    <s v="Online"/>
    <s v="L. Okafor"/>
    <x v="4"/>
    <x v="1"/>
    <s v="High"/>
    <s v="NET-1282"/>
    <s v="A"/>
    <n v="1015.91"/>
    <n v="2331.48"/>
    <n v="2331.48"/>
    <n v="0.14599999999999999"/>
    <n v="0.14599999999999999"/>
    <n v="0"/>
    <n v="26"/>
    <n v="51768.181920000003"/>
    <n v="26413.66"/>
    <n v="25354.521920000003"/>
    <n v="0.48977037592669626"/>
    <n v="2110729.24254"/>
    <n v="0.19283519067152738"/>
  </r>
  <r>
    <s v="ORD-2024-353078"/>
    <d v="2024-08-16T00:00:00"/>
    <d v="2024-08-16T00:00:00"/>
    <d v="2024-08-26T00:00:00"/>
    <d v="2024-08-26T00:00:00"/>
    <n v="10"/>
    <n v="0"/>
    <s v="08-2024"/>
    <s v="Q3-2024"/>
    <d v="2023-01-13T00:00:00"/>
    <s v="01-2023"/>
    <x v="0"/>
    <x v="6"/>
    <s v="Chicago"/>
    <s v="Chicago"/>
    <s v="Corporate"/>
    <s v="Distributor"/>
    <s v="Distributor"/>
    <s v="L. Okafor"/>
    <x v="4"/>
    <x v="2"/>
    <s v="High"/>
    <s v="LAP-5763"/>
    <s v="A"/>
    <n v="1291.7"/>
    <n v="2657.84"/>
    <n v="2657.84"/>
    <n v="8.6999999999999994E-2"/>
    <n v="8.6999999999999994E-2"/>
    <n v="0"/>
    <n v="21"/>
    <n v="50958.766320000002"/>
    <n v="27125.7"/>
    <n v="23833.066320000002"/>
    <n v="0.46769315745083367"/>
    <n v="2161688.0088599999"/>
    <n v="0.19749075862484664"/>
  </r>
  <r>
    <s v="ORD-2025-874124"/>
    <d v="2025-05-14T00:00:00"/>
    <d v="2025-05-12T00:00:00"/>
    <d v="2025-05-12T00:00:00"/>
    <d v="2025-05-14T00:00:00"/>
    <n v="2"/>
    <n v="1"/>
    <s v="05-2025"/>
    <s v="Q2-2025"/>
    <d v="2023-01-02T00:00:00"/>
    <s v="01-2023"/>
    <x v="0"/>
    <x v="0"/>
    <s v="Vancouver"/>
    <s v="Vancouver"/>
    <s v="Non-Profit"/>
    <s v="Distributor"/>
    <s v="Distributor"/>
    <s v="F. Müller"/>
    <x v="9"/>
    <x v="6"/>
    <s v="High"/>
    <s v="PRN-2407"/>
    <s v="A"/>
    <n v="883.5"/>
    <n v="1978.91"/>
    <n v="1978.91"/>
    <n v="5.3999999999999999E-2"/>
    <n v="5.3999999999999999E-2"/>
    <n v="0"/>
    <n v="27"/>
    <n v="50545.319219999998"/>
    <n v="23854.5"/>
    <n v="26690.819219999998"/>
    <n v="0.52805718970390547"/>
    <n v="2212233.3280799999"/>
    <n v="0.20210855425343832"/>
  </r>
  <r>
    <s v="ORD-2024-964950"/>
    <d v="2024-10-10T00:00:00"/>
    <d v="2024-10-10T00:00:00"/>
    <d v="2024-10-11T00:00:00"/>
    <d v="2024-10-11T00:00:00"/>
    <n v="1"/>
    <n v="1"/>
    <s v="10-2024"/>
    <s v="Q4-2024"/>
    <d v="2023-01-19T00:00:00"/>
    <s v="01-2023"/>
    <x v="1"/>
    <x v="1"/>
    <s v="Manchester"/>
    <s v="Manchester"/>
    <s v="Non-Profit"/>
    <s v="Distributor"/>
    <s v="Distributor"/>
    <s v="L. Okafor"/>
    <x v="4"/>
    <x v="0"/>
    <s v="High"/>
    <s v="CMP-8127"/>
    <s v="A"/>
    <n v="1389.46"/>
    <n v="1784.7"/>
    <n v="1784.7"/>
    <n v="0.14599999999999999"/>
    <n v="0.14599999999999999"/>
    <n v="0"/>
    <n v="33"/>
    <n v="50296.415399999998"/>
    <n v="45852.18"/>
    <n v="4444.2353999999978"/>
    <n v="8.8360877503011831E-2"/>
    <n v="2262529.7434799997"/>
    <n v="0.20670361015084082"/>
  </r>
  <r>
    <s v="ORD-2023-885216"/>
    <d v="2023-08-03T00:00:00"/>
    <d v="2023-08-02T00:00:00"/>
    <d v="2023-08-02T00:00:00"/>
    <d v="2023-08-03T00:00:00"/>
    <n v="1"/>
    <n v="1"/>
    <s v="08-2023"/>
    <s v="Q3-2023"/>
    <d v="2023-01-12T00:00:00"/>
    <s v="01-2023"/>
    <x v="3"/>
    <x v="10"/>
    <s v="Shanghai"/>
    <s v="Shanghai"/>
    <s v="Non-Profit"/>
    <s v="Direct"/>
    <s v="Direct"/>
    <s v="J. Njeri"/>
    <x v="8"/>
    <x v="1"/>
    <s v="High"/>
    <s v="NET-4735"/>
    <s v="A"/>
    <n v="1021.97"/>
    <n v="2296.25"/>
    <n v="2296.25"/>
    <n v="0.161"/>
    <n v="0.161"/>
    <n v="0"/>
    <n v="26"/>
    <n v="50090.397499999999"/>
    <n v="26571.22"/>
    <n v="23519.177499999998"/>
    <n v="0.46953465482081669"/>
    <n v="2312620.1409799997"/>
    <n v="0.21127984435371824"/>
  </r>
  <r>
    <s v="ORD-2024-510591"/>
    <d v="2024-04-03T00:00:00"/>
    <d v="2024-04-03T00:00:00"/>
    <d v="2024-04-21T00:00:00"/>
    <d v="2024-04-21T00:00:00"/>
    <n v="18"/>
    <n v="0"/>
    <s v="04-2024"/>
    <s v="Q2-2024"/>
    <d v="2023-01-29T00:00:00"/>
    <s v="01-2023"/>
    <x v="0"/>
    <x v="9"/>
    <s v="Brasília"/>
    <s v="Brasília"/>
    <s v="Small Business"/>
    <s v="Distributor"/>
    <s v="Distributor"/>
    <s v="B. Chen"/>
    <x v="1"/>
    <x v="1"/>
    <s v="High"/>
    <s v="NET-3850"/>
    <s v="A"/>
    <n v="1176.69"/>
    <n v="2201.54"/>
    <n v="2201.54"/>
    <n v="0.17"/>
    <n v="0.17"/>
    <n v="0"/>
    <n v="27"/>
    <n v="49336.511399999996"/>
    <n v="31770.63"/>
    <n v="17565.881399999995"/>
    <n v="0.35604222717701106"/>
    <n v="2361956.6523799999"/>
    <n v="0.21578720389142869"/>
  </r>
  <r>
    <s v="ORD-2023-586275"/>
    <d v="2023-01-20T00:00:00"/>
    <d v="2023-01-20T00:00:00"/>
    <d v="2023-02-03T00:00:00"/>
    <d v="2023-02-03T00:00:00"/>
    <n v="14"/>
    <n v="0"/>
    <s v="01-2023"/>
    <s v="Q1-2023"/>
    <d v="2023-01-20T00:00:00"/>
    <s v="01-2023"/>
    <x v="2"/>
    <x v="5"/>
    <s v="Kisumu"/>
    <s v="Kisumu"/>
    <s v="Corporate"/>
    <s v="Retail"/>
    <s v="Retail"/>
    <s v="M. Rossi"/>
    <x v="6"/>
    <x v="1"/>
    <s v="Medium"/>
    <s v="NET-6036"/>
    <s v="A"/>
    <n v="884.36"/>
    <n v="1545.34"/>
    <n v="1545.34"/>
    <n v="0.24299999999999999"/>
    <n v="0.24299999999999999"/>
    <n v="1"/>
    <n v="41"/>
    <n v="47962.717579999997"/>
    <n v="36258.76"/>
    <n v="11703.957579999995"/>
    <n v="0.24402198562827965"/>
    <n v="2409919.3699599998"/>
    <n v="0.22016905429803699"/>
  </r>
  <r>
    <s v="ORD-2023-594955"/>
    <d v="2023-06-20T00:00:00"/>
    <d v="2023-06-20T00:00:00"/>
    <d v="2023-07-08T00:00:00"/>
    <d v="2023-07-08T00:00:00"/>
    <n v="18"/>
    <n v="0"/>
    <s v="06-2023"/>
    <s v="Q2-2023"/>
    <d v="2023-01-13T00:00:00"/>
    <s v="01-2023"/>
    <x v="0"/>
    <x v="6"/>
    <s v="New York"/>
    <s v="New York"/>
    <s v="Consumer"/>
    <s v="Marketplace"/>
    <s v="Marketplace"/>
    <s v="O. Wang"/>
    <x v="7"/>
    <x v="1"/>
    <s v="Medium"/>
    <s v="NET-3828"/>
    <s v="A"/>
    <n v="1145.53"/>
    <n v="1278.3"/>
    <n v="1278.3"/>
    <n v="0.09"/>
    <n v="0.09"/>
    <n v="0"/>
    <n v="41"/>
    <n v="47693.373"/>
    <n v="46966.729999999996"/>
    <n v="726.64300000000367"/>
    <n v="1.5235722581416158E-2"/>
    <n v="2457612.7429599999"/>
    <n v="0.22452629751562556"/>
  </r>
  <r>
    <s v="ORD-2023-957692"/>
    <d v="2023-05-07T00:00:00"/>
    <d v="2023-05-07T00:00:00"/>
    <d v="2023-05-20T00:00:00"/>
    <d v="2023-05-20T00:00:00"/>
    <n v="13"/>
    <n v="0"/>
    <s v="05-2023"/>
    <s v="Q2-2023"/>
    <d v="2023-01-29T00:00:00"/>
    <s v="01-2023"/>
    <x v="3"/>
    <x v="3"/>
    <s v="Mumbai"/>
    <s v="Mumbai"/>
    <s v="Enterprise"/>
    <s v="Retail"/>
    <s v="Retail"/>
    <s v="D. Smith"/>
    <x v="10"/>
    <x v="4"/>
    <s v="High"/>
    <s v="ACC-9283"/>
    <s v="A"/>
    <n v="1443.28"/>
    <n v="2580.5700000000002"/>
    <n v="2580.5700000000002"/>
    <n v="0"/>
    <n v="0"/>
    <n v="0"/>
    <n v="18"/>
    <n v="46450.26"/>
    <n v="25979.040000000001"/>
    <n v="20471.22"/>
    <n v="0.4407127107577008"/>
    <n v="2504063.0029599997"/>
    <n v="0.22876997053787596"/>
  </r>
  <r>
    <s v="ORD-2024-886939"/>
    <d v="2024-06-03T00:00:00"/>
    <d v="2024-06-03T00:00:00"/>
    <d v="2024-06-24T00:00:00"/>
    <d v="2024-06-24T00:00:00"/>
    <n v="21"/>
    <n v="0"/>
    <s v="06-2024"/>
    <s v="Q2-2024"/>
    <d v="2023-01-02T00:00:00"/>
    <s v="01-2023"/>
    <x v="0"/>
    <x v="0"/>
    <s v="Toronto"/>
    <s v="Toronto"/>
    <s v="Small Business"/>
    <s v="Direct"/>
    <s v="Direct"/>
    <s v="G. Dubois"/>
    <x v="11"/>
    <x v="3"/>
    <s v="High"/>
    <s v="MON-5386"/>
    <s v="A"/>
    <n v="1205.5"/>
    <n v="2210.17"/>
    <n v="2210.17"/>
    <n v="0.104"/>
    <n v="0.104"/>
    <n v="0"/>
    <n v="23"/>
    <n v="45547.183360000003"/>
    <n v="27726.5"/>
    <n v="17820.683360000003"/>
    <n v="0.39125763758314652"/>
    <n v="2549610.1863199999"/>
    <n v="0.23293113892023429"/>
  </r>
  <r>
    <s v="ORD-2025-929414"/>
    <d v="2025-06-26T00:00:00"/>
    <d v="2025-06-26T00:00:00"/>
    <d v="2025-07-11T00:00:00"/>
    <d v="2025-07-11T00:00:00"/>
    <n v="15"/>
    <n v="0"/>
    <s v="06-2025"/>
    <s v="Q2-2025"/>
    <d v="2023-01-13T00:00:00"/>
    <s v="01-2023"/>
    <x v="2"/>
    <x v="2"/>
    <s v="Port Harcourt"/>
    <s v="Port Harcourt"/>
    <s v="Small Business"/>
    <s v="Online"/>
    <s v="Online"/>
    <s v="A. Patel"/>
    <x v="2"/>
    <x v="2"/>
    <s v="High"/>
    <s v="LAP-7523"/>
    <s v="A"/>
    <n v="1170.1500000000001"/>
    <n v="2115.19"/>
    <n v="2115.19"/>
    <n v="9.1999999999999998E-2"/>
    <n v="9.1999999999999998E-2"/>
    <n v="0"/>
    <n v="23"/>
    <n v="44173.627960000005"/>
    <n v="26913.45"/>
    <n v="17260.177960000005"/>
    <n v="0.39073489674946776"/>
    <n v="2593783.81428"/>
    <n v="0.23696681995342506"/>
  </r>
  <r>
    <s v="ORD-2025-949776"/>
    <d v="2025-08-14T00:00:00"/>
    <d v="2025-08-14T00:00:00"/>
    <d v="2025-09-11T00:00:00"/>
    <d v="2025-09-11T00:00:00"/>
    <n v="28"/>
    <n v="0"/>
    <s v="08-2025"/>
    <s v="Q3-2025"/>
    <d v="2023-01-29T00:00:00"/>
    <s v="01-2023"/>
    <x v="0"/>
    <x v="9"/>
    <s v="São Paulo"/>
    <s v="São Paulo"/>
    <s v="Non-Profit"/>
    <s v="Direct"/>
    <s v="Direct"/>
    <s v="F. Müller"/>
    <x v="9"/>
    <x v="6"/>
    <s v="High"/>
    <s v="PRN-9490"/>
    <s v="A"/>
    <n v="1203.02"/>
    <n v="2439.33"/>
    <n v="2439.33"/>
    <n v="0"/>
    <n v="0"/>
    <n v="0"/>
    <n v="18"/>
    <n v="43907.94"/>
    <n v="21654.36"/>
    <n v="22253.58"/>
    <n v="0.50682359500354612"/>
    <n v="2637691.75428"/>
    <n v="0.24097822786460982"/>
  </r>
  <r>
    <s v="ORD-2025-188059"/>
    <d v="2025-06-27T00:00:00"/>
    <d v="2025-06-27T00:00:00"/>
    <d v="2025-07-11T00:00:00"/>
    <d v="2025-07-11T00:00:00"/>
    <n v="14"/>
    <n v="0"/>
    <s v="06-2025"/>
    <s v="Q2-2025"/>
    <d v="2023-01-12T00:00:00"/>
    <s v="01-2023"/>
    <x v="3"/>
    <x v="10"/>
    <s v="Shanghai"/>
    <s v="Shanghai"/>
    <s v="Small Business"/>
    <s v="Marketplace"/>
    <s v="Marketplace"/>
    <s v="L. Okafor"/>
    <x v="4"/>
    <x v="1"/>
    <s v="High"/>
    <s v="NET-3535"/>
    <s v="A"/>
    <n v="1227.7"/>
    <n v="2197.23"/>
    <n v="2197.23"/>
    <n v="9.9000000000000005E-2"/>
    <n v="9.9000000000000005E-2"/>
    <n v="0"/>
    <n v="22"/>
    <n v="43553.493060000001"/>
    <n v="27009.4"/>
    <n v="16544.093059999999"/>
    <n v="0.37985685871873898"/>
    <n v="2681245.2473399998"/>
    <n v="0.24495725367681173"/>
  </r>
  <r>
    <s v="ORD-2023-868734"/>
    <d v="2023-04-06T00:00:00"/>
    <d v="2023-04-06T00:00:00"/>
    <d v="2023-04-27T00:00:00"/>
    <d v="2023-04-27T00:00:00"/>
    <n v="21"/>
    <n v="0"/>
    <s v="04-2023"/>
    <s v="Q2-2023"/>
    <d v="2023-01-19T00:00:00"/>
    <s v="01-2023"/>
    <x v="1"/>
    <x v="1"/>
    <s v="Manchester"/>
    <s v="Manchester"/>
    <s v="Enterprise"/>
    <s v="Distributor"/>
    <s v="Distributor"/>
    <s v="I. Johnson"/>
    <x v="12"/>
    <x v="6"/>
    <s v="High"/>
    <s v="PRN-8970"/>
    <s v="A"/>
    <n v="1084.79"/>
    <n v="2484.9899999999998"/>
    <n v="2484.9899999999998"/>
    <n v="3.4000000000000002E-2"/>
    <n v="3.4000000000000002E-2"/>
    <n v="0"/>
    <n v="18"/>
    <n v="43209.006119999991"/>
    <n v="19526.22"/>
    <n v="23682.78611999999"/>
    <n v="0.54809837685755114"/>
    <n v="2724454.2534599998"/>
    <n v="0.24890480733075676"/>
  </r>
  <r>
    <s v="ORD-2025-944081"/>
    <d v="2025-03-25T00:00:00"/>
    <d v="2025-03-25T00:00:00"/>
    <d v="2025-03-26T00:00:00"/>
    <d v="2025-03-26T00:00:00"/>
    <n v="1"/>
    <n v="1"/>
    <s v="03-2025"/>
    <s v="Q1-2025"/>
    <d v="2023-01-13T00:00:00"/>
    <s v="01-2023"/>
    <x v="2"/>
    <x v="2"/>
    <s v="Lagos"/>
    <s v="Lagos"/>
    <s v="Education"/>
    <s v="Distributor"/>
    <s v="Distributor"/>
    <s v="G. Dubois"/>
    <x v="11"/>
    <x v="4"/>
    <s v="High"/>
    <s v="ACC-9533"/>
    <s v="A"/>
    <n v="1450.43"/>
    <n v="1994.67"/>
    <n v="1994.67"/>
    <n v="0.1"/>
    <n v="0.1"/>
    <n v="0"/>
    <n v="24"/>
    <n v="43084.872000000003"/>
    <n v="34810.32"/>
    <n v="8274.5520000000033"/>
    <n v="0.19205237513529116"/>
    <n v="2767539.1254599998"/>
    <n v="0.25284102015224608"/>
  </r>
  <r>
    <s v="ORD-2024-438404"/>
    <d v="2024-09-23T00:00:00"/>
    <d v="2024-09-23T00:00:00"/>
    <d v="2024-10-18T00:00:00"/>
    <d v="2024-10-18T00:00:00"/>
    <n v="25"/>
    <n v="0"/>
    <s v="09-2024"/>
    <s v="Q3-2024"/>
    <d v="2023-01-02T00:00:00"/>
    <s v="01-2023"/>
    <x v="0"/>
    <x v="0"/>
    <s v="Vancouver"/>
    <s v="Vancouver"/>
    <s v="Small Business"/>
    <s v="Online"/>
    <s v="Online"/>
    <s v="N. Brown"/>
    <x v="13"/>
    <x v="5"/>
    <s v="High"/>
    <s v="PHN-4568"/>
    <s v="A"/>
    <n v="1297"/>
    <n v="2411.52"/>
    <n v="2411.52"/>
    <n v="2.1000000000000001E-2"/>
    <n v="2.1000000000000001E-2"/>
    <n v="0"/>
    <n v="18"/>
    <n v="42495.805439999996"/>
    <n v="23346"/>
    <n v="19149.805439999996"/>
    <n v="0.45062813239385913"/>
    <n v="2810034.9308999996"/>
    <n v="0.25672341614108507"/>
  </r>
  <r>
    <s v="ORD-2025-312803"/>
    <d v="2025-06-24T00:00:00"/>
    <d v="2025-06-24T00:00:00"/>
    <d v="2025-07-14T00:00:00"/>
    <d v="2025-07-14T00:00:00"/>
    <n v="20"/>
    <n v="0"/>
    <s v="06-2025"/>
    <s v="Q2-2025"/>
    <d v="2023-01-07T00:00:00"/>
    <s v="01-2023"/>
    <x v="2"/>
    <x v="8"/>
    <s v="Johannesburg"/>
    <s v="Johannesburg"/>
    <s v="Enterprise"/>
    <s v="Marketplace"/>
    <s v="Marketplace"/>
    <s v="J. Njeri"/>
    <x v="8"/>
    <x v="2"/>
    <s v="High"/>
    <s v="LAP-1308"/>
    <s v="A"/>
    <n v="1151.06"/>
    <n v="2821.36"/>
    <n v="2821.36"/>
    <n v="0.248"/>
    <n v="0.248"/>
    <n v="1"/>
    <n v="20"/>
    <n v="42433.254400000005"/>
    <n v="23021.199999999997"/>
    <n v="19412.054400000008"/>
    <n v="0.45747267501594235"/>
    <n v="2852468.1852999995"/>
    <n v="0.26060009749752028"/>
  </r>
  <r>
    <s v="ORD-2023-569862"/>
    <d v="2023-07-16T00:00:00"/>
    <d v="2023-07-16T00:00:00"/>
    <d v="2023-08-13T00:00:00"/>
    <d v="2023-08-13T00:00:00"/>
    <n v="28"/>
    <n v="0"/>
    <s v="07-2023"/>
    <s v="Q3-2023"/>
    <d v="2023-01-19T00:00:00"/>
    <s v="01-2023"/>
    <x v="1"/>
    <x v="1"/>
    <s v="Manchester"/>
    <s v="Manchester"/>
    <s v="Non-Profit"/>
    <s v="Online"/>
    <s v="Online"/>
    <s v="J. Njeri"/>
    <x v="8"/>
    <x v="2"/>
    <s v="High"/>
    <s v="LAP-1178"/>
    <s v="A"/>
    <n v="1039.03"/>
    <n v="2545.81"/>
    <n v="2545.81"/>
    <n v="0.216"/>
    <n v="0.216"/>
    <n v="1"/>
    <n v="21"/>
    <n v="41914.215840000004"/>
    <n v="21819.63"/>
    <n v="20094.585840000003"/>
    <n v="0.47942172929364774"/>
    <n v="2894382.4011399997"/>
    <n v="0.26442935974511567"/>
  </r>
  <r>
    <s v="ORD-2024-756884"/>
    <d v="2024-10-13T00:00:00"/>
    <d v="2024-10-13T00:00:00"/>
    <d v="2024-10-24T00:00:00"/>
    <d v="2024-10-24T00:00:00"/>
    <n v="11"/>
    <n v="0"/>
    <s v="10-2024"/>
    <s v="Q4-2024"/>
    <d v="2023-01-10T00:00:00"/>
    <s v="01-2023"/>
    <x v="1"/>
    <x v="11"/>
    <s v="Paris"/>
    <s v="Paris"/>
    <s v="Education"/>
    <s v="Distributor"/>
    <s v="Distributor"/>
    <s v="F. Müller"/>
    <x v="9"/>
    <x v="0"/>
    <s v="Medium"/>
    <s v="CMP-5006"/>
    <s v="A"/>
    <n v="816.7"/>
    <n v="1010.75"/>
    <n v="1010.75"/>
    <n v="4.7E-2"/>
    <n v="4.7E-2"/>
    <n v="0"/>
    <n v="43"/>
    <n v="41419.524249999995"/>
    <n v="35118.1"/>
    <n v="6301.4242499999964"/>
    <n v="0.15213656757537472"/>
    <n v="2935801.9253899995"/>
    <n v="0.26821342721113567"/>
  </r>
  <r>
    <s v="ORD-2024-237478"/>
    <d v="2024-10-03T00:00:00"/>
    <d v="2024-10-03T00:00:00"/>
    <d v="2024-10-11T00:00:00"/>
    <d v="2024-10-11T00:00:00"/>
    <n v="8"/>
    <n v="0"/>
    <s v="10-2024"/>
    <s v="Q4-2024"/>
    <d v="2023-01-12T00:00:00"/>
    <s v="01-2023"/>
    <x v="3"/>
    <x v="10"/>
    <s v="Beijing"/>
    <s v="Beijing"/>
    <s v="Enterprise"/>
    <s v="Direct"/>
    <s v="Direct"/>
    <s v="B. Chen"/>
    <x v="1"/>
    <x v="5"/>
    <s v="High"/>
    <s v="PHN-7488"/>
    <s v="A"/>
    <n v="1132.6099999999999"/>
    <n v="2206.63"/>
    <n v="2206.63"/>
    <n v="6.3E-2"/>
    <n v="6.3E-2"/>
    <n v="0"/>
    <n v="20"/>
    <n v="41352.246200000009"/>
    <n v="22652.199999999997"/>
    <n v="18700.046200000012"/>
    <n v="0.45221355351671338"/>
    <n v="2977154.1715899995"/>
    <n v="0.27199134818743154"/>
  </r>
  <r>
    <s v="ORD-2025-673091"/>
    <d v="2025-05-07T00:00:00"/>
    <d v="2025-05-07T00:00:00"/>
    <d v="2025-05-13T00:00:00"/>
    <d v="2025-05-13T00:00:00"/>
    <n v="6"/>
    <n v="1"/>
    <s v="05-2025"/>
    <s v="Q2-2025"/>
    <d v="2023-01-29T00:00:00"/>
    <s v="01-2023"/>
    <x v="3"/>
    <x v="3"/>
    <s v="Bengaluru"/>
    <s v="Bengaluru"/>
    <s v="Enterprise"/>
    <s v="Direct"/>
    <s v="Direct"/>
    <s v="J. Njeri"/>
    <x v="8"/>
    <x v="5"/>
    <s v="High"/>
    <s v="PHN-5683"/>
    <s v="A"/>
    <n v="935.98"/>
    <n v="2077.69"/>
    <n v="2077.69"/>
    <n v="0.17499999999999999"/>
    <n v="0.17499999999999999"/>
    <n v="0"/>
    <n v="24"/>
    <n v="41138.261999999995"/>
    <n v="22463.52"/>
    <n v="18674.741999999995"/>
    <n v="0.45395067978321491"/>
    <n v="3018292.4335899996"/>
    <n v="0.27574971967193279"/>
  </r>
  <r>
    <s v="ORD-2024-635626"/>
    <d v="2024-08-27T00:00:00"/>
    <d v="2024-08-27T00:00:00"/>
    <d v="2024-09-19T00:00:00"/>
    <d v="2024-09-19T00:00:00"/>
    <n v="23"/>
    <n v="0"/>
    <s v="08-2024"/>
    <s v="Q3-2024"/>
    <d v="2023-01-21T00:00:00"/>
    <s v="01-2023"/>
    <x v="1"/>
    <x v="4"/>
    <s v="Berlin"/>
    <s v="Berlin"/>
    <s v="Small Business"/>
    <s v="Direct"/>
    <s v="Direct"/>
    <s v="D. Smith"/>
    <x v="10"/>
    <x v="3"/>
    <s v="Medium"/>
    <s v="MON-9967"/>
    <s v="A"/>
    <n v="1024.01"/>
    <n v="1580.97"/>
    <n v="1580.97"/>
    <n v="3.6999999999999998E-2"/>
    <n v="3.6999999999999998E-2"/>
    <n v="0"/>
    <n v="27"/>
    <n v="41106.800970000004"/>
    <n v="27648.27"/>
    <n v="13458.530970000003"/>
    <n v="0.3274039976942531"/>
    <n v="3059399.2345599998"/>
    <n v="0.27950521689212932"/>
  </r>
  <r>
    <s v="ORD-2024-594527"/>
    <d v="2024-09-06T00:00:00"/>
    <d v="2024-09-04T00:00:00"/>
    <d v="2024-09-04T00:00:00"/>
    <d v="2024-09-06T00:00:00"/>
    <n v="2"/>
    <n v="1"/>
    <s v="09-2024"/>
    <s v="Q3-2024"/>
    <d v="2023-03-03T00:00:00"/>
    <s v="03-2023"/>
    <x v="3"/>
    <x v="7"/>
    <s v="Osaka"/>
    <s v="Osaka"/>
    <s v="Corporate"/>
    <s v="Direct"/>
    <s v="Direct"/>
    <s v="A. Patel"/>
    <x v="2"/>
    <x v="2"/>
    <s v="High"/>
    <s v="LAP-4483"/>
    <s v="A"/>
    <n v="1368.17"/>
    <n v="2307.75"/>
    <n v="2307.75"/>
    <n v="0.16300000000000001"/>
    <n v="0.16300000000000001"/>
    <n v="0"/>
    <n v="21"/>
    <n v="40563.321749999996"/>
    <n v="28731.57"/>
    <n v="11831.751749999996"/>
    <n v="0.29168596750831921"/>
    <n v="3099962.5563099999"/>
    <n v="0.2832110621167489"/>
  </r>
  <r>
    <s v="ORD-2024-105586"/>
    <d v="2024-01-02T00:00:00"/>
    <d v="2024-01-02T00:00:00"/>
    <d v="2024-01-15T00:00:00"/>
    <d v="2024-01-15T00:00:00"/>
    <n v="13"/>
    <n v="0"/>
    <s v="01-2024"/>
    <s v="Q1-2024"/>
    <d v="2023-03-03T00:00:00"/>
    <s v="03-2023"/>
    <x v="3"/>
    <x v="7"/>
    <s v="Nagoya"/>
    <s v="Nagoya"/>
    <s v="Small Business"/>
    <s v="Marketplace"/>
    <s v="Marketplace"/>
    <s v="G. Dubois"/>
    <x v="11"/>
    <x v="1"/>
    <s v="High"/>
    <s v="NET-1893"/>
    <s v="A"/>
    <n v="1219.06"/>
    <n v="2738.69"/>
    <n v="2738.69"/>
    <n v="7.5999999999999998E-2"/>
    <n v="7.5999999999999998E-2"/>
    <n v="0"/>
    <n v="16"/>
    <n v="40488.792960000006"/>
    <n v="19504.96"/>
    <n v="20983.832960000007"/>
    <n v="0.51826274447673737"/>
    <n v="3140451.3492700001"/>
    <n v="0.28691009842758625"/>
  </r>
  <r>
    <s v="ORD-2023-961864"/>
    <d v="2023-12-07T00:00:00"/>
    <d v="2023-12-07T00:00:00"/>
    <d v="2024-01-02T00:00:00"/>
    <d v="2024-01-02T00:00:00"/>
    <n v="26"/>
    <n v="0"/>
    <s v="12-2023"/>
    <s v="Q4-2023"/>
    <d v="2023-01-21T00:00:00"/>
    <s v="01-2023"/>
    <x v="1"/>
    <x v="4"/>
    <s v="Frankfurt"/>
    <s v="Frankfurt"/>
    <s v="Enterprise"/>
    <s v="Distributor"/>
    <s v="Distributor"/>
    <s v="E. Garcia"/>
    <x v="14"/>
    <x v="0"/>
    <s v="High"/>
    <s v="CMP-1940"/>
    <s v="A"/>
    <n v="1071.99"/>
    <n v="2397.3000000000002"/>
    <n v="2397.3000000000002"/>
    <n v="6.2E-2"/>
    <n v="6.2E-2"/>
    <n v="0"/>
    <n v="18"/>
    <n v="40476.013200000001"/>
    <n v="19295.82"/>
    <n v="21180.193200000002"/>
    <n v="0.52327765324476183"/>
    <n v="3180927.3624700001"/>
    <n v="0.29060796718580395"/>
  </r>
  <r>
    <s v="ORD-2024-925626"/>
    <d v="2024-11-04T00:00:00"/>
    <d v="2024-11-04T00:00:00"/>
    <d v="2024-11-05T00:00:00"/>
    <d v="2024-11-05T00:00:00"/>
    <n v="1"/>
    <n v="1"/>
    <s v="11-2024"/>
    <s v="Q4-2024"/>
    <d v="2023-01-19T00:00:00"/>
    <s v="01-2023"/>
    <x v="1"/>
    <x v="1"/>
    <s v="London"/>
    <s v="London"/>
    <s v="Corporate"/>
    <s v="Retail"/>
    <s v="Retail"/>
    <s v="M. Rossi"/>
    <x v="6"/>
    <x v="6"/>
    <s v="Medium"/>
    <s v="PRN-2293"/>
    <s v="A"/>
    <n v="840.68"/>
    <n v="1493.53"/>
    <n v="1493.53"/>
    <n v="0"/>
    <n v="0"/>
    <n v="0"/>
    <n v="27"/>
    <n v="40325.31"/>
    <n v="22698.359999999997"/>
    <n v="17626.95"/>
    <n v="0.43711877230454027"/>
    <n v="3221252.6724700001"/>
    <n v="0.29429206777341926"/>
  </r>
  <r>
    <s v="ORD-2025-440093"/>
    <d v="2025-04-16T00:00:00"/>
    <d v="2025-04-16T00:00:00"/>
    <d v="2025-04-26T00:00:00"/>
    <d v="2025-04-26T00:00:00"/>
    <n v="10"/>
    <n v="0"/>
    <s v="04-2025"/>
    <s v="Q2-2025"/>
    <d v="2023-01-13T00:00:00"/>
    <s v="01-2023"/>
    <x v="2"/>
    <x v="2"/>
    <s v="Port Harcourt"/>
    <s v="Port Harcourt"/>
    <s v="Enterprise"/>
    <s v="Marketplace"/>
    <s v="Marketplace"/>
    <s v="F. Müller"/>
    <x v="9"/>
    <x v="2"/>
    <s v="High"/>
    <s v="LAP-3490"/>
    <s v="A"/>
    <n v="1457.44"/>
    <n v="1996.81"/>
    <n v="1996.81"/>
    <n v="0.126"/>
    <n v="0.126"/>
    <n v="0"/>
    <n v="23"/>
    <n v="40139.874619999995"/>
    <n v="33521.120000000003"/>
    <n v="6618.7546199999924"/>
    <n v="0.16489225944672353"/>
    <n v="3261392.54709"/>
    <n v="0.29795922707546424"/>
  </r>
  <r>
    <s v="ORD-2025-752192"/>
    <d v="2025-05-16T00:00:00"/>
    <d v="2025-05-16T00:00:00"/>
    <d v="2025-05-18T00:00:00"/>
    <d v="2025-05-18T00:00:00"/>
    <n v="2"/>
    <n v="1"/>
    <s v="05-2025"/>
    <s v="Q2-2025"/>
    <d v="2023-03-03T00:00:00"/>
    <s v="03-2023"/>
    <x v="3"/>
    <x v="7"/>
    <s v="Tokyo"/>
    <s v="Tokyo"/>
    <s v="Enterprise"/>
    <s v="Retail"/>
    <s v="Retail"/>
    <s v="J. Njeri"/>
    <x v="8"/>
    <x v="6"/>
    <s v="High"/>
    <s v="PRN-6131"/>
    <s v="A"/>
    <n v="1144.3800000000001"/>
    <n v="2755.04"/>
    <n v="2755.04"/>
    <n v="0.15"/>
    <n v="0.15"/>
    <n v="0"/>
    <n v="17"/>
    <n v="39810.328000000001"/>
    <n v="19454.460000000003"/>
    <n v="20355.867999999999"/>
    <n v="0.51132128326096682"/>
    <n v="3301202.8750900002"/>
    <n v="0.30159627915957615"/>
  </r>
  <r>
    <s v="ORD-2023-594700"/>
    <d v="2023-07-18T00:00:00"/>
    <d v="2023-07-18T00:00:00"/>
    <d v="2023-07-22T00:00:00"/>
    <d v="2023-07-22T00:00:00"/>
    <n v="4"/>
    <n v="1"/>
    <s v="07-2023"/>
    <s v="Q3-2023"/>
    <d v="2023-01-29T00:00:00"/>
    <s v="01-2023"/>
    <x v="0"/>
    <x v="9"/>
    <s v="São Paulo"/>
    <s v="São Paulo"/>
    <s v="Consumer"/>
    <s v="Direct"/>
    <s v="Direct"/>
    <s v="F. Müller"/>
    <x v="9"/>
    <x v="1"/>
    <s v="High"/>
    <s v="NET-1699"/>
    <s v="A"/>
    <n v="1269.55"/>
    <n v="2071.1"/>
    <n v="2071.1"/>
    <n v="0.129"/>
    <n v="0.129"/>
    <n v="0"/>
    <n v="22"/>
    <n v="39686.4182"/>
    <n v="27930.1"/>
    <n v="11756.318200000002"/>
    <n v="0.29623026549672354"/>
    <n v="3340889.2932900004"/>
    <n v="0.30522201090499779"/>
  </r>
  <r>
    <s v="ORD-2023-888245"/>
    <d v="2023-02-28T00:00:00"/>
    <d v="2023-02-27T00:00:00"/>
    <d v="2023-02-27T00:00:00"/>
    <d v="2023-02-28T00:00:00"/>
    <n v="1"/>
    <n v="1"/>
    <s v="02-2023"/>
    <s v="Q1-2023"/>
    <d v="2023-01-10T00:00:00"/>
    <s v="01-2023"/>
    <x v="1"/>
    <x v="11"/>
    <s v="Marseille"/>
    <s v="Marseille"/>
    <s v="Corporate"/>
    <s v="Retail"/>
    <s v="Retail"/>
    <s v="K. Singh"/>
    <x v="3"/>
    <x v="1"/>
    <s v="High"/>
    <s v="NET-5195"/>
    <s v="A"/>
    <n v="1299.81"/>
    <n v="3149.13"/>
    <n v="3149.13"/>
    <n v="0.10299999999999999"/>
    <n v="0.10299999999999999"/>
    <n v="0"/>
    <n v="14"/>
    <n v="39546.774539999999"/>
    <n v="18197.34"/>
    <n v="21349.434539999998"/>
    <n v="0.53985273864511729"/>
    <n v="3380436.0678300005"/>
    <n v="0.3088349848739792"/>
  </r>
  <r>
    <s v="ORD-2025-184082"/>
    <d v="2025-06-19T00:00:00"/>
    <d v="2025-06-19T00:00:00"/>
    <d v="2025-07-12T00:00:00"/>
    <d v="2025-07-12T00:00:00"/>
    <n v="23"/>
    <n v="0"/>
    <s v="06-2025"/>
    <s v="Q2-2025"/>
    <d v="2023-01-19T00:00:00"/>
    <s v="01-2023"/>
    <x v="1"/>
    <x v="1"/>
    <m/>
    <s v="Birmingham"/>
    <s v="Non-Profit"/>
    <s v="Direct"/>
    <s v="Direct"/>
    <m/>
    <x v="1"/>
    <x v="1"/>
    <s v="High"/>
    <s v="NET-6370"/>
    <s v="A"/>
    <n v="801.24"/>
    <n v="1959.09"/>
    <n v="1959.09"/>
    <n v="0.123"/>
    <n v="0.123"/>
    <n v="0"/>
    <n v="23"/>
    <n v="39516.804389999998"/>
    <n v="18428.52"/>
    <n v="21088.284389999997"/>
    <n v="0.53365358650651762"/>
    <n v="3419952.8722200007"/>
    <n v="0.31244522078472309"/>
  </r>
  <r>
    <s v="ORD-2025-745263"/>
    <d v="2025-05-21T00:00:00"/>
    <d v="2025-05-19T00:00:00"/>
    <d v="2025-05-19T00:00:00"/>
    <d v="2025-05-21T00:00:00"/>
    <n v="2"/>
    <n v="1"/>
    <s v="05-2025"/>
    <s v="Q2-2025"/>
    <d v="2023-01-19T00:00:00"/>
    <s v="01-2023"/>
    <x v="1"/>
    <x v="1"/>
    <s v="Birmingham"/>
    <s v="Birmingham"/>
    <s v="Enterprise"/>
    <s v="Online"/>
    <s v="Online"/>
    <s v="M. Rossi"/>
    <x v="6"/>
    <x v="2"/>
    <s v="High"/>
    <s v="LAP-3385"/>
    <s v="A"/>
    <n v="1015.16"/>
    <n v="2148.14"/>
    <n v="2148.14"/>
    <n v="3.7999999999999999E-2"/>
    <n v="3.7999999999999999E-2"/>
    <n v="0"/>
    <n v="19"/>
    <n v="39263.702919999996"/>
    <n v="19288.04"/>
    <n v="19975.662919999995"/>
    <n v="0.50875647059322227"/>
    <n v="3459216.5751400008"/>
    <n v="0.31603233346902793"/>
  </r>
  <r>
    <s v="ORD-2024-500511"/>
    <d v="2024-10-08T00:00:00"/>
    <d v="2024-10-08T00:00:00"/>
    <d v="2024-10-08T00:00:00"/>
    <d v="2024-10-08T00:00:00"/>
    <n v="0"/>
    <n v="1"/>
    <s v="10-2024"/>
    <s v="Q4-2024"/>
    <d v="2023-01-19T00:00:00"/>
    <s v="01-2023"/>
    <x v="1"/>
    <x v="1"/>
    <s v="London"/>
    <s v="London"/>
    <s v="Corporate"/>
    <s v="Online"/>
    <s v="Online"/>
    <s v="E. Garcia"/>
    <x v="14"/>
    <x v="3"/>
    <s v="High"/>
    <s v="MON-9733"/>
    <s v="A"/>
    <n v="1108.1099999999999"/>
    <n v="2503.79"/>
    <n v="2503.79"/>
    <n v="0.184"/>
    <n v="0.184"/>
    <n v="0"/>
    <n v="19"/>
    <n v="38818.760160000005"/>
    <n v="21054.089999999997"/>
    <n v="17764.670160000009"/>
    <n v="0.45763105485025896"/>
    <n v="3498035.3353000009"/>
    <n v="0.31957879640052067"/>
  </r>
  <r>
    <s v="ORD-2024-129345"/>
    <d v="2024-02-18T00:00:00"/>
    <d v="2024-02-18T00:00:00"/>
    <d v="2024-03-03T00:00:00"/>
    <d v="2024-03-03T00:00:00"/>
    <n v="14"/>
    <n v="0"/>
    <s v="02-2024"/>
    <s v="Q1-2024"/>
    <d v="2023-01-29T00:00:00"/>
    <s v="01-2023"/>
    <x v="0"/>
    <x v="9"/>
    <m/>
    <s v="São Paulo"/>
    <s v="Enterprise"/>
    <s v="Distributor"/>
    <s v="Distributor"/>
    <s v="A. Patel"/>
    <x v="2"/>
    <x v="6"/>
    <s v="Medium"/>
    <s v="PRN-5384"/>
    <s v="A"/>
    <n v="624.23"/>
    <n v="1318.37"/>
    <n v="1318.37"/>
    <n v="0.21"/>
    <n v="0.21"/>
    <n v="1"/>
    <n v="37"/>
    <n v="38535.955099999999"/>
    <n v="23096.510000000002"/>
    <n v="15439.445099999997"/>
    <n v="0.40065038118128793"/>
    <n v="3536571.2904000008"/>
    <n v="0.32309942240012807"/>
  </r>
  <r>
    <s v="ORD-2024-868223"/>
    <d v="2024-03-03T00:00:00"/>
    <d v="2024-03-03T00:00:00"/>
    <d v="2024-03-19T00:00:00"/>
    <d v="2024-03-19T00:00:00"/>
    <n v="16"/>
    <n v="0"/>
    <s v="03-2024"/>
    <s v="Q1-2024"/>
    <d v="2023-01-12T00:00:00"/>
    <s v="01-2023"/>
    <x v="3"/>
    <x v="10"/>
    <s v="Beijing"/>
    <s v="Beijing"/>
    <s v="Consumer"/>
    <s v="Distributor"/>
    <s v="Distributor"/>
    <s v="G. Dubois"/>
    <x v="11"/>
    <x v="5"/>
    <s v="Medium"/>
    <s v="PHN-4915"/>
    <s v="A"/>
    <n v="988.83"/>
    <n v="1206.04"/>
    <n v="1206.04"/>
    <n v="6.3E-2"/>
    <n v="6.3E-2"/>
    <n v="0"/>
    <n v="34"/>
    <n v="38422.022320000004"/>
    <n v="33620.22"/>
    <n v="4801.8023200000025"/>
    <n v="0.12497526236406606"/>
    <n v="3574993.3127200007"/>
    <n v="0.32660963955670991"/>
  </r>
  <r>
    <s v="ORD-2025-843974"/>
    <d v="2025-07-20T00:00:00"/>
    <d v="2025-07-20T00:00:00"/>
    <d v="2025-08-05T00:00:00"/>
    <d v="2025-08-05T00:00:00"/>
    <n v="16"/>
    <n v="0"/>
    <s v="07-2025"/>
    <s v="Q3-2025"/>
    <d v="2023-01-29T00:00:00"/>
    <s v="01-2023"/>
    <x v="0"/>
    <x v="9"/>
    <s v="Brasília"/>
    <s v="Brasília"/>
    <s v="Enterprise"/>
    <s v="Marketplace"/>
    <s v="Marketplace"/>
    <s v="G. Dubois"/>
    <x v="11"/>
    <x v="4"/>
    <s v="High"/>
    <s v="ACC-8098"/>
    <s v="A"/>
    <n v="1068.17"/>
    <n v="2375.37"/>
    <n v="2375.37"/>
    <n v="0.109"/>
    <n v="0.109"/>
    <n v="0"/>
    <n v="18"/>
    <n v="38096.18406"/>
    <n v="19227.060000000001"/>
    <n v="18869.124059999998"/>
    <n v="0.49530220744108822"/>
    <n v="3613089.4967800006"/>
    <n v="0.33009008828931347"/>
  </r>
  <r>
    <s v="ORD-2025-789245"/>
    <d v="2025-07-23T00:00:00"/>
    <d v="2025-07-23T00:00:00"/>
    <d v="2025-08-17T00:00:00"/>
    <d v="2025-08-17T00:00:00"/>
    <n v="25"/>
    <n v="0"/>
    <s v="07-2025"/>
    <s v="Q3-2025"/>
    <d v="2023-01-19T00:00:00"/>
    <s v="01-2023"/>
    <x v="1"/>
    <x v="1"/>
    <s v="Birmingham"/>
    <s v="Birmingham"/>
    <s v="Education"/>
    <s v="Online"/>
    <s v="Online"/>
    <s v="I. Johnson"/>
    <x v="12"/>
    <x v="6"/>
    <s v="Medium"/>
    <s v="PRN-5876"/>
    <s v="A"/>
    <n v="1142.06"/>
    <n v="1455"/>
    <n v="1455"/>
    <n v="7.8E-2"/>
    <n v="7.8E-2"/>
    <n v="0"/>
    <n v="28"/>
    <n v="37562.28"/>
    <n v="31977.68"/>
    <n v="5584.5999999999985"/>
    <n v="0.1486757459877302"/>
    <n v="3650651.7767800004"/>
    <n v="0.33352175980827192"/>
  </r>
  <r>
    <s v="ORD-2024-805860"/>
    <d v="2024-09-13T00:00:00"/>
    <d v="2024-09-13T00:00:00"/>
    <d v="2024-10-02T00:00:00"/>
    <d v="2024-10-02T00:00:00"/>
    <n v="19"/>
    <n v="0"/>
    <s v="09-2024"/>
    <s v="Q3-2024"/>
    <d v="2023-01-20T00:00:00"/>
    <s v="01-2023"/>
    <x v="2"/>
    <x v="5"/>
    <s v="Mombasa"/>
    <s v="Mombasa"/>
    <s v="Small Business"/>
    <s v="Retail"/>
    <s v="Retail"/>
    <s v="M. Rossi"/>
    <x v="6"/>
    <x v="5"/>
    <s v="High"/>
    <s v="PHN-8804"/>
    <s v="A"/>
    <n v="1338.99"/>
    <n v="1765.76"/>
    <n v="1765.76"/>
    <n v="0.126"/>
    <n v="0.126"/>
    <n v="0"/>
    <n v="24"/>
    <n v="37038.581760000001"/>
    <n v="32135.760000000002"/>
    <n v="4902.8217599999989"/>
    <n v="0.1323706666677725"/>
    <n v="3687690.3585400004"/>
    <n v="0.33690558651230607"/>
  </r>
  <r>
    <s v="ORD-2023-243704"/>
    <d v="2023-08-29T00:00:00"/>
    <d v="2023-08-29T00:00:00"/>
    <d v="2023-09-19T00:00:00"/>
    <d v="2023-09-19T00:00:00"/>
    <n v="21"/>
    <n v="0"/>
    <s v="08-2023"/>
    <s v="Q3-2023"/>
    <d v="2023-01-10T00:00:00"/>
    <s v="01-2023"/>
    <x v="1"/>
    <x v="11"/>
    <s v="Lyon"/>
    <s v="Lyon"/>
    <s v="Small Business"/>
    <s v="Direct"/>
    <s v="Direct"/>
    <s v="B. Chen"/>
    <x v="1"/>
    <x v="6"/>
    <s v="High"/>
    <s v="PRN-7079"/>
    <s v="A"/>
    <n v="784.46"/>
    <n v="1843.51"/>
    <n v="1843.51"/>
    <n v="0.13800000000000001"/>
    <n v="0.13800000000000001"/>
    <n v="0"/>
    <n v="23"/>
    <n v="36549.429260000004"/>
    <n v="18042.580000000002"/>
    <n v="18506.849260000003"/>
    <n v="0.50635125184441798"/>
    <n v="3724239.7878000005"/>
    <n v="0.34024472448331661"/>
  </r>
  <r>
    <s v="ORD-2025-417336"/>
    <d v="2025-08-30T00:00:00"/>
    <d v="2025-08-30T00:00:00"/>
    <d v="2025-09-03T00:00:00"/>
    <d v="2025-09-03T00:00:00"/>
    <n v="4"/>
    <n v="1"/>
    <s v="08-2025"/>
    <s v="Q3-2025"/>
    <d v="2023-01-10T00:00:00"/>
    <s v="01-2023"/>
    <x v="1"/>
    <x v="11"/>
    <s v="Marseille"/>
    <s v="Marseille"/>
    <s v="Small Business"/>
    <s v="Marketplace"/>
    <s v="Marketplace"/>
    <s v="J. Njeri"/>
    <x v="8"/>
    <x v="2"/>
    <s v="High"/>
    <s v="LAP-3220"/>
    <s v="A"/>
    <n v="1286.56"/>
    <n v="2777.35"/>
    <n v="2777.35"/>
    <n v="0.13200000000000001"/>
    <n v="0.13200000000000001"/>
    <n v="0"/>
    <n v="15"/>
    <n v="36161.097000000002"/>
    <n v="19298.399999999998"/>
    <n v="16862.697000000004"/>
    <n v="0.46632150014696744"/>
    <n v="3760400.8848000006"/>
    <n v="0.34354838460909154"/>
  </r>
  <r>
    <s v="ORD-2024-966651"/>
    <d v="2024-10-14T00:00:00"/>
    <d v="2024-10-14T00:00:00"/>
    <d v="2024-11-08T00:00:00"/>
    <d v="2024-11-08T00:00:00"/>
    <n v="25"/>
    <n v="0"/>
    <s v="10-2024"/>
    <s v="Q4-2024"/>
    <d v="2023-01-13T00:00:00"/>
    <s v="01-2023"/>
    <x v="2"/>
    <x v="2"/>
    <s v="Lagos"/>
    <s v="Lagos"/>
    <s v="Enterprise"/>
    <s v="Online"/>
    <s v="Online"/>
    <s v="O. Wang"/>
    <x v="7"/>
    <x v="1"/>
    <s v="High"/>
    <s v="NET-5268"/>
    <s v="A"/>
    <n v="859.35"/>
    <n v="1825.61"/>
    <n v="1825.61"/>
    <n v="0.187"/>
    <n v="0.187"/>
    <n v="0"/>
    <n v="24"/>
    <n v="35621.302319999995"/>
    <n v="20624.400000000001"/>
    <n v="14996.902319999994"/>
    <n v="0.42100937762681989"/>
    <n v="3796022.1871200004"/>
    <n v="0.34680272935706086"/>
  </r>
  <r>
    <s v="ORD-2024-783321"/>
    <d v="2024-11-20T00:00:00"/>
    <d v="2024-11-20T00:00:00"/>
    <d v="2024-12-15T00:00:00"/>
    <d v="2024-12-15T00:00:00"/>
    <n v="25"/>
    <n v="0"/>
    <s v="11-2024"/>
    <s v="Q4-2024"/>
    <d v="2023-01-10T00:00:00"/>
    <s v="01-2023"/>
    <x v="1"/>
    <x v="11"/>
    <s v="Paris"/>
    <s v="Paris"/>
    <s v="Corporate"/>
    <s v="Online"/>
    <s v="Online"/>
    <s v="G. Dubois"/>
    <x v="11"/>
    <x v="6"/>
    <s v="High"/>
    <s v="PRN-4911"/>
    <s v="A"/>
    <n v="1203.58"/>
    <n v="1856.16"/>
    <n v="1856.16"/>
    <n v="0.129"/>
    <n v="0.129"/>
    <n v="0"/>
    <n v="22"/>
    <n v="35567.737920000007"/>
    <n v="26478.76"/>
    <n v="9088.9779200000085"/>
    <n v="0.25553994860295032"/>
    <n v="3831589.9250400006"/>
    <n v="0.35005218048765901"/>
  </r>
  <r>
    <s v="ORD-2024-446699"/>
    <d v="2024-08-28T00:00:00"/>
    <d v="2024-08-28T00:00:00"/>
    <d v="2024-09-25T00:00:00"/>
    <d v="2024-09-25T00:00:00"/>
    <n v="28"/>
    <n v="0"/>
    <s v="08-2024"/>
    <s v="Q3-2024"/>
    <d v="2023-01-29T00:00:00"/>
    <s v="01-2023"/>
    <x v="0"/>
    <x v="9"/>
    <s v="Rio de Janeiro"/>
    <s v="Rio de Janeiro"/>
    <s v="Non-Profit"/>
    <s v="Online"/>
    <s v="Online"/>
    <m/>
    <x v="0"/>
    <x v="4"/>
    <s v="High"/>
    <s v="ACC-4490"/>
    <s v="A"/>
    <n v="1394.65"/>
    <n v="3144.1"/>
    <n v="3144.1"/>
    <n v="0.13400000000000001"/>
    <n v="0.13400000000000001"/>
    <n v="0"/>
    <n v="13"/>
    <n v="35396.277799999996"/>
    <n v="18130.45"/>
    <n v="17265.827799999995"/>
    <n v="0.4877865378263021"/>
    <n v="3866986.2028400004"/>
    <n v="0.35328596710560128"/>
  </r>
  <r>
    <s v="ORD-2025-233883"/>
    <d v="2025-09-08T00:00:00"/>
    <d v="2025-09-08T00:00:00"/>
    <d v="2025-09-16T00:00:00"/>
    <d v="2025-09-16T00:00:00"/>
    <n v="8"/>
    <n v="0"/>
    <s v="09-2025"/>
    <s v="Q3-2025"/>
    <d v="2023-03-03T00:00:00"/>
    <s v="03-2023"/>
    <x v="3"/>
    <x v="7"/>
    <s v="Osaka"/>
    <s v="Osaka"/>
    <s v="Corporate"/>
    <s v="Distributor"/>
    <s v="Distributor"/>
    <s v="C. Otieno"/>
    <x v="5"/>
    <x v="5"/>
    <s v="High"/>
    <s v="PHN-1197"/>
    <s v="A"/>
    <n v="1225.57"/>
    <n v="2705.57"/>
    <n v="2705.57"/>
    <n v="0.183"/>
    <n v="0.183"/>
    <n v="0"/>
    <n v="16"/>
    <n v="35367.211040000002"/>
    <n v="19609.12"/>
    <n v="15758.091040000003"/>
    <n v="0.44555650775453404"/>
    <n v="3902353.4138800004"/>
    <n v="0.35651709819857441"/>
  </r>
  <r>
    <s v="ORD-2024-704056"/>
    <d v="2024-06-23T00:00:00"/>
    <d v="2024-06-23T00:00:00"/>
    <d v="2024-06-25T00:00:00"/>
    <d v="2024-06-25T00:00:00"/>
    <n v="2"/>
    <n v="1"/>
    <s v="06-2024"/>
    <s v="Q2-2024"/>
    <d v="2023-01-19T00:00:00"/>
    <s v="01-2023"/>
    <x v="1"/>
    <x v="1"/>
    <s v="Birmingham"/>
    <s v="Birmingham"/>
    <s v="Small Business"/>
    <s v="Marketplace"/>
    <s v="Marketplace"/>
    <s v="L. Okafor"/>
    <x v="4"/>
    <x v="4"/>
    <s v="High"/>
    <s v="ACC-7838"/>
    <s v="A"/>
    <n v="951.44"/>
    <n v="1646.43"/>
    <n v="1646.43"/>
    <n v="0.11"/>
    <n v="0.11"/>
    <n v="0"/>
    <n v="24"/>
    <n v="35167.7448"/>
    <n v="22834.560000000001"/>
    <n v="12333.184799999999"/>
    <n v="0.35069592520473475"/>
    <n v="3937521.1586800003"/>
    <n v="0.35973000615347384"/>
  </r>
  <r>
    <s v="ORD-2024-580808"/>
    <d v="2024-06-16T00:00:00"/>
    <d v="2024-06-16T00:00:00"/>
    <d v="2024-07-03T00:00:00"/>
    <d v="2024-07-03T00:00:00"/>
    <n v="17"/>
    <n v="0"/>
    <s v="06-2024"/>
    <s v="Q2-2024"/>
    <d v="2023-01-07T00:00:00"/>
    <s v="01-2023"/>
    <x v="2"/>
    <x v="8"/>
    <s v="Johannesburg"/>
    <s v="Johannesburg"/>
    <s v="Enterprise"/>
    <s v="Marketplace"/>
    <s v="Marketplace"/>
    <s v="F. Müller"/>
    <x v="9"/>
    <x v="5"/>
    <s v="High"/>
    <s v="PHN-6832"/>
    <s v="A"/>
    <n v="1173.83"/>
    <n v="2328.9"/>
    <n v="2328.9"/>
    <n v="0.12"/>
    <n v="0.12"/>
    <n v="0"/>
    <n v="17"/>
    <n v="34840.344000000005"/>
    <n v="19955.11"/>
    <n v="14885.234000000004"/>
    <n v="0.42724130393201637"/>
    <n v="3972361.5026800004"/>
    <n v="0.3629130029315053"/>
  </r>
  <r>
    <s v="ORD-2024-915495"/>
    <d v="2024-08-08T00:00:00"/>
    <d v="2024-08-08T00:00:00"/>
    <d v="2024-08-20T00:00:00"/>
    <d v="2024-08-20T00:00:00"/>
    <n v="12"/>
    <n v="0"/>
    <s v="08-2024"/>
    <s v="Q3-2024"/>
    <d v="2023-03-03T00:00:00"/>
    <s v="03-2023"/>
    <x v="3"/>
    <x v="7"/>
    <s v="Osaka"/>
    <s v="Osaka"/>
    <s v="Small Business"/>
    <s v="Retail"/>
    <s v="Retail"/>
    <s v="H. Kim"/>
    <x v="0"/>
    <x v="1"/>
    <s v="High"/>
    <s v="NET-8957"/>
    <s v="A"/>
    <n v="1233.3599999999999"/>
    <n v="2120.4"/>
    <n v="2120.4"/>
    <n v="0.17899999999999999"/>
    <n v="0.17899999999999999"/>
    <n v="0"/>
    <n v="20"/>
    <n v="34816.968000000001"/>
    <n v="24667.199999999997"/>
    <n v="10149.768000000004"/>
    <n v="0.29151785991244278"/>
    <n v="4007178.4706800003"/>
    <n v="0.36609386408961625"/>
  </r>
  <r>
    <s v="ORD-2025-474368"/>
    <d v="2025-04-27T00:00:00"/>
    <d v="2025-04-27T00:00:00"/>
    <d v="2025-05-17T00:00:00"/>
    <d v="2025-05-17T00:00:00"/>
    <n v="20"/>
    <n v="0"/>
    <s v="04-2025"/>
    <s v="Q2-2025"/>
    <d v="2023-01-13T00:00:00"/>
    <s v="01-2023"/>
    <x v="0"/>
    <x v="6"/>
    <s v="Austin"/>
    <s v="Austin"/>
    <s v="Corporate"/>
    <s v="Direct"/>
    <s v="Direct"/>
    <s v="N. Brown"/>
    <x v="13"/>
    <x v="5"/>
    <s v="Medium"/>
    <s v="PHN-8776"/>
    <s v="A"/>
    <n v="932.26"/>
    <n v="1624.67"/>
    <n v="1624.67"/>
    <n v="0.23499999999999999"/>
    <n v="0.23499999999999999"/>
    <n v="1"/>
    <n v="28"/>
    <n v="34800.431400000001"/>
    <n v="26103.279999999999"/>
    <n v="8697.1514000000025"/>
    <n v="0.24991504559337163"/>
    <n v="4041978.9020800004"/>
    <n v="0.3692732144720437"/>
  </r>
  <r>
    <s v="ORD-2024-745822"/>
    <d v="2024-03-31T00:00:00"/>
    <d v="2024-03-31T00:00:00"/>
    <d v="2024-04-17T00:00:00"/>
    <d v="2024-04-17T00:00:00"/>
    <n v="17"/>
    <n v="0"/>
    <s v="03-2024"/>
    <s v="Q1-2024"/>
    <d v="2023-01-21T00:00:00"/>
    <s v="01-2023"/>
    <x v="1"/>
    <x v="4"/>
    <s v="Frankfurt"/>
    <s v="Frankfurt"/>
    <s v="Education"/>
    <s v="Direct"/>
    <s v="Direct"/>
    <s v="H. Kim"/>
    <x v="0"/>
    <x v="3"/>
    <s v="Medium"/>
    <s v="MON-8651"/>
    <s v="A"/>
    <n v="1025.51"/>
    <n v="1436.54"/>
    <n v="1436.54"/>
    <n v="0.13900000000000001"/>
    <n v="0.13900000000000001"/>
    <n v="0"/>
    <n v="28"/>
    <n v="34632.106319999999"/>
    <n v="28714.28"/>
    <n v="5917.8263200000001"/>
    <n v="0.17087688127656453"/>
    <n v="4076611.0084000002"/>
    <n v="0.37243718675753557"/>
  </r>
  <r>
    <s v="ORD-2023-292714"/>
    <d v="2023-07-10T00:00:00"/>
    <d v="2023-07-10T00:00:00"/>
    <d v="2023-08-01T00:00:00"/>
    <d v="2023-08-01T00:00:00"/>
    <n v="22"/>
    <n v="0"/>
    <s v="07-2023"/>
    <s v="Q3-2023"/>
    <d v="2023-01-10T00:00:00"/>
    <s v="01-2023"/>
    <x v="1"/>
    <x v="11"/>
    <s v="Marseille"/>
    <s v="Marseille"/>
    <s v="Consumer"/>
    <s v="Marketplace"/>
    <s v="Marketplace"/>
    <s v="B. Chen"/>
    <x v="1"/>
    <x v="6"/>
    <s v="High"/>
    <s v="PRN-1504"/>
    <s v="A"/>
    <n v="1303.56"/>
    <n v="1791.37"/>
    <n v="1791.37"/>
    <n v="0.126"/>
    <n v="0.126"/>
    <n v="0"/>
    <n v="22"/>
    <n v="34444.462359999998"/>
    <n v="28678.32"/>
    <n v="5766.142359999998"/>
    <n v="0.16740404596055358"/>
    <n v="4111055.4707599999"/>
    <n v="0.37558401598266911"/>
  </r>
  <r>
    <s v="ORD-2024-437164"/>
    <d v="2024-02-20T00:00:00"/>
    <d v="2024-02-20T00:00:00"/>
    <d v="2024-02-20T00:00:00"/>
    <d v="2024-02-20T00:00:00"/>
    <n v="0"/>
    <n v="1"/>
    <s v="02-2024"/>
    <s v="Q1-2024"/>
    <d v="2023-01-13T00:00:00"/>
    <s v="01-2023"/>
    <x v="0"/>
    <x v="6"/>
    <s v="New York"/>
    <s v="New York"/>
    <s v="Enterprise"/>
    <s v="Online"/>
    <s v="Online"/>
    <s v="C. Otieno"/>
    <x v="5"/>
    <x v="1"/>
    <s v="High"/>
    <s v="NET-9177"/>
    <s v="A"/>
    <n v="1407.05"/>
    <n v="2858.93"/>
    <n v="2858.93"/>
    <n v="0"/>
    <n v="0"/>
    <n v="0"/>
    <n v="12"/>
    <n v="34307.159999999996"/>
    <n v="16884.599999999999"/>
    <n v="17422.559999999998"/>
    <n v="0.50784034586366222"/>
    <n v="4145362.6307600001"/>
    <n v="0.37871830133138468"/>
  </r>
  <r>
    <s v="ORD-2024-638884"/>
    <d v="2024-05-28T00:00:00"/>
    <d v="2024-05-26T00:00:00"/>
    <d v="2024-05-26T00:00:00"/>
    <d v="2024-05-28T00:00:00"/>
    <n v="2"/>
    <n v="1"/>
    <s v="05-2024"/>
    <s v="Q2-2024"/>
    <d v="2023-01-13T00:00:00"/>
    <s v="01-2023"/>
    <x v="2"/>
    <x v="2"/>
    <s v="Abuja"/>
    <s v="Abuja"/>
    <s v="Enterprise"/>
    <s v="Online"/>
    <s v="Online"/>
    <s v="F. Müller"/>
    <x v="9"/>
    <x v="4"/>
    <s v="High"/>
    <s v="ACC-5177"/>
    <s v="A"/>
    <n v="1227.08"/>
    <n v="1896.62"/>
    <n v="1896.62"/>
    <n v="0"/>
    <n v="0"/>
    <n v="0"/>
    <n v="18"/>
    <n v="34139.159999999996"/>
    <n v="22087.439999999999"/>
    <n v="12051.719999999998"/>
    <n v="0.353017473189147"/>
    <n v="4179501.7907600002"/>
    <n v="0.38183723828231431"/>
  </r>
  <r>
    <s v="ORD-2025-646342"/>
    <d v="2025-08-02T00:00:00"/>
    <d v="2025-08-02T00:00:00"/>
    <d v="2025-08-08T00:00:00"/>
    <d v="2025-08-08T00:00:00"/>
    <n v="6"/>
    <n v="1"/>
    <s v="08-2025"/>
    <s v="Q3-2025"/>
    <d v="2023-03-03T00:00:00"/>
    <s v="03-2023"/>
    <x v="3"/>
    <x v="7"/>
    <s v="Osaka"/>
    <s v="Osaka"/>
    <s v="Consumer"/>
    <s v="Direct"/>
    <s v="Direct"/>
    <s v="N. Brown"/>
    <x v="13"/>
    <x v="2"/>
    <s v="High"/>
    <s v="LAP-4828"/>
    <s v="A"/>
    <n v="1225.94"/>
    <n v="1793.08"/>
    <n v="1793.08"/>
    <n v="0.13600000000000001"/>
    <n v="0.13600000000000001"/>
    <n v="0"/>
    <n v="22"/>
    <n v="34082.864639999993"/>
    <n v="26970.68"/>
    <n v="7112.1846399999922"/>
    <n v="0.20867332353434462"/>
    <n v="4213584.6554000005"/>
    <n v="0.38495103211670367"/>
  </r>
  <r>
    <s v="ORD-2024-907733"/>
    <d v="2024-03-09T00:00:00"/>
    <d v="2024-03-09T00:00:00"/>
    <d v="2024-03-22T00:00:00"/>
    <d v="2024-03-22T00:00:00"/>
    <n v="13"/>
    <n v="0"/>
    <s v="03-2024"/>
    <s v="Q1-2024"/>
    <d v="2023-01-19T00:00:00"/>
    <s v="01-2023"/>
    <x v="1"/>
    <x v="1"/>
    <s v="Manchester"/>
    <s v="Manchester"/>
    <s v="Consumer"/>
    <s v="Online"/>
    <s v="Online"/>
    <s v="E. Garcia"/>
    <x v="14"/>
    <x v="2"/>
    <s v="High"/>
    <s v="LAP-8633"/>
    <s v="A"/>
    <n v="985.45"/>
    <n v="1802.44"/>
    <n v="1802.44"/>
    <n v="8.9999999999999993E-3"/>
    <n v="8.9999999999999993E-3"/>
    <n v="0"/>
    <n v="19"/>
    <n v="33938.142760000002"/>
    <n v="18723.55"/>
    <n v="15214.592760000003"/>
    <n v="0.44830363486867486"/>
    <n v="4247522.7981600007"/>
    <n v="0.38805160423095869"/>
  </r>
  <r>
    <s v="ORD-2024-906395"/>
    <d v="2024-03-10T00:00:00"/>
    <d v="2024-03-10T00:00:00"/>
    <d v="2024-04-09T00:00:00"/>
    <d v="2024-04-09T00:00:00"/>
    <n v="30"/>
    <n v="0"/>
    <s v="03-2024"/>
    <s v="Q1-2024"/>
    <d v="2023-01-10T00:00:00"/>
    <s v="01-2023"/>
    <x v="1"/>
    <x v="11"/>
    <s v="Lyon"/>
    <s v="Lyon"/>
    <s v="Corporate"/>
    <s v="Direct"/>
    <s v="Direct"/>
    <s v="I. Johnson"/>
    <x v="12"/>
    <x v="0"/>
    <s v="High"/>
    <s v="CMP-8002"/>
    <s v="A"/>
    <n v="1176.56"/>
    <n v="1911.89"/>
    <n v="1911.89"/>
    <n v="0.11899999999999999"/>
    <n v="0.11899999999999999"/>
    <n v="0"/>
    <n v="20"/>
    <n v="33687.501800000005"/>
    <n v="23531.199999999997"/>
    <n v="10156.301800000008"/>
    <n v="0.30148575160892477"/>
    <n v="4281210.2999600004"/>
    <n v="0.39112927790976415"/>
  </r>
  <r>
    <s v="ORD-2024-536442"/>
    <d v="2024-08-31T00:00:00"/>
    <d v="2024-08-31T00:00:00"/>
    <d v="2024-09-26T00:00:00"/>
    <d v="2024-09-26T00:00:00"/>
    <n v="26"/>
    <n v="0"/>
    <s v="08-2024"/>
    <s v="Q3-2024"/>
    <d v="2023-03-03T00:00:00"/>
    <s v="03-2023"/>
    <x v="3"/>
    <x v="7"/>
    <s v="Tokyo"/>
    <s v="Tokyo"/>
    <s v="Education"/>
    <s v="Online"/>
    <s v="Online"/>
    <s v="I. Johnson"/>
    <x v="12"/>
    <x v="5"/>
    <s v="High"/>
    <s v="PHN-6111"/>
    <s v="A"/>
    <n v="1189.03"/>
    <n v="2949.62"/>
    <n v="2949.62"/>
    <n v="0.125"/>
    <n v="0.125"/>
    <n v="0"/>
    <n v="13"/>
    <n v="33551.927499999998"/>
    <n v="15457.39"/>
    <n v="18094.537499999999"/>
    <n v="0.53929949330034765"/>
    <n v="4314762.2274600007"/>
    <n v="0.39419456558686761"/>
  </r>
  <r>
    <s v="ORD-2023-640022"/>
    <d v="2023-08-24T00:00:00"/>
    <d v="2023-08-24T00:00:00"/>
    <d v="2023-09-20T00:00:00"/>
    <d v="2023-09-20T00:00:00"/>
    <n v="27"/>
    <n v="0"/>
    <s v="08-2023"/>
    <s v="Q3-2023"/>
    <d v="2023-01-07T00:00:00"/>
    <s v="01-2023"/>
    <x v="2"/>
    <x v="8"/>
    <s v="Durban"/>
    <s v="Durban"/>
    <s v="Small Business"/>
    <s v="Marketplace"/>
    <s v="Marketplace"/>
    <s v="M. Rossi"/>
    <x v="6"/>
    <x v="6"/>
    <s v="High"/>
    <s v="PRN-4732"/>
    <s v="A"/>
    <n v="1399.64"/>
    <n v="3342.11"/>
    <n v="3342.11"/>
    <n v="0"/>
    <n v="0"/>
    <n v="0"/>
    <n v="10"/>
    <n v="33421.1"/>
    <n v="13996.400000000001"/>
    <n v="19424.699999999997"/>
    <n v="0.58121067229983447"/>
    <n v="4348183.3274600003"/>
    <n v="0.39724790092759404"/>
  </r>
  <r>
    <s v="ORD-2025-137394"/>
    <d v="2025-01-04T00:00:00"/>
    <d v="2025-01-04T00:00:00"/>
    <d v="2025-01-05T00:00:00"/>
    <d v="2025-01-05T00:00:00"/>
    <n v="1"/>
    <n v="1"/>
    <s v="01-2025"/>
    <s v="Q1-2025"/>
    <d v="2023-01-29T00:00:00"/>
    <s v="01-2023"/>
    <x v="3"/>
    <x v="3"/>
    <s v="Delhi"/>
    <s v="Delhi"/>
    <s v="Education"/>
    <s v="Retail"/>
    <s v="Retail"/>
    <s v="I. Johnson"/>
    <x v="12"/>
    <x v="0"/>
    <s v="High"/>
    <s v="CMP-1156"/>
    <s v="A"/>
    <n v="1428.33"/>
    <n v="3028.05"/>
    <n v="3028.05"/>
    <n v="0"/>
    <n v="0"/>
    <n v="0"/>
    <n v="11"/>
    <n v="33308.550000000003"/>
    <n v="15711.63"/>
    <n v="17596.920000000006"/>
    <n v="0.52830039134096207"/>
    <n v="4381491.8774600001"/>
    <n v="0.40029095375539908"/>
  </r>
  <r>
    <s v="ORD-2025-915869"/>
    <d v="2025-02-06T00:00:00"/>
    <d v="2025-02-06T00:00:00"/>
    <d v="2025-02-15T00:00:00"/>
    <d v="2025-02-15T00:00:00"/>
    <n v="9"/>
    <n v="0"/>
    <s v="02-2025"/>
    <s v="Q1-2025"/>
    <d v="2023-01-29T00:00:00"/>
    <s v="01-2023"/>
    <x v="0"/>
    <x v="9"/>
    <s v="São Paulo"/>
    <s v="São Paulo"/>
    <s v="Non-Profit"/>
    <s v="Distributor"/>
    <s v="Distributor"/>
    <s v="F. Müller"/>
    <x v="9"/>
    <x v="1"/>
    <s v="High"/>
    <s v="NET-5482"/>
    <s v="A"/>
    <n v="837.39"/>
    <n v="1905.42"/>
    <n v="1905.42"/>
    <n v="3.2000000000000001E-2"/>
    <n v="3.2000000000000001E-2"/>
    <n v="0"/>
    <n v="18"/>
    <n v="33200.038079999998"/>
    <n v="15073.02"/>
    <n v="18127.018079999998"/>
    <n v="0.54599389423350919"/>
    <n v="4414691.9155400004"/>
    <n v="0.40332409298729538"/>
  </r>
  <r>
    <s v="ORD-2024-331226"/>
    <d v="2024-11-30T00:00:00"/>
    <d v="2024-11-30T00:00:00"/>
    <d v="2024-12-19T00:00:00"/>
    <d v="2024-12-19T00:00:00"/>
    <n v="19"/>
    <n v="0"/>
    <s v="11-2024"/>
    <s v="Q4-2024"/>
    <d v="2023-01-20T00:00:00"/>
    <s v="01-2023"/>
    <x v="2"/>
    <x v="5"/>
    <s v="Kisumu"/>
    <s v="Kisumu"/>
    <s v="Corporate"/>
    <s v="Online"/>
    <s v="Online"/>
    <s v="L. Okafor"/>
    <x v="4"/>
    <x v="5"/>
    <s v="High"/>
    <s v="PHN-1919"/>
    <s v="A"/>
    <n v="1195.98"/>
    <n v="1841.9"/>
    <n v="1841.9"/>
    <n v="5.5E-2"/>
    <n v="5.5E-2"/>
    <n v="0"/>
    <n v="19"/>
    <n v="33071.3145"/>
    <n v="22723.62"/>
    <n v="10347.694500000001"/>
    <n v="0.31289032977506842"/>
    <n v="4447763.2300400008"/>
    <n v="0.40634547209591626"/>
  </r>
  <r>
    <s v="ORD-2024-451005"/>
    <d v="2024-06-30T00:00:00"/>
    <d v="2024-06-28T00:00:00"/>
    <d v="2024-06-28T00:00:00"/>
    <d v="2024-06-30T00:00:00"/>
    <n v="2"/>
    <n v="1"/>
    <s v="06-2024"/>
    <s v="Q2-2024"/>
    <d v="2023-01-29T00:00:00"/>
    <s v="01-2023"/>
    <x v="0"/>
    <x v="9"/>
    <s v="Rio de Janeiro"/>
    <s v="Rio de Janeiro"/>
    <s v="Small Business"/>
    <s v="Direct"/>
    <s v="Direct"/>
    <s v="L. Okafor"/>
    <x v="4"/>
    <x v="4"/>
    <s v="High"/>
    <s v="ACC-9162"/>
    <s v="A"/>
    <n v="1112.98"/>
    <n v="2095.73"/>
    <n v="2095.73"/>
    <n v="7.1999999999999995E-2"/>
    <n v="7.1999999999999995E-2"/>
    <n v="0"/>
    <n v="17"/>
    <n v="33062.236480000007"/>
    <n v="18920.66"/>
    <n v="14141.576480000007"/>
    <n v="0.42772594916724777"/>
    <n v="4480825.4665200012"/>
    <n v="0.40936602184107251"/>
  </r>
  <r>
    <s v="ORD-2023-921939"/>
    <d v="2023-06-23T00:00:00"/>
    <d v="2023-06-23T00:00:00"/>
    <d v="2023-07-18T00:00:00"/>
    <d v="2023-07-18T00:00:00"/>
    <n v="25"/>
    <n v="0"/>
    <s v="06-2023"/>
    <s v="Q2-2023"/>
    <d v="2023-01-02T00:00:00"/>
    <s v="01-2023"/>
    <x v="0"/>
    <x v="0"/>
    <s v="Vancouver"/>
    <s v="Vancouver"/>
    <s v="Enterprise"/>
    <s v="Online"/>
    <s v="Online"/>
    <s v="N. Brown"/>
    <x v="13"/>
    <x v="5"/>
    <s v="Medium"/>
    <s v="PHN-4677"/>
    <s v="A"/>
    <n v="807.02"/>
    <n v="1435.54"/>
    <n v="1435.54"/>
    <n v="0"/>
    <n v="0"/>
    <n v="0"/>
    <n v="23"/>
    <n v="33017.42"/>
    <n v="18561.46"/>
    <n v="14455.96"/>
    <n v="0.43782827368098415"/>
    <n v="4513842.8865200011"/>
    <n v="0.41238247717454773"/>
  </r>
  <r>
    <s v="ORD-2023-561823"/>
    <d v="2023-11-19T00:00:00"/>
    <d v="2023-11-19T00:00:00"/>
    <d v="2023-12-12T00:00:00"/>
    <d v="2023-12-12T00:00:00"/>
    <n v="23"/>
    <n v="0"/>
    <s v="11-2023"/>
    <s v="Q4-2023"/>
    <d v="2023-01-29T00:00:00"/>
    <s v="01-2023"/>
    <x v="3"/>
    <x v="3"/>
    <s v="Delhi"/>
    <s v="Delhi"/>
    <s v="Small Business"/>
    <s v="Direct"/>
    <s v="Direct"/>
    <s v="C. Otieno"/>
    <x v="5"/>
    <x v="1"/>
    <s v="High"/>
    <s v="NET-2460"/>
    <s v="A"/>
    <n v="1349.04"/>
    <n v="2636.6"/>
    <n v="2636.6"/>
    <n v="0.114"/>
    <n v="0.114"/>
    <n v="0"/>
    <n v="14"/>
    <n v="32704.386400000003"/>
    <n v="18886.559999999998"/>
    <n v="13817.826400000005"/>
    <n v="0.42250682312143928"/>
    <n v="4546547.2729200013"/>
    <n v="0.41537033391151612"/>
  </r>
  <r>
    <s v="ORD-2023-308124"/>
    <d v="2023-04-19T00:00:00"/>
    <d v="2023-04-19T00:00:00"/>
    <d v="2023-04-30T00:00:00"/>
    <d v="2023-04-30T00:00:00"/>
    <n v="11"/>
    <n v="0"/>
    <s v="04-2023"/>
    <s v="Q2-2023"/>
    <d v="2023-01-29T00:00:00"/>
    <s v="01-2023"/>
    <x v="3"/>
    <x v="3"/>
    <s v="Delhi"/>
    <s v="Delhi"/>
    <s v="Small Business"/>
    <s v="Retail"/>
    <s v="Retail"/>
    <s v="A. Patel"/>
    <x v="2"/>
    <x v="1"/>
    <s v="Medium"/>
    <s v="NET-2062"/>
    <s v="A"/>
    <n v="826.55"/>
    <n v="1397.05"/>
    <n v="1397.05"/>
    <n v="0.16900000000000001"/>
    <n v="0.16900000000000001"/>
    <n v="0"/>
    <n v="28"/>
    <n v="32506.559399999998"/>
    <n v="23143.399999999998"/>
    <n v="9363.1594000000005"/>
    <n v="0.28803907804527601"/>
    <n v="4579053.832320001"/>
    <n v="0.41834011727057502"/>
  </r>
  <r>
    <s v="ORD-2024-310809"/>
    <d v="2024-04-05T00:00:00"/>
    <d v="2024-04-05T00:00:00"/>
    <d v="2024-04-09T00:00:00"/>
    <d v="2024-04-09T00:00:00"/>
    <n v="4"/>
    <n v="1"/>
    <s v="04-2024"/>
    <s v="Q2-2024"/>
    <d v="2023-01-13T00:00:00"/>
    <s v="01-2023"/>
    <x v="2"/>
    <x v="2"/>
    <s v="Lagos"/>
    <s v="Lagos"/>
    <s v="Non-Profit"/>
    <s v="Direct"/>
    <s v="Direct"/>
    <s v="K. Singh"/>
    <x v="3"/>
    <x v="0"/>
    <s v="Medium"/>
    <s v="CMP-6529"/>
    <s v="A"/>
    <n v="395.07"/>
    <n v="970.27"/>
    <n v="970.27"/>
    <n v="0.123"/>
    <n v="0.123"/>
    <n v="0"/>
    <n v="38"/>
    <n v="32335.21802"/>
    <n v="15012.66"/>
    <n v="17322.55802"/>
    <n v="0.53571799049833657"/>
    <n v="4611389.0503400005"/>
    <n v="0.42129424696500639"/>
  </r>
  <r>
    <s v="ORD-2023-545150"/>
    <d v="2023-04-06T00:00:00"/>
    <d v="2023-04-06T00:00:00"/>
    <d v="2023-04-08T00:00:00"/>
    <d v="2023-04-08T00:00:00"/>
    <n v="2"/>
    <n v="1"/>
    <s v="04-2023"/>
    <s v="Q2-2023"/>
    <d v="2023-01-13T00:00:00"/>
    <s v="01-2023"/>
    <x v="2"/>
    <x v="2"/>
    <s v="Abuja"/>
    <s v="Abuja"/>
    <s v="Small Business"/>
    <s v="Marketplace"/>
    <s v="Marketplace"/>
    <s v="K. Singh"/>
    <x v="3"/>
    <x v="3"/>
    <s v="Medium"/>
    <s v="MON-4373"/>
    <s v="A"/>
    <n v="720.35"/>
    <n v="1571.66"/>
    <n v="1571.66"/>
    <n v="0.107"/>
    <n v="0.107"/>
    <n v="0"/>
    <n v="23"/>
    <n v="32280.32474"/>
    <n v="16568.05"/>
    <n v="15712.274740000001"/>
    <n v="0.4867446305622265"/>
    <n v="4643669.3750800006"/>
    <n v="0.4242433616362401"/>
  </r>
  <r>
    <s v="ORD-2023-912395"/>
    <d v="2023-07-26T00:00:00"/>
    <d v="2023-07-26T00:00:00"/>
    <d v="2023-08-25T00:00:00"/>
    <d v="2023-08-25T00:00:00"/>
    <n v="30"/>
    <n v="0"/>
    <s v="07-2023"/>
    <s v="Q3-2023"/>
    <d v="2023-01-13T00:00:00"/>
    <s v="01-2023"/>
    <x v="0"/>
    <x v="6"/>
    <s v="New York"/>
    <s v="New York"/>
    <s v="Consumer"/>
    <s v="Retail"/>
    <s v="Retail"/>
    <s v="M. Rossi"/>
    <x v="6"/>
    <x v="4"/>
    <s v="High"/>
    <s v="ACC-7078"/>
    <s v="A"/>
    <n v="1261.48"/>
    <n v="1643.18"/>
    <n v="1643.18"/>
    <n v="0.151"/>
    <n v="0.151"/>
    <n v="0"/>
    <n v="23"/>
    <n v="32086.37586"/>
    <n v="29014.04"/>
    <n v="3072.3358599999992"/>
    <n v="9.5752037357079045E-2"/>
    <n v="4675755.7509400006"/>
    <n v="0.4271747572327097"/>
  </r>
  <r>
    <s v="ORD-2023-472078"/>
    <d v="2023-02-28T00:00:00"/>
    <d v="2023-02-28T00:00:00"/>
    <d v="2023-03-06T00:00:00"/>
    <d v="2023-03-06T00:00:00"/>
    <n v="6"/>
    <n v="1"/>
    <s v="02-2023"/>
    <s v="Q1-2023"/>
    <d v="2023-01-21T00:00:00"/>
    <s v="01-2023"/>
    <x v="1"/>
    <x v="4"/>
    <s v="Frankfurt"/>
    <s v="Frankfurt"/>
    <s v="Small Business"/>
    <s v="Marketplace"/>
    <s v="Marketplace"/>
    <s v="D. Smith"/>
    <x v="10"/>
    <x v="6"/>
    <s v="Medium"/>
    <s v="PRN-9624"/>
    <s v="A"/>
    <n v="880.02"/>
    <n v="1251.21"/>
    <n v="1251.21"/>
    <n v="0.123"/>
    <n v="0.123"/>
    <n v="0"/>
    <n v="29"/>
    <n v="31822.023930000003"/>
    <n v="25520.579999999998"/>
    <n v="6301.4439300000049"/>
    <n v="0.19802146915172672"/>
    <n v="4707577.7748700008"/>
    <n v="0.43008200176622036"/>
  </r>
  <r>
    <s v="ORD-2025-765220"/>
    <d v="2025-04-06T00:00:00"/>
    <d v="2025-04-06T00:00:00"/>
    <d v="2025-04-30T00:00:00"/>
    <d v="2025-04-30T00:00:00"/>
    <n v="24"/>
    <n v="0"/>
    <s v="04-2025"/>
    <s v="Q2-2025"/>
    <d v="2023-01-29T00:00:00"/>
    <s v="01-2023"/>
    <x v="0"/>
    <x v="9"/>
    <s v="Brasília"/>
    <s v="Brasília"/>
    <s v="Education"/>
    <s v="Online"/>
    <s v="Online"/>
    <s v="K. Singh"/>
    <x v="3"/>
    <x v="3"/>
    <s v="Medium"/>
    <s v="MON-4925"/>
    <s v="A"/>
    <n v="855.78"/>
    <n v="977.38"/>
    <n v="977.38"/>
    <n v="0.14699999999999999"/>
    <n v="0.14699999999999999"/>
    <n v="0"/>
    <n v="38"/>
    <n v="31680.795320000001"/>
    <n v="32519.64"/>
    <n v="838.84467999999833"/>
    <n v="2.6478018355506307E-2"/>
    <n v="4739258.5701900003"/>
    <n v="0.43297634372303434"/>
  </r>
  <r>
    <s v="ORD-2025-700847"/>
    <d v="2025-05-21T00:00:00"/>
    <d v="2025-05-19T00:00:00"/>
    <d v="2025-05-19T00:00:00"/>
    <d v="2025-05-21T00:00:00"/>
    <n v="2"/>
    <n v="1"/>
    <s v="05-2025"/>
    <s v="Q2-2025"/>
    <d v="2023-01-07T00:00:00"/>
    <s v="01-2023"/>
    <x v="2"/>
    <x v="8"/>
    <s v="Johannesburg"/>
    <s v="Johannesburg"/>
    <s v="Non-Profit"/>
    <s v="Distributor"/>
    <s v="Distributor"/>
    <s v="O. Wang"/>
    <x v="7"/>
    <x v="2"/>
    <s v="High"/>
    <s v="LAP-7099"/>
    <s v="A"/>
    <n v="1263.8399999999999"/>
    <n v="2281.7199999999998"/>
    <n v="2281.7199999999998"/>
    <n v="7.8E-2"/>
    <n v="7.8E-2"/>
    <n v="0"/>
    <n v="15"/>
    <n v="31556.187599999997"/>
    <n v="18957.599999999999"/>
    <n v="12598.587599999999"/>
    <n v="0.39924301882398494"/>
    <n v="4770814.7577900002"/>
    <n v="0.4358593015795284"/>
  </r>
  <r>
    <s v="ORD-2024-465898"/>
    <d v="2024-06-06T00:00:00"/>
    <d v="2024-06-06T00:00:00"/>
    <d v="2024-06-24T00:00:00"/>
    <d v="2024-06-24T00:00:00"/>
    <n v="18"/>
    <n v="0"/>
    <s v="06-2024"/>
    <s v="Q2-2024"/>
    <d v="2023-01-29T00:00:00"/>
    <s v="01-2023"/>
    <x v="3"/>
    <x v="3"/>
    <s v="Bengaluru"/>
    <s v="Bengaluru"/>
    <s v="Small Business"/>
    <s v="Direct"/>
    <s v="Direct"/>
    <s v="H. Kim"/>
    <x v="0"/>
    <x v="1"/>
    <s v="High"/>
    <s v="NET-6578"/>
    <s v="A"/>
    <n v="1253.25"/>
    <n v="3087.13"/>
    <n v="3087.13"/>
    <n v="7.1999999999999995E-2"/>
    <n v="7.1999999999999995E-2"/>
    <n v="0"/>
    <n v="11"/>
    <n v="31513.423040000001"/>
    <n v="13785.75"/>
    <n v="17727.673040000001"/>
    <n v="0.562543555408064"/>
    <n v="4802328.18083"/>
    <n v="0.43873835248674858"/>
  </r>
  <r>
    <s v="ORD-2023-842820"/>
    <d v="2023-09-20T00:00:00"/>
    <d v="2023-09-20T00:00:00"/>
    <d v="2023-09-28T00:00:00"/>
    <d v="2023-09-28T00:00:00"/>
    <n v="8"/>
    <n v="0"/>
    <s v="09-2023"/>
    <s v="Q3-2023"/>
    <d v="2023-01-29T00:00:00"/>
    <s v="01-2023"/>
    <x v="3"/>
    <x v="3"/>
    <m/>
    <s v="Delhi"/>
    <s v="Corporate"/>
    <m/>
    <s v="Marketplace"/>
    <s v="B. Chen"/>
    <x v="1"/>
    <x v="4"/>
    <s v="High"/>
    <s v="ACC-1375"/>
    <s v="A"/>
    <n v="1362.06"/>
    <n v="3398.37"/>
    <n v="3398.37"/>
    <n v="0.157"/>
    <n v="0.157"/>
    <n v="0"/>
    <n v="11"/>
    <n v="31513.085009999999"/>
    <n v="14982.66"/>
    <n v="16530.425009999999"/>
    <n v="0.52455749745714919"/>
    <n v="4833841.2658399995"/>
    <n v="0.44161737251171329"/>
  </r>
  <r>
    <s v="ORD-2024-998320"/>
    <d v="2024-10-25T00:00:00"/>
    <d v="2024-10-25T00:00:00"/>
    <d v="2024-11-14T00:00:00"/>
    <d v="2024-11-14T00:00:00"/>
    <n v="20"/>
    <n v="0"/>
    <s v="10-2024"/>
    <s v="Q4-2024"/>
    <d v="2023-01-20T00:00:00"/>
    <s v="01-2023"/>
    <x v="2"/>
    <x v="5"/>
    <s v="Mombasa"/>
    <s v="Mombasa"/>
    <s v="Corporate"/>
    <s v="Direct"/>
    <s v="Direct"/>
    <s v="H. Kim"/>
    <x v="0"/>
    <x v="6"/>
    <s v="High"/>
    <s v="PRN-3143"/>
    <s v="A"/>
    <n v="1396.48"/>
    <n v="3204.5"/>
    <n v="3204.5"/>
    <n v="0.318"/>
    <n v="0.3"/>
    <n v="1"/>
    <n v="14"/>
    <n v="31404.1"/>
    <n v="19550.72"/>
    <n v="11853.379999999997"/>
    <n v="0.3774468938769141"/>
    <n v="4865245.3658399992"/>
    <n v="0.44448643571949842"/>
  </r>
  <r>
    <s v="ORD-2024-444710"/>
    <d v="2024-09-22T00:00:00"/>
    <d v="2024-09-22T00:00:00"/>
    <d v="2024-10-01T00:00:00"/>
    <d v="2024-10-01T00:00:00"/>
    <n v="9"/>
    <n v="0"/>
    <s v="09-2024"/>
    <s v="Q3-2024"/>
    <d v="2023-01-29T00:00:00"/>
    <s v="01-2023"/>
    <x v="0"/>
    <x v="9"/>
    <s v="São Paulo"/>
    <s v="São Paulo"/>
    <s v="Non-Profit"/>
    <s v="Online"/>
    <s v="Online"/>
    <s v="K. Singh"/>
    <x v="3"/>
    <x v="3"/>
    <s v="High"/>
    <s v="MON-6341"/>
    <s v="A"/>
    <n v="1378.8"/>
    <n v="1952.04"/>
    <n v="1952.04"/>
    <n v="0.159"/>
    <n v="0.159"/>
    <n v="0"/>
    <n v="19"/>
    <n v="31191.64716"/>
    <n v="26197.200000000001"/>
    <n v="4994.4471599999997"/>
    <n v="0.16012130216723058"/>
    <n v="4896437.0129999993"/>
    <n v="0.44733608933978913"/>
  </r>
  <r>
    <s v="ORD-2024-690270"/>
    <d v="2024-05-17T00:00:00"/>
    <d v="2024-05-17T00:00:00"/>
    <d v="2024-05-27T00:00:00"/>
    <d v="2024-05-27T00:00:00"/>
    <n v="10"/>
    <n v="0"/>
    <s v="05-2024"/>
    <s v="Q2-2024"/>
    <d v="2023-01-13T00:00:00"/>
    <s v="01-2023"/>
    <x v="0"/>
    <x v="6"/>
    <s v="Austin"/>
    <s v="Austin"/>
    <s v="Non-Profit"/>
    <s v="Online"/>
    <s v="Online"/>
    <s v="C. Otieno"/>
    <x v="5"/>
    <x v="5"/>
    <s v="High"/>
    <s v="PHN-7974"/>
    <s v="A"/>
    <n v="1484.23"/>
    <n v="3472.81"/>
    <n v="3472.81"/>
    <n v="0.25600000000000001"/>
    <n v="0.25600000000000001"/>
    <n v="1"/>
    <n v="12"/>
    <n v="31005.24768"/>
    <n v="17810.760000000002"/>
    <n v="13194.487679999998"/>
    <n v="0.42555659661803413"/>
    <n v="4927442.2606799994"/>
    <n v="0.45016871359480531"/>
  </r>
  <r>
    <s v="ORD-2024-165942"/>
    <d v="2024-12-29T00:00:00"/>
    <d v="2024-12-29T00:00:00"/>
    <d v="2025-01-12T00:00:00"/>
    <d v="2025-01-12T00:00:00"/>
    <n v="14"/>
    <n v="0"/>
    <s v="12-2024"/>
    <s v="Q4-2024"/>
    <d v="2023-01-19T00:00:00"/>
    <s v="01-2023"/>
    <x v="1"/>
    <x v="1"/>
    <s v="Manchester"/>
    <s v="Manchester"/>
    <s v="Corporate"/>
    <s v="Direct"/>
    <s v="Direct"/>
    <s v="B. Chen"/>
    <x v="1"/>
    <x v="3"/>
    <s v="High"/>
    <s v="MON-6310"/>
    <s v="A"/>
    <n v="1399.72"/>
    <n v="3149.21"/>
    <n v="3149.21"/>
    <n v="0.185"/>
    <n v="0.185"/>
    <n v="0"/>
    <n v="12"/>
    <n v="30799.273800000003"/>
    <n v="16796.64"/>
    <n v="14002.633800000003"/>
    <n v="0.45464168703873797"/>
    <n v="4958241.534479999"/>
    <n v="0.45298252017694207"/>
  </r>
  <r>
    <s v="ORD-2023-434071"/>
    <d v="2023-06-20T00:00:00"/>
    <d v="2023-06-20T00:00:00"/>
    <d v="2023-07-04T00:00:00"/>
    <d v="2023-07-04T00:00:00"/>
    <n v="14"/>
    <n v="0"/>
    <s v="06-2023"/>
    <s v="Q2-2023"/>
    <d v="2023-01-29T00:00:00"/>
    <s v="01-2023"/>
    <x v="0"/>
    <x v="9"/>
    <s v="Brasília"/>
    <s v="Brasília"/>
    <s v="Non-Profit"/>
    <s v="Direct"/>
    <s v="Direct"/>
    <s v="C. Otieno"/>
    <x v="5"/>
    <x v="1"/>
    <s v="High"/>
    <s v="NET-1228"/>
    <s v="A"/>
    <n v="1292.8599999999999"/>
    <n v="2981.01"/>
    <n v="2981.01"/>
    <n v="0.14199999999999999"/>
    <n v="0.14199999999999999"/>
    <n v="0"/>
    <n v="12"/>
    <n v="30692.47896"/>
    <n v="15514.32"/>
    <n v="15178.158960000001"/>
    <n v="0.49452372288927687"/>
    <n v="4988934.013439999"/>
    <n v="0.45578657003475859"/>
  </r>
  <r>
    <s v="ORD-2024-626925"/>
    <d v="2024-06-07T00:00:00"/>
    <d v="2024-06-07T00:00:00"/>
    <d v="2024-06-09T00:00:00"/>
    <d v="2024-06-09T00:00:00"/>
    <n v="2"/>
    <n v="1"/>
    <s v="06-2024"/>
    <s v="Q2-2024"/>
    <d v="2023-01-12T00:00:00"/>
    <s v="01-2023"/>
    <x v="3"/>
    <x v="10"/>
    <s v="Shanghai"/>
    <s v="Shanghai"/>
    <s v="Corporate"/>
    <s v="Retail"/>
    <s v="Retail"/>
    <s v="O. Wang"/>
    <x v="7"/>
    <x v="3"/>
    <s v="High"/>
    <s v="MON-8688"/>
    <s v="A"/>
    <n v="1370.28"/>
    <n v="2209.66"/>
    <n v="2209.66"/>
    <n v="0.13300000000000001"/>
    <n v="0.13300000000000001"/>
    <n v="0"/>
    <n v="16"/>
    <n v="30652.403519999996"/>
    <n v="21924.48"/>
    <n v="8727.9235199999966"/>
    <n v="0.28473863442079589"/>
    <n v="5019586.4169599991"/>
    <n v="0.45858695861998838"/>
  </r>
  <r>
    <s v="ORD-2023-290237"/>
    <d v="2023-07-30T00:00:00"/>
    <d v="2023-07-30T00:00:00"/>
    <d v="2023-08-07T00:00:00"/>
    <d v="2023-08-07T00:00:00"/>
    <n v="8"/>
    <n v="0"/>
    <s v="07-2023"/>
    <s v="Q3-2023"/>
    <d v="2023-03-03T00:00:00"/>
    <s v="03-2023"/>
    <x v="3"/>
    <x v="7"/>
    <s v="Nagoya"/>
    <s v="Nagoya"/>
    <s v="Education"/>
    <s v="Marketplace"/>
    <s v="Marketplace"/>
    <s v="A. Patel"/>
    <x v="2"/>
    <x v="1"/>
    <s v="High"/>
    <s v="NET-1645"/>
    <s v="A"/>
    <n v="1352.44"/>
    <n v="2698.01"/>
    <n v="2698.01"/>
    <n v="0.13100000000000001"/>
    <n v="0.13100000000000001"/>
    <n v="0"/>
    <n v="13"/>
    <n v="30479.418970000002"/>
    <n v="17581.72"/>
    <n v="12897.698970000001"/>
    <n v="0.42316091992090887"/>
    <n v="5050065.8359299991"/>
    <n v="0.46137154342138359"/>
  </r>
  <r>
    <s v="ORD-2025-803803"/>
    <d v="2025-08-28T00:00:00"/>
    <d v="2025-08-28T00:00:00"/>
    <d v="2025-09-05T00:00:00"/>
    <d v="2025-09-05T00:00:00"/>
    <n v="8"/>
    <n v="0"/>
    <s v="08-2025"/>
    <s v="Q3-2025"/>
    <d v="2023-01-13T00:00:00"/>
    <s v="01-2023"/>
    <x v="2"/>
    <x v="2"/>
    <s v="Port Harcourt"/>
    <s v="Port Harcourt"/>
    <s v="Small Business"/>
    <s v="Marketplace"/>
    <s v="Marketplace"/>
    <s v="E. Garcia"/>
    <x v="14"/>
    <x v="2"/>
    <s v="High"/>
    <s v="LAP-7553"/>
    <s v="A"/>
    <n v="1271.0999999999999"/>
    <n v="1932.42"/>
    <n v="1932.42"/>
    <n v="0.25"/>
    <n v="0.25"/>
    <n v="1"/>
    <n v="21"/>
    <n v="30435.614999999998"/>
    <n v="26693.1"/>
    <n v="3742.5149999999994"/>
    <n v="0.12296498690760807"/>
    <n v="5080501.4509299994"/>
    <n v="0.46415212631351599"/>
  </r>
  <r>
    <s v="ORD-2024-817997"/>
    <d v="2024-07-28T00:00:00"/>
    <d v="2024-07-28T00:00:00"/>
    <d v="2024-08-23T00:00:00"/>
    <d v="2024-08-23T00:00:00"/>
    <n v="26"/>
    <n v="0"/>
    <s v="07-2024"/>
    <s v="Q3-2024"/>
    <d v="2023-01-29T00:00:00"/>
    <s v="01-2023"/>
    <x v="3"/>
    <x v="3"/>
    <s v="Hyderabad"/>
    <s v="Hyderabad"/>
    <s v="Corporate"/>
    <s v="Retail"/>
    <s v="Retail"/>
    <s v="J. Njeri"/>
    <x v="8"/>
    <x v="1"/>
    <s v="Medium"/>
    <s v="NET-4675"/>
    <s v="A"/>
    <n v="1339.24"/>
    <n v="1558.89"/>
    <n v="1558.89"/>
    <n v="0.192"/>
    <n v="0.192"/>
    <n v="0"/>
    <n v="24"/>
    <n v="30229.994880000002"/>
    <n v="32141.760000000002"/>
    <n v="1911.76512"/>
    <n v="6.3240669659021781E-2"/>
    <n v="5110731.4458099995"/>
    <n v="0.46691392385210939"/>
  </r>
  <r>
    <s v="ORD-2024-223618"/>
    <d v="2024-06-10T00:00:00"/>
    <d v="2024-06-10T00:00:00"/>
    <d v="2024-06-11T00:00:00"/>
    <d v="2024-06-11T00:00:00"/>
    <n v="1"/>
    <n v="1"/>
    <s v="06-2024"/>
    <s v="Q2-2024"/>
    <d v="2023-01-19T00:00:00"/>
    <s v="01-2023"/>
    <x v="1"/>
    <x v="1"/>
    <s v="Birmingham"/>
    <s v="Birmingham"/>
    <s v="Small Business"/>
    <s v="Marketplace"/>
    <s v="Marketplace"/>
    <s v="M. Rossi"/>
    <x v="6"/>
    <x v="2"/>
    <s v="High"/>
    <s v="LAP-9230"/>
    <s v="A"/>
    <n v="1187.1300000000001"/>
    <n v="1795.17"/>
    <n v="1795.17"/>
    <n v="1.2E-2"/>
    <n v="1.2E-2"/>
    <n v="0"/>
    <n v="17"/>
    <n v="30151.675319999998"/>
    <n v="20181.210000000003"/>
    <n v="9970.4653199999957"/>
    <n v="0.33067699271046663"/>
    <n v="5140883.1211299999"/>
    <n v="0.46966856615402847"/>
  </r>
  <r>
    <s v="ORD-2024-140633"/>
    <d v="2024-12-07T00:00:00"/>
    <d v="2024-12-07T00:00:00"/>
    <d v="2024-12-26T00:00:00"/>
    <d v="2024-12-26T00:00:00"/>
    <n v="19"/>
    <n v="0"/>
    <s v="12-2024"/>
    <s v="Q4-2024"/>
    <d v="2023-01-19T00:00:00"/>
    <s v="01-2023"/>
    <x v="1"/>
    <x v="1"/>
    <s v="London"/>
    <s v="London"/>
    <s v="Enterprise"/>
    <s v="Online"/>
    <s v="Online"/>
    <s v="D. Smith"/>
    <x v="10"/>
    <x v="1"/>
    <s v="High"/>
    <s v="NET-4491"/>
    <s v="A"/>
    <n v="1035.24"/>
    <n v="2383.41"/>
    <n v="2383.41"/>
    <n v="0.17"/>
    <n v="0.17"/>
    <n v="0"/>
    <n v="15"/>
    <n v="29673.454499999993"/>
    <n v="15528.6"/>
    <n v="14144.854499999992"/>
    <n v="0.47668378145860962"/>
    <n v="5170556.5756299999"/>
    <n v="0.47237951843585907"/>
  </r>
  <r>
    <s v="ORD-2025-931538"/>
    <d v="2025-02-09T00:00:00"/>
    <d v="2025-02-09T00:00:00"/>
    <d v="2025-03-01T00:00:00"/>
    <d v="2025-03-01T00:00:00"/>
    <n v="20"/>
    <n v="0"/>
    <s v="02-2025"/>
    <s v="Q1-2025"/>
    <d v="2023-01-29T00:00:00"/>
    <s v="01-2023"/>
    <x v="0"/>
    <x v="9"/>
    <s v="São Paulo"/>
    <s v="São Paulo"/>
    <s v="Corporate"/>
    <s v="Distributor"/>
    <s v="Distributor"/>
    <s v="B. Chen"/>
    <x v="1"/>
    <x v="2"/>
    <s v="High"/>
    <s v="LAP-6989"/>
    <s v="A"/>
    <n v="1154.6400000000001"/>
    <n v="2794.13"/>
    <n v="2794.13"/>
    <n v="3.5000000000000003E-2"/>
    <n v="3.5000000000000003E-2"/>
    <n v="0"/>
    <n v="11"/>
    <n v="29659.68995"/>
    <n v="12701.04"/>
    <n v="16958.649949999999"/>
    <n v="0.57177435025749479"/>
    <n v="5200216.2655799994"/>
    <n v="0.47508921319513758"/>
  </r>
  <r>
    <s v="ORD-2024-201376"/>
    <d v="2024-02-18T00:00:00"/>
    <d v="2024-02-18T00:00:00"/>
    <d v="2024-03-04T00:00:00"/>
    <d v="2024-03-04T00:00:00"/>
    <n v="15"/>
    <n v="0"/>
    <s v="02-2024"/>
    <s v="Q1-2024"/>
    <d v="2023-01-20T00:00:00"/>
    <s v="01-2023"/>
    <x v="2"/>
    <x v="5"/>
    <s v="Kisumu"/>
    <s v="Kisumu"/>
    <s v="Education"/>
    <s v="Direct"/>
    <s v="Direct"/>
    <s v="K. Singh"/>
    <x v="3"/>
    <x v="6"/>
    <s v="High"/>
    <s v="PRN-7089"/>
    <s v="A"/>
    <n v="928.68"/>
    <n v="2145.17"/>
    <n v="2145.17"/>
    <n v="0.13600000000000001"/>
    <n v="0.13600000000000001"/>
    <n v="0"/>
    <n v="16"/>
    <n v="29654.83008"/>
    <n v="14858.88"/>
    <n v="14795.950080000001"/>
    <n v="0.49893896003062177"/>
    <n v="5229871.0956599992"/>
    <n v="0.47779846395907116"/>
  </r>
  <r>
    <s v="ORD-2025-831576"/>
    <d v="2025-09-15T00:00:00"/>
    <d v="2025-09-15T00:00:00"/>
    <d v="2025-09-25T00:00:00"/>
    <d v="2025-09-25T00:00:00"/>
    <n v="10"/>
    <n v="0"/>
    <s v="09-2025"/>
    <s v="Q3-2025"/>
    <d v="2023-01-29T00:00:00"/>
    <s v="01-2023"/>
    <x v="3"/>
    <x v="3"/>
    <s v="Delhi"/>
    <s v="Delhi"/>
    <s v="Consumer"/>
    <s v="Retail"/>
    <s v="Retail"/>
    <s v="A. Patel"/>
    <x v="2"/>
    <x v="5"/>
    <s v="Medium"/>
    <s v="PHN-2859"/>
    <s v="A"/>
    <n v="1488.91"/>
    <n v="1483.74"/>
    <n v="1483.74"/>
    <n v="0.16800000000000001"/>
    <n v="0.16800000000000001"/>
    <n v="0"/>
    <n v="24"/>
    <n v="29627.320319999999"/>
    <n v="35733.840000000004"/>
    <n v="6106.5196800000049"/>
    <n v="0.20611110333450519"/>
    <n v="5259498.4159799991"/>
    <n v="0.48050520144479364"/>
  </r>
  <r>
    <s v="ORD-2023-369160"/>
    <d v="2023-07-24T00:00:00"/>
    <d v="2023-07-24T00:00:00"/>
    <d v="2023-08-13T00:00:00"/>
    <d v="2023-08-13T00:00:00"/>
    <n v="20"/>
    <n v="0"/>
    <s v="07-2023"/>
    <s v="Q3-2023"/>
    <d v="2023-01-02T00:00:00"/>
    <s v="01-2023"/>
    <x v="0"/>
    <x v="0"/>
    <s v="Montreal"/>
    <s v="Montreal"/>
    <s v="Education"/>
    <s v="Direct"/>
    <s v="Direct"/>
    <s v="C. Otieno"/>
    <x v="5"/>
    <x v="3"/>
    <s v="High"/>
    <s v="MON-3307"/>
    <s v="A"/>
    <n v="1082.3800000000001"/>
    <n v="1766.55"/>
    <n v="1766.55"/>
    <n v="0.16400000000000001"/>
    <n v="0.16400000000000001"/>
    <n v="0"/>
    <n v="20"/>
    <n v="29536.716"/>
    <n v="21647.600000000002"/>
    <n v="7889.1159999999982"/>
    <n v="0.26709523157550752"/>
    <n v="5289035.1319799991"/>
    <n v="0.48320366136417991"/>
  </r>
  <r>
    <s v="ORD-2025-418232"/>
    <d v="2025-08-01T00:00:00"/>
    <d v="2025-08-01T00:00:00"/>
    <d v="2025-08-21T00:00:00"/>
    <d v="2025-08-21T00:00:00"/>
    <n v="20"/>
    <n v="0"/>
    <s v="08-2025"/>
    <s v="Q3-2025"/>
    <d v="2023-01-12T00:00:00"/>
    <s v="01-2023"/>
    <x v="3"/>
    <x v="10"/>
    <s v="Shanghai"/>
    <s v="Shanghai"/>
    <s v="Corporate"/>
    <s v="Direct"/>
    <s v="Direct"/>
    <s v="I. Johnson"/>
    <x v="12"/>
    <x v="5"/>
    <s v="High"/>
    <s v="PHN-9234"/>
    <s v="A"/>
    <n v="1220.4100000000001"/>
    <n v="2552.2199999999998"/>
    <n v="2552.2199999999998"/>
    <n v="0.18099999999999999"/>
    <n v="0.18099999999999999"/>
    <n v="0"/>
    <n v="14"/>
    <n v="29263.754519999995"/>
    <n v="17085.740000000002"/>
    <n v="12178.014519999993"/>
    <n v="0.41614668793360271"/>
    <n v="5318298.8864999991"/>
    <n v="0.48587718365633248"/>
  </r>
  <r>
    <s v="ORD-2025-262434"/>
    <d v="2025-06-19T00:00:00"/>
    <d v="2025-06-19T00:00:00"/>
    <d v="2025-06-21T00:00:00"/>
    <d v="2025-06-21T00:00:00"/>
    <n v="2"/>
    <n v="1"/>
    <s v="06-2025"/>
    <s v="Q2-2025"/>
    <d v="2023-01-07T00:00:00"/>
    <s v="01-2023"/>
    <x v="2"/>
    <x v="8"/>
    <s v="Johannesburg"/>
    <s v="Johannesburg"/>
    <s v="Small Business"/>
    <m/>
    <s v="Distributor"/>
    <s v="H. Kim"/>
    <x v="0"/>
    <x v="5"/>
    <s v="High"/>
    <s v="PHN-7379"/>
    <s v="A"/>
    <n v="1466.27"/>
    <n v="3589.89"/>
    <n v="3589.89"/>
    <n v="9.7000000000000003E-2"/>
    <n v="9.7000000000000003E-2"/>
    <n v="0"/>
    <n v="9"/>
    <n v="29175.036029999999"/>
    <n v="13196.43"/>
    <n v="15978.606029999999"/>
    <n v="0.54768076425234147"/>
    <n v="5347473.9225299992"/>
    <n v="0.4885426006706548"/>
  </r>
  <r>
    <s v="ORD-2024-371409"/>
    <d v="2024-11-17T00:00:00"/>
    <d v="2024-11-17T00:00:00"/>
    <d v="2024-11-28T00:00:00"/>
    <d v="2024-11-28T00:00:00"/>
    <n v="11"/>
    <n v="0"/>
    <s v="11-2024"/>
    <s v="Q4-2024"/>
    <d v="2023-01-02T00:00:00"/>
    <s v="01-2023"/>
    <x v="0"/>
    <x v="0"/>
    <m/>
    <s v="Vancouver"/>
    <s v="Consumer"/>
    <s v="Distributor"/>
    <s v="Distributor"/>
    <s v="A. Patel"/>
    <x v="2"/>
    <x v="6"/>
    <s v="High"/>
    <s v="PRN-1371"/>
    <s v="A"/>
    <n v="1008.16"/>
    <n v="2077.5"/>
    <n v="2077.5"/>
    <n v="7.3999999999999996E-2"/>
    <n v="7.3999999999999996E-2"/>
    <n v="0"/>
    <n v="15"/>
    <n v="28856.475000000002"/>
    <n v="15122.4"/>
    <n v="13734.075000000003"/>
    <n v="0.47594430712691005"/>
    <n v="5376330.3975299988"/>
    <n v="0.49117891410517039"/>
  </r>
  <r>
    <s v="ORD-2025-146850"/>
    <d v="2025-01-21T00:00:00"/>
    <d v="2025-01-21T00:00:00"/>
    <d v="2025-02-14T00:00:00"/>
    <d v="2025-02-14T00:00:00"/>
    <n v="24"/>
    <n v="0"/>
    <s v="01-2025"/>
    <s v="Q1-2025"/>
    <d v="2023-01-20T00:00:00"/>
    <s v="01-2023"/>
    <x v="2"/>
    <x v="5"/>
    <s v="Nairobi"/>
    <s v="Nairobi"/>
    <s v="Small Business"/>
    <s v="Retail"/>
    <s v="Retail"/>
    <s v="J. Njeri"/>
    <x v="8"/>
    <x v="4"/>
    <s v="High"/>
    <s v="ACC-1659"/>
    <s v="A"/>
    <n v="1030.44"/>
    <n v="2562.84"/>
    <n v="2562.84"/>
    <n v="0.14799999999999999"/>
    <n v="0.14799999999999999"/>
    <n v="0"/>
    <n v="13"/>
    <n v="28386.015839999996"/>
    <n v="13395.720000000001"/>
    <n v="14990.295839999995"/>
    <n v="0.52808734852027039"/>
    <n v="5404716.4133699983"/>
    <n v="0.49377224662105679"/>
  </r>
  <r>
    <s v="ORD-2024-571797"/>
    <d v="2024-07-11T00:00:00"/>
    <d v="2024-07-11T00:00:00"/>
    <d v="2024-07-31T00:00:00"/>
    <d v="2024-07-31T00:00:00"/>
    <n v="20"/>
    <n v="0"/>
    <s v="07-2024"/>
    <s v="Q3-2024"/>
    <d v="2023-01-12T00:00:00"/>
    <s v="01-2023"/>
    <x v="3"/>
    <x v="10"/>
    <s v="Shenzhen"/>
    <s v="Shenzhen"/>
    <s v="Consumer"/>
    <s v="Online"/>
    <s v="Online"/>
    <s v="G. Dubois"/>
    <x v="11"/>
    <x v="5"/>
    <s v="Medium"/>
    <s v="PHN-7815"/>
    <s v="A"/>
    <n v="647.26"/>
    <n v="1374.72"/>
    <n v="1374.72"/>
    <n v="6.6000000000000003E-2"/>
    <n v="6.6000000000000003E-2"/>
    <n v="0"/>
    <n v="22"/>
    <n v="28247.74656"/>
    <n v="14239.72"/>
    <n v="14008.02656"/>
    <n v="0.49589890401508901"/>
    <n v="5432964.1599299982"/>
    <n v="0.49635294692318727"/>
  </r>
  <r>
    <s v="ORD-2024-777623"/>
    <d v="2024-09-19T00:00:00"/>
    <d v="2024-09-19T00:00:00"/>
    <d v="2024-10-14T00:00:00"/>
    <d v="2024-10-14T00:00:00"/>
    <n v="25"/>
    <n v="0"/>
    <s v="09-2024"/>
    <s v="Q3-2024"/>
    <d v="2023-01-29T00:00:00"/>
    <s v="01-2023"/>
    <x v="0"/>
    <x v="9"/>
    <s v="Rio de Janeiro"/>
    <s v="Rio de Janeiro"/>
    <s v="Small Business"/>
    <s v="Retail"/>
    <s v="Retail"/>
    <s v="K. Singh"/>
    <x v="3"/>
    <x v="6"/>
    <s v="Medium"/>
    <s v="PRN-2749"/>
    <s v="A"/>
    <n v="386.96"/>
    <n v="937.46"/>
    <n v="937.46"/>
    <n v="0.26600000000000001"/>
    <n v="0.26600000000000001"/>
    <n v="1"/>
    <n v="41"/>
    <n v="28211.92124"/>
    <n v="15865.359999999999"/>
    <n v="12346.561240000001"/>
    <n v="0.43763631462626335"/>
    <n v="5461176.0811699983"/>
    <n v="0.49893037424161435"/>
  </r>
  <r>
    <s v="ORD-2023-825836"/>
    <d v="2023-07-19T00:00:00"/>
    <d v="2023-07-19T00:00:00"/>
    <d v="2023-07-31T00:00:00"/>
    <d v="2023-07-31T00:00:00"/>
    <n v="12"/>
    <n v="0"/>
    <s v="07-2023"/>
    <s v="Q3-2023"/>
    <d v="2023-01-29T00:00:00"/>
    <s v="01-2023"/>
    <x v="0"/>
    <x v="9"/>
    <s v="Rio de Janeiro"/>
    <s v="Rio de Janeiro"/>
    <s v="Corporate"/>
    <s v="Retail"/>
    <s v="Retail"/>
    <s v="C. Otieno"/>
    <x v="5"/>
    <x v="3"/>
    <s v="High"/>
    <s v="MON-7869"/>
    <s v="A"/>
    <n v="1334.64"/>
    <n v="2273.42"/>
    <n v="2273.42"/>
    <n v="0.11799999999999999"/>
    <n v="0.11799999999999999"/>
    <n v="0"/>
    <n v="14"/>
    <n v="28072.190160000002"/>
    <n v="18684.960000000003"/>
    <n v="9387.2301599999992"/>
    <n v="0.33439607335575267"/>
    <n v="5489248.271329998"/>
    <n v="0.50149503579695276"/>
  </r>
  <r>
    <s v="ORD-2023-163610"/>
    <d v="2023-10-22T00:00:00"/>
    <d v="2023-10-22T00:00:00"/>
    <d v="2023-11-16T00:00:00"/>
    <d v="2023-11-16T00:00:00"/>
    <n v="25"/>
    <n v="0"/>
    <s v="10-2023"/>
    <s v="Q4-2023"/>
    <d v="2023-01-02T00:00:00"/>
    <s v="01-2023"/>
    <x v="0"/>
    <x v="0"/>
    <s v="Toronto"/>
    <s v="Toronto"/>
    <s v="Small Business"/>
    <s v="Marketplace"/>
    <s v="Marketplace"/>
    <s v="I. Johnson"/>
    <x v="12"/>
    <x v="2"/>
    <s v="High"/>
    <s v="LAP-9024"/>
    <s v="A"/>
    <n v="1373.31"/>
    <n v="3154.14"/>
    <n v="3154.14"/>
    <n v="0.2"/>
    <n v="0.2"/>
    <n v="0"/>
    <n v="11"/>
    <n v="27756.432000000001"/>
    <n v="15106.41"/>
    <n v="12650.022000000001"/>
    <n v="0.45575101295440279"/>
    <n v="5517004.7033299981"/>
    <n v="0.50403084984131608"/>
  </r>
  <r>
    <s v="ORD-2025-779574"/>
    <d v="2025-09-10T00:00:00"/>
    <d v="2025-09-10T00:00:00"/>
    <d v="2025-09-12T00:00:00"/>
    <d v="2025-09-12T00:00:00"/>
    <n v="2"/>
    <n v="1"/>
    <s v="09-2025"/>
    <s v="Q3-2025"/>
    <d v="2023-03-03T00:00:00"/>
    <s v="03-2023"/>
    <x v="3"/>
    <x v="7"/>
    <s v="Tokyo"/>
    <s v="Tokyo"/>
    <s v="Consumer"/>
    <s v="Online"/>
    <s v="Online"/>
    <s v="O. Wang"/>
    <x v="7"/>
    <x v="0"/>
    <s v="High"/>
    <s v="CMP-6971"/>
    <s v="A"/>
    <n v="1470.15"/>
    <n v="2593.7800000000002"/>
    <n v="2593.7800000000002"/>
    <n v="0.11"/>
    <n v="0.11"/>
    <n v="0"/>
    <n v="12"/>
    <n v="27701.570400000001"/>
    <n v="17641.800000000003"/>
    <n v="10059.770399999998"/>
    <n v="0.36314801849645306"/>
    <n v="5544706.2737299977"/>
    <n v="0.50656165175675094"/>
  </r>
  <r>
    <s v="ORD-2024-909942"/>
    <d v="2024-06-09T00:00:00"/>
    <d v="2024-06-09T00:00:00"/>
    <d v="2024-07-07T00:00:00"/>
    <d v="2024-07-07T00:00:00"/>
    <n v="28"/>
    <n v="0"/>
    <s v="06-2024"/>
    <s v="Q2-2024"/>
    <d v="2023-01-12T00:00:00"/>
    <s v="01-2023"/>
    <x v="3"/>
    <x v="10"/>
    <s v="Shenzhen"/>
    <s v="Shenzhen"/>
    <s v="Corporate"/>
    <s v="Online"/>
    <s v="Online"/>
    <s v="J. Njeri"/>
    <x v="8"/>
    <x v="0"/>
    <s v="Medium"/>
    <s v="CMP-6392"/>
    <s v="A"/>
    <n v="550.22"/>
    <n v="1025.05"/>
    <n v="1025.05"/>
    <n v="0"/>
    <n v="0"/>
    <n v="0"/>
    <n v="27"/>
    <n v="27676.35"/>
    <n v="14855.94"/>
    <n v="12820.409999999998"/>
    <n v="0.46322618408858102"/>
    <n v="5572382.6237299973"/>
    <n v="0.50909014954878395"/>
  </r>
  <r>
    <s v="ORD-2023-261081"/>
    <d v="2023-07-24T00:00:00"/>
    <d v="2023-07-24T00:00:00"/>
    <d v="2023-08-19T00:00:00"/>
    <d v="2023-08-19T00:00:00"/>
    <n v="26"/>
    <n v="0"/>
    <s v="07-2023"/>
    <s v="Q3-2023"/>
    <d v="2023-01-20T00:00:00"/>
    <s v="01-2023"/>
    <x v="2"/>
    <x v="5"/>
    <s v="Nairobi"/>
    <s v="Nairobi"/>
    <s v="Enterprise"/>
    <s v="Distributor"/>
    <s v="Distributor"/>
    <s v="M. Rossi"/>
    <x v="6"/>
    <x v="4"/>
    <s v="Medium"/>
    <s v="ACC-1238"/>
    <s v="A"/>
    <n v="661.45"/>
    <n v="1634.86"/>
    <n v="1634.86"/>
    <n v="0.56499999999999995"/>
    <n v="0.3"/>
    <n v="1"/>
    <n v="24"/>
    <n v="27465.647999999997"/>
    <n v="15874.800000000001"/>
    <n v="11590.847999999996"/>
    <n v="0.42201254454291404"/>
    <n v="5599848.2717299974"/>
    <n v="0.51159939770920815"/>
  </r>
  <r>
    <s v="ORD-2023-867285"/>
    <d v="2023-04-12T00:00:00"/>
    <d v="2023-04-12T00:00:00"/>
    <d v="2023-04-17T00:00:00"/>
    <d v="2023-04-17T00:00:00"/>
    <n v="5"/>
    <n v="1"/>
    <s v="04-2023"/>
    <s v="Q2-2023"/>
    <d v="2023-01-10T00:00:00"/>
    <s v="01-2023"/>
    <x v="1"/>
    <x v="11"/>
    <s v="Lyon"/>
    <s v="Lyon"/>
    <s v="Enterprise"/>
    <s v="Direct"/>
    <s v="Direct"/>
    <s v="E. Garcia"/>
    <x v="14"/>
    <x v="3"/>
    <s v="High"/>
    <s v="MON-3043"/>
    <s v="A"/>
    <n v="1087.81"/>
    <n v="2323.87"/>
    <n v="2323.87"/>
    <n v="9.4E-2"/>
    <n v="9.4E-2"/>
    <n v="0"/>
    <n v="13"/>
    <n v="27370.540859999997"/>
    <n v="14141.529999999999"/>
    <n v="13229.010859999999"/>
    <n v="0.48333026839572651"/>
    <n v="5627218.8125899974"/>
    <n v="0.51409995692786448"/>
  </r>
  <r>
    <s v="ORD-2024-167215"/>
    <d v="2024-08-23T00:00:00"/>
    <d v="2024-08-21T00:00:00"/>
    <d v="2024-08-21T00:00:00"/>
    <d v="2024-08-23T00:00:00"/>
    <n v="2"/>
    <n v="1"/>
    <s v="08-2024"/>
    <s v="Q3-2024"/>
    <d v="2023-01-07T00:00:00"/>
    <s v="01-2023"/>
    <x v="2"/>
    <x v="8"/>
    <s v="Johannesburg"/>
    <s v="Johannesburg"/>
    <s v="Education"/>
    <s v="Retail"/>
    <s v="Retail"/>
    <s v="E. Garcia"/>
    <x v="14"/>
    <x v="0"/>
    <s v="High"/>
    <s v="CMP-1559"/>
    <s v="A"/>
    <n v="1432.52"/>
    <n v="3036.87"/>
    <n v="3036.87"/>
    <n v="0"/>
    <n v="0"/>
    <n v="0"/>
    <n v="9"/>
    <n v="27331.829999999998"/>
    <n v="12892.68"/>
    <n v="14439.149999999998"/>
    <n v="0.52829064135112791"/>
    <n v="5654550.6425899975"/>
    <n v="0.51659697954129524"/>
  </r>
  <r>
    <s v="ORD-2023-378104"/>
    <d v="2023-10-18T00:00:00"/>
    <d v="2023-10-18T00:00:00"/>
    <d v="2023-10-20T00:00:00"/>
    <d v="2023-10-20T00:00:00"/>
    <n v="2"/>
    <n v="1"/>
    <s v="10-2023"/>
    <s v="Q4-2023"/>
    <d v="2023-01-20T00:00:00"/>
    <s v="01-2023"/>
    <x v="2"/>
    <x v="5"/>
    <s v="Kisumu"/>
    <s v="Kisumu"/>
    <s v="Consumer"/>
    <s v="Retail"/>
    <s v="Retail"/>
    <s v="J. Njeri"/>
    <x v="8"/>
    <x v="5"/>
    <s v="Medium"/>
    <s v="PHN-8891"/>
    <s v="A"/>
    <n v="774.12"/>
    <n v="908.3"/>
    <n v="908.3"/>
    <n v="0"/>
    <n v="0"/>
    <n v="0"/>
    <n v="30"/>
    <n v="27249"/>
    <n v="23223.599999999999"/>
    <n v="4025.4000000000015"/>
    <n v="0.14772652207420461"/>
    <n v="5681799.6425899975"/>
    <n v="0.51908643484646033"/>
  </r>
  <r>
    <s v="ORD-2023-588455"/>
    <d v="2023-05-23T00:00:00"/>
    <d v="2023-05-23T00:00:00"/>
    <d v="2023-05-25T00:00:00"/>
    <d v="2023-05-25T00:00:00"/>
    <n v="2"/>
    <n v="1"/>
    <s v="05-2023"/>
    <s v="Q2-2023"/>
    <d v="2023-01-29T00:00:00"/>
    <s v="01-2023"/>
    <x v="0"/>
    <x v="9"/>
    <s v="Rio de Janeiro"/>
    <s v="Rio de Janeiro"/>
    <s v="Enterprise"/>
    <s v="Retail"/>
    <s v="Retail"/>
    <s v="M. Rossi"/>
    <x v="6"/>
    <x v="6"/>
    <s v="Medium"/>
    <s v="PRN-1271"/>
    <s v="A"/>
    <n v="690.49"/>
    <n v="1290.29"/>
    <n v="1290.29"/>
    <n v="4.2000000000000003E-2"/>
    <n v="4.2000000000000003E-2"/>
    <n v="0"/>
    <n v="22"/>
    <n v="27194.152039999997"/>
    <n v="15190.78"/>
    <n v="12003.372039999997"/>
    <n v="0.44139534199647718"/>
    <n v="5708993.7946299976"/>
    <n v="0.52157087926884083"/>
  </r>
  <r>
    <s v="ORD-2023-208944"/>
    <d v="2023-12-21T00:00:00"/>
    <d v="2023-12-21T00:00:00"/>
    <d v="2024-01-06T00:00:00"/>
    <d v="2024-01-06T00:00:00"/>
    <n v="16"/>
    <n v="0"/>
    <s v="12-2023"/>
    <s v="Q4-2023"/>
    <d v="2023-01-13T00:00:00"/>
    <s v="01-2023"/>
    <x v="2"/>
    <x v="2"/>
    <m/>
    <s v="Lagos"/>
    <s v="Corporate"/>
    <s v="Marketplace"/>
    <s v="Marketplace"/>
    <s v="K. Singh"/>
    <x v="3"/>
    <x v="0"/>
    <s v="High"/>
    <s v="CMP-4792"/>
    <s v="A"/>
    <n v="932.61"/>
    <n v="1982.98"/>
    <n v="1982.98"/>
    <n v="0.14399999999999999"/>
    <n v="0.14399999999999999"/>
    <n v="0"/>
    <n v="16"/>
    <n v="27158.894079999998"/>
    <n v="14921.76"/>
    <n v="12237.134079999998"/>
    <n v="0.45057556629345635"/>
    <n v="5736152.6887099976"/>
    <n v="0.5240521025412499"/>
  </r>
  <r>
    <s v="ORD-2024-277241"/>
    <d v="2024-01-28T00:00:00"/>
    <d v="2024-01-28T00:00:00"/>
    <d v="2024-01-30T00:00:00"/>
    <d v="2024-01-30T00:00:00"/>
    <n v="2"/>
    <n v="1"/>
    <s v="01-2024"/>
    <s v="Q1-2024"/>
    <d v="2023-01-07T00:00:00"/>
    <s v="01-2023"/>
    <x v="2"/>
    <x v="8"/>
    <s v="Cape Town"/>
    <s v="Cape Town"/>
    <s v="Consumer"/>
    <s v="Direct"/>
    <s v="Direct"/>
    <s v="F. Müller"/>
    <x v="9"/>
    <x v="4"/>
    <s v="Medium"/>
    <s v="ACC-6223"/>
    <s v="A"/>
    <n v="798.45"/>
    <n v="1592.02"/>
    <n v="1592.02"/>
    <n v="6.6000000000000003E-2"/>
    <n v="6.6000000000000003E-2"/>
    <n v="0"/>
    <n v="18"/>
    <n v="26765.040239999998"/>
    <n v="14372.1"/>
    <n v="12392.940239999998"/>
    <n v="0.46302714768494585"/>
    <n v="5762917.7289499976"/>
    <n v="0.52649734351957678"/>
  </r>
  <r>
    <s v="ORD-2023-521818"/>
    <d v="2023-01-29T00:00:00"/>
    <d v="2023-01-29T00:00:00"/>
    <d v="2023-02-28T00:00:00"/>
    <d v="2023-02-28T00:00:00"/>
    <n v="30"/>
    <n v="0"/>
    <s v="01-2023"/>
    <s v="Q1-2023"/>
    <d v="2023-01-29T00:00:00"/>
    <s v="01-2023"/>
    <x v="3"/>
    <x v="3"/>
    <s v="Bengaluru"/>
    <s v="Bengaluru"/>
    <s v="Non-Profit"/>
    <s v="Retail"/>
    <s v="Retail"/>
    <s v="B. Chen"/>
    <x v="1"/>
    <x v="4"/>
    <s v="Medium"/>
    <s v="ACC-4631"/>
    <s v="A"/>
    <n v="1262.0999999999999"/>
    <n v="1395.53"/>
    <n v="1395.53"/>
    <n v="0.23300000000000001"/>
    <n v="0.23300000000000001"/>
    <n v="1"/>
    <n v="25"/>
    <n v="26759.28775"/>
    <n v="31552.499999999996"/>
    <n v="4793.2122499999969"/>
    <n v="0.17912331205452198"/>
    <n v="5789677.0166999977"/>
    <n v="0.52894205895323221"/>
  </r>
  <r>
    <s v="ORD-2023-479747"/>
    <d v="2023-07-14T00:00:00"/>
    <d v="2023-07-14T00:00:00"/>
    <d v="2023-07-14T00:00:00"/>
    <d v="2023-07-14T00:00:00"/>
    <n v="0"/>
    <n v="1"/>
    <s v="07-2023"/>
    <s v="Q3-2023"/>
    <d v="2023-01-13T00:00:00"/>
    <s v="01-2023"/>
    <x v="2"/>
    <x v="2"/>
    <s v="Lagos"/>
    <s v="Lagos"/>
    <s v="Education"/>
    <s v="Retail"/>
    <s v="Retail"/>
    <s v="I. Johnson"/>
    <x v="12"/>
    <x v="4"/>
    <s v="Medium"/>
    <s v="ACC-5334"/>
    <s v="A"/>
    <n v="956.38"/>
    <n v="1454.22"/>
    <n v="1454.22"/>
    <n v="3.9E-2"/>
    <n v="3.9E-2"/>
    <n v="0"/>
    <n v="19"/>
    <n v="26552.60298"/>
    <n v="18171.22"/>
    <n v="8381.3829799999985"/>
    <n v="0.31565202802576603"/>
    <n v="5816229.6196799977"/>
    <n v="0.53136789176744581"/>
  </r>
  <r>
    <s v="ORD-2024-640340"/>
    <d v="2024-10-22T00:00:00"/>
    <d v="2024-10-22T00:00:00"/>
    <d v="2024-10-29T00:00:00"/>
    <d v="2024-10-29T00:00:00"/>
    <n v="7"/>
    <n v="1"/>
    <s v="10-2024"/>
    <s v="Q4-2024"/>
    <d v="2023-01-13T00:00:00"/>
    <s v="01-2023"/>
    <x v="2"/>
    <x v="2"/>
    <s v="Port Harcourt"/>
    <s v="Port Harcourt"/>
    <s v="Enterprise"/>
    <s v="Distributor"/>
    <s v="Distributor"/>
    <s v="M. Rossi"/>
    <x v="6"/>
    <x v="3"/>
    <s v="Medium"/>
    <s v="MON-8758"/>
    <s v="A"/>
    <n v="1023.06"/>
    <n v="1355.61"/>
    <n v="1355.61"/>
    <n v="0.153"/>
    <n v="0.153"/>
    <n v="0"/>
    <n v="23"/>
    <n v="26408.63841"/>
    <n v="23530.379999999997"/>
    <n v="2878.2584100000022"/>
    <n v="0.10898927711888809"/>
    <n v="5842638.2580899978"/>
    <n v="0.53378057204899609"/>
  </r>
  <r>
    <s v="ORD-2023-480975"/>
    <d v="2023-02-15T00:00:00"/>
    <d v="2023-02-15T00:00:00"/>
    <d v="2023-02-26T00:00:00"/>
    <d v="2023-02-26T00:00:00"/>
    <n v="11"/>
    <n v="0"/>
    <s v="02-2023"/>
    <s v="Q1-2023"/>
    <d v="2023-01-07T00:00:00"/>
    <s v="01-2023"/>
    <x v="2"/>
    <x v="8"/>
    <s v="Johannesburg"/>
    <s v="Johannesburg"/>
    <s v="Non-Profit"/>
    <s v="Retail"/>
    <s v="Retail"/>
    <s v="K. Singh"/>
    <x v="3"/>
    <x v="2"/>
    <s v="Low"/>
    <s v="LAP-3393"/>
    <s v="A"/>
    <n v="498.5"/>
    <n v="755.87"/>
    <n v="755.87"/>
    <n v="0.13"/>
    <n v="0.13"/>
    <n v="0"/>
    <n v="40"/>
    <n v="26304.275999999998"/>
    <n v="19940"/>
    <n v="6364.275999999998"/>
    <n v="0.24194834330357537"/>
    <n v="5868942.5340899974"/>
    <n v="0.53618371783184049"/>
  </r>
  <r>
    <s v="ORD-2023-562894"/>
    <d v="2023-02-23T00:00:00"/>
    <d v="2023-02-23T00:00:00"/>
    <d v="2023-03-25T00:00:00"/>
    <d v="2023-03-25T00:00:00"/>
    <n v="30"/>
    <n v="0"/>
    <s v="02-2023"/>
    <s v="Q1-2023"/>
    <d v="2023-01-02T00:00:00"/>
    <s v="01-2023"/>
    <x v="0"/>
    <x v="0"/>
    <s v="Montreal"/>
    <s v="Montreal"/>
    <s v="Enterprise"/>
    <s v="Online"/>
    <s v="Online"/>
    <s v="D. Smith"/>
    <x v="10"/>
    <x v="5"/>
    <s v="High"/>
    <s v="PHN-4854"/>
    <s v="A"/>
    <n v="1242.6600000000001"/>
    <n v="1794.07"/>
    <n v="1794.07"/>
    <n v="8.8999999999999996E-2"/>
    <n v="8.8999999999999996E-2"/>
    <n v="0"/>
    <n v="16"/>
    <n v="26150.364320000001"/>
    <n v="19882.560000000001"/>
    <n v="6267.8043199999993"/>
    <n v="0.23968325042440553"/>
    <n v="5895092.8984099971"/>
    <n v="0.5385728023189198"/>
  </r>
  <r>
    <s v="ORD-2023-390998"/>
    <d v="2023-04-19T00:00:00"/>
    <d v="2023-04-19T00:00:00"/>
    <d v="2023-04-28T00:00:00"/>
    <d v="2023-04-28T00:00:00"/>
    <n v="9"/>
    <n v="0"/>
    <s v="04-2023"/>
    <s v="Q2-2023"/>
    <d v="2023-01-21T00:00:00"/>
    <s v="01-2023"/>
    <x v="1"/>
    <x v="4"/>
    <s v="Berlin"/>
    <s v="Berlin"/>
    <s v="Education"/>
    <s v="Online"/>
    <s v="Online"/>
    <s v="E. Garcia"/>
    <x v="14"/>
    <x v="3"/>
    <s v="High"/>
    <s v="MON-1663"/>
    <s v="A"/>
    <n v="1178.42"/>
    <n v="2446.56"/>
    <n v="2446.56"/>
    <n v="2.9000000000000001E-2"/>
    <n v="2.9000000000000001E-2"/>
    <n v="0"/>
    <n v="11"/>
    <n v="26131.70736"/>
    <n v="12962.62"/>
    <n v="13169.08736"/>
    <n v="0.5039505141618883"/>
    <n v="5921224.6057699975"/>
    <n v="0.54096018231526377"/>
  </r>
  <r>
    <s v="ORD-2023-825084"/>
    <d v="2023-07-14T00:00:00"/>
    <d v="2023-07-14T00:00:00"/>
    <d v="2023-07-21T00:00:00"/>
    <d v="2023-07-21T00:00:00"/>
    <n v="7"/>
    <n v="1"/>
    <s v="07-2023"/>
    <s v="Q3-2023"/>
    <d v="2023-01-07T00:00:00"/>
    <s v="01-2023"/>
    <x v="2"/>
    <x v="8"/>
    <s v="Durban"/>
    <s v="Durban"/>
    <s v="Enterprise"/>
    <s v="Marketplace"/>
    <s v="Marketplace"/>
    <m/>
    <x v="6"/>
    <x v="3"/>
    <s v="Medium"/>
    <s v="MON-1018"/>
    <s v="A"/>
    <n v="620.74"/>
    <n v="1330.07"/>
    <n v="1330.07"/>
    <n v="0.29899999999999999"/>
    <n v="0.29899999999999999"/>
    <n v="1"/>
    <n v="28"/>
    <n v="26106.613960000002"/>
    <n v="17380.72"/>
    <n v="8725.8939600000012"/>
    <n v="0.33424073965967516"/>
    <n v="5947331.2197299972"/>
    <n v="0.54334526979086362"/>
  </r>
  <r>
    <s v="ORD-2024-500890"/>
    <d v="2024-09-09T00:00:00"/>
    <d v="2024-09-09T00:00:00"/>
    <d v="2024-10-08T00:00:00"/>
    <d v="2024-10-08T00:00:00"/>
    <n v="29"/>
    <n v="0"/>
    <s v="09-2024"/>
    <s v="Q3-2024"/>
    <d v="2023-01-29T00:00:00"/>
    <s v="01-2023"/>
    <x v="0"/>
    <x v="9"/>
    <s v="São Paulo"/>
    <s v="São Paulo"/>
    <s v="Education"/>
    <s v="Direct"/>
    <s v="Direct"/>
    <s v="J. Njeri"/>
    <x v="8"/>
    <x v="0"/>
    <s v="High"/>
    <s v="CMP-3093"/>
    <s v="A"/>
    <n v="1010.33"/>
    <n v="2492.14"/>
    <n v="2492.14"/>
    <n v="5.0999999999999997E-2"/>
    <n v="5.0999999999999997E-2"/>
    <n v="0"/>
    <n v="11"/>
    <n v="26015.449459999996"/>
    <n v="11113.630000000001"/>
    <n v="14901.819459999995"/>
    <n v="0.57280653493656752"/>
    <n v="5973346.669189997"/>
    <n v="0.54572202852235663"/>
  </r>
  <r>
    <s v="ORD-2024-206081"/>
    <d v="2024-12-10T00:00:00"/>
    <d v="2024-12-10T00:00:00"/>
    <d v="2025-01-08T00:00:00"/>
    <d v="2025-01-08T00:00:00"/>
    <n v="29"/>
    <n v="0"/>
    <s v="12-2024"/>
    <s v="Q4-2024"/>
    <d v="2023-01-10T00:00:00"/>
    <s v="01-2023"/>
    <x v="1"/>
    <x v="11"/>
    <s v="Marseille"/>
    <s v="Marseille"/>
    <s v="Small Business"/>
    <s v="Retail"/>
    <s v="Retail"/>
    <s v="K. Singh"/>
    <x v="3"/>
    <x v="6"/>
    <s v="Medium"/>
    <s v="PRN-6791"/>
    <s v="A"/>
    <n v="891.08"/>
    <n v="1040.0999999999999"/>
    <n v="1040.0999999999999"/>
    <n v="0.109"/>
    <n v="0.109"/>
    <n v="0"/>
    <n v="28"/>
    <n v="25948.414799999995"/>
    <n v="24950.240000000002"/>
    <n v="998.17479999999341"/>
    <n v="3.8467660074556598E-2"/>
    <n v="5999295.0839899974"/>
    <n v="0.54809266300011683"/>
  </r>
  <r>
    <s v="ORD-2023-309373"/>
    <d v="2023-07-05T00:00:00"/>
    <d v="2023-07-05T00:00:00"/>
    <d v="2023-07-14T00:00:00"/>
    <d v="2023-07-14T00:00:00"/>
    <n v="9"/>
    <n v="0"/>
    <s v="07-2023"/>
    <s v="Q3-2023"/>
    <d v="2023-01-29T00:00:00"/>
    <s v="01-2023"/>
    <x v="0"/>
    <x v="9"/>
    <s v="Brasília"/>
    <s v="Brasília"/>
    <s v="Enterprise"/>
    <s v="Direct"/>
    <s v="Direct"/>
    <s v="B. Chen"/>
    <x v="1"/>
    <x v="1"/>
    <s v="Medium"/>
    <s v="NET-2394"/>
    <s v="A"/>
    <n v="578.85"/>
    <n v="998.76"/>
    <n v="998.76"/>
    <n v="8.2000000000000003E-2"/>
    <n v="8.2000000000000003E-2"/>
    <n v="0"/>
    <n v="28"/>
    <n v="25672.127039999999"/>
    <n v="16207.800000000001"/>
    <n v="9464.3270399999983"/>
    <n v="0.36866158480960831"/>
    <n v="6024967.2110299971"/>
    <n v="0.55043805596333018"/>
  </r>
  <r>
    <s v="ORD-2025-191328"/>
    <d v="2025-05-10T00:00:00"/>
    <d v="2025-05-10T00:00:00"/>
    <d v="2025-05-27T00:00:00"/>
    <d v="2025-05-27T00:00:00"/>
    <n v="17"/>
    <n v="0"/>
    <s v="05-2025"/>
    <s v="Q2-2025"/>
    <d v="2023-01-02T00:00:00"/>
    <s v="01-2023"/>
    <x v="0"/>
    <x v="0"/>
    <s v="Vancouver"/>
    <s v="Vancouver"/>
    <s v="Education"/>
    <s v="Direct"/>
    <s v="Direct"/>
    <s v="C. Otieno"/>
    <x v="5"/>
    <x v="0"/>
    <s v="Medium"/>
    <s v="CMP-9307"/>
    <s v="A"/>
    <n v="862.89"/>
    <n v="1426.03"/>
    <n v="1426.03"/>
    <n v="5.6000000000000001E-2"/>
    <n v="5.6000000000000001E-2"/>
    <n v="0"/>
    <n v="19"/>
    <n v="25577.274079999999"/>
    <n v="16394.91"/>
    <n v="9182.3640799999994"/>
    <n v="0.35900479665188778"/>
    <n v="6050544.485109997"/>
    <n v="0.55277478320653617"/>
  </r>
  <r>
    <s v="ORD-2025-964661"/>
    <d v="2025-02-04T00:00:00"/>
    <d v="2025-02-04T00:00:00"/>
    <d v="2025-02-25T00:00:00"/>
    <d v="2025-02-25T00:00:00"/>
    <n v="21"/>
    <n v="0"/>
    <s v="02-2025"/>
    <s v="Q1-2025"/>
    <d v="2023-01-19T00:00:00"/>
    <s v="01-2023"/>
    <x v="1"/>
    <x v="1"/>
    <s v="Birmingham"/>
    <s v="Birmingham"/>
    <s v="Corporate"/>
    <s v="Marketplace"/>
    <s v="Marketplace"/>
    <s v="D. Smith"/>
    <x v="10"/>
    <x v="3"/>
    <s v="High"/>
    <s v="MON-4959"/>
    <s v="A"/>
    <n v="1016.32"/>
    <n v="2253.42"/>
    <n v="2253.42"/>
    <n v="5.5E-2"/>
    <n v="5.5E-2"/>
    <n v="0"/>
    <n v="12"/>
    <n v="25553.782800000001"/>
    <n v="12195.84"/>
    <n v="13357.942800000001"/>
    <n v="0.52273837124419797"/>
    <n v="6076098.2679099971"/>
    <n v="0.55510936429789726"/>
  </r>
  <r>
    <s v="ORD-2023-422918"/>
    <d v="2023-02-28T00:00:00"/>
    <d v="2023-02-28T00:00:00"/>
    <d v="2023-03-20T00:00:00"/>
    <d v="2023-03-20T00:00:00"/>
    <n v="20"/>
    <n v="0"/>
    <s v="02-2023"/>
    <s v="Q1-2023"/>
    <d v="2023-01-21T00:00:00"/>
    <s v="01-2023"/>
    <x v="1"/>
    <x v="4"/>
    <s v="Berlin"/>
    <s v="Berlin"/>
    <s v="Small Business"/>
    <s v="Direct"/>
    <s v="Direct"/>
    <s v="H. Kim"/>
    <x v="0"/>
    <x v="2"/>
    <s v="High"/>
    <s v="LAP-3679"/>
    <s v="A"/>
    <n v="1200.78"/>
    <n v="2001.17"/>
    <n v="2001.17"/>
    <n v="0.29199999999999998"/>
    <n v="0.29199999999999998"/>
    <n v="1"/>
    <n v="18"/>
    <n v="25502.910479999999"/>
    <n v="21614.04"/>
    <n v="3888.8704799999978"/>
    <n v="0.15248732034132906"/>
    <n v="6101601.1783899972"/>
    <n v="0.55743929771899858"/>
  </r>
  <r>
    <s v="ORD-2024-301260"/>
    <d v="2024-07-29T00:00:00"/>
    <d v="2024-07-29T00:00:00"/>
    <d v="2024-07-31T00:00:00"/>
    <d v="2024-07-31T00:00:00"/>
    <n v="2"/>
    <n v="1"/>
    <s v="07-2024"/>
    <s v="Q3-2024"/>
    <d v="2023-01-13T00:00:00"/>
    <s v="01-2023"/>
    <x v="0"/>
    <x v="6"/>
    <s v="New York"/>
    <s v="New York"/>
    <s v="Education"/>
    <s v="Marketplace"/>
    <s v="Marketplace"/>
    <s v="I. Johnson"/>
    <x v="12"/>
    <x v="6"/>
    <s v="High"/>
    <s v="PRN-2829"/>
    <s v="A"/>
    <n v="798.97"/>
    <n v="1814.06"/>
    <n v="1814.06"/>
    <n v="0.122"/>
    <n v="0.122"/>
    <n v="0"/>
    <n v="16"/>
    <n v="25483.91488"/>
    <n v="12783.52"/>
    <n v="12700.39488"/>
    <n v="0.49836906691159061"/>
    <n v="6127085.0932699973"/>
    <n v="0.55976749571137963"/>
  </r>
  <r>
    <s v="ORD-2023-133848"/>
    <d v="2023-08-15T00:00:00"/>
    <d v="2023-08-15T00:00:00"/>
    <d v="2023-09-07T00:00:00"/>
    <d v="2023-09-07T00:00:00"/>
    <n v="23"/>
    <n v="0"/>
    <s v="08-2023"/>
    <s v="Q3-2023"/>
    <d v="2023-01-13T00:00:00"/>
    <s v="01-2023"/>
    <x v="0"/>
    <x v="6"/>
    <s v="New York"/>
    <s v="New York"/>
    <s v="Enterprise"/>
    <s v="Online"/>
    <s v="Online"/>
    <s v="K. Singh"/>
    <x v="3"/>
    <x v="5"/>
    <s v="Medium"/>
    <s v="PHN-2013"/>
    <s v="A"/>
    <n v="590.33000000000004"/>
    <n v="973.04"/>
    <n v="973.04"/>
    <n v="0"/>
    <n v="0"/>
    <n v="0"/>
    <n v="26"/>
    <n v="25299.040000000001"/>
    <n v="15348.580000000002"/>
    <n v="9950.4599999999991"/>
    <n v="0.39331373838691108"/>
    <n v="6152384.1332699973"/>
    <n v="0.56207880362519613"/>
  </r>
  <r>
    <s v="ORD-2025-795385"/>
    <d v="2025-06-01T00:00:00"/>
    <d v="2025-06-01T00:00:00"/>
    <d v="2025-06-05T00:00:00"/>
    <d v="2025-06-05T00:00:00"/>
    <n v="4"/>
    <n v="1"/>
    <s v="06-2025"/>
    <s v="Q2-2025"/>
    <d v="2023-01-21T00:00:00"/>
    <s v="01-2023"/>
    <x v="1"/>
    <x v="4"/>
    <s v="Munich"/>
    <s v="Munich"/>
    <s v="Enterprise"/>
    <s v="Direct"/>
    <s v="Direct"/>
    <s v="M. Rossi"/>
    <x v="6"/>
    <x v="0"/>
    <s v="High"/>
    <s v="CMP-4159"/>
    <s v="A"/>
    <n v="1171.42"/>
    <n v="2187.8000000000002"/>
    <n v="2187.8000000000002"/>
    <n v="0.23"/>
    <n v="0.23"/>
    <n v="1"/>
    <n v="15"/>
    <n v="25269.09"/>
    <n v="17571.300000000003"/>
    <n v="7697.7899999999972"/>
    <n v="0.30463265594447592"/>
    <n v="6177653.2232699972"/>
    <n v="0.56438737532166927"/>
  </r>
  <r>
    <s v="ORD-2024-728474"/>
    <d v="2024-09-09T00:00:00"/>
    <d v="2024-09-09T00:00:00"/>
    <d v="2024-09-13T00:00:00"/>
    <d v="2024-09-13T00:00:00"/>
    <n v="4"/>
    <n v="1"/>
    <s v="09-2024"/>
    <s v="Q3-2024"/>
    <d v="2023-01-19T00:00:00"/>
    <s v="01-2023"/>
    <x v="1"/>
    <x v="1"/>
    <s v="London"/>
    <s v="London"/>
    <s v="Consumer"/>
    <s v="Marketplace"/>
    <s v="Marketplace"/>
    <s v="F. Müller"/>
    <x v="9"/>
    <x v="1"/>
    <s v="Medium"/>
    <s v="NET-1145"/>
    <s v="A"/>
    <n v="1133.08"/>
    <n v="976.17"/>
    <n v="976.17"/>
    <n v="4.2000000000000003E-2"/>
    <n v="4.2000000000000003E-2"/>
    <n v="0"/>
    <n v="27"/>
    <n v="25249.613219999999"/>
    <n v="30593.159999999996"/>
    <n v="5343.5467799999969"/>
    <n v="0.21162885678452373"/>
    <n v="6202902.8364899969"/>
    <n v="0.56669416762905289"/>
  </r>
  <r>
    <s v="ORD-2025-150713"/>
    <d v="2025-07-11T00:00:00"/>
    <d v="2025-07-11T00:00:00"/>
    <d v="2025-07-16T00:00:00"/>
    <d v="2025-07-16T00:00:00"/>
    <n v="5"/>
    <n v="1"/>
    <s v="07-2025"/>
    <s v="Q3-2025"/>
    <d v="2023-01-19T00:00:00"/>
    <s v="01-2023"/>
    <x v="1"/>
    <x v="1"/>
    <s v="London"/>
    <s v="London"/>
    <s v="Enterprise"/>
    <s v="Online"/>
    <s v="Online"/>
    <s v="K. Singh"/>
    <x v="3"/>
    <x v="6"/>
    <s v="Medium"/>
    <s v="PRN-5753"/>
    <s v="A"/>
    <n v="930.03"/>
    <n v="1086.68"/>
    <n v="1086.68"/>
    <n v="0.109"/>
    <n v="0.109"/>
    <n v="0"/>
    <n v="26"/>
    <n v="25174.028880000002"/>
    <n v="24180.78"/>
    <n v="993.24888000000283"/>
    <n v="3.9455300728168656E-2"/>
    <n v="6228076.865369997"/>
    <n v="0.56899405458812291"/>
  </r>
  <r>
    <s v="ORD-2024-243988"/>
    <d v="2024-03-13T00:00:00"/>
    <d v="2024-03-13T00:00:00"/>
    <d v="2024-04-06T00:00:00"/>
    <d v="2024-04-06T00:00:00"/>
    <n v="24"/>
    <n v="0"/>
    <s v="03-2024"/>
    <s v="Q1-2024"/>
    <d v="2023-01-13T00:00:00"/>
    <s v="01-2023"/>
    <x v="2"/>
    <x v="2"/>
    <s v="Abuja"/>
    <s v="Abuja"/>
    <s v="Consumer"/>
    <s v="Distributor"/>
    <s v="Distributor"/>
    <s v="L. Okafor"/>
    <x v="4"/>
    <x v="0"/>
    <s v="High"/>
    <s v="CMP-9001"/>
    <s v="A"/>
    <n v="1232.78"/>
    <n v="1731.75"/>
    <n v="1731.75"/>
    <n v="9.2999999999999999E-2"/>
    <n v="9.2999999999999999E-2"/>
    <n v="0"/>
    <n v="16"/>
    <n v="25131.155999999999"/>
    <n v="19724.48"/>
    <n v="5406.6759999999995"/>
    <n v="0.21513837246484005"/>
    <n v="6253208.0213699974"/>
    <n v="0.57129002470185675"/>
  </r>
  <r>
    <s v="ORD-2024-766980"/>
    <d v="2024-11-04T00:00:00"/>
    <d v="2024-11-04T00:00:00"/>
    <d v="2024-11-07T00:00:00"/>
    <d v="2024-11-07T00:00:00"/>
    <n v="3"/>
    <n v="1"/>
    <s v="11-2024"/>
    <s v="Q4-2024"/>
    <d v="2023-01-10T00:00:00"/>
    <s v="01-2023"/>
    <x v="1"/>
    <x v="11"/>
    <s v="Lyon"/>
    <s v="Lyon"/>
    <s v="Corporate"/>
    <s v="Online"/>
    <s v="Online"/>
    <s v="O. Wang"/>
    <x v="7"/>
    <x v="3"/>
    <s v="High"/>
    <s v="MON-1118"/>
    <s v="A"/>
    <n v="740.68"/>
    <n v="1837.19"/>
    <n v="1837.19"/>
    <n v="0.19700000000000001"/>
    <n v="0.19700000000000001"/>
    <n v="0"/>
    <n v="17"/>
    <n v="25079.480689999997"/>
    <n v="12591.56"/>
    <n v="12487.920689999997"/>
    <n v="0.4979337827748298"/>
    <n v="6278287.5020599971"/>
    <n v="0.57358127378455726"/>
  </r>
  <r>
    <s v="ORD-2023-271836"/>
    <d v="2023-02-07T00:00:00"/>
    <d v="2023-02-07T00:00:00"/>
    <d v="2023-02-12T00:00:00"/>
    <d v="2023-02-12T00:00:00"/>
    <n v="5"/>
    <n v="1"/>
    <s v="02-2023"/>
    <s v="Q1-2023"/>
    <d v="2023-01-29T00:00:00"/>
    <s v="01-2023"/>
    <x v="0"/>
    <x v="9"/>
    <s v="São Paulo"/>
    <s v="São Paulo"/>
    <s v="Education"/>
    <s v="Online"/>
    <s v="Online"/>
    <s v="N. Brown"/>
    <x v="13"/>
    <x v="0"/>
    <s v="High"/>
    <s v="CMP-2693"/>
    <s v="A"/>
    <n v="948.55"/>
    <n v="2089.16"/>
    <n v="2089.16"/>
    <n v="7.0000000000000001E-3"/>
    <n v="7.0000000000000001E-3"/>
    <n v="0"/>
    <n v="12"/>
    <n v="24894.430559999997"/>
    <n v="11382.599999999999"/>
    <n v="13511.830559999999"/>
    <n v="0.54276519912492427"/>
    <n v="6303181.9326199973"/>
    <n v="0.57585561677793895"/>
  </r>
  <r>
    <s v="ORD-2023-869884"/>
    <d v="2023-03-02T00:00:00"/>
    <d v="2023-03-02T00:00:00"/>
    <d v="2023-03-05T00:00:00"/>
    <d v="2023-03-05T00:00:00"/>
    <n v="3"/>
    <n v="1"/>
    <s v="03-2023"/>
    <s v="Q1-2023"/>
    <d v="2023-01-29T00:00:00"/>
    <s v="01-2023"/>
    <x v="0"/>
    <x v="9"/>
    <s v="Brasília"/>
    <s v="Brasília"/>
    <s v="Enterprise"/>
    <s v="Direct"/>
    <s v="Direct"/>
    <s v="G. Dubois"/>
    <x v="11"/>
    <x v="3"/>
    <s v="High"/>
    <s v="MON-2828"/>
    <s v="A"/>
    <n v="1473.58"/>
    <n v="3436.52"/>
    <n v="3436.52"/>
    <n v="0.108"/>
    <n v="0.108"/>
    <n v="0"/>
    <n v="8"/>
    <n v="24523.006720000001"/>
    <n v="11788.64"/>
    <n v="12734.366720000002"/>
    <n v="0.51928243813652564"/>
    <n v="6327704.9393399972"/>
    <n v="0.57809602667106186"/>
  </r>
  <r>
    <s v="ORD-2024-212990"/>
    <d v="2024-08-12T00:00:00"/>
    <d v="2024-08-12T00:00:00"/>
    <d v="2024-09-03T00:00:00"/>
    <d v="2024-09-03T00:00:00"/>
    <n v="22"/>
    <n v="0"/>
    <s v="08-2024"/>
    <s v="Q3-2024"/>
    <d v="2023-01-13T00:00:00"/>
    <s v="01-2023"/>
    <x v="0"/>
    <x v="6"/>
    <s v="Austin"/>
    <s v="Austin"/>
    <s v="Consumer"/>
    <s v="Distributor"/>
    <s v="Distributor"/>
    <s v="I. Johnson"/>
    <x v="12"/>
    <x v="2"/>
    <s v="Medium"/>
    <s v="LAP-7979"/>
    <s v="A"/>
    <n v="797.8"/>
    <n v="886.22"/>
    <n v="886.22"/>
    <n v="0.23599999999999999"/>
    <n v="0.23599999999999999"/>
    <n v="1"/>
    <n v="36"/>
    <n v="24374.594880000001"/>
    <n v="28720.799999999999"/>
    <n v="4346.2051199999987"/>
    <n v="0.17830881462428633"/>
    <n v="6352079.534219997"/>
    <n v="0.58032287773111058"/>
  </r>
  <r>
    <s v="ORD-2024-202166"/>
    <d v="2024-05-05T00:00:00"/>
    <d v="2024-05-05T00:00:00"/>
    <d v="2024-05-18T00:00:00"/>
    <d v="2024-05-18T00:00:00"/>
    <n v="13"/>
    <n v="0"/>
    <s v="05-2024"/>
    <s v="Q2-2024"/>
    <d v="2023-01-10T00:00:00"/>
    <s v="01-2023"/>
    <x v="1"/>
    <x v="11"/>
    <s v="Marseille"/>
    <s v="Marseille"/>
    <s v="Corporate"/>
    <s v="Marketplace"/>
    <s v="Marketplace"/>
    <s v="A. Patel"/>
    <x v="2"/>
    <x v="0"/>
    <s v="High"/>
    <s v="CMP-3313"/>
    <s v="A"/>
    <n v="1264.04"/>
    <n v="1870.89"/>
    <n v="1870.89"/>
    <n v="0"/>
    <n v="0"/>
    <n v="0"/>
    <n v="13"/>
    <n v="24321.57"/>
    <n v="16432.52"/>
    <n v="7889.0499999999993"/>
    <n v="0.32436433996653996"/>
    <n v="6376401.1042199973"/>
    <n v="0.58254488446407127"/>
  </r>
  <r>
    <s v="ORD-2023-808024"/>
    <d v="2023-12-30T00:00:00"/>
    <d v="2023-12-30T00:00:00"/>
    <d v="2024-01-08T00:00:00"/>
    <d v="2024-01-08T00:00:00"/>
    <n v="9"/>
    <n v="0"/>
    <s v="12-2023"/>
    <s v="Q4-2023"/>
    <d v="2023-01-10T00:00:00"/>
    <s v="01-2023"/>
    <x v="1"/>
    <x v="11"/>
    <s v="Marseille"/>
    <s v="Marseille"/>
    <s v="Consumer"/>
    <s v="Marketplace"/>
    <s v="Marketplace"/>
    <s v="L. Okafor"/>
    <x v="4"/>
    <x v="4"/>
    <s v="Medium"/>
    <s v="ACC-6594"/>
    <s v="A"/>
    <n v="861.1"/>
    <n v="1224.72"/>
    <n v="1224.72"/>
    <n v="0.17399999999999999"/>
    <n v="0.17399999999999999"/>
    <n v="0"/>
    <n v="24"/>
    <n v="24278.849280000002"/>
    <n v="20666.400000000001"/>
    <n v="3612.4492800000007"/>
    <n v="0.14878997098827909"/>
    <n v="6400679.953499997"/>
    <n v="0.58476298825295892"/>
  </r>
  <r>
    <s v="ORD-2025-564184"/>
    <d v="2025-01-29T00:00:00"/>
    <d v="2025-01-29T00:00:00"/>
    <d v="2025-02-06T00:00:00"/>
    <d v="2025-02-06T00:00:00"/>
    <n v="8"/>
    <n v="0"/>
    <s v="01-2025"/>
    <s v="Q1-2025"/>
    <d v="2023-01-20T00:00:00"/>
    <s v="01-2023"/>
    <x v="2"/>
    <x v="5"/>
    <s v="Kisumu"/>
    <s v="Kisumu"/>
    <s v="Education"/>
    <s v="Retail"/>
    <s v="Retail"/>
    <s v="B. Chen"/>
    <x v="1"/>
    <x v="5"/>
    <s v="High"/>
    <s v="PHN-1671"/>
    <s v="A"/>
    <n v="1445.27"/>
    <n v="2691.45"/>
    <n v="2691.45"/>
    <n v="0"/>
    <n v="0"/>
    <n v="0"/>
    <n v="9"/>
    <n v="24223.05"/>
    <n v="13007.43"/>
    <n v="11215.619999999999"/>
    <n v="0.46301436028906351"/>
    <n v="6424903.0034999968"/>
    <n v="0.58697599424693236"/>
  </r>
  <r>
    <s v="ORD-2024-855600"/>
    <d v="2024-04-29T00:00:00"/>
    <d v="2024-04-29T00:00:00"/>
    <d v="2024-05-19T00:00:00"/>
    <d v="2024-05-19T00:00:00"/>
    <n v="20"/>
    <n v="0"/>
    <s v="04-2024"/>
    <s v="Q2-2024"/>
    <d v="2023-01-21T00:00:00"/>
    <s v="01-2023"/>
    <x v="1"/>
    <x v="4"/>
    <s v="Frankfurt"/>
    <s v="Frankfurt"/>
    <s v="Enterprise"/>
    <s v="Marketplace"/>
    <s v="Marketplace"/>
    <s v="C. Otieno"/>
    <x v="5"/>
    <x v="2"/>
    <s v="High"/>
    <s v="LAP-5009"/>
    <s v="A"/>
    <n v="668.97"/>
    <n v="1667.44"/>
    <n v="1667.44"/>
    <n v="3.4000000000000002E-2"/>
    <n v="3.4000000000000002E-2"/>
    <n v="0"/>
    <n v="15"/>
    <n v="24161.205600000001"/>
    <n v="10034.550000000001"/>
    <n v="14126.6556"/>
    <n v="0.58468339013679016"/>
    <n v="6449064.2090999968"/>
    <n v="0.58918335016678647"/>
  </r>
  <r>
    <s v="ORD-2024-553449"/>
    <d v="2024-08-27T00:00:00"/>
    <d v="2024-08-27T00:00:00"/>
    <d v="2024-09-18T00:00:00"/>
    <d v="2024-09-18T00:00:00"/>
    <n v="22"/>
    <n v="0"/>
    <s v="08-2024"/>
    <s v="Q3-2024"/>
    <d v="2023-01-29T00:00:00"/>
    <s v="01-2023"/>
    <x v="3"/>
    <x v="3"/>
    <s v="Delhi"/>
    <s v="Delhi"/>
    <s v="Consumer"/>
    <s v="Direct"/>
    <s v="Direct"/>
    <s v="B. Chen"/>
    <x v="1"/>
    <x v="0"/>
    <s v="High"/>
    <s v="CMP-3875"/>
    <s v="A"/>
    <n v="896.75"/>
    <n v="1651.14"/>
    <n v="1651.14"/>
    <n v="2.5000000000000001E-2"/>
    <n v="2.5000000000000001E-2"/>
    <n v="0"/>
    <n v="15"/>
    <n v="24147.922500000001"/>
    <n v="13451.25"/>
    <n v="10696.672500000001"/>
    <n v="0.44296450346815552"/>
    <n v="6473212.1315999972"/>
    <n v="0.5913894925491251"/>
  </r>
  <r>
    <s v="ORD-2024-798002"/>
    <d v="2024-07-25T00:00:00"/>
    <d v="2024-07-24T00:00:00"/>
    <d v="2024-07-24T00:00:00"/>
    <d v="2024-07-25T00:00:00"/>
    <n v="1"/>
    <n v="1"/>
    <s v="07-2024"/>
    <s v="Q3-2024"/>
    <d v="2023-01-20T00:00:00"/>
    <s v="01-2023"/>
    <x v="2"/>
    <x v="5"/>
    <s v="Mombasa"/>
    <s v="Mombasa"/>
    <s v="Non-Profit"/>
    <s v="Direct"/>
    <s v="Direct"/>
    <s v="J. Njeri"/>
    <x v="8"/>
    <x v="2"/>
    <s v="High"/>
    <s v="LAP-9815"/>
    <s v="A"/>
    <n v="1494.4"/>
    <n v="3661.07"/>
    <n v="3661.07"/>
    <n v="7.1999999999999995E-2"/>
    <n v="7.1999999999999995E-2"/>
    <n v="0"/>
    <n v="7"/>
    <n v="23782.310720000001"/>
    <n v="10460.800000000001"/>
    <n v="13321.51072"/>
    <n v="0.56014366630897339"/>
    <n v="6496994.4423199976"/>
    <n v="0.59356223281816212"/>
  </r>
  <r>
    <s v="ORD-2024-851993"/>
    <d v="2024-05-01T00:00:00"/>
    <d v="2024-05-01T00:00:00"/>
    <d v="2024-05-16T00:00:00"/>
    <d v="2024-05-16T00:00:00"/>
    <n v="15"/>
    <n v="0"/>
    <s v="05-2024"/>
    <s v="Q2-2024"/>
    <d v="2023-01-29T00:00:00"/>
    <s v="01-2023"/>
    <x v="3"/>
    <x v="3"/>
    <s v="Bengaluru"/>
    <s v="Bengaluru"/>
    <s v="Small Business"/>
    <s v="Retail"/>
    <s v="Retail"/>
    <s v="L. Okafor"/>
    <x v="4"/>
    <x v="0"/>
    <s v="High"/>
    <s v="CMP-6811"/>
    <s v="A"/>
    <n v="901.19"/>
    <n v="2125.44"/>
    <n v="2125.44"/>
    <n v="7.0999999999999994E-2"/>
    <n v="7.0999999999999994E-2"/>
    <n v="0"/>
    <n v="12"/>
    <n v="23694.405119999999"/>
    <n v="10814.28"/>
    <n v="12880.125119999999"/>
    <n v="0.54359352154100415"/>
    <n v="6520688.8474399978"/>
    <n v="0.59572694207460153"/>
  </r>
  <r>
    <s v="ORD-2024-286833"/>
    <d v="2024-08-14T00:00:00"/>
    <d v="2024-08-14T00:00:00"/>
    <d v="2024-09-04T00:00:00"/>
    <d v="2024-09-04T00:00:00"/>
    <n v="21"/>
    <n v="0"/>
    <s v="08-2024"/>
    <s v="Q3-2024"/>
    <d v="2023-01-19T00:00:00"/>
    <s v="01-2023"/>
    <x v="1"/>
    <x v="1"/>
    <s v="Manchester"/>
    <s v="Manchester"/>
    <s v="Non-Profit"/>
    <s v="Online"/>
    <s v="Online"/>
    <s v="J. Njeri"/>
    <x v="8"/>
    <x v="5"/>
    <s v="High"/>
    <s v="PHN-2341"/>
    <s v="A"/>
    <n v="1138.8"/>
    <n v="2250.81"/>
    <n v="2250.81"/>
    <n v="0.123"/>
    <n v="0.123"/>
    <n v="0"/>
    <n v="12"/>
    <n v="23687.524440000001"/>
    <n v="13665.599999999999"/>
    <n v="10021.924440000003"/>
    <n v="0.42308872188756258"/>
    <n v="6544376.3718799977"/>
    <n v="0.59789102271548333"/>
  </r>
  <r>
    <s v="ORD-2023-674887"/>
    <d v="2023-12-16T00:00:00"/>
    <d v="2023-12-16T00:00:00"/>
    <d v="2023-12-19T00:00:00"/>
    <d v="2023-12-19T00:00:00"/>
    <n v="3"/>
    <n v="1"/>
    <s v="12-2023"/>
    <s v="Q4-2023"/>
    <d v="2023-01-12T00:00:00"/>
    <s v="01-2023"/>
    <x v="3"/>
    <x v="10"/>
    <s v="Beijing"/>
    <s v="Beijing"/>
    <s v="Education"/>
    <s v="Retail"/>
    <s v="Retail"/>
    <s v="A. Patel"/>
    <x v="2"/>
    <x v="4"/>
    <s v="High"/>
    <s v="ACC-9644"/>
    <s v="A"/>
    <n v="1415.05"/>
    <n v="1972.38"/>
    <n v="1972.38"/>
    <n v="0"/>
    <n v="0"/>
    <n v="0"/>
    <n v="12"/>
    <n v="23668.560000000001"/>
    <n v="16980.599999999999"/>
    <n v="6687.9600000000028"/>
    <n v="0.28256725377462771"/>
    <n v="6568044.9318799973"/>
    <n v="0.60005337077440724"/>
  </r>
  <r>
    <s v="ORD-2023-667815"/>
    <d v="2023-10-21T00:00:00"/>
    <d v="2023-10-21T00:00:00"/>
    <d v="2023-11-09T00:00:00"/>
    <d v="2023-11-09T00:00:00"/>
    <n v="19"/>
    <n v="0"/>
    <s v="10-2023"/>
    <s v="Q4-2023"/>
    <d v="2023-01-19T00:00:00"/>
    <s v="01-2023"/>
    <x v="1"/>
    <x v="1"/>
    <s v="London"/>
    <s v="London"/>
    <s v="Non-Profit"/>
    <s v="Direct"/>
    <s v="Direct"/>
    <s v="A. Patel"/>
    <x v="2"/>
    <x v="4"/>
    <s v="High"/>
    <s v="ACC-8557"/>
    <s v="A"/>
    <n v="1142.48"/>
    <n v="2105.5300000000002"/>
    <n v="2105.5300000000002"/>
    <n v="0.20699999999999999"/>
    <n v="0.20699999999999999"/>
    <n v="1"/>
    <n v="14"/>
    <n v="23375.594060000003"/>
    <n v="15994.720000000001"/>
    <n v="7380.8740600000019"/>
    <n v="0.31575129346680658"/>
    <n v="6591420.5259399973"/>
    <n v="0.60218895360842151"/>
  </r>
  <r>
    <s v="ORD-2024-921935"/>
    <d v="2024-01-01T00:00:00"/>
    <d v="2024-01-01T00:00:00"/>
    <d v="2024-01-27T00:00:00"/>
    <d v="2024-01-27T00:00:00"/>
    <n v="26"/>
    <n v="0"/>
    <s v="01-2024"/>
    <s v="Q1-2024"/>
    <d v="2023-01-19T00:00:00"/>
    <s v="01-2023"/>
    <x v="1"/>
    <x v="1"/>
    <s v="Manchester"/>
    <s v="Manchester"/>
    <s v="Education"/>
    <s v="Distributor"/>
    <s v="Distributor"/>
    <s v="D. Smith"/>
    <x v="10"/>
    <x v="4"/>
    <s v="Medium"/>
    <s v="ACC-3103"/>
    <s v="A"/>
    <n v="657.45"/>
    <n v="1325.96"/>
    <n v="1325.96"/>
    <n v="0.16700000000000001"/>
    <n v="0.16700000000000001"/>
    <n v="0"/>
    <n v="21"/>
    <n v="23195.01828"/>
    <n v="13806.45"/>
    <n v="9388.5682799999995"/>
    <n v="0.40476658249048808"/>
    <n v="6614615.5442199977"/>
    <n v="0.60430803912754327"/>
  </r>
  <r>
    <s v="ORD-2023-172095"/>
    <d v="2023-05-24T00:00:00"/>
    <d v="2023-05-24T00:00:00"/>
    <d v="2023-06-21T00:00:00"/>
    <d v="2023-06-21T00:00:00"/>
    <n v="28"/>
    <n v="0"/>
    <s v="05-2023"/>
    <s v="Q2-2023"/>
    <d v="2023-01-13T00:00:00"/>
    <s v="01-2023"/>
    <x v="0"/>
    <x v="6"/>
    <s v="Austin"/>
    <s v="Austin"/>
    <s v="Small Business"/>
    <s v="Marketplace"/>
    <s v="Marketplace"/>
    <s v="G. Dubois"/>
    <x v="11"/>
    <x v="3"/>
    <s v="Medium"/>
    <s v="MON-6882"/>
    <s v="A"/>
    <n v="813.97"/>
    <n v="1568.83"/>
    <n v="1568.83"/>
    <n v="1.7000000000000001E-2"/>
    <n v="1.7000000000000001E-2"/>
    <n v="0"/>
    <n v="15"/>
    <n v="23132.398349999996"/>
    <n v="12209.550000000001"/>
    <n v="10922.848349999995"/>
    <n v="0.4721883215364911"/>
    <n v="6637747.9425699981"/>
    <n v="0.60642140372050457"/>
  </r>
  <r>
    <s v="ORD-2023-576840"/>
    <d v="2023-11-19T00:00:00"/>
    <d v="2023-11-19T00:00:00"/>
    <d v="2023-12-13T00:00:00"/>
    <d v="2023-12-13T00:00:00"/>
    <n v="24"/>
    <n v="0"/>
    <s v="11-2023"/>
    <s v="Q4-2023"/>
    <d v="2023-01-10T00:00:00"/>
    <s v="01-2023"/>
    <x v="1"/>
    <x v="11"/>
    <s v="Lyon"/>
    <s v="Lyon"/>
    <s v="Non-Profit"/>
    <s v="Direct"/>
    <s v="Direct"/>
    <s v="H. Kim"/>
    <x v="0"/>
    <x v="3"/>
    <s v="High"/>
    <s v="MON-3745"/>
    <s v="A"/>
    <n v="1297.42"/>
    <n v="2742.97"/>
    <n v="2742.97"/>
    <n v="6.9000000000000006E-2"/>
    <n v="6.9000000000000006E-2"/>
    <n v="0"/>
    <n v="9"/>
    <n v="22983.34563"/>
    <n v="11676.78"/>
    <n v="11306.565629999999"/>
    <n v="0.49194602961727291"/>
    <n v="6660731.2881999984"/>
    <n v="0.60852115092990855"/>
  </r>
  <r>
    <s v="ORD-2023-638181"/>
    <d v="2023-05-20T00:00:00"/>
    <d v="2023-05-20T00:00:00"/>
    <d v="2023-06-07T00:00:00"/>
    <d v="2023-06-07T00:00:00"/>
    <n v="18"/>
    <n v="0"/>
    <s v="05-2023"/>
    <s v="Q2-2023"/>
    <d v="2023-01-13T00:00:00"/>
    <s v="01-2023"/>
    <x v="2"/>
    <x v="2"/>
    <s v="Port Harcourt"/>
    <s v="Port Harcourt"/>
    <s v="Enterprise"/>
    <s v="Distributor"/>
    <s v="Distributor"/>
    <s v="E. Garcia"/>
    <x v="14"/>
    <x v="0"/>
    <s v="High"/>
    <s v="CMP-4630"/>
    <s v="A"/>
    <n v="1120.06"/>
    <n v="2068.21"/>
    <n v="2068.21"/>
    <n v="7.8E-2"/>
    <n v="7.8E-2"/>
    <n v="0"/>
    <n v="12"/>
    <n v="22882.675440000003"/>
    <n v="13440.72"/>
    <n v="9441.9554400000034"/>
    <n v="0.41262462795303284"/>
    <n v="6683613.9636399988"/>
    <n v="0.61061170096001915"/>
  </r>
  <r>
    <s v="ORD-2025-246692"/>
    <d v="2025-04-17T00:00:00"/>
    <d v="2025-04-17T00:00:00"/>
    <d v="2025-04-17T00:00:00"/>
    <d v="2025-04-17T00:00:00"/>
    <n v="0"/>
    <n v="1"/>
    <s v="04-2025"/>
    <s v="Q2-2025"/>
    <d v="2023-01-29T00:00:00"/>
    <s v="01-2023"/>
    <x v="0"/>
    <x v="9"/>
    <s v="São Paulo"/>
    <s v="São Paulo"/>
    <s v="Corporate"/>
    <s v="Distributor"/>
    <s v="Distributor"/>
    <s v="L. Okafor"/>
    <x v="4"/>
    <x v="5"/>
    <s v="Medium"/>
    <s v="PHN-4566"/>
    <s v="A"/>
    <n v="719.41"/>
    <n v="1125.99"/>
    <n v="1125.99"/>
    <n v="4.1000000000000002E-2"/>
    <n v="4.1000000000000002E-2"/>
    <n v="0"/>
    <n v="21"/>
    <n v="22676.312610000001"/>
    <n v="15107.609999999999"/>
    <n v="7568.7026100000021"/>
    <n v="0.33377131194876403"/>
    <n v="6706290.2762499992"/>
    <n v="0.61268339778296854"/>
  </r>
  <r>
    <s v="ORD-2023-609394"/>
    <d v="2023-04-16T00:00:00"/>
    <d v="2023-04-16T00:00:00"/>
    <d v="2023-04-19T00:00:00"/>
    <d v="2023-04-19T00:00:00"/>
    <n v="3"/>
    <n v="1"/>
    <s v="04-2023"/>
    <s v="Q2-2023"/>
    <d v="2023-01-21T00:00:00"/>
    <s v="01-2023"/>
    <x v="1"/>
    <x v="4"/>
    <s v="Munich"/>
    <s v="Munich"/>
    <s v="Corporate"/>
    <s v="Direct"/>
    <s v="Direct"/>
    <s v="B. Chen"/>
    <x v="1"/>
    <x v="4"/>
    <s v="Low"/>
    <s v="ACC-1731"/>
    <s v="A"/>
    <n v="553.61"/>
    <n v="699.47"/>
    <n v="699.47"/>
    <n v="0.02"/>
    <n v="0.02"/>
    <n v="0"/>
    <n v="33"/>
    <n v="22620.859800000002"/>
    <n v="18269.13"/>
    <n v="4351.729800000001"/>
    <n v="0.19237685209472014"/>
    <n v="6728911.1360499989"/>
    <n v="0.61475002846433324"/>
  </r>
  <r>
    <s v="ORD-2024-468615"/>
    <d v="2024-07-09T00:00:00"/>
    <d v="2024-07-09T00:00:00"/>
    <d v="2024-07-12T00:00:00"/>
    <d v="2024-07-12T00:00:00"/>
    <n v="3"/>
    <n v="1"/>
    <s v="07-2024"/>
    <s v="Q3-2024"/>
    <d v="2023-01-12T00:00:00"/>
    <s v="01-2023"/>
    <x v="3"/>
    <x v="10"/>
    <s v="Shanghai"/>
    <s v="Shanghai"/>
    <s v="Small Business"/>
    <s v="Retail"/>
    <s v="Retail"/>
    <s v="D. Smith"/>
    <x v="10"/>
    <x v="4"/>
    <s v="Medium"/>
    <s v="ACC-3721"/>
    <s v="A"/>
    <n v="748.39"/>
    <n v="979.42"/>
    <n v="979.42"/>
    <n v="0"/>
    <n v="0"/>
    <n v="0"/>
    <n v="23"/>
    <n v="22526.66"/>
    <n v="17212.97"/>
    <n v="5313.6899999999987"/>
    <n v="0.23588450307324738"/>
    <n v="6751437.7960499991"/>
    <n v="0.61680805309806852"/>
  </r>
  <r>
    <s v="ORD-2024-390951"/>
    <d v="2024-12-20T00:00:00"/>
    <d v="2024-12-20T00:00:00"/>
    <d v="2025-01-14T00:00:00"/>
    <d v="2025-01-14T00:00:00"/>
    <n v="25"/>
    <n v="0"/>
    <s v="12-2024"/>
    <s v="Q4-2024"/>
    <d v="2023-01-29T00:00:00"/>
    <s v="01-2023"/>
    <x v="3"/>
    <x v="3"/>
    <s v="Delhi"/>
    <s v="Delhi"/>
    <s v="Small Business"/>
    <s v="Retail"/>
    <s v="Retail"/>
    <s v="M. Rossi"/>
    <x v="6"/>
    <x v="6"/>
    <s v="High"/>
    <s v="PRN-9378"/>
    <s v="A"/>
    <n v="1361.34"/>
    <n v="1737.9"/>
    <n v="1737.9"/>
    <n v="7.6999999999999999E-2"/>
    <n v="7.6999999999999999E-2"/>
    <n v="0"/>
    <n v="14"/>
    <n v="22457.143800000002"/>
    <n v="19058.759999999998"/>
    <n v="3398.3838000000032"/>
    <n v="0.15132751654731813"/>
    <n v="6773894.9398499988"/>
    <n v="0.61885972676579082"/>
  </r>
  <r>
    <s v="ORD-2024-819979"/>
    <d v="2024-05-28T00:00:00"/>
    <d v="2024-05-28T00:00:00"/>
    <d v="2024-06-18T00:00:00"/>
    <d v="2024-06-18T00:00:00"/>
    <n v="21"/>
    <n v="0"/>
    <s v="05-2024"/>
    <s v="Q2-2024"/>
    <d v="2023-01-21T00:00:00"/>
    <s v="01-2023"/>
    <x v="1"/>
    <x v="4"/>
    <s v="Frankfurt"/>
    <s v="Frankfurt"/>
    <s v="Small Business"/>
    <s v="Online"/>
    <s v="Online"/>
    <s v="E. Garcia"/>
    <x v="14"/>
    <x v="5"/>
    <s v="High"/>
    <s v="PHN-9399"/>
    <s v="A"/>
    <n v="986.85"/>
    <n v="2422.1"/>
    <n v="2422.1"/>
    <n v="7.5999999999999998E-2"/>
    <n v="7.5999999999999998E-2"/>
    <n v="0"/>
    <n v="10"/>
    <n v="22380.204000000002"/>
    <n v="9868.5"/>
    <n v="12511.704000000002"/>
    <n v="0.55905227673527913"/>
    <n v="6796275.1438499987"/>
    <n v="0.62090437125103726"/>
  </r>
  <r>
    <s v="ORD-2023-568013"/>
    <d v="2023-09-30T00:00:00"/>
    <d v="2023-09-30T00:00:00"/>
    <d v="2023-10-30T00:00:00"/>
    <d v="2023-10-30T00:00:00"/>
    <n v="30"/>
    <n v="0"/>
    <s v="09-2023"/>
    <s v="Q3-2023"/>
    <d v="2023-03-03T00:00:00"/>
    <s v="03-2023"/>
    <x v="3"/>
    <x v="7"/>
    <s v="Tokyo"/>
    <s v="Tokyo"/>
    <s v="Enterprise"/>
    <s v="Online"/>
    <s v="Online"/>
    <s v="D. Smith"/>
    <x v="10"/>
    <x v="6"/>
    <s v="Medium"/>
    <s v="PRN-1786"/>
    <s v="A"/>
    <n v="649.13"/>
    <n v="975.43"/>
    <n v="975.43"/>
    <n v="0.157"/>
    <n v="0.157"/>
    <n v="0"/>
    <n v="27"/>
    <n v="22201.762229999997"/>
    <n v="17526.509999999998"/>
    <n v="4675.2522299999982"/>
    <n v="0.21058023149543473"/>
    <n v="6818476.9060799992"/>
    <n v="0.62293271338350042"/>
  </r>
  <r>
    <s v="ORD-2023-676553"/>
    <d v="2023-05-20T00:00:00"/>
    <d v="2023-05-20T00:00:00"/>
    <d v="2023-06-19T00:00:00"/>
    <d v="2023-06-19T00:00:00"/>
    <n v="30"/>
    <n v="0"/>
    <s v="05-2023"/>
    <s v="Q2-2023"/>
    <d v="2023-01-29T00:00:00"/>
    <s v="01-2023"/>
    <x v="3"/>
    <x v="3"/>
    <s v="Delhi"/>
    <s v="Delhi"/>
    <s v="Non-Profit"/>
    <s v="Marketplace"/>
    <s v="Marketplace"/>
    <s v="H. Kim"/>
    <x v="0"/>
    <x v="2"/>
    <s v="Medium"/>
    <s v="LAP-2806"/>
    <s v="A"/>
    <n v="1161.2"/>
    <n v="878.73"/>
    <n v="878.73"/>
    <n v="0.19"/>
    <n v="0.19"/>
    <n v="0"/>
    <n v="31"/>
    <n v="22064.910300000003"/>
    <n v="35997.200000000004"/>
    <n v="13932.289700000001"/>
    <n v="0.63142290227212028"/>
    <n v="6840541.8163799988"/>
    <n v="0.62494855279061001"/>
  </r>
  <r>
    <s v="ORD-2023-848013"/>
    <d v="2023-02-20T00:00:00"/>
    <d v="2023-02-20T00:00:00"/>
    <d v="2023-03-04T00:00:00"/>
    <d v="2023-03-04T00:00:00"/>
    <n v="12"/>
    <n v="0"/>
    <s v="02-2023"/>
    <s v="Q1-2023"/>
    <d v="2023-01-29T00:00:00"/>
    <s v="01-2023"/>
    <x v="3"/>
    <x v="3"/>
    <s v="Delhi"/>
    <s v="Delhi"/>
    <s v="Consumer"/>
    <s v="Distributor"/>
    <s v="Distributor"/>
    <s v="M. Rossi"/>
    <x v="6"/>
    <x v="3"/>
    <s v="Low"/>
    <s v="MON-9906"/>
    <s v="A"/>
    <n v="299.75"/>
    <n v="523.01"/>
    <n v="523.01"/>
    <n v="0.157"/>
    <n v="0.157"/>
    <n v="0"/>
    <n v="50"/>
    <n v="22044.871499999997"/>
    <n v="14987.5"/>
    <n v="7057.3714999999975"/>
    <n v="0.32013665854210122"/>
    <n v="6862586.6878799992"/>
    <n v="0.62696256146275797"/>
  </r>
  <r>
    <s v="ORD-2023-867175"/>
    <d v="2023-08-10T00:00:00"/>
    <d v="2023-08-10T00:00:00"/>
    <d v="2023-08-15T00:00:00"/>
    <d v="2023-08-15T00:00:00"/>
    <n v="5"/>
    <n v="1"/>
    <s v="08-2023"/>
    <s v="Q3-2023"/>
    <d v="2023-01-29T00:00:00"/>
    <s v="01-2023"/>
    <x v="0"/>
    <x v="9"/>
    <s v="São Paulo"/>
    <s v="São Paulo"/>
    <s v="Education"/>
    <s v="Direct"/>
    <s v="Direct"/>
    <s v="G. Dubois"/>
    <x v="11"/>
    <x v="1"/>
    <s v="High"/>
    <s v="NET-2894"/>
    <s v="A"/>
    <n v="1307.52"/>
    <n v="1921.65"/>
    <n v="1921.65"/>
    <n v="0.123"/>
    <n v="0.123"/>
    <n v="0"/>
    <n v="13"/>
    <n v="21908.731650000002"/>
    <n v="16997.759999999998"/>
    <n v="4910.9716500000031"/>
    <n v="0.22415590863289445"/>
    <n v="6884495.4195299996"/>
    <n v="0.62896413246483263"/>
  </r>
  <r>
    <s v="ORD-2024-668926"/>
    <d v="2024-10-23T00:00:00"/>
    <d v="2024-10-23T00:00:00"/>
    <d v="2024-11-14T00:00:00"/>
    <d v="2024-11-14T00:00:00"/>
    <n v="22"/>
    <n v="0"/>
    <s v="10-2024"/>
    <s v="Q4-2024"/>
    <d v="2023-03-03T00:00:00"/>
    <s v="03-2023"/>
    <x v="3"/>
    <x v="7"/>
    <s v="Osaka"/>
    <s v="Osaka"/>
    <s v="Non-Profit"/>
    <s v="Direct"/>
    <s v="Direct"/>
    <s v="B. Chen"/>
    <x v="1"/>
    <x v="5"/>
    <s v="Medium"/>
    <s v="PHN-9789"/>
    <s v="A"/>
    <n v="1406.4"/>
    <n v="1564.76"/>
    <n v="1564.76"/>
    <n v="0.185"/>
    <n v="0.185"/>
    <n v="0"/>
    <n v="17"/>
    <n v="21679.749799999998"/>
    <n v="23908.800000000003"/>
    <n v="2229.0502000000051"/>
    <n v="0.10281715520536151"/>
    <n v="6906175.1693299999"/>
    <n v="0.63094478379714813"/>
  </r>
  <r>
    <s v="ORD-2024-510520"/>
    <d v="2024-09-25T00:00:00"/>
    <d v="2024-09-25T00:00:00"/>
    <d v="2024-10-03T00:00:00"/>
    <d v="2024-10-03T00:00:00"/>
    <n v="8"/>
    <n v="0"/>
    <s v="09-2024"/>
    <s v="Q3-2024"/>
    <d v="2023-01-02T00:00:00"/>
    <s v="01-2023"/>
    <x v="0"/>
    <x v="0"/>
    <s v="Toronto"/>
    <s v="Toronto"/>
    <s v="Consumer"/>
    <s v="Online"/>
    <s v="Online"/>
    <s v="E. Garcia"/>
    <x v="14"/>
    <x v="6"/>
    <s v="Medium"/>
    <s v="PRN-9557"/>
    <s v="A"/>
    <n v="558.19000000000005"/>
    <n v="1031.6400000000001"/>
    <n v="1031.6400000000001"/>
    <n v="0"/>
    <n v="0"/>
    <n v="0"/>
    <n v="21"/>
    <n v="21664.440000000002"/>
    <n v="11721.990000000002"/>
    <n v="9942.4500000000007"/>
    <n v="0.45892947152107322"/>
    <n v="6927839.6093300004"/>
    <n v="0.63292403643362771"/>
  </r>
  <r>
    <s v="ORD-2024-890180"/>
    <d v="2024-01-20T00:00:00"/>
    <d v="2024-01-20T00:00:00"/>
    <d v="2024-02-13T00:00:00"/>
    <d v="2024-02-13T00:00:00"/>
    <n v="24"/>
    <n v="0"/>
    <s v="01-2024"/>
    <s v="Q1-2024"/>
    <d v="2023-01-10T00:00:00"/>
    <s v="01-2023"/>
    <x v="1"/>
    <x v="11"/>
    <s v="Marseille"/>
    <s v="Marseille"/>
    <s v="Corporate"/>
    <s v="Retail"/>
    <s v="Retail"/>
    <s v="H. Kim"/>
    <x v="0"/>
    <x v="6"/>
    <s v="Medium"/>
    <s v="PRN-8392"/>
    <s v="A"/>
    <n v="643.53"/>
    <n v="1439.01"/>
    <n v="1439.01"/>
    <n v="0"/>
    <n v="0"/>
    <n v="0"/>
    <n v="15"/>
    <n v="21585.15"/>
    <n v="9652.9499999999989"/>
    <n v="11932.200000000003"/>
    <n v="0.55279671440782208"/>
    <n v="6949424.7593300007"/>
    <n v="0.63489604517450948"/>
  </r>
  <r>
    <s v="ORD-2025-125517"/>
    <d v="2025-03-21T00:00:00"/>
    <d v="2025-03-21T00:00:00"/>
    <d v="2025-04-09T00:00:00"/>
    <d v="2025-04-09T00:00:00"/>
    <n v="19"/>
    <n v="0"/>
    <s v="03-2025"/>
    <s v="Q1-2025"/>
    <d v="2023-03-03T00:00:00"/>
    <s v="03-2023"/>
    <x v="3"/>
    <x v="7"/>
    <s v="Tokyo"/>
    <s v="Tokyo"/>
    <s v="Small Business"/>
    <s v="Distributor"/>
    <s v="Distributor"/>
    <s v="E. Garcia"/>
    <x v="14"/>
    <x v="0"/>
    <s v="Medium"/>
    <s v="CMP-7055"/>
    <s v="A"/>
    <n v="1055.45"/>
    <n v="1210.04"/>
    <n v="1210.04"/>
    <n v="8.9999999999999993E-3"/>
    <n v="8.9999999999999993E-3"/>
    <n v="0"/>
    <n v="18"/>
    <n v="21584.693520000001"/>
    <n v="18998.100000000002"/>
    <n v="2586.5935199999985"/>
    <n v="0.1198346188053727"/>
    <n v="6971009.4528500009"/>
    <n v="0.63686801221160183"/>
  </r>
  <r>
    <s v="ORD-2023-195665"/>
    <d v="2023-12-19T00:00:00"/>
    <d v="2023-12-19T00:00:00"/>
    <d v="2023-12-20T00:00:00"/>
    <d v="2023-12-20T00:00:00"/>
    <n v="1"/>
    <n v="1"/>
    <s v="12-2023"/>
    <s v="Q4-2023"/>
    <d v="2023-01-29T00:00:00"/>
    <s v="01-2023"/>
    <x v="0"/>
    <x v="9"/>
    <s v="Rio de Janeiro"/>
    <s v="Rio de Janeiro"/>
    <s v="Consumer"/>
    <s v="Distributor"/>
    <s v="Distributor"/>
    <s v="J. Njeri"/>
    <x v="8"/>
    <x v="5"/>
    <s v="High"/>
    <s v="PHN-7274"/>
    <s v="A"/>
    <n v="1080.43"/>
    <n v="2529.15"/>
    <n v="2529.15"/>
    <n v="0.14699999999999999"/>
    <n v="0.14699999999999999"/>
    <n v="0"/>
    <n v="10"/>
    <n v="21573.6495"/>
    <n v="10804.300000000001"/>
    <n v="10769.349499999998"/>
    <n v="0.49918997247081437"/>
    <n v="6992583.1023500012"/>
    <n v="0.63883897027243153"/>
  </r>
  <r>
    <s v="ORD-2023-497686"/>
    <d v="2023-07-03T00:00:00"/>
    <d v="2023-07-03T00:00:00"/>
    <d v="2023-07-23T00:00:00"/>
    <d v="2023-07-23T00:00:00"/>
    <n v="20"/>
    <n v="0"/>
    <s v="07-2023"/>
    <s v="Q3-2023"/>
    <d v="2023-01-07T00:00:00"/>
    <s v="01-2023"/>
    <x v="2"/>
    <x v="8"/>
    <s v="Johannesburg"/>
    <s v="Johannesburg"/>
    <s v="Small Business"/>
    <s v="Distributor"/>
    <s v="Distributor"/>
    <s v="F. Müller"/>
    <x v="9"/>
    <x v="2"/>
    <s v="Medium"/>
    <s v="LAP-6342"/>
    <s v="A"/>
    <n v="1001.96"/>
    <n v="1254.95"/>
    <n v="1254.95"/>
    <n v="4.4999999999999998E-2"/>
    <n v="4.4999999999999998E-2"/>
    <n v="0"/>
    <n v="18"/>
    <n v="21572.590500000002"/>
    <n v="18035.28"/>
    <n v="3537.3105000000032"/>
    <n v="0.16397244920585699"/>
    <n v="7014155.6928500012"/>
    <n v="0.64080983158353955"/>
  </r>
  <r>
    <s v="ORD-2025-881624"/>
    <d v="2025-02-21T00:00:00"/>
    <d v="2025-02-21T00:00:00"/>
    <d v="2025-03-21T00:00:00"/>
    <d v="2025-03-21T00:00:00"/>
    <n v="28"/>
    <n v="0"/>
    <s v="02-2025"/>
    <s v="Q1-2025"/>
    <d v="2023-01-13T00:00:00"/>
    <s v="01-2023"/>
    <x v="2"/>
    <x v="2"/>
    <s v="Abuja"/>
    <s v="Abuja"/>
    <s v="Enterprise"/>
    <s v="Marketplace"/>
    <s v="Marketplace"/>
    <s v="I. Johnson"/>
    <x v="12"/>
    <x v="5"/>
    <s v="Medium"/>
    <s v="PHN-5887"/>
    <s v="A"/>
    <n v="1437.39"/>
    <n v="1388.31"/>
    <n v="1388.31"/>
    <n v="0.13800000000000001"/>
    <n v="0.13800000000000001"/>
    <n v="0"/>
    <n v="18"/>
    <n v="21541.017959999997"/>
    <n v="25873.02"/>
    <n v="4332.002040000003"/>
    <n v="0.20110479681341872"/>
    <n v="7035696.710810001"/>
    <n v="0.64277780844284371"/>
  </r>
  <r>
    <s v="ORD-2025-330203"/>
    <d v="2025-03-25T00:00:00"/>
    <d v="2025-03-25T00:00:00"/>
    <d v="2025-04-17T00:00:00"/>
    <d v="2025-04-17T00:00:00"/>
    <n v="23"/>
    <n v="0"/>
    <s v="03-2025"/>
    <s v="Q1-2025"/>
    <d v="2023-01-19T00:00:00"/>
    <s v="01-2023"/>
    <x v="1"/>
    <x v="1"/>
    <s v="London"/>
    <s v="London"/>
    <s v="Consumer"/>
    <s v="Retail"/>
    <s v="Retail"/>
    <s v="H. Kim"/>
    <x v="0"/>
    <x v="1"/>
    <s v="High"/>
    <s v="NET-7166"/>
    <s v="A"/>
    <n v="1421.19"/>
    <n v="1808.26"/>
    <n v="1808.26"/>
    <n v="0.104"/>
    <n v="0.104"/>
    <n v="0"/>
    <n v="13"/>
    <n v="21062.61248"/>
    <n v="18475.47"/>
    <n v="2587.1424799999986"/>
    <n v="0.12283103449093123"/>
    <n v="7056759.3232900007"/>
    <n v="0.6447020784116122"/>
  </r>
  <r>
    <s v="ORD-2023-581799"/>
    <d v="2023-12-05T00:00:00"/>
    <d v="2023-12-05T00:00:00"/>
    <d v="2023-12-12T00:00:00"/>
    <d v="2023-12-12T00:00:00"/>
    <n v="7"/>
    <n v="1"/>
    <s v="12-2023"/>
    <s v="Q4-2023"/>
    <d v="2023-01-29T00:00:00"/>
    <s v="01-2023"/>
    <x v="0"/>
    <x v="9"/>
    <s v="Brasília"/>
    <s v="Brasília"/>
    <s v="Corporate"/>
    <s v="Direct"/>
    <s v="Direct"/>
    <s v="F. Müller"/>
    <x v="9"/>
    <x v="5"/>
    <s v="Low"/>
    <s v="PHN-6506"/>
    <s v="A"/>
    <n v="307.43"/>
    <n v="495.19"/>
    <n v="495.19"/>
    <n v="0"/>
    <n v="0"/>
    <n v="0"/>
    <n v="42"/>
    <n v="20797.98"/>
    <n v="12912.06"/>
    <n v="7885.92"/>
    <n v="0.37916759223732305"/>
    <n v="7077557.3032900011"/>
    <n v="0.64660217168651113"/>
  </r>
  <r>
    <s v="ORD-2023-184577"/>
    <d v="2023-05-17T00:00:00"/>
    <d v="2023-05-17T00:00:00"/>
    <d v="2023-06-03T00:00:00"/>
    <d v="2023-06-03T00:00:00"/>
    <n v="17"/>
    <n v="0"/>
    <s v="05-2023"/>
    <s v="Q2-2023"/>
    <d v="2023-01-12T00:00:00"/>
    <s v="01-2023"/>
    <x v="3"/>
    <x v="10"/>
    <s v="Beijing"/>
    <s v="Beijing"/>
    <s v="Non-Profit"/>
    <s v="Distributor"/>
    <s v="Distributor"/>
    <s v="M. Rossi"/>
    <x v="6"/>
    <x v="6"/>
    <s v="High"/>
    <s v="PRN-1923"/>
    <s v="A"/>
    <n v="979.59"/>
    <n v="2210.94"/>
    <n v="2210.94"/>
    <n v="0.15"/>
    <n v="0.15"/>
    <n v="0"/>
    <n v="11"/>
    <n v="20672.289000000001"/>
    <n v="10775.49"/>
    <n v="9896.7990000000009"/>
    <n v="0.47874712858358359"/>
    <n v="7098229.592290001"/>
    <n v="0.64849078189315934"/>
  </r>
  <r>
    <s v="ORD-2025-398335"/>
    <d v="2025-06-01T00:00:00"/>
    <d v="2025-06-01T00:00:00"/>
    <d v="2025-06-27T00:00:00"/>
    <d v="2025-06-27T00:00:00"/>
    <n v="26"/>
    <n v="0"/>
    <s v="06-2025"/>
    <s v="Q2-2025"/>
    <d v="2023-01-21T00:00:00"/>
    <s v="01-2023"/>
    <x v="1"/>
    <x v="4"/>
    <s v="Munich"/>
    <s v="Munich"/>
    <s v="Consumer"/>
    <s v="Distributor"/>
    <s v="Distributor"/>
    <s v="E. Garcia"/>
    <x v="14"/>
    <x v="2"/>
    <s v="High"/>
    <s v="LAP-1619"/>
    <s v="A"/>
    <n v="1362.31"/>
    <n v="3294.57"/>
    <n v="3294.57"/>
    <n v="0.113"/>
    <n v="0.113"/>
    <n v="0"/>
    <n v="7"/>
    <n v="20455.985130000001"/>
    <n v="9536.17"/>
    <n v="10919.815130000001"/>
    <n v="0.5338200561157721"/>
    <n v="7118685.5774200009"/>
    <n v="0.65035963068409686"/>
  </r>
  <r>
    <s v="ORD-2023-621393"/>
    <d v="2023-07-07T00:00:00"/>
    <d v="2023-07-07T00:00:00"/>
    <d v="2023-07-13T00:00:00"/>
    <d v="2023-07-13T00:00:00"/>
    <n v="6"/>
    <n v="1"/>
    <s v="07-2023"/>
    <s v="Q3-2023"/>
    <d v="2023-01-07T00:00:00"/>
    <s v="01-2023"/>
    <x v="2"/>
    <x v="8"/>
    <s v="Cape Town"/>
    <s v="Cape Town"/>
    <s v="Small Business"/>
    <s v="Marketplace"/>
    <s v="Marketplace"/>
    <s v="B. Chen"/>
    <x v="1"/>
    <x v="4"/>
    <s v="Medium"/>
    <s v="ACC-9445"/>
    <s v="A"/>
    <n v="612.59"/>
    <n v="1424.74"/>
    <n v="1424.74"/>
    <n v="4.3999999999999997E-2"/>
    <n v="4.3999999999999997E-2"/>
    <n v="0"/>
    <n v="15"/>
    <n v="20430.771599999996"/>
    <n v="9188.85"/>
    <n v="11241.921599999996"/>
    <n v="0.55024459281802152"/>
    <n v="7139116.3490200005"/>
    <n v="0.65222617597927235"/>
  </r>
  <r>
    <s v="ORD-2023-573656"/>
    <d v="2023-05-02T00:00:00"/>
    <d v="2023-05-02T00:00:00"/>
    <d v="2023-05-16T00:00:00"/>
    <d v="2023-05-16T00:00:00"/>
    <n v="14"/>
    <n v="0"/>
    <s v="05-2023"/>
    <s v="Q2-2023"/>
    <d v="2023-01-29T00:00:00"/>
    <s v="01-2023"/>
    <x v="3"/>
    <x v="3"/>
    <s v="Bengaluru"/>
    <s v="Bengaluru"/>
    <s v="Non-Profit"/>
    <s v="Retail"/>
    <s v="Retail"/>
    <s v="L. Okafor"/>
    <x v="4"/>
    <x v="3"/>
    <s v="Medium"/>
    <s v="MON-4830"/>
    <s v="A"/>
    <n v="475.37"/>
    <n v="963.73"/>
    <n v="963.73"/>
    <n v="4.1000000000000002E-2"/>
    <n v="4.1000000000000002E-2"/>
    <n v="0"/>
    <n v="22"/>
    <n v="20332.775539999999"/>
    <n v="10458.14"/>
    <n v="9874.6355399999993"/>
    <n v="0.48565113604750881"/>
    <n v="7159449.1245600004"/>
    <n v="0.6540837684023626"/>
  </r>
  <r>
    <s v="ORD-2024-500109"/>
    <d v="2024-05-18T00:00:00"/>
    <d v="2024-05-18T00:00:00"/>
    <d v="2024-05-23T00:00:00"/>
    <d v="2024-05-23T00:00:00"/>
    <n v="5"/>
    <n v="1"/>
    <s v="05-2024"/>
    <s v="Q2-2024"/>
    <d v="2023-01-13T00:00:00"/>
    <s v="01-2023"/>
    <x v="0"/>
    <x v="6"/>
    <s v="Chicago"/>
    <s v="Chicago"/>
    <s v="Enterprise"/>
    <s v="Retail"/>
    <s v="Retail"/>
    <s v="H. Kim"/>
    <x v="0"/>
    <x v="2"/>
    <s v="High"/>
    <s v="LAP-4987"/>
    <s v="A"/>
    <n v="1274.5899999999999"/>
    <n v="2553.69"/>
    <n v="2553.69"/>
    <n v="0.01"/>
    <n v="0.01"/>
    <n v="0"/>
    <n v="8"/>
    <n v="20225.2248"/>
    <n v="10196.719999999999"/>
    <n v="10028.504800000001"/>
    <n v="0.49584145042481803"/>
    <n v="7179674.3493600003"/>
    <n v="0.65593153504247848"/>
  </r>
  <r>
    <s v="ORD-2024-939873"/>
    <d v="2024-04-12T00:00:00"/>
    <d v="2024-04-12T00:00:00"/>
    <d v="2024-05-07T00:00:00"/>
    <d v="2024-05-07T00:00:00"/>
    <n v="25"/>
    <n v="0"/>
    <s v="04-2024"/>
    <s v="Q2-2024"/>
    <d v="2023-01-07T00:00:00"/>
    <s v="01-2023"/>
    <x v="2"/>
    <x v="8"/>
    <s v="Johannesburg"/>
    <s v="Johannesburg"/>
    <s v="Education"/>
    <s v="Distributor"/>
    <s v="Distributor"/>
    <s v="A. Patel"/>
    <x v="2"/>
    <x v="2"/>
    <s v="Medium"/>
    <s v="LAP-8489"/>
    <s v="A"/>
    <n v="1376.51"/>
    <n v="1455.91"/>
    <n v="1455.91"/>
    <n v="0.185"/>
    <n v="0.185"/>
    <n v="0"/>
    <n v="17"/>
    <n v="20171.63305"/>
    <n v="23400.67"/>
    <n v="3229.0369499999979"/>
    <n v="0.1600781127634085"/>
    <n v="7199845.9824100006"/>
    <n v="0.65777440556654054"/>
  </r>
  <r>
    <s v="ORD-2025-337268"/>
    <d v="2025-02-16T00:00:00"/>
    <d v="2025-02-16T00:00:00"/>
    <d v="2025-03-17T00:00:00"/>
    <d v="2025-03-17T00:00:00"/>
    <n v="29"/>
    <n v="0"/>
    <s v="02-2025"/>
    <s v="Q1-2025"/>
    <d v="2023-01-21T00:00:00"/>
    <s v="01-2023"/>
    <x v="1"/>
    <x v="4"/>
    <s v="Munich"/>
    <s v="Munich"/>
    <s v="Consumer"/>
    <s v="Retail"/>
    <s v="Retail"/>
    <s v="L. Okafor"/>
    <x v="4"/>
    <x v="4"/>
    <s v="Medium"/>
    <s v="ACC-5150"/>
    <s v="A"/>
    <n v="730.42"/>
    <n v="956.7"/>
    <n v="956.7"/>
    <n v="4.2000000000000003E-2"/>
    <n v="4.2000000000000003E-2"/>
    <n v="0"/>
    <n v="22"/>
    <n v="20163.409200000002"/>
    <n v="16069.24"/>
    <n v="4094.1692000000021"/>
    <n v="0.20304945256975698"/>
    <n v="7220009.3916100003"/>
    <n v="0.65961652476369115"/>
  </r>
  <r>
    <s v="ORD-2025-548982"/>
    <d v="2025-04-07T00:00:00"/>
    <d v="2025-04-07T00:00:00"/>
    <d v="2025-04-11T00:00:00"/>
    <d v="2025-04-11T00:00:00"/>
    <n v="4"/>
    <n v="1"/>
    <s v="04-2025"/>
    <s v="Q2-2025"/>
    <d v="2023-01-10T00:00:00"/>
    <s v="01-2023"/>
    <x v="1"/>
    <x v="11"/>
    <s v="Lyon"/>
    <s v="Lyon"/>
    <s v="Education"/>
    <s v="Retail"/>
    <s v="Retail"/>
    <s v="E. Garcia"/>
    <x v="14"/>
    <x v="1"/>
    <s v="High"/>
    <s v="NET-9716"/>
    <s v="A"/>
    <n v="754.77"/>
    <n v="1666.18"/>
    <n v="1666.18"/>
    <n v="0.13900000000000001"/>
    <n v="0.13900000000000001"/>
    <n v="0"/>
    <n v="14"/>
    <n v="20084.133720000002"/>
    <n v="10566.779999999999"/>
    <n v="9517.3537200000028"/>
    <n v="0.47387424584424653"/>
    <n v="7240093.5253300006"/>
    <n v="0.66145140139178393"/>
  </r>
  <r>
    <s v="ORD-2024-997336"/>
    <d v="2024-10-04T00:00:00"/>
    <d v="2024-10-04T00:00:00"/>
    <d v="2024-11-02T00:00:00"/>
    <d v="2024-11-02T00:00:00"/>
    <n v="29"/>
    <n v="0"/>
    <s v="10-2024"/>
    <s v="Q4-2024"/>
    <d v="2023-01-13T00:00:00"/>
    <s v="01-2023"/>
    <x v="2"/>
    <x v="2"/>
    <s v="Abuja"/>
    <s v="Abuja"/>
    <s v="Corporate"/>
    <s v="Distributor"/>
    <s v="Distributor"/>
    <s v="F. Müller"/>
    <x v="9"/>
    <x v="4"/>
    <s v="Medium"/>
    <s v="ACC-9038"/>
    <s v="A"/>
    <n v="412.09"/>
    <n v="968.94"/>
    <n v="968.94"/>
    <n v="9.9000000000000005E-2"/>
    <n v="9.9000000000000005E-2"/>
    <n v="0"/>
    <n v="23"/>
    <n v="20079.343620000003"/>
    <n v="9478.07"/>
    <n v="10601.273620000004"/>
    <n v="0.52796913189137418"/>
    <n v="7260172.868950001"/>
    <n v="0.66328584039868488"/>
  </r>
  <r>
    <s v="ORD-2024-333192"/>
    <d v="2024-10-29T00:00:00"/>
    <d v="2024-10-29T00:00:00"/>
    <d v="2024-11-04T00:00:00"/>
    <d v="2024-11-04T00:00:00"/>
    <n v="6"/>
    <n v="1"/>
    <s v="10-2024"/>
    <s v="Q4-2024"/>
    <d v="2023-01-20T00:00:00"/>
    <s v="01-2023"/>
    <x v="2"/>
    <x v="5"/>
    <s v="Nairobi"/>
    <s v="Nairobi"/>
    <s v="Corporate"/>
    <s v="Distributor"/>
    <s v="Distributor"/>
    <s v="M. Rossi"/>
    <x v="6"/>
    <x v="6"/>
    <s v="High"/>
    <s v="PRN-4893"/>
    <s v="A"/>
    <n v="805.81"/>
    <n v="1823.04"/>
    <n v="1823.04"/>
    <n v="0"/>
    <n v="0"/>
    <n v="0"/>
    <n v="11"/>
    <n v="20053.439999999999"/>
    <n v="8863.91"/>
    <n v="11189.529999999999"/>
    <n v="0.55798556257679477"/>
    <n v="7280226.3089500014"/>
    <n v="0.66511791286353905"/>
  </r>
  <r>
    <s v="ORD-2024-993481"/>
    <d v="2024-08-18T00:00:00"/>
    <d v="2024-08-18T00:00:00"/>
    <d v="2024-09-12T00:00:00"/>
    <d v="2024-09-12T00:00:00"/>
    <n v="25"/>
    <n v="0"/>
    <s v="08-2024"/>
    <s v="Q3-2024"/>
    <d v="2023-01-29T00:00:00"/>
    <s v="01-2023"/>
    <x v="3"/>
    <x v="3"/>
    <s v="Mumbai"/>
    <s v="Mumbai"/>
    <s v="Consumer"/>
    <s v="Marketplace"/>
    <s v="Marketplace"/>
    <s v="C. Otieno"/>
    <x v="5"/>
    <x v="5"/>
    <s v="Medium"/>
    <s v="PHN-3077"/>
    <s v="A"/>
    <n v="1154.03"/>
    <n v="1590.36"/>
    <n v="1590.36"/>
    <n v="0.314"/>
    <n v="0.3"/>
    <n v="1"/>
    <n v="18"/>
    <n v="20038.536"/>
    <n v="20772.54"/>
    <n v="734.00400000000081"/>
    <n v="3.6629622044245191E-2"/>
    <n v="7300264.8449500017"/>
    <n v="0.66694862370624686"/>
  </r>
  <r>
    <s v="ORD-2024-862371"/>
    <d v="2024-09-07T00:00:00"/>
    <d v="2024-09-07T00:00:00"/>
    <d v="2024-09-07T00:00:00"/>
    <d v="2024-09-07T00:00:00"/>
    <n v="0"/>
    <n v="1"/>
    <s v="09-2024"/>
    <s v="Q3-2024"/>
    <d v="2023-01-29T00:00:00"/>
    <s v="01-2023"/>
    <x v="3"/>
    <x v="3"/>
    <s v="Mumbai"/>
    <s v="Mumbai"/>
    <s v="Education"/>
    <s v="Distributor"/>
    <s v="Distributor"/>
    <s v="B. Chen"/>
    <x v="1"/>
    <x v="1"/>
    <s v="High"/>
    <s v="NET-9835"/>
    <s v="A"/>
    <n v="1066.6500000000001"/>
    <n v="2569.77"/>
    <n v="2569.77"/>
    <n v="0.13400000000000001"/>
    <n v="0.13400000000000001"/>
    <n v="0"/>
    <n v="9"/>
    <n v="20028.787380000002"/>
    <n v="9599.85"/>
    <n v="10428.937380000001"/>
    <n v="0.52069739331368348"/>
    <n v="7320293.6323300013"/>
    <n v="0.66877844391980201"/>
  </r>
  <r>
    <s v="ORD-2023-867836"/>
    <d v="2023-05-11T00:00:00"/>
    <d v="2023-05-11T00:00:00"/>
    <d v="2023-05-28T00:00:00"/>
    <d v="2023-05-28T00:00:00"/>
    <n v="17"/>
    <n v="0"/>
    <s v="05-2023"/>
    <s v="Q2-2023"/>
    <d v="2023-01-12T00:00:00"/>
    <s v="01-2023"/>
    <x v="3"/>
    <x v="10"/>
    <s v="Shenzhen"/>
    <s v="Shenzhen"/>
    <s v="Enterprise"/>
    <s v="Marketplace"/>
    <s v="Marketplace"/>
    <s v="E. Garcia"/>
    <x v="14"/>
    <x v="1"/>
    <s v="High"/>
    <s v="NET-3255"/>
    <s v="A"/>
    <n v="1331.19"/>
    <n v="2903.09"/>
    <n v="2903.09"/>
    <n v="0.14299999999999999"/>
    <n v="0.14299999999999999"/>
    <n v="0"/>
    <n v="8"/>
    <n v="19903.585040000002"/>
    <n v="10649.52"/>
    <n v="9254.0650400000013"/>
    <n v="0.46494463290920784"/>
    <n v="7340197.2173700016"/>
    <n v="0.67059682570884516"/>
  </r>
  <r>
    <s v="ORD-2023-927385"/>
    <d v="2023-05-29T00:00:00"/>
    <d v="2023-05-29T00:00:00"/>
    <d v="2023-06-20T00:00:00"/>
    <d v="2023-06-20T00:00:00"/>
    <n v="22"/>
    <n v="0"/>
    <s v="05-2023"/>
    <s v="Q2-2023"/>
    <d v="2023-01-19T00:00:00"/>
    <s v="01-2023"/>
    <x v="1"/>
    <x v="1"/>
    <s v="London"/>
    <s v="London"/>
    <s v="Small Business"/>
    <s v="Direct"/>
    <s v="Direct"/>
    <s v="K. Singh"/>
    <x v="3"/>
    <x v="0"/>
    <s v="High"/>
    <s v="CMP-8545"/>
    <s v="A"/>
    <n v="1295.3900000000001"/>
    <n v="2905.06"/>
    <n v="2905.06"/>
    <n v="0.14799999999999999"/>
    <n v="0.14799999999999999"/>
    <n v="0"/>
    <n v="8"/>
    <n v="19800.88896"/>
    <n v="10363.120000000001"/>
    <n v="9437.7689599999994"/>
    <n v="0.47663359857556614"/>
    <n v="7359998.1063300017"/>
    <n v="0.67240582523427572"/>
  </r>
  <r>
    <s v="ORD-2024-527858"/>
    <d v="2024-05-07T00:00:00"/>
    <d v="2024-05-07T00:00:00"/>
    <d v="2024-05-12T00:00:00"/>
    <d v="2024-05-12T00:00:00"/>
    <n v="5"/>
    <n v="1"/>
    <s v="05-2024"/>
    <s v="Q2-2024"/>
    <d v="2023-01-13T00:00:00"/>
    <s v="01-2023"/>
    <x v="2"/>
    <x v="2"/>
    <s v="Abuja"/>
    <s v="Abuja"/>
    <s v="Non-Profit"/>
    <s v="Distributor"/>
    <s v="Distributor"/>
    <s v="L. Okafor"/>
    <x v="4"/>
    <x v="2"/>
    <s v="Medium"/>
    <s v="LAP-9100"/>
    <s v="A"/>
    <n v="1163.99"/>
    <n v="1617.85"/>
    <n v="1617.85"/>
    <n v="0.127"/>
    <n v="0.127"/>
    <n v="0"/>
    <n v="14"/>
    <n v="19773.362699999998"/>
    <n v="16295.86"/>
    <n v="3477.5026999999973"/>
    <n v="0.17586804797749436"/>
    <n v="7379771.4690300021"/>
    <n v="0.67421230997406323"/>
  </r>
  <r>
    <s v="ORD-2023-780206"/>
    <d v="2023-01-19T00:00:00"/>
    <d v="2023-01-19T00:00:00"/>
    <d v="2023-02-03T00:00:00"/>
    <d v="2023-02-03T00:00:00"/>
    <n v="15"/>
    <n v="0"/>
    <s v="01-2023"/>
    <s v="Q1-2023"/>
    <d v="2023-01-19T00:00:00"/>
    <s v="01-2023"/>
    <x v="1"/>
    <x v="1"/>
    <s v="London"/>
    <s v="London"/>
    <s v="Enterprise"/>
    <s v="Distributor"/>
    <s v="Distributor"/>
    <s v="G. Dubois"/>
    <x v="11"/>
    <x v="4"/>
    <s v="High"/>
    <s v="ACC-3645"/>
    <s v="A"/>
    <n v="873.06"/>
    <n v="2101.5500000000002"/>
    <n v="2101.5500000000002"/>
    <n v="6.6000000000000003E-2"/>
    <n v="6.6000000000000003E-2"/>
    <n v="0"/>
    <n v="10"/>
    <n v="19628.476999999999"/>
    <n v="8730.5999999999985"/>
    <n v="10897.877"/>
    <n v="0.55520746719167269"/>
    <n v="7399399.9460300021"/>
    <n v="0.67600555802720141"/>
  </r>
  <r>
    <s v="ORD-2023-286720"/>
    <d v="2023-07-08T00:00:00"/>
    <d v="2023-07-08T00:00:00"/>
    <d v="2023-07-09T00:00:00"/>
    <d v="2023-07-09T00:00:00"/>
    <n v="1"/>
    <n v="1"/>
    <s v="07-2023"/>
    <s v="Q3-2023"/>
    <d v="2023-01-20T00:00:00"/>
    <s v="01-2023"/>
    <x v="2"/>
    <x v="5"/>
    <s v="Nairobi"/>
    <s v="Nairobi"/>
    <s v="Consumer"/>
    <s v="Online"/>
    <s v="Online"/>
    <s v="D. Smith"/>
    <x v="10"/>
    <x v="2"/>
    <s v="High"/>
    <s v="LAP-1989"/>
    <s v="A"/>
    <n v="1258.72"/>
    <n v="2797.41"/>
    <n v="2797.41"/>
    <n v="0"/>
    <n v="0"/>
    <n v="0"/>
    <n v="7"/>
    <n v="19581.87"/>
    <n v="8811.0400000000009"/>
    <n v="10770.829999999998"/>
    <n v="0.55004093071805704"/>
    <n v="7418981.8160300022"/>
    <n v="0.67779454808762774"/>
  </r>
  <r>
    <s v="ORD-2024-819778"/>
    <d v="2024-06-02T00:00:00"/>
    <d v="2024-06-02T00:00:00"/>
    <d v="2024-06-15T00:00:00"/>
    <d v="2024-06-15T00:00:00"/>
    <n v="13"/>
    <n v="0"/>
    <s v="06-2024"/>
    <s v="Q2-2024"/>
    <d v="2023-01-20T00:00:00"/>
    <s v="01-2023"/>
    <x v="2"/>
    <x v="5"/>
    <s v="Mombasa"/>
    <s v="Mombasa"/>
    <s v="Education"/>
    <s v="Online"/>
    <s v="Online"/>
    <s v="O. Wang"/>
    <x v="7"/>
    <x v="5"/>
    <s v="High"/>
    <s v="PHN-6866"/>
    <s v="A"/>
    <n v="1295.18"/>
    <n v="3024.03"/>
    <n v="3024.03"/>
    <n v="0.192"/>
    <n v="0.192"/>
    <n v="0"/>
    <n v="8"/>
    <n v="19547.329920000004"/>
    <n v="10361.44"/>
    <n v="9185.8899200000033"/>
    <n v="0.46993067378483178"/>
    <n v="7438529.1459500026"/>
    <n v="0.67958038258324804"/>
  </r>
  <r>
    <s v="ORD-2024-760799"/>
    <d v="2024-02-03T00:00:00"/>
    <d v="2024-02-03T00:00:00"/>
    <d v="2024-02-19T00:00:00"/>
    <d v="2024-02-19T00:00:00"/>
    <n v="16"/>
    <n v="0"/>
    <s v="02-2024"/>
    <s v="Q1-2024"/>
    <d v="2023-01-12T00:00:00"/>
    <s v="01-2023"/>
    <x v="3"/>
    <x v="10"/>
    <s v="Shenzhen"/>
    <s v="Shenzhen"/>
    <s v="Small Business"/>
    <s v="Online"/>
    <s v="Online"/>
    <s v="H. Kim"/>
    <x v="0"/>
    <x v="2"/>
    <s v="Medium"/>
    <s v="LAP-5531"/>
    <s v="A"/>
    <n v="993.75"/>
    <n v="1310.29"/>
    <n v="1310.29"/>
    <n v="0.215"/>
    <n v="0.215"/>
    <n v="1"/>
    <n v="19"/>
    <n v="19542.975350000001"/>
    <n v="18881.25"/>
    <n v="661.72535000000062"/>
    <n v="3.3860010471742245E-2"/>
    <n v="7458072.1213000026"/>
    <n v="0.68136581924748418"/>
  </r>
  <r>
    <s v="ORD-2025-526752"/>
    <d v="2025-06-09T00:00:00"/>
    <d v="2025-06-09T00:00:00"/>
    <d v="2025-06-25T00:00:00"/>
    <d v="2025-06-25T00:00:00"/>
    <n v="16"/>
    <n v="0"/>
    <s v="06-2025"/>
    <s v="Q2-2025"/>
    <d v="2023-01-29T00:00:00"/>
    <s v="01-2023"/>
    <x v="3"/>
    <x v="3"/>
    <s v="Hyderabad"/>
    <s v="Hyderabad"/>
    <s v="Enterprise"/>
    <s v="Distributor"/>
    <s v="Distributor"/>
    <s v="M. Rossi"/>
    <x v="6"/>
    <x v="5"/>
    <s v="Medium"/>
    <s v="PHN-3482"/>
    <s v="A"/>
    <n v="527.33000000000004"/>
    <n v="911.72"/>
    <n v="911.72"/>
    <n v="0.14399999999999999"/>
    <n v="0.14399999999999999"/>
    <n v="0"/>
    <n v="25"/>
    <n v="19510.808000000001"/>
    <n v="13183.250000000002"/>
    <n v="6327.5579999999991"/>
    <n v="0.32431040272652978"/>
    <n v="7477582.9293000028"/>
    <n v="0.68314831711836599"/>
  </r>
  <r>
    <s v="ORD-2025-683043"/>
    <d v="2025-08-13T00:00:00"/>
    <d v="2025-08-13T00:00:00"/>
    <d v="2025-09-03T00:00:00"/>
    <d v="2025-09-03T00:00:00"/>
    <n v="21"/>
    <n v="0"/>
    <s v="08-2025"/>
    <s v="Q3-2025"/>
    <d v="2023-01-10T00:00:00"/>
    <s v="01-2023"/>
    <x v="1"/>
    <x v="11"/>
    <s v="Paris"/>
    <s v="Paris"/>
    <s v="Education"/>
    <s v="Retail"/>
    <s v="Retail"/>
    <s v="I. Johnson"/>
    <x v="12"/>
    <x v="5"/>
    <s v="Medium"/>
    <s v="PHN-9465"/>
    <s v="A"/>
    <n v="603.47"/>
    <n v="1344.05"/>
    <n v="1344.05"/>
    <n v="0.20499999999999999"/>
    <n v="0.20499999999999999"/>
    <n v="1"/>
    <n v="18"/>
    <n v="19233.355499999998"/>
    <n v="10862.460000000001"/>
    <n v="8370.8954999999969"/>
    <n v="0.43522803392262976"/>
    <n v="7496816.2848000024"/>
    <n v="0.68490546706462463"/>
  </r>
  <r>
    <s v="ORD-2024-355095"/>
    <d v="2024-01-02T00:00:00"/>
    <d v="2024-01-02T00:00:00"/>
    <d v="2024-01-02T00:00:00"/>
    <d v="2024-01-02T00:00:00"/>
    <n v="0"/>
    <n v="1"/>
    <s v="01-2024"/>
    <s v="Q1-2024"/>
    <d v="2023-01-02T00:00:00"/>
    <s v="01-2023"/>
    <x v="0"/>
    <x v="0"/>
    <s v="Vancouver"/>
    <s v="Vancouver"/>
    <s v="Education"/>
    <s v="Direct"/>
    <s v="Direct"/>
    <s v="A. Patel"/>
    <x v="2"/>
    <x v="2"/>
    <s v="Low"/>
    <s v="LAP-3581"/>
    <s v="A"/>
    <n v="444.41"/>
    <n v="754.24"/>
    <n v="754.24"/>
    <n v="0.20699999999999999"/>
    <n v="0.20699999999999999"/>
    <n v="1"/>
    <n v="32"/>
    <n v="19139.594240000002"/>
    <n v="14221.12"/>
    <n v="4918.4742400000014"/>
    <n v="0.25697902360546598"/>
    <n v="7515955.8790400019"/>
    <n v="0.68665405102805355"/>
  </r>
  <r>
    <s v="ORD-2023-474313"/>
    <d v="2023-10-05T00:00:00"/>
    <d v="2023-10-05T00:00:00"/>
    <d v="2023-10-06T00:00:00"/>
    <d v="2023-10-06T00:00:00"/>
    <n v="1"/>
    <n v="1"/>
    <s v="10-2023"/>
    <s v="Q4-2023"/>
    <d v="2023-01-29T00:00:00"/>
    <s v="01-2023"/>
    <x v="3"/>
    <x v="3"/>
    <s v="Bengaluru"/>
    <s v="Bengaluru"/>
    <s v="Non-Profit"/>
    <s v="Online"/>
    <s v="Online"/>
    <s v="I. Johnson"/>
    <x v="12"/>
    <x v="0"/>
    <s v="High"/>
    <s v="CMP-4807"/>
    <s v="A"/>
    <n v="1470.26"/>
    <n v="2562.5500000000002"/>
    <n v="2562.5500000000002"/>
    <n v="0.17299999999999999"/>
    <n v="0.17299999999999999"/>
    <n v="0"/>
    <n v="9"/>
    <n v="19073.059649999999"/>
    <n v="13232.34"/>
    <n v="5840.7196499999991"/>
    <n v="0.30622877279157462"/>
    <n v="7535028.9386900021"/>
    <n v="0.68839655642390019"/>
  </r>
  <r>
    <s v="ORD-2025-922513"/>
    <d v="2025-08-28T00:00:00"/>
    <d v="2025-08-26T00:00:00"/>
    <d v="2025-08-26T00:00:00"/>
    <d v="2025-08-28T00:00:00"/>
    <n v="2"/>
    <n v="1"/>
    <s v="08-2025"/>
    <s v="Q3-2025"/>
    <d v="2023-01-13T00:00:00"/>
    <s v="01-2023"/>
    <x v="2"/>
    <x v="2"/>
    <s v="Port Harcourt"/>
    <s v="Port Harcourt"/>
    <s v="Small Business"/>
    <s v="Retail"/>
    <s v="Retail"/>
    <s v="A. Patel"/>
    <x v="2"/>
    <x v="4"/>
    <s v="Medium"/>
    <s v="ACC-4483"/>
    <s v="A"/>
    <n v="521.05999999999995"/>
    <n v="1240.31"/>
    <n v="1240.31"/>
    <n v="0.14599999999999999"/>
    <n v="0.14599999999999999"/>
    <n v="0"/>
    <n v="18"/>
    <n v="19066.045319999997"/>
    <n v="9379.0799999999981"/>
    <n v="9686.9653199999993"/>
    <n v="0.50807417885650974"/>
    <n v="7554094.9840100016"/>
    <n v="0.69013842099399059"/>
  </r>
  <r>
    <s v="ORD-2024-692673"/>
    <d v="2024-03-07T00:00:00"/>
    <d v="2024-03-07T00:00:00"/>
    <d v="2024-03-25T00:00:00"/>
    <d v="2024-03-25T00:00:00"/>
    <n v="18"/>
    <n v="0"/>
    <s v="03-2024"/>
    <s v="Q1-2024"/>
    <d v="2023-01-21T00:00:00"/>
    <s v="01-2023"/>
    <x v="1"/>
    <x v="4"/>
    <s v="Munich"/>
    <s v="Munich"/>
    <s v="Corporate"/>
    <s v="Online"/>
    <s v="Online"/>
    <s v="B. Chen"/>
    <x v="1"/>
    <x v="0"/>
    <s v="Medium"/>
    <s v="CMP-7617"/>
    <s v="A"/>
    <n v="712.84"/>
    <n v="927.51"/>
    <n v="927.51"/>
    <n v="0.24299999999999999"/>
    <n v="0.24299999999999999"/>
    <n v="1"/>
    <n v="27"/>
    <n v="18957.37689"/>
    <n v="19246.68"/>
    <n v="289.30311000000074"/>
    <n v="1.5260714163076427E-2"/>
    <n v="7573052.3609000016"/>
    <n v="0.69187035766949523"/>
  </r>
  <r>
    <s v="ORD-2023-139236"/>
    <d v="2023-03-03T00:00:00"/>
    <d v="2023-03-03T00:00:00"/>
    <d v="2023-03-20T00:00:00"/>
    <d v="2023-03-20T00:00:00"/>
    <n v="17"/>
    <n v="0"/>
    <s v="03-2023"/>
    <s v="Q1-2023"/>
    <d v="2023-03-03T00:00:00"/>
    <s v="03-2023"/>
    <x v="3"/>
    <x v="7"/>
    <s v="Nagoya"/>
    <s v="Nagoya"/>
    <s v="Small Business"/>
    <s v="Online"/>
    <s v="Online"/>
    <s v="D. Smith"/>
    <x v="10"/>
    <x v="1"/>
    <s v="High"/>
    <s v="NET-7349"/>
    <s v="A"/>
    <n v="1171.17"/>
    <n v="2030.64"/>
    <n v="2030.64"/>
    <n v="0.157"/>
    <n v="0.157"/>
    <n v="0"/>
    <n v="11"/>
    <n v="18830.12472"/>
    <n v="12882.87"/>
    <n v="5947.254719999999"/>
    <n v="0.31583724528830415"/>
    <n v="7591882.4856200013"/>
    <n v="0.69359066864902197"/>
  </r>
  <r>
    <s v="ORD-2024-102866"/>
    <d v="2024-12-12T00:00:00"/>
    <d v="2024-12-12T00:00:00"/>
    <d v="2024-12-20T00:00:00"/>
    <d v="2024-12-20T00:00:00"/>
    <n v="8"/>
    <n v="0"/>
    <s v="12-2024"/>
    <s v="Q4-2024"/>
    <d v="2023-03-03T00:00:00"/>
    <s v="03-2023"/>
    <x v="3"/>
    <x v="7"/>
    <s v="Tokyo"/>
    <s v="Tokyo"/>
    <s v="Corporate"/>
    <s v="Retail"/>
    <s v="Retail"/>
    <s v="B. Chen"/>
    <x v="1"/>
    <x v="2"/>
    <s v="Medium"/>
    <s v="LAP-8347"/>
    <s v="A"/>
    <n v="1202.47"/>
    <n v="1444.72"/>
    <n v="1444.72"/>
    <n v="0.24099999999999999"/>
    <n v="0.24099999999999999"/>
    <n v="1"/>
    <n v="17"/>
    <n v="18641.222160000001"/>
    <n v="20441.990000000002"/>
    <n v="1800.7678400000004"/>
    <n v="9.6601382921343834E-2"/>
    <n v="7610523.7077800017"/>
    <n v="0.69529372158311042"/>
  </r>
  <r>
    <s v="ORD-2025-624006"/>
    <d v="2025-03-15T00:00:00"/>
    <d v="2025-03-15T00:00:00"/>
    <d v="2025-03-29T00:00:00"/>
    <d v="2025-03-29T00:00:00"/>
    <n v="14"/>
    <n v="0"/>
    <s v="03-2025"/>
    <s v="Q1-2025"/>
    <d v="2023-01-29T00:00:00"/>
    <s v="01-2023"/>
    <x v="3"/>
    <x v="3"/>
    <s v="Mumbai"/>
    <s v="Mumbai"/>
    <s v="Enterprise"/>
    <s v="Direct"/>
    <s v="Direct"/>
    <s v="C. Otieno"/>
    <x v="5"/>
    <x v="0"/>
    <s v="High"/>
    <s v="CMP-3259"/>
    <s v="A"/>
    <n v="935.83"/>
    <n v="2303.46"/>
    <n v="2303.46"/>
    <n v="0.105"/>
    <n v="0.105"/>
    <n v="0"/>
    <n v="9"/>
    <n v="18554.370299999999"/>
    <n v="8422.4700000000012"/>
    <n v="10131.900299999998"/>
    <n v="0.54606543559174292"/>
    <n v="7629078.0780800013"/>
    <n v="0.6969888397737718"/>
  </r>
  <r>
    <s v="ORD-2023-451931"/>
    <d v="2023-07-30T00:00:00"/>
    <d v="2023-07-30T00:00:00"/>
    <d v="2023-08-19T00:00:00"/>
    <d v="2023-08-19T00:00:00"/>
    <n v="20"/>
    <n v="0"/>
    <s v="07-2023"/>
    <s v="Q3-2023"/>
    <d v="2023-01-10T00:00:00"/>
    <s v="01-2023"/>
    <x v="1"/>
    <x v="11"/>
    <s v="Paris"/>
    <s v="Paris"/>
    <s v="Enterprise"/>
    <s v="Marketplace"/>
    <s v="Marketplace"/>
    <s v="G. Dubois"/>
    <x v="11"/>
    <x v="1"/>
    <s v="High"/>
    <s v="NET-5423"/>
    <s v="A"/>
    <n v="1418.51"/>
    <n v="2789.61"/>
    <n v="2789.61"/>
    <n v="0.17100000000000001"/>
    <n v="0.17100000000000001"/>
    <n v="0"/>
    <n v="8"/>
    <n v="18500.693520000001"/>
    <n v="11348.08"/>
    <n v="7152.6135200000008"/>
    <n v="0.38661326464695689"/>
    <n v="7647578.7716000015"/>
    <n v="0.69867905408008024"/>
  </r>
  <r>
    <s v="ORD-2023-987081"/>
    <d v="2023-08-29T00:00:00"/>
    <d v="2023-08-29T00:00:00"/>
    <d v="2023-09-13T00:00:00"/>
    <d v="2023-09-13T00:00:00"/>
    <n v="15"/>
    <n v="0"/>
    <s v="08-2023"/>
    <s v="Q3-2023"/>
    <d v="2023-01-02T00:00:00"/>
    <s v="01-2023"/>
    <x v="0"/>
    <x v="0"/>
    <s v="Vancouver"/>
    <s v="Vancouver"/>
    <s v="Small Business"/>
    <s v="Marketplace"/>
    <s v="Marketplace"/>
    <s v="O. Wang"/>
    <x v="7"/>
    <x v="6"/>
    <s v="High"/>
    <s v="PRN-9975"/>
    <s v="A"/>
    <n v="1287.6400000000001"/>
    <n v="2717.15"/>
    <n v="2717.15"/>
    <n v="3.2000000000000001E-2"/>
    <n v="3.2000000000000001E-2"/>
    <n v="0"/>
    <n v="7"/>
    <n v="18411.4084"/>
    <n v="9013.4800000000014"/>
    <n v="9397.9283999999989"/>
    <n v="0.51044049405802105"/>
    <n v="7665990.1800000016"/>
    <n v="0.7003611113415189"/>
  </r>
  <r>
    <s v="ORD-2023-343322"/>
    <d v="2023-08-19T00:00:00"/>
    <d v="2023-08-19T00:00:00"/>
    <d v="2023-09-12T00:00:00"/>
    <d v="2023-09-12T00:00:00"/>
    <n v="24"/>
    <n v="0"/>
    <s v="08-2023"/>
    <s v="Q3-2023"/>
    <d v="2023-01-02T00:00:00"/>
    <s v="01-2023"/>
    <x v="0"/>
    <x v="0"/>
    <s v="Vancouver"/>
    <s v="Vancouver"/>
    <s v="Enterprise"/>
    <s v="Retail"/>
    <s v="Retail"/>
    <s v="I. Johnson"/>
    <x v="12"/>
    <x v="6"/>
    <s v="Medium"/>
    <s v="PRN-9669"/>
    <s v="A"/>
    <n v="1183.95"/>
    <n v="1503.53"/>
    <n v="1503.53"/>
    <n v="0.24099999999999999"/>
    <n v="0.24099999999999999"/>
    <n v="1"/>
    <n v="16"/>
    <n v="18258.868320000001"/>
    <n v="18943.2"/>
    <n v="684.33167999999932"/>
    <n v="3.7479413729623705E-2"/>
    <n v="7684249.0483200019"/>
    <n v="0.70202923261589734"/>
  </r>
  <r>
    <s v="ORD-2024-686712"/>
    <d v="2024-10-02T00:00:00"/>
    <d v="2024-10-02T00:00:00"/>
    <d v="2024-10-23T00:00:00"/>
    <d v="2024-10-23T00:00:00"/>
    <n v="21"/>
    <n v="0"/>
    <s v="10-2024"/>
    <s v="Q4-2024"/>
    <d v="2023-01-07T00:00:00"/>
    <s v="01-2023"/>
    <x v="2"/>
    <x v="8"/>
    <s v="Durban"/>
    <s v="Durban"/>
    <s v="Corporate"/>
    <s v="Marketplace"/>
    <s v="Marketplace"/>
    <s v="A. Patel"/>
    <x v="2"/>
    <x v="0"/>
    <s v="High"/>
    <s v="CMP-3978"/>
    <s v="A"/>
    <n v="1095.6099999999999"/>
    <n v="2366.5100000000002"/>
    <n v="2366.5100000000002"/>
    <n v="0.152"/>
    <n v="0.152"/>
    <n v="0"/>
    <n v="9"/>
    <n v="18061.204320000004"/>
    <n v="9860.49"/>
    <n v="8200.7143200000046"/>
    <n v="0.4540513564158607"/>
    <n v="7702310.2526400015"/>
    <n v="0.70367929540396645"/>
  </r>
  <r>
    <s v="ORD-2024-331408"/>
    <d v="2024-02-01T00:00:00"/>
    <d v="2024-02-01T00:00:00"/>
    <d v="2024-02-01T00:00:00"/>
    <d v="2024-02-01T00:00:00"/>
    <n v="0"/>
    <n v="1"/>
    <s v="02-2024"/>
    <s v="Q1-2024"/>
    <d v="2023-01-13T00:00:00"/>
    <s v="01-2023"/>
    <x v="0"/>
    <x v="6"/>
    <s v="Austin"/>
    <s v="Austin"/>
    <s v="Consumer"/>
    <s v="Distributor"/>
    <s v="Distributor"/>
    <s v="H. Kim"/>
    <x v="0"/>
    <x v="6"/>
    <s v="Medium"/>
    <s v="PRN-4906"/>
    <s v="A"/>
    <n v="714.43"/>
    <n v="1595.52"/>
    <n v="1595.52"/>
    <n v="0.19400000000000001"/>
    <n v="0.19400000000000001"/>
    <n v="0"/>
    <n v="14"/>
    <n v="18003.847679999999"/>
    <n v="10002.019999999999"/>
    <n v="8001.8276800000003"/>
    <n v="0.44445097638151093"/>
    <n v="7720314.1003200011"/>
    <n v="0.70532411811747375"/>
  </r>
  <r>
    <s v="ORD-2023-521280"/>
    <d v="2023-05-27T00:00:00"/>
    <d v="2023-05-27T00:00:00"/>
    <d v="2023-06-19T00:00:00"/>
    <d v="2023-06-19T00:00:00"/>
    <n v="23"/>
    <n v="0"/>
    <s v="05-2023"/>
    <s v="Q2-2023"/>
    <d v="2023-01-21T00:00:00"/>
    <s v="01-2023"/>
    <x v="1"/>
    <x v="4"/>
    <s v="Berlin"/>
    <s v="Berlin"/>
    <s v="Education"/>
    <s v="Retail"/>
    <s v="Retail"/>
    <s v="O. Wang"/>
    <x v="7"/>
    <x v="4"/>
    <s v="High"/>
    <s v="ACC-1882"/>
    <s v="A"/>
    <n v="1471.58"/>
    <n v="2576.65"/>
    <n v="2576.65"/>
    <n v="4.0000000000000001E-3"/>
    <n v="4.0000000000000001E-3"/>
    <n v="0"/>
    <n v="7"/>
    <n v="17964.4038"/>
    <n v="10301.06"/>
    <n v="7663.3438000000006"/>
    <n v="0.4265849223451546"/>
    <n v="7738278.5041200016"/>
    <n v="0.70696533725740696"/>
  </r>
  <r>
    <s v="ORD-2024-358795"/>
    <d v="2024-10-23T00:00:00"/>
    <d v="2024-10-22T00:00:00"/>
    <d v="2024-10-22T00:00:00"/>
    <d v="2024-10-23T00:00:00"/>
    <n v="1"/>
    <n v="1"/>
    <s v="10-2024"/>
    <s v="Q4-2024"/>
    <d v="2023-01-13T00:00:00"/>
    <s v="01-2023"/>
    <x v="2"/>
    <x v="2"/>
    <s v="Port Harcourt"/>
    <s v="Port Harcourt"/>
    <s v="Education"/>
    <s v="Online"/>
    <s v="Online"/>
    <s v="J. Njeri"/>
    <x v="8"/>
    <x v="6"/>
    <s v="Low"/>
    <s v="PRN-9322"/>
    <s v="A"/>
    <n v="1084.3900000000001"/>
    <n v="759.33"/>
    <n v="759.33"/>
    <n v="0.23699999999999999"/>
    <n v="0.23699999999999999"/>
    <n v="1"/>
    <n v="31"/>
    <n v="17960.432489999999"/>
    <n v="33616.090000000004"/>
    <n v="15655.657510000005"/>
    <n v="0.87167486187856302"/>
    <n v="7756238.9366100011"/>
    <n v="0.708606193580402"/>
  </r>
  <r>
    <s v="ORD-2024-389336"/>
    <d v="2024-05-20T00:00:00"/>
    <d v="2024-05-20T00:00:00"/>
    <d v="2024-06-02T00:00:00"/>
    <d v="2024-06-02T00:00:00"/>
    <n v="13"/>
    <n v="0"/>
    <s v="05-2024"/>
    <s v="Q2-2024"/>
    <d v="2023-01-02T00:00:00"/>
    <s v="01-2023"/>
    <x v="0"/>
    <x v="0"/>
    <s v="Vancouver"/>
    <s v="Vancouver"/>
    <s v="Enterprise"/>
    <s v="Marketplace"/>
    <s v="Marketplace"/>
    <s v="K. Singh"/>
    <x v="3"/>
    <x v="0"/>
    <s v="Medium"/>
    <s v="CMP-5946"/>
    <s v="A"/>
    <n v="675.43"/>
    <n v="996.36"/>
    <n v="996.36"/>
    <n v="0.182"/>
    <n v="0.182"/>
    <n v="0"/>
    <n v="22"/>
    <n v="17930.494560000003"/>
    <n v="14859.46"/>
    <n v="3071.0345600000037"/>
    <n v="0.17127439233332575"/>
    <n v="7774169.4311700007"/>
    <n v="0.71024431478876282"/>
  </r>
  <r>
    <s v="ORD-2025-629393"/>
    <d v="2025-07-21T00:00:00"/>
    <d v="2025-07-21T00:00:00"/>
    <d v="2025-08-07T00:00:00"/>
    <d v="2025-08-07T00:00:00"/>
    <n v="17"/>
    <n v="0"/>
    <s v="07-2025"/>
    <s v="Q3-2025"/>
    <d v="2023-01-13T00:00:00"/>
    <s v="01-2023"/>
    <x v="2"/>
    <x v="2"/>
    <s v="Lagos"/>
    <s v="Lagos"/>
    <s v="Enterprise"/>
    <s v="Direct"/>
    <s v="Direct"/>
    <s v="M. Rossi"/>
    <x v="6"/>
    <x v="4"/>
    <s v="High"/>
    <s v="ACC-8999"/>
    <s v="A"/>
    <n v="1204.95"/>
    <n v="2065.73"/>
    <n v="2065.73"/>
    <n v="0.13600000000000001"/>
    <n v="0.13600000000000001"/>
    <n v="0"/>
    <n v="10"/>
    <n v="17847.907199999998"/>
    <n v="12049.5"/>
    <n v="5798.4071999999978"/>
    <n v="0.32487882949100039"/>
    <n v="7792017.3383700009"/>
    <n v="0.71187489085632993"/>
  </r>
  <r>
    <s v="ORD-2025-608069"/>
    <d v="2025-04-12T00:00:00"/>
    <d v="2025-04-12T00:00:00"/>
    <d v="2025-04-30T00:00:00"/>
    <d v="2025-04-30T00:00:00"/>
    <n v="18"/>
    <n v="0"/>
    <s v="04-2025"/>
    <s v="Q2-2025"/>
    <d v="2023-01-20T00:00:00"/>
    <s v="01-2023"/>
    <x v="2"/>
    <x v="5"/>
    <s v="Kisumu"/>
    <s v="Kisumu"/>
    <s v="Corporate"/>
    <s v="Marketplace"/>
    <s v="Marketplace"/>
    <s v="F. Müller"/>
    <x v="9"/>
    <x v="1"/>
    <s v="Medium"/>
    <s v="NET-3432"/>
    <s v="A"/>
    <n v="1119.04"/>
    <n v="1299.02"/>
    <n v="1299.02"/>
    <n v="2.5000000000000001E-2"/>
    <n v="2.5000000000000001E-2"/>
    <n v="0"/>
    <n v="14"/>
    <n v="17731.623"/>
    <n v="15666.56"/>
    <n v="2065.0630000000001"/>
    <n v="0.11646215352085933"/>
    <n v="7809748.9613700006"/>
    <n v="0.71349484325629098"/>
  </r>
  <r>
    <s v="ORD-2024-220234"/>
    <d v="2024-03-15T00:00:00"/>
    <d v="2024-03-15T00:00:00"/>
    <d v="2024-04-09T00:00:00"/>
    <d v="2024-04-09T00:00:00"/>
    <n v="25"/>
    <n v="0"/>
    <s v="03-2024"/>
    <s v="Q1-2024"/>
    <d v="2023-01-02T00:00:00"/>
    <s v="01-2023"/>
    <x v="0"/>
    <x v="0"/>
    <s v="Vancouver"/>
    <s v="Vancouver"/>
    <s v="Consumer"/>
    <s v="Online"/>
    <s v="Online"/>
    <s v="F. Müller"/>
    <x v="9"/>
    <x v="3"/>
    <s v="Medium"/>
    <s v="MON-4361"/>
    <s v="A"/>
    <n v="648.64"/>
    <n v="815.19"/>
    <n v="815.19"/>
    <n v="0.22500000000000001"/>
    <n v="0.22500000000000001"/>
    <n v="1"/>
    <n v="28"/>
    <n v="17689.623"/>
    <n v="18161.919999999998"/>
    <n v="472.29699999999866"/>
    <n v="2.6699099240272032E-2"/>
    <n v="7827438.5843700003"/>
    <n v="0.71511095855680551"/>
  </r>
  <r>
    <s v="ORD-2023-632893"/>
    <d v="2023-05-07T00:00:00"/>
    <d v="2023-05-05T00:00:00"/>
    <d v="2023-05-05T00:00:00"/>
    <d v="2023-05-07T00:00:00"/>
    <n v="2"/>
    <n v="1"/>
    <s v="05-2023"/>
    <s v="Q2-2023"/>
    <d v="2023-01-13T00:00:00"/>
    <s v="01-2023"/>
    <x v="2"/>
    <x v="2"/>
    <s v="Port Harcourt"/>
    <s v="Port Harcourt"/>
    <s v="Non-Profit"/>
    <s v="Marketplace"/>
    <s v="Marketplace"/>
    <s v="A. Patel"/>
    <x v="2"/>
    <x v="0"/>
    <s v="High"/>
    <s v="CMP-9392"/>
    <s v="A"/>
    <n v="1269.6500000000001"/>
    <n v="2462.77"/>
    <n v="2462.77"/>
    <n v="0.107"/>
    <n v="0.107"/>
    <n v="0"/>
    <n v="8"/>
    <n v="17594.028880000002"/>
    <n v="10157.200000000001"/>
    <n v="7436.8288800000009"/>
    <n v="0.42269050089225502"/>
    <n v="7845032.6132500004"/>
    <n v="0.71671834042529781"/>
  </r>
  <r>
    <s v="ORD-2024-979401"/>
    <d v="2024-02-08T00:00:00"/>
    <d v="2024-02-08T00:00:00"/>
    <d v="2024-02-09T00:00:00"/>
    <d v="2024-02-09T00:00:00"/>
    <n v="1"/>
    <n v="1"/>
    <s v="02-2024"/>
    <s v="Q1-2024"/>
    <d v="2023-01-20T00:00:00"/>
    <s v="01-2023"/>
    <x v="2"/>
    <x v="5"/>
    <s v="Mombasa"/>
    <s v="Mombasa"/>
    <s v="Corporate"/>
    <s v="Direct"/>
    <s v="Direct"/>
    <s v="F. Müller"/>
    <x v="9"/>
    <x v="0"/>
    <s v="Medium"/>
    <s v="CMP-5911"/>
    <s v="A"/>
    <n v="1233.52"/>
    <n v="1543.76"/>
    <n v="1543.76"/>
    <n v="0.126"/>
    <n v="0.126"/>
    <n v="0"/>
    <n v="13"/>
    <n v="17540.201120000002"/>
    <n v="16035.76"/>
    <n v="1504.4411200000013"/>
    <n v="8.5771030201277493E-2"/>
    <n v="7862572.8143700007"/>
    <n v="0.71832080461597814"/>
  </r>
  <r>
    <s v="ORD-2023-276806"/>
    <d v="2023-03-04T00:00:00"/>
    <d v="2023-03-04T00:00:00"/>
    <d v="2023-03-24T00:00:00"/>
    <d v="2023-03-24T00:00:00"/>
    <n v="20"/>
    <n v="0"/>
    <s v="03-2023"/>
    <s v="Q1-2023"/>
    <d v="2023-01-02T00:00:00"/>
    <s v="01-2023"/>
    <x v="0"/>
    <x v="0"/>
    <s v="Montreal"/>
    <s v="Montreal"/>
    <s v="Consumer"/>
    <s v="Distributor"/>
    <s v="Distributor"/>
    <s v="I. Johnson"/>
    <x v="12"/>
    <x v="2"/>
    <s v="Medium"/>
    <s v="LAP-6160"/>
    <s v="A"/>
    <n v="481.71"/>
    <n v="912.45"/>
    <n v="912.45"/>
    <n v="0.20300000000000001"/>
    <n v="0.20300000000000001"/>
    <n v="1"/>
    <n v="24"/>
    <n v="17453.3436"/>
    <n v="11561.039999999999"/>
    <n v="5892.3036000000011"/>
    <n v="0.33760313983619739"/>
    <n v="7880026.157970001"/>
    <n v="0.71991533354613668"/>
  </r>
  <r>
    <s v="ORD-2023-715175"/>
    <d v="2023-06-15T00:00:00"/>
    <d v="2023-06-15T00:00:00"/>
    <d v="2023-06-23T00:00:00"/>
    <d v="2023-06-23T00:00:00"/>
    <n v="8"/>
    <n v="0"/>
    <s v="06-2023"/>
    <s v="Q2-2023"/>
    <d v="2023-01-13T00:00:00"/>
    <s v="01-2023"/>
    <x v="0"/>
    <x v="6"/>
    <s v="San Francisco"/>
    <s v="San Francisco"/>
    <s v="Consumer"/>
    <s v="Distributor"/>
    <s v="Distributor"/>
    <s v="O. Wang"/>
    <x v="7"/>
    <x v="3"/>
    <s v="High"/>
    <s v="MON-5424"/>
    <s v="A"/>
    <n v="1097.0899999999999"/>
    <n v="2182.31"/>
    <n v="2182.31"/>
    <n v="0.112"/>
    <n v="0.112"/>
    <n v="0"/>
    <n v="9"/>
    <n v="17441.021520000002"/>
    <n v="9873.81"/>
    <n v="7567.2115200000026"/>
    <n v="0.43387432962699546"/>
    <n v="7897467.1794900009"/>
    <n v="0.72150873673709648"/>
  </r>
  <r>
    <s v="ORD-2024-626750"/>
    <d v="2024-08-12T00:00:00"/>
    <d v="2024-08-12T00:00:00"/>
    <d v="2024-08-15T00:00:00"/>
    <d v="2024-08-15T00:00:00"/>
    <n v="3"/>
    <n v="1"/>
    <s v="08-2024"/>
    <s v="Q3-2024"/>
    <d v="2023-01-13T00:00:00"/>
    <s v="01-2023"/>
    <x v="0"/>
    <x v="6"/>
    <s v="Chicago"/>
    <s v="Chicago"/>
    <s v="Corporate"/>
    <s v="Marketplace"/>
    <s v="Marketplace"/>
    <s v="D. Smith"/>
    <x v="10"/>
    <x v="6"/>
    <s v="Medium"/>
    <s v="PRN-5591"/>
    <s v="A"/>
    <n v="850.7"/>
    <n v="1118.56"/>
    <n v="1118.56"/>
    <n v="0.18"/>
    <n v="0.18"/>
    <n v="0"/>
    <n v="19"/>
    <n v="17427.164800000002"/>
    <n v="16163.300000000001"/>
    <n v="1263.8648000000012"/>
    <n v="7.2522685962090688E-2"/>
    <n v="7914894.3442900013"/>
    <n v="0.7231008739848982"/>
  </r>
  <r>
    <s v="ORD-2024-281211"/>
    <d v="2024-01-11T00:00:00"/>
    <d v="2024-01-11T00:00:00"/>
    <d v="2024-02-02T00:00:00"/>
    <d v="2024-02-02T00:00:00"/>
    <n v="22"/>
    <n v="0"/>
    <s v="01-2024"/>
    <s v="Q1-2024"/>
    <d v="2023-03-03T00:00:00"/>
    <s v="03-2023"/>
    <x v="3"/>
    <x v="7"/>
    <s v="Nagoya"/>
    <s v="Nagoya"/>
    <s v="Small Business"/>
    <s v="Online"/>
    <s v="Online"/>
    <m/>
    <x v="3"/>
    <x v="6"/>
    <s v="Medium"/>
    <s v="PRN-7816"/>
    <s v="A"/>
    <n v="1237.68"/>
    <n v="1432.8"/>
    <n v="1432.8"/>
    <n v="6.8000000000000005E-2"/>
    <n v="6.8000000000000005E-2"/>
    <n v="0"/>
    <n v="13"/>
    <n v="17359.804799999998"/>
    <n v="16089.84"/>
    <n v="1269.9647999999979"/>
    <n v="7.315547695559331E-2"/>
    <n v="7932254.1490900014"/>
    <n v="0.72468685725606385"/>
  </r>
  <r>
    <s v="ORD-2024-170021"/>
    <d v="2024-11-05T00:00:00"/>
    <d v="2024-11-05T00:00:00"/>
    <d v="2024-11-08T00:00:00"/>
    <d v="2024-11-08T00:00:00"/>
    <n v="3"/>
    <n v="1"/>
    <s v="11-2024"/>
    <s v="Q4-2024"/>
    <d v="2023-01-02T00:00:00"/>
    <s v="01-2023"/>
    <x v="0"/>
    <x v="0"/>
    <s v="Toronto"/>
    <s v="Toronto"/>
    <s v="Education"/>
    <s v="Marketplace"/>
    <s v="Marketplace"/>
    <s v="O. Wang"/>
    <x v="7"/>
    <x v="0"/>
    <s v="Medium"/>
    <s v="CMP-2015"/>
    <s v="A"/>
    <n v="1020.4"/>
    <n v="1184.71"/>
    <n v="1184.71"/>
    <n v="0.106"/>
    <n v="0.106"/>
    <n v="0"/>
    <n v="16"/>
    <n v="16946.091840000001"/>
    <n v="16326.4"/>
    <n v="619.69184000000132"/>
    <n v="3.6568422138328345E-2"/>
    <n v="7949200.2409300013"/>
    <n v="0.72623504391366245"/>
  </r>
  <r>
    <s v="ORD-2023-855675"/>
    <d v="2023-02-05T00:00:00"/>
    <d v="2023-02-05T00:00:00"/>
    <d v="2023-02-28T00:00:00"/>
    <d v="2023-02-28T00:00:00"/>
    <n v="23"/>
    <n v="0"/>
    <s v="02-2023"/>
    <s v="Q1-2023"/>
    <d v="2023-01-13T00:00:00"/>
    <s v="01-2023"/>
    <x v="0"/>
    <x v="6"/>
    <s v="Austin"/>
    <s v="Austin"/>
    <s v="Non-Profit"/>
    <s v="Distributor"/>
    <s v="Distributor"/>
    <s v="L. Okafor"/>
    <x v="4"/>
    <x v="5"/>
    <s v="Medium"/>
    <s v="PHN-2036"/>
    <s v="A"/>
    <n v="1214.49"/>
    <n v="1533.95"/>
    <n v="1533.95"/>
    <n v="0"/>
    <n v="0"/>
    <n v="0"/>
    <n v="11"/>
    <n v="16873.45"/>
    <n v="13359.39"/>
    <n v="3514.0600000000013"/>
    <n v="0.20825972163369086"/>
    <n v="7966073.6909300014"/>
    <n v="0.7277765940483073"/>
  </r>
  <r>
    <s v="ORD-2025-289139"/>
    <d v="2025-08-10T00:00:00"/>
    <d v="2025-08-10T00:00:00"/>
    <d v="2025-08-30T00:00:00"/>
    <d v="2025-08-30T00:00:00"/>
    <n v="20"/>
    <n v="0"/>
    <s v="08-2025"/>
    <s v="Q3-2025"/>
    <d v="2023-01-13T00:00:00"/>
    <s v="01-2023"/>
    <x v="0"/>
    <x v="6"/>
    <s v="San Francisco"/>
    <s v="San Francisco"/>
    <s v="Corporate"/>
    <s v="Marketplace"/>
    <s v="Marketplace"/>
    <s v="K. Singh"/>
    <x v="3"/>
    <x v="6"/>
    <s v="Medium"/>
    <s v="PRN-2098"/>
    <s v="A"/>
    <n v="933.29"/>
    <n v="1456.81"/>
    <n v="1456.81"/>
    <n v="0.123"/>
    <n v="0.123"/>
    <n v="0"/>
    <n v="13"/>
    <n v="16609.090809999998"/>
    <n v="12132.77"/>
    <n v="4476.3208099999974"/>
    <n v="0.26951028573489977"/>
    <n v="7982682.7817400014"/>
    <n v="0.72929399245672322"/>
  </r>
  <r>
    <s v="ORD-2025-823055"/>
    <d v="2025-09-08T00:00:00"/>
    <d v="2025-09-08T00:00:00"/>
    <d v="2025-10-05T00:00:00"/>
    <d v="2025-10-05T00:00:00"/>
    <n v="27"/>
    <n v="0"/>
    <s v="09-2025"/>
    <s v="Q3-2025"/>
    <d v="2023-01-29T00:00:00"/>
    <s v="01-2023"/>
    <x v="0"/>
    <x v="9"/>
    <s v="Rio de Janeiro"/>
    <s v="Rio de Janeiro"/>
    <s v="Education"/>
    <s v="Online"/>
    <s v="Online"/>
    <s v="C. Otieno"/>
    <x v="5"/>
    <x v="3"/>
    <s v="Medium"/>
    <s v="MON-9274"/>
    <s v="A"/>
    <n v="660.78"/>
    <n v="1630.39"/>
    <n v="1630.39"/>
    <n v="0.218"/>
    <n v="0.218"/>
    <n v="1"/>
    <n v="13"/>
    <n v="16574.544740000001"/>
    <n v="8590.14"/>
    <n v="7984.4047400000018"/>
    <n v="0.48172694123724097"/>
    <n v="7999257.3264800012"/>
    <n v="0.73080823475308965"/>
  </r>
  <r>
    <s v="ORD-2023-212701"/>
    <d v="2023-12-02T00:00:00"/>
    <d v="2023-12-02T00:00:00"/>
    <d v="2023-12-16T00:00:00"/>
    <d v="2023-12-16T00:00:00"/>
    <n v="14"/>
    <n v="0"/>
    <s v="12-2023"/>
    <s v="Q4-2023"/>
    <d v="2023-01-21T00:00:00"/>
    <s v="01-2023"/>
    <x v="1"/>
    <x v="4"/>
    <s v="Frankfurt"/>
    <s v="Frankfurt"/>
    <s v="Education"/>
    <s v="Direct"/>
    <s v="Direct"/>
    <s v="N. Brown"/>
    <x v="13"/>
    <x v="3"/>
    <s v="Medium"/>
    <s v="MON-4278"/>
    <s v="A"/>
    <n v="879.08"/>
    <n v="1093.3900000000001"/>
    <n v="1093.3900000000001"/>
    <n v="0.113"/>
    <n v="0.113"/>
    <n v="0"/>
    <n v="17"/>
    <n v="16487.22781"/>
    <n v="14944.36"/>
    <n v="1542.8678099999997"/>
    <n v="9.3579577341935186E-2"/>
    <n v="8015744.5542900013"/>
    <n v="0.73231449981746166"/>
  </r>
  <r>
    <s v="ORD-2023-619570"/>
    <d v="2023-11-14T00:00:00"/>
    <d v="2023-11-14T00:00:00"/>
    <d v="2023-11-30T00:00:00"/>
    <d v="2023-11-30T00:00:00"/>
    <n v="16"/>
    <n v="0"/>
    <s v="11-2023"/>
    <s v="Q4-2023"/>
    <d v="2023-01-29T00:00:00"/>
    <s v="01-2023"/>
    <x v="0"/>
    <x v="9"/>
    <s v="São Paulo"/>
    <s v="São Paulo"/>
    <s v="Enterprise"/>
    <s v="Direct"/>
    <s v="Direct"/>
    <s v="K. Singh"/>
    <x v="3"/>
    <x v="1"/>
    <s v="Medium"/>
    <s v="NET-4104"/>
    <s v="A"/>
    <n v="1017.92"/>
    <n v="1175.25"/>
    <n v="1175.25"/>
    <n v="7.4999999999999997E-2"/>
    <n v="7.4999999999999997E-2"/>
    <n v="0"/>
    <n v="15"/>
    <n v="16306.59375"/>
    <n v="15268.8"/>
    <n v="1037.7937500000007"/>
    <n v="6.3642583234159542E-2"/>
    <n v="8032051.1480400013"/>
    <n v="0.73380426224250883"/>
  </r>
  <r>
    <s v="ORD-2025-947929"/>
    <d v="2025-03-23T00:00:00"/>
    <d v="2025-03-23T00:00:00"/>
    <d v="2025-04-02T00:00:00"/>
    <d v="2025-04-02T00:00:00"/>
    <n v="10"/>
    <n v="0"/>
    <s v="03-2025"/>
    <s v="Q1-2025"/>
    <d v="2023-01-21T00:00:00"/>
    <s v="01-2023"/>
    <x v="1"/>
    <x v="4"/>
    <s v="Berlin"/>
    <s v="Berlin"/>
    <s v="Enterprise"/>
    <s v="Online"/>
    <s v="Online"/>
    <s v="E. Garcia"/>
    <x v="14"/>
    <x v="6"/>
    <s v="Medium"/>
    <s v="PRN-3159"/>
    <s v="A"/>
    <n v="663.61"/>
    <n v="1002.11"/>
    <n v="1002.11"/>
    <n v="4.5999999999999999E-2"/>
    <n v="4.5999999999999999E-2"/>
    <n v="0"/>
    <n v="17"/>
    <n v="16252.219979999998"/>
    <n v="11281.37"/>
    <n v="4970.8499799999972"/>
    <n v="0.30585667595670812"/>
    <n v="8048303.3680200009"/>
    <n v="0.73528905710653758"/>
  </r>
  <r>
    <s v="ORD-2024-332076"/>
    <d v="2024-04-09T00:00:00"/>
    <d v="2024-04-09T00:00:00"/>
    <d v="2024-04-18T00:00:00"/>
    <d v="2024-04-18T00:00:00"/>
    <n v="9"/>
    <n v="0"/>
    <s v="04-2024"/>
    <s v="Q2-2024"/>
    <d v="2023-01-10T00:00:00"/>
    <s v="01-2023"/>
    <x v="1"/>
    <x v="11"/>
    <s v="Lyon"/>
    <s v="Lyon"/>
    <s v="Consumer"/>
    <s v="Online"/>
    <s v="Online"/>
    <s v="E. Garcia"/>
    <x v="14"/>
    <x v="6"/>
    <s v="High"/>
    <s v="PRN-1086"/>
    <s v="A"/>
    <n v="1288.8499999999999"/>
    <n v="2751.84"/>
    <n v="2751.84"/>
    <n v="0.158"/>
    <n v="0.158"/>
    <n v="0"/>
    <n v="7"/>
    <n v="16219.34496"/>
    <n v="9021.9499999999989"/>
    <n v="7197.3949600000014"/>
    <n v="0.44375373837538756"/>
    <n v="8064522.7129800012"/>
    <n v="0.73677084852482733"/>
  </r>
  <r>
    <s v="ORD-2025-485946"/>
    <d v="2025-06-15T00:00:00"/>
    <d v="2025-06-15T00:00:00"/>
    <d v="2025-06-30T00:00:00"/>
    <d v="2025-06-30T00:00:00"/>
    <n v="15"/>
    <n v="0"/>
    <s v="06-2025"/>
    <s v="Q2-2025"/>
    <d v="2023-01-07T00:00:00"/>
    <s v="01-2023"/>
    <x v="2"/>
    <x v="8"/>
    <s v="Johannesburg"/>
    <s v="Johannesburg"/>
    <s v="Small Business"/>
    <s v="Direct"/>
    <s v="Direct"/>
    <s v="C. Otieno"/>
    <x v="5"/>
    <x v="3"/>
    <s v="Medium"/>
    <s v="MON-5891"/>
    <s v="A"/>
    <n v="1487.59"/>
    <n v="1480.83"/>
    <n v="1480.83"/>
    <n v="8.9999999999999993E-3"/>
    <n v="8.9999999999999993E-3"/>
    <n v="0"/>
    <n v="11"/>
    <n v="16142.527829999999"/>
    <n v="16363.49"/>
    <n v="220.9621700000007"/>
    <n v="1.3688201273492908E-2"/>
    <n v="8080665.2408100013"/>
    <n v="0.73824562196771226"/>
  </r>
  <r>
    <s v="ORD-2023-732585"/>
    <d v="2023-08-25T00:00:00"/>
    <d v="2023-08-25T00:00:00"/>
    <d v="2023-09-16T00:00:00"/>
    <d v="2023-09-16T00:00:00"/>
    <n v="22"/>
    <n v="0"/>
    <s v="08-2023"/>
    <s v="Q3-2023"/>
    <d v="2023-01-13T00:00:00"/>
    <s v="01-2023"/>
    <x v="2"/>
    <x v="2"/>
    <s v="Abuja"/>
    <s v="Abuja"/>
    <s v="Corporate"/>
    <s v="Marketplace"/>
    <s v="Marketplace"/>
    <s v="L. Okafor"/>
    <x v="4"/>
    <x v="5"/>
    <s v="High"/>
    <s v="PHN-3971"/>
    <s v="A"/>
    <n v="1196.83"/>
    <n v="2513.5100000000002"/>
    <n v="2513.5100000000002"/>
    <n v="8.3000000000000004E-2"/>
    <n v="8.3000000000000004E-2"/>
    <n v="0"/>
    <n v="7"/>
    <n v="16134.22069"/>
    <n v="8377.81"/>
    <n v="7756.4106900000006"/>
    <n v="0.48074281609445374"/>
    <n v="8096799.4615000011"/>
    <n v="0.7397196364743519"/>
  </r>
  <r>
    <s v="ORD-2024-833375"/>
    <d v="2024-04-24T00:00:00"/>
    <d v="2024-04-24T00:00:00"/>
    <d v="2024-05-10T00:00:00"/>
    <d v="2024-05-10T00:00:00"/>
    <n v="16"/>
    <n v="0"/>
    <s v="04-2024"/>
    <s v="Q2-2024"/>
    <d v="2023-01-20T00:00:00"/>
    <s v="01-2023"/>
    <x v="2"/>
    <x v="5"/>
    <s v="Kisumu"/>
    <s v="Kisumu"/>
    <s v="Non-Profit"/>
    <s v="Online"/>
    <s v="Online"/>
    <s v="N. Brown"/>
    <x v="13"/>
    <x v="3"/>
    <s v="Medium"/>
    <s v="MON-6190"/>
    <s v="A"/>
    <n v="513.30999999999995"/>
    <n v="1186.26"/>
    <n v="1186.26"/>
    <n v="9.4E-2"/>
    <n v="9.4E-2"/>
    <n v="0"/>
    <n v="15"/>
    <n v="16121.273400000002"/>
    <n v="7699.65"/>
    <n v="8421.6234000000022"/>
    <n v="0.52239194702820446"/>
    <n v="8112920.7349000014"/>
    <n v="0.74119246812291328"/>
  </r>
  <r>
    <s v="ORD-2023-521818"/>
    <d v="2023-01-22T00:00:00"/>
    <d v="2023-01-22T00:00:00"/>
    <d v="2023-01-30T00:00:00"/>
    <d v="2023-01-30T00:00:00"/>
    <n v="8"/>
    <n v="0"/>
    <s v="01-2023"/>
    <s v="Q1-2023"/>
    <d v="2023-01-13T00:00:00"/>
    <s v="01-2023"/>
    <x v="0"/>
    <x v="6"/>
    <s v="San Francisco"/>
    <s v="San Francisco"/>
    <s v="Small Business"/>
    <s v="Online"/>
    <s v="Online"/>
    <s v="A. Patel"/>
    <x v="2"/>
    <x v="1"/>
    <s v="Medium"/>
    <s v="NET-4155"/>
    <s v="A"/>
    <n v="413.52"/>
    <n v="1004.34"/>
    <n v="1004.34"/>
    <n v="0.111"/>
    <n v="0.111"/>
    <n v="0"/>
    <n v="18"/>
    <n v="16071.44868"/>
    <n v="7443.36"/>
    <n v="8628.0886800000007"/>
    <n v="0.53685817948304593"/>
    <n v="8128992.1835800018"/>
    <n v="0.74266074780943825"/>
  </r>
  <r>
    <s v="ORD-2023-178249"/>
    <d v="2023-12-29T00:00:00"/>
    <d v="2023-12-29T00:00:00"/>
    <d v="2024-01-20T00:00:00"/>
    <d v="2024-01-20T00:00:00"/>
    <n v="22"/>
    <n v="0"/>
    <s v="12-2023"/>
    <s v="Q4-2023"/>
    <d v="2023-01-20T00:00:00"/>
    <s v="01-2023"/>
    <x v="2"/>
    <x v="5"/>
    <s v="Kisumu"/>
    <s v="Kisumu"/>
    <s v="Corporate"/>
    <s v="Direct"/>
    <s v="Direct"/>
    <s v="L. Okafor"/>
    <x v="4"/>
    <x v="5"/>
    <s v="High"/>
    <s v="PHN-7924"/>
    <s v="A"/>
    <n v="1395.49"/>
    <n v="1679.42"/>
    <n v="1679.42"/>
    <n v="0.20300000000000001"/>
    <n v="0.20300000000000001"/>
    <n v="1"/>
    <n v="12"/>
    <n v="16061.972879999999"/>
    <n v="16745.88"/>
    <n v="683.90712000000167"/>
    <n v="4.2579272490964493E-2"/>
    <n v="8145054.1564600021"/>
    <n v="0.7441281617915122"/>
  </r>
  <r>
    <s v="ORD-2023-548874"/>
    <d v="2023-03-19T00:00:00"/>
    <d v="2023-03-19T00:00:00"/>
    <d v="2023-04-09T00:00:00"/>
    <d v="2023-04-09T00:00:00"/>
    <n v="21"/>
    <n v="0"/>
    <s v="03-2023"/>
    <s v="Q1-2023"/>
    <d v="2023-01-19T00:00:00"/>
    <s v="01-2023"/>
    <x v="1"/>
    <x v="1"/>
    <s v="Manchester"/>
    <s v="Manchester"/>
    <s v="Consumer"/>
    <s v="Retail"/>
    <s v="Retail"/>
    <s v="L. Okafor"/>
    <x v="4"/>
    <x v="4"/>
    <s v="Medium"/>
    <s v="ACC-9150"/>
    <s v="A"/>
    <n v="1082.17"/>
    <n v="1234.0999999999999"/>
    <n v="1234.0999999999999"/>
    <n v="0.189"/>
    <n v="0.189"/>
    <n v="0"/>
    <n v="16"/>
    <n v="16013.681599999998"/>
    <n v="17314.72"/>
    <n v="1301.0384000000031"/>
    <n v="8.124542703534228E-2"/>
    <n v="8161067.8380600018"/>
    <n v="0.74559116390587776"/>
  </r>
  <r>
    <s v="ORD-2024-210687"/>
    <d v="2024-01-28T00:00:00"/>
    <d v="2024-01-28T00:00:00"/>
    <d v="2024-02-09T00:00:00"/>
    <d v="2024-02-09T00:00:00"/>
    <n v="12"/>
    <n v="0"/>
    <s v="01-2024"/>
    <s v="Q1-2024"/>
    <d v="2023-01-21T00:00:00"/>
    <s v="01-2023"/>
    <x v="1"/>
    <x v="4"/>
    <s v="Berlin"/>
    <s v="Berlin"/>
    <s v="Corporate"/>
    <s v="Online"/>
    <s v="Online"/>
    <s v="G. Dubois"/>
    <x v="11"/>
    <x v="4"/>
    <s v="Low"/>
    <s v="ACC-7938"/>
    <s v="A"/>
    <n v="644.16999999999996"/>
    <n v="700.12"/>
    <n v="700.12"/>
    <n v="6.0000000000000001E-3"/>
    <n v="6.0000000000000001E-3"/>
    <n v="0"/>
    <n v="23"/>
    <n v="16006.14344"/>
    <n v="14815.91"/>
    <n v="1190.23344"/>
    <n v="7.436103796405813E-2"/>
    <n v="8177073.9815000016"/>
    <n v="0.74705347733763461"/>
  </r>
  <r>
    <s v="ORD-2025-332931"/>
    <d v="2025-02-15T00:00:00"/>
    <d v="2025-02-15T00:00:00"/>
    <d v="2025-03-01T00:00:00"/>
    <d v="2025-03-01T00:00:00"/>
    <n v="14"/>
    <n v="0"/>
    <s v="02-2025"/>
    <s v="Q1-2025"/>
    <d v="2023-01-20T00:00:00"/>
    <s v="01-2023"/>
    <x v="2"/>
    <x v="5"/>
    <s v="Mombasa"/>
    <s v="Mombasa"/>
    <s v="Education"/>
    <s v="Direct"/>
    <s v="Direct"/>
    <s v="L. Okafor"/>
    <x v="4"/>
    <x v="4"/>
    <s v="Medium"/>
    <s v="ACC-5144"/>
    <s v="A"/>
    <n v="1162.8599999999999"/>
    <n v="1447.68"/>
    <n v="1447.68"/>
    <n v="8.6999999999999994E-2"/>
    <n v="8.6999999999999994E-2"/>
    <n v="0"/>
    <n v="12"/>
    <n v="15860.782080000001"/>
    <n v="13954.32"/>
    <n v="1906.4620800000012"/>
    <n v="0.12019975247021369"/>
    <n v="8192934.7635800019"/>
    <n v="0.74850251062667728"/>
  </r>
  <r>
    <s v="ORD-2024-687100"/>
    <d v="2024-09-10T00:00:00"/>
    <d v="2024-09-10T00:00:00"/>
    <d v="2024-10-07T00:00:00"/>
    <d v="2024-10-07T00:00:00"/>
    <n v="27"/>
    <n v="0"/>
    <s v="09-2024"/>
    <s v="Q3-2024"/>
    <d v="2023-01-20T00:00:00"/>
    <s v="01-2023"/>
    <x v="2"/>
    <x v="5"/>
    <s v="Kisumu"/>
    <s v="Kisumu"/>
    <s v="Consumer"/>
    <s v="Retail"/>
    <s v="Retail"/>
    <s v="L. Okafor"/>
    <x v="4"/>
    <x v="6"/>
    <s v="High"/>
    <s v="PRN-6068"/>
    <s v="A"/>
    <n v="1248.3900000000001"/>
    <n v="1805.11"/>
    <n v="1805.11"/>
    <n v="0.20300000000000001"/>
    <n v="0.20300000000000001"/>
    <n v="1"/>
    <n v="11"/>
    <n v="15825.399369999997"/>
    <n v="13732.29"/>
    <n v="2093.1093699999965"/>
    <n v="0.13226265707820786"/>
    <n v="8208760.1629500017"/>
    <n v="0.74994831136864959"/>
  </r>
  <r>
    <s v="ORD-2023-664749"/>
    <d v="2023-08-27T00:00:00"/>
    <d v="2023-08-27T00:00:00"/>
    <d v="2023-09-11T00:00:00"/>
    <d v="2023-09-11T00:00:00"/>
    <n v="15"/>
    <n v="0"/>
    <s v="08-2023"/>
    <s v="Q3-2023"/>
    <d v="2023-01-19T00:00:00"/>
    <s v="01-2023"/>
    <x v="1"/>
    <x v="1"/>
    <s v="London"/>
    <s v="London"/>
    <s v="Consumer"/>
    <s v="Marketplace"/>
    <s v="Marketplace"/>
    <s v="N. Brown"/>
    <x v="13"/>
    <x v="6"/>
    <s v="High"/>
    <s v="PRN-5107"/>
    <s v="A"/>
    <n v="943.79"/>
    <n v="1913.76"/>
    <n v="1913.76"/>
    <n v="9.0999999999999998E-2"/>
    <n v="9.0999999999999998E-2"/>
    <n v="0"/>
    <n v="9"/>
    <n v="15656.47056"/>
    <n v="8494.11"/>
    <n v="7162.3605599999992"/>
    <n v="0.45746967891338081"/>
    <n v="8224416.6335100019"/>
    <n v="0.75137867885720899"/>
  </r>
  <r>
    <s v="ORD-2023-488227"/>
    <d v="2023-09-08T00:00:00"/>
    <d v="2023-09-08T00:00:00"/>
    <d v="2023-10-02T00:00:00"/>
    <d v="2023-10-02T00:00:00"/>
    <n v="24"/>
    <n v="0"/>
    <s v="09-2023"/>
    <s v="Q3-2023"/>
    <d v="2023-01-02T00:00:00"/>
    <s v="01-2023"/>
    <x v="0"/>
    <x v="0"/>
    <s v="Toronto"/>
    <s v="Toronto"/>
    <s v="Education"/>
    <s v="Direct"/>
    <s v="Direct"/>
    <s v="A. Patel"/>
    <x v="2"/>
    <x v="4"/>
    <s v="High"/>
    <s v="ACC-3415"/>
    <s v="A"/>
    <n v="1299.03"/>
    <n v="2451.2199999999998"/>
    <n v="2451.2199999999998"/>
    <n v="0.20799999999999999"/>
    <n v="0.20799999999999999"/>
    <n v="1"/>
    <n v="8"/>
    <n v="15530.929919999999"/>
    <n v="10392.24"/>
    <n v="5138.6899199999989"/>
    <n v="0.3308681416032041"/>
    <n v="8239947.563430002"/>
    <n v="0.7527975770143337"/>
  </r>
  <r>
    <s v="ORD-2024-366010"/>
    <d v="2024-01-13T00:00:00"/>
    <d v="2024-01-13T00:00:00"/>
    <d v="2024-02-05T00:00:00"/>
    <d v="2024-02-05T00:00:00"/>
    <n v="23"/>
    <n v="0"/>
    <s v="01-2024"/>
    <s v="Q1-2024"/>
    <d v="2023-01-21T00:00:00"/>
    <s v="01-2023"/>
    <x v="1"/>
    <x v="4"/>
    <s v="Frankfurt"/>
    <s v="Frankfurt"/>
    <s v="Education"/>
    <s v="Direct"/>
    <s v="Direct"/>
    <s v="B. Chen"/>
    <x v="1"/>
    <x v="2"/>
    <s v="Medium"/>
    <s v="LAP-9931"/>
    <s v="A"/>
    <n v="1017.93"/>
    <n v="1529.14"/>
    <n v="1529.14"/>
    <n v="0.155"/>
    <n v="0.155"/>
    <n v="0"/>
    <n v="12"/>
    <n v="15505.479600000001"/>
    <n v="12215.16"/>
    <n v="3290.3196000000007"/>
    <n v="0.21220366508366503"/>
    <n v="8255453.0430300022"/>
    <n v="0.75421415004267789"/>
  </r>
  <r>
    <s v="ORD-2023-501220"/>
    <d v="2023-04-19T00:00:00"/>
    <d v="2023-04-19T00:00:00"/>
    <d v="2023-05-07T00:00:00"/>
    <d v="2023-05-07T00:00:00"/>
    <n v="18"/>
    <n v="0"/>
    <s v="04-2023"/>
    <s v="Q2-2023"/>
    <d v="2023-01-19T00:00:00"/>
    <s v="01-2023"/>
    <x v="1"/>
    <x v="1"/>
    <s v="Birmingham"/>
    <s v="Birmingham"/>
    <s v="Enterprise"/>
    <s v="Retail"/>
    <s v="Retail"/>
    <s v="N. Brown"/>
    <x v="13"/>
    <x v="2"/>
    <s v="Medium"/>
    <s v="LAP-9766"/>
    <s v="A"/>
    <n v="1089.1500000000001"/>
    <n v="1088.2"/>
    <n v="1088.2"/>
    <n v="5.0999999999999997E-2"/>
    <n v="5.0999999999999997E-2"/>
    <n v="0"/>
    <n v="15"/>
    <n v="15490.527"/>
    <n v="16337.250000000002"/>
    <n v="846.72300000000178"/>
    <n v="5.4660696824582002E-2"/>
    <n v="8270943.5700300019"/>
    <n v="0.7556293570088034"/>
  </r>
  <r>
    <s v="ORD-2025-779659"/>
    <d v="2025-07-03T00:00:00"/>
    <d v="2025-07-03T00:00:00"/>
    <d v="2025-07-23T00:00:00"/>
    <d v="2025-07-23T00:00:00"/>
    <n v="20"/>
    <n v="0"/>
    <s v="07-2025"/>
    <s v="Q3-2025"/>
    <d v="2023-01-12T00:00:00"/>
    <s v="01-2023"/>
    <x v="3"/>
    <x v="10"/>
    <s v="Beijing"/>
    <s v="Beijing"/>
    <s v="Small Business"/>
    <s v="Online"/>
    <s v="Online"/>
    <s v="M. Rossi"/>
    <x v="6"/>
    <x v="0"/>
    <s v="Medium"/>
    <s v="CMP-1220"/>
    <s v="A"/>
    <n v="647.36"/>
    <n v="1383.6"/>
    <n v="1383.6"/>
    <n v="7.3999999999999996E-2"/>
    <n v="7.3999999999999996E-2"/>
    <n v="0"/>
    <n v="12"/>
    <n v="15374.563199999999"/>
    <n v="7768.32"/>
    <n v="7606.243199999999"/>
    <n v="0.49472906000997802"/>
    <n v="8286318.1332300017"/>
    <n v="0.75703396957891012"/>
  </r>
  <r>
    <s v="ORD-2024-515105"/>
    <d v="2024-02-27T00:00:00"/>
    <d v="2024-02-27T00:00:00"/>
    <d v="2024-03-26T00:00:00"/>
    <d v="2024-03-26T00:00:00"/>
    <n v="28"/>
    <n v="0"/>
    <s v="02-2024"/>
    <s v="Q1-2024"/>
    <d v="2023-01-29T00:00:00"/>
    <s v="01-2023"/>
    <x v="3"/>
    <x v="3"/>
    <s v="Mumbai"/>
    <s v="Mumbai"/>
    <s v="Education"/>
    <s v="Marketplace"/>
    <s v="Marketplace"/>
    <s v="G. Dubois"/>
    <x v="11"/>
    <x v="2"/>
    <s v="High"/>
    <s v="LAP-8469"/>
    <s v="A"/>
    <n v="1035.19"/>
    <n v="2322.6999999999998"/>
    <n v="2322.6999999999998"/>
    <n v="0.17299999999999999"/>
    <n v="0.17299999999999999"/>
    <n v="0"/>
    <n v="8"/>
    <n v="15366.983199999999"/>
    <n v="8281.52"/>
    <n v="7085.4631999999983"/>
    <n v="0.46108355217047409"/>
    <n v="8301685.1164300013"/>
    <n v="0.75843788964392611"/>
  </r>
  <r>
    <s v="ORD-2023-281890"/>
    <d v="2023-03-13T00:00:00"/>
    <d v="2023-03-13T00:00:00"/>
    <d v="2023-04-04T00:00:00"/>
    <d v="2023-04-04T00:00:00"/>
    <n v="22"/>
    <n v="0"/>
    <s v="03-2023"/>
    <s v="Q1-2023"/>
    <d v="2023-01-07T00:00:00"/>
    <s v="01-2023"/>
    <x v="2"/>
    <x v="8"/>
    <s v="Durban"/>
    <s v="Durban"/>
    <s v="Small Business"/>
    <s v="Retail"/>
    <s v="Retail"/>
    <s v="A. Patel"/>
    <x v="2"/>
    <x v="0"/>
    <s v="Medium"/>
    <s v="CMP-2574"/>
    <s v="A"/>
    <n v="1113.7"/>
    <n v="1620.6"/>
    <n v="1620.6"/>
    <n v="0.13900000000000001"/>
    <n v="0.13900000000000001"/>
    <n v="0"/>
    <n v="11"/>
    <n v="15348.702599999999"/>
    <n v="12250.7"/>
    <n v="3098.002599999998"/>
    <n v="0.20184133348182787"/>
    <n v="8317033.8190300018"/>
    <n v="0.75984013960227226"/>
  </r>
  <r>
    <s v="ORD-2024-732543"/>
    <d v="2024-10-24T00:00:00"/>
    <d v="2024-10-24T00:00:00"/>
    <d v="2024-10-28T00:00:00"/>
    <d v="2024-10-28T00:00:00"/>
    <n v="4"/>
    <n v="1"/>
    <s v="10-2024"/>
    <s v="Q4-2024"/>
    <d v="2023-01-12T00:00:00"/>
    <s v="01-2023"/>
    <x v="3"/>
    <x v="10"/>
    <s v="Shanghai"/>
    <s v="Shanghai"/>
    <s v="Small Business"/>
    <s v="Distributor"/>
    <s v="Distributor"/>
    <s v="I. Johnson"/>
    <x v="12"/>
    <x v="1"/>
    <s v="High"/>
    <s v="NET-3728"/>
    <s v="A"/>
    <n v="1331.77"/>
    <n v="2606.11"/>
    <n v="2606.11"/>
    <n v="0.02"/>
    <n v="0.02"/>
    <n v="0"/>
    <n v="6"/>
    <n v="15323.926799999999"/>
    <n v="7990.62"/>
    <n v="7333.3067999999994"/>
    <n v="0.47855271665745619"/>
    <n v="8332357.7458300013"/>
    <n v="0.76124012605565483"/>
  </r>
  <r>
    <s v="ORD-2024-398783"/>
    <d v="2024-07-18T00:00:00"/>
    <d v="2024-07-18T00:00:00"/>
    <d v="2024-08-07T00:00:00"/>
    <d v="2024-08-07T00:00:00"/>
    <n v="20"/>
    <n v="0"/>
    <s v="07-2024"/>
    <s v="Q3-2024"/>
    <d v="2023-01-10T00:00:00"/>
    <s v="01-2023"/>
    <x v="1"/>
    <x v="11"/>
    <s v="Marseille"/>
    <s v="Marseille"/>
    <s v="Corporate"/>
    <s v="Retail"/>
    <s v="Retail"/>
    <s v="F. Müller"/>
    <x v="9"/>
    <x v="3"/>
    <s v="Medium"/>
    <s v="MON-7622"/>
    <s v="A"/>
    <n v="941.35"/>
    <n v="899.83"/>
    <n v="899.83"/>
    <n v="5.8000000000000003E-2"/>
    <n v="5.8000000000000003E-2"/>
    <n v="0"/>
    <n v="18"/>
    <n v="15257.51748"/>
    <n v="16944.3"/>
    <n v="1686.7825199999988"/>
    <n v="0.11055419220139073"/>
    <n v="8347615.2633100012"/>
    <n v="0.76263404538606094"/>
  </r>
  <r>
    <s v="ORD-2024-197852"/>
    <d v="2024-02-29T00:00:00"/>
    <d v="2024-02-29T00:00:00"/>
    <d v="2024-03-30T00:00:00"/>
    <d v="2024-03-30T00:00:00"/>
    <n v="30"/>
    <n v="0"/>
    <s v="02-2024"/>
    <s v="Q1-2024"/>
    <d v="2023-03-03T00:00:00"/>
    <s v="03-2023"/>
    <x v="3"/>
    <x v="7"/>
    <s v="Nagoya"/>
    <s v="Nagoya"/>
    <s v="Small Business"/>
    <s v="Direct"/>
    <s v="Direct"/>
    <s v="I. Johnson"/>
    <x v="12"/>
    <x v="1"/>
    <s v="Low"/>
    <s v="NET-7588"/>
    <s v="A"/>
    <n v="231.11"/>
    <n v="318.17"/>
    <n v="318.17"/>
    <n v="0.20100000000000001"/>
    <n v="0.20100000000000001"/>
    <n v="1"/>
    <n v="60"/>
    <n v="15253.069799999999"/>
    <n v="13866.6"/>
    <n v="1386.4697999999989"/>
    <n v="9.0897754889969692E-2"/>
    <n v="8362868.3331100009"/>
    <n v="0.76402755837859881"/>
  </r>
  <r>
    <s v="ORD-2025-149156"/>
    <d v="2025-01-10T00:00:00"/>
    <d v="2025-01-10T00:00:00"/>
    <d v="2025-02-06T00:00:00"/>
    <d v="2025-02-06T00:00:00"/>
    <n v="27"/>
    <n v="0"/>
    <s v="01-2025"/>
    <s v="Q1-2025"/>
    <d v="2023-01-29T00:00:00"/>
    <s v="01-2023"/>
    <x v="0"/>
    <x v="9"/>
    <s v="Brasília"/>
    <s v="Brasília"/>
    <s v="Non-Profit"/>
    <s v="Retail"/>
    <s v="Retail"/>
    <s v="B. Chen"/>
    <x v="1"/>
    <x v="2"/>
    <s v="Medium"/>
    <s v="LAP-7353"/>
    <s v="A"/>
    <n v="725.62"/>
    <n v="1559.19"/>
    <n v="1559.19"/>
    <n v="0.19"/>
    <n v="0.19"/>
    <n v="0"/>
    <n v="12"/>
    <n v="15155.326800000001"/>
    <n v="8707.44"/>
    <n v="6447.8868000000002"/>
    <n v="0.42545349797405885"/>
    <n v="8378023.6599100009"/>
    <n v="0.76541214161848914"/>
  </r>
  <r>
    <s v="ORD-2024-599522"/>
    <d v="2024-04-19T00:00:00"/>
    <d v="2024-04-19T00:00:00"/>
    <d v="2024-05-06T00:00:00"/>
    <d v="2024-05-06T00:00:00"/>
    <n v="17"/>
    <n v="0"/>
    <s v="04-2024"/>
    <s v="Q2-2024"/>
    <d v="2023-01-13T00:00:00"/>
    <s v="01-2023"/>
    <x v="2"/>
    <x v="2"/>
    <s v="Port Harcourt"/>
    <s v="Port Harcourt"/>
    <s v="Non-Profit"/>
    <s v="Online"/>
    <s v="Online"/>
    <s v="A. Patel"/>
    <x v="2"/>
    <x v="6"/>
    <s v="Medium"/>
    <s v="PRN-7303"/>
    <s v="A"/>
    <n v="865.33"/>
    <n v="1395.64"/>
    <n v="1395.64"/>
    <n v="0.17499999999999999"/>
    <n v="0.17499999999999999"/>
    <n v="0"/>
    <n v="13"/>
    <n v="14968.239"/>
    <n v="11249.29"/>
    <n v="3718.9489999999987"/>
    <n v="0.24845601409758347"/>
    <n v="8392991.8989100009"/>
    <n v="0.76677963260852655"/>
  </r>
  <r>
    <s v="ORD-2023-382017"/>
    <d v="2023-01-13T00:00:00"/>
    <d v="2023-01-13T00:00:00"/>
    <d v="2023-01-19T00:00:00"/>
    <d v="2023-01-19T00:00:00"/>
    <n v="6"/>
    <n v="1"/>
    <s v="01-2023"/>
    <s v="Q1-2023"/>
    <d v="2023-01-13T00:00:00"/>
    <s v="01-2023"/>
    <x v="0"/>
    <x v="6"/>
    <s v="Chicago"/>
    <s v="Chicago"/>
    <s v="Corporate"/>
    <s v="Direct"/>
    <s v="Direct"/>
    <s v="H. Kim"/>
    <x v="0"/>
    <x v="5"/>
    <s v="Medium"/>
    <s v="PHN-3159"/>
    <s v="A"/>
    <n v="833.57"/>
    <n v="881.57"/>
    <n v="881.57"/>
    <n v="5.7000000000000002E-2"/>
    <n v="5.7000000000000002E-2"/>
    <n v="0"/>
    <n v="18"/>
    <n v="14963.769179999999"/>
    <n v="15004.26"/>
    <n v="40.490820000000895"/>
    <n v="2.7059238560107821E-3"/>
    <n v="8407955.6680900007"/>
    <n v="0.76814671523799616"/>
  </r>
  <r>
    <s v="ORD-2024-442776"/>
    <d v="2024-06-30T00:00:00"/>
    <d v="2024-06-30T00:00:00"/>
    <d v="2024-07-21T00:00:00"/>
    <d v="2024-07-21T00:00:00"/>
    <n v="21"/>
    <n v="0"/>
    <s v="06-2024"/>
    <s v="Q2-2024"/>
    <d v="2023-01-20T00:00:00"/>
    <s v="01-2023"/>
    <x v="2"/>
    <x v="5"/>
    <s v="Kisumu"/>
    <s v="Kisumu"/>
    <s v="Small Business"/>
    <s v="Retail"/>
    <s v="Retail"/>
    <s v="K. Singh"/>
    <x v="3"/>
    <x v="2"/>
    <s v="High"/>
    <s v="LAP-6577"/>
    <s v="A"/>
    <n v="753.43"/>
    <n v="1787.2"/>
    <n v="1787.2"/>
    <n v="7.2999999999999995E-2"/>
    <n v="7.2999999999999995E-2"/>
    <n v="0"/>
    <n v="9"/>
    <n v="14910.609600000002"/>
    <n v="6780.87"/>
    <n v="8129.7396000000017"/>
    <n v="0.54523187301476939"/>
    <n v="8422866.2776900008"/>
    <n v="0.76950894123425173"/>
  </r>
  <r>
    <s v="ORD-2024-468501"/>
    <d v="2024-11-06T00:00:00"/>
    <d v="2024-11-06T00:00:00"/>
    <d v="2024-11-22T00:00:00"/>
    <d v="2024-11-22T00:00:00"/>
    <n v="16"/>
    <n v="0"/>
    <s v="11-2024"/>
    <s v="Q4-2024"/>
    <d v="2023-01-02T00:00:00"/>
    <s v="01-2023"/>
    <x v="0"/>
    <x v="0"/>
    <s v="Toronto"/>
    <s v="Toronto"/>
    <s v="Non-Profit"/>
    <s v="Distributor"/>
    <s v="Distributor"/>
    <s v="D. Smith"/>
    <x v="10"/>
    <x v="4"/>
    <s v="High"/>
    <s v="ACC-6348"/>
    <s v="A"/>
    <n v="1454.11"/>
    <n v="2629.75"/>
    <n v="2629.75"/>
    <n v="0.29199999999999998"/>
    <n v="0.29199999999999998"/>
    <n v="1"/>
    <n v="8"/>
    <n v="14894.903999999999"/>
    <n v="11632.88"/>
    <n v="3262.0239999999994"/>
    <n v="0.21900268709351867"/>
    <n v="8437761.18169"/>
    <n v="0.77086973237457701"/>
  </r>
  <r>
    <s v="ORD-2023-192324"/>
    <d v="2023-09-14T00:00:00"/>
    <d v="2023-09-14T00:00:00"/>
    <d v="2023-09-16T00:00:00"/>
    <d v="2023-09-16T00:00:00"/>
    <n v="2"/>
    <n v="1"/>
    <s v="09-2023"/>
    <s v="Q3-2023"/>
    <d v="2023-01-10T00:00:00"/>
    <s v="01-2023"/>
    <x v="1"/>
    <x v="11"/>
    <s v="Lyon"/>
    <s v="Lyon"/>
    <s v="Non-Profit"/>
    <s v="Direct"/>
    <s v="Direct"/>
    <s v="B. Chen"/>
    <x v="1"/>
    <x v="6"/>
    <s v="Low"/>
    <s v="PRN-4432"/>
    <s v="A"/>
    <n v="376.83"/>
    <n v="732.88"/>
    <n v="732.88"/>
    <n v="0.188"/>
    <n v="0.188"/>
    <n v="0"/>
    <n v="25"/>
    <n v="14877.464000000002"/>
    <n v="9420.75"/>
    <n v="5456.7140000000018"/>
    <n v="0.36677716040852132"/>
    <n v="8452638.6456899997"/>
    <n v="0.77222893020503691"/>
  </r>
  <r>
    <s v="ORD-2024-892173"/>
    <d v="2024-01-18T00:00:00"/>
    <d v="2024-01-18T00:00:00"/>
    <d v="2024-02-03T00:00:00"/>
    <d v="2024-02-03T00:00:00"/>
    <n v="16"/>
    <n v="0"/>
    <s v="01-2024"/>
    <s v="Q1-2024"/>
    <d v="2023-01-07T00:00:00"/>
    <s v="01-2023"/>
    <x v="2"/>
    <x v="8"/>
    <s v="Cape Town"/>
    <s v="Cape Town"/>
    <s v="Non-Profit"/>
    <s v="Distributor"/>
    <s v="Distributor"/>
    <s v="L. Okafor"/>
    <x v="4"/>
    <x v="6"/>
    <s v="Medium"/>
    <s v="PRN-6660"/>
    <s v="A"/>
    <n v="666.23"/>
    <n v="1382.91"/>
    <n v="1382.91"/>
    <n v="0.17599999999999999"/>
    <n v="0.17599999999999999"/>
    <n v="0"/>
    <n v="13"/>
    <n v="14813.731920000002"/>
    <n v="8660.99"/>
    <n v="6152.7419200000022"/>
    <n v="0.41534043907553048"/>
    <n v="8467452.3776099999"/>
    <n v="0.77358230550385665"/>
  </r>
  <r>
    <s v="ORD-2024-257550"/>
    <d v="2024-12-27T00:00:00"/>
    <d v="2024-12-27T00:00:00"/>
    <d v="2024-12-29T00:00:00"/>
    <d v="2024-12-29T00:00:00"/>
    <n v="2"/>
    <n v="1"/>
    <s v="12-2024"/>
    <s v="Q4-2024"/>
    <d v="2023-01-02T00:00:00"/>
    <s v="01-2023"/>
    <x v="0"/>
    <x v="0"/>
    <s v="Vancouver"/>
    <s v="Vancouver"/>
    <s v="Enterprise"/>
    <s v="Marketplace"/>
    <s v="Marketplace"/>
    <s v="C. Otieno"/>
    <x v="5"/>
    <x v="4"/>
    <s v="High"/>
    <s v="ACC-8620"/>
    <s v="A"/>
    <n v="1146.72"/>
    <n v="2074.34"/>
    <n v="2074.34"/>
    <n v="0.111"/>
    <n v="0.111"/>
    <n v="0"/>
    <n v="8"/>
    <n v="14752.706080000002"/>
    <n v="9173.76"/>
    <n v="5578.9460800000015"/>
    <n v="0.37816425337472737"/>
    <n v="8482205.0836900007"/>
    <n v="0.77493010551179831"/>
  </r>
  <r>
    <s v="ORD-2024-589570"/>
    <d v="2024-05-04T00:00:00"/>
    <d v="2024-05-04T00:00:00"/>
    <d v="2024-05-29T00:00:00"/>
    <d v="2024-05-29T00:00:00"/>
    <n v="25"/>
    <n v="0"/>
    <s v="05-2024"/>
    <s v="Q2-2024"/>
    <d v="2023-01-13T00:00:00"/>
    <s v="01-2023"/>
    <x v="2"/>
    <x v="2"/>
    <s v="Abuja"/>
    <s v="Abuja"/>
    <s v="Non-Profit"/>
    <s v="Marketplace"/>
    <s v="Marketplace"/>
    <s v="O. Wang"/>
    <x v="7"/>
    <x v="3"/>
    <s v="High"/>
    <s v="MON-6892"/>
    <s v="A"/>
    <n v="1295.3399999999999"/>
    <n v="2530.81"/>
    <n v="2530.81"/>
    <n v="3.1E-2"/>
    <n v="3.1E-2"/>
    <n v="0"/>
    <n v="6"/>
    <n v="14714.12934"/>
    <n v="7772.0399999999991"/>
    <n v="6942.0893400000004"/>
    <n v="0.4717974933880798"/>
    <n v="8496919.2130300011"/>
    <n v="0.77627438116765168"/>
  </r>
  <r>
    <s v="ORD-2024-605629"/>
    <d v="2024-07-15T00:00:00"/>
    <d v="2024-07-15T00:00:00"/>
    <d v="2024-07-15T00:00:00"/>
    <d v="2024-07-15T00:00:00"/>
    <n v="0"/>
    <n v="1"/>
    <s v="07-2024"/>
    <s v="Q3-2024"/>
    <d v="2023-03-03T00:00:00"/>
    <s v="03-2023"/>
    <x v="3"/>
    <x v="7"/>
    <s v="Tokyo"/>
    <s v="Tokyo"/>
    <s v="Small Business"/>
    <s v="Marketplace"/>
    <s v="Marketplace"/>
    <s v="G. Dubois"/>
    <x v="11"/>
    <x v="4"/>
    <s v="Medium"/>
    <s v="ACC-2735"/>
    <s v="A"/>
    <n v="801.77"/>
    <n v="1218.92"/>
    <n v="1218.92"/>
    <n v="0.254"/>
    <n v="0.254"/>
    <n v="1"/>
    <n v="16"/>
    <n v="14549.029120000001"/>
    <n v="12828.32"/>
    <n v="1720.7091200000013"/>
    <n v="0.11826968698788344"/>
    <n v="8511468.2421500012"/>
    <n v="0.77760357334820096"/>
  </r>
  <r>
    <s v="ORD-2023-623293"/>
    <d v="2023-10-12T00:00:00"/>
    <d v="2023-10-12T00:00:00"/>
    <d v="2023-10-29T00:00:00"/>
    <d v="2023-10-29T00:00:00"/>
    <n v="17"/>
    <n v="0"/>
    <s v="10-2023"/>
    <s v="Q4-2023"/>
    <d v="2023-03-03T00:00:00"/>
    <s v="03-2023"/>
    <x v="3"/>
    <x v="7"/>
    <s v="Nagoya"/>
    <s v="Nagoya"/>
    <s v="Non-Profit"/>
    <s v="Direct"/>
    <s v="Direct"/>
    <s v="H. Kim"/>
    <x v="0"/>
    <x v="5"/>
    <s v="High"/>
    <s v="PHN-8478"/>
    <s v="A"/>
    <n v="1102.19"/>
    <n v="1711.16"/>
    <n v="1711.16"/>
    <n v="0.151"/>
    <n v="0.151"/>
    <n v="0"/>
    <n v="10"/>
    <n v="14527.748400000002"/>
    <n v="11021.900000000001"/>
    <n v="3505.8484000000008"/>
    <n v="0.24132083675127525"/>
    <n v="8525995.9905500021"/>
    <n v="0.77893082133258518"/>
  </r>
  <r>
    <s v="ORD-2023-126505"/>
    <d v="2023-12-19T00:00:00"/>
    <d v="2023-12-19T00:00:00"/>
    <d v="2024-01-01T00:00:00"/>
    <d v="2024-01-01T00:00:00"/>
    <n v="13"/>
    <n v="0"/>
    <s v="12-2023"/>
    <s v="Q4-2023"/>
    <d v="2023-01-02T00:00:00"/>
    <s v="01-2023"/>
    <x v="0"/>
    <x v="0"/>
    <s v="Toronto"/>
    <s v="Toronto"/>
    <s v="Enterprise"/>
    <s v="Retail"/>
    <s v="Retail"/>
    <s v="K. Singh"/>
    <x v="3"/>
    <x v="3"/>
    <s v="Medium"/>
    <s v="MON-6065"/>
    <s v="A"/>
    <n v="856.1"/>
    <n v="901.48"/>
    <n v="901.48"/>
    <n v="5.6000000000000001E-2"/>
    <n v="5.6000000000000001E-2"/>
    <n v="0"/>
    <n v="17"/>
    <n v="14466.95104"/>
    <n v="14553.7"/>
    <n v="86.748960000000807"/>
    <n v="5.9963540182134192E-3"/>
    <n v="8540462.9415900018"/>
    <n v="0.78025251489991221"/>
  </r>
  <r>
    <s v="ORD-2023-157993"/>
    <d v="2023-04-18T00:00:00"/>
    <d v="2023-04-18T00:00:00"/>
    <d v="2023-05-18T00:00:00"/>
    <d v="2023-05-18T00:00:00"/>
    <n v="30"/>
    <n v="0"/>
    <s v="04-2023"/>
    <s v="Q2-2023"/>
    <d v="2023-01-12T00:00:00"/>
    <s v="01-2023"/>
    <x v="3"/>
    <x v="10"/>
    <s v="Shenzhen"/>
    <s v="Shenzhen"/>
    <s v="Non-Profit"/>
    <s v="Retail"/>
    <s v="Retail"/>
    <s v="H. Kim"/>
    <x v="0"/>
    <x v="2"/>
    <s v="Low"/>
    <s v="LAP-1482"/>
    <s v="A"/>
    <n v="329.03"/>
    <n v="391.15"/>
    <n v="391.15"/>
    <n v="0.19700000000000001"/>
    <n v="0.19700000000000001"/>
    <n v="0"/>
    <n v="46"/>
    <n v="14448.298699999998"/>
    <n v="15135.38"/>
    <n v="687.08130000000165"/>
    <n v="4.7554477815440081E-2"/>
    <n v="8554911.240290001"/>
    <n v="0.78157250439858461"/>
  </r>
  <r>
    <s v="ORD-2025-486350"/>
    <d v="2025-05-27T00:00:00"/>
    <d v="2025-05-27T00:00:00"/>
    <d v="2025-06-08T00:00:00"/>
    <d v="2025-06-08T00:00:00"/>
    <n v="12"/>
    <n v="0"/>
    <s v="05-2025"/>
    <s v="Q2-2025"/>
    <d v="2023-03-03T00:00:00"/>
    <s v="03-2023"/>
    <x v="3"/>
    <x v="7"/>
    <s v="Osaka"/>
    <s v="Osaka"/>
    <s v="Corporate"/>
    <s v="Retail"/>
    <s v="Retail"/>
    <s v="H. Kim"/>
    <x v="0"/>
    <x v="4"/>
    <s v="Medium"/>
    <s v="ACC-1249"/>
    <s v="A"/>
    <n v="653.6"/>
    <n v="842.09"/>
    <n v="842.09"/>
    <n v="9.8000000000000004E-2"/>
    <n v="9.8000000000000004E-2"/>
    <n v="0"/>
    <n v="19"/>
    <n v="14431.738420000001"/>
    <n v="12418.4"/>
    <n v="2013.3384200000019"/>
    <n v="0.13950768517324622"/>
    <n v="8569342.9787100013"/>
    <n v="0.78289098095818033"/>
  </r>
  <r>
    <s v="ORD-2024-347736"/>
    <d v="2024-05-22T00:00:00"/>
    <d v="2024-05-22T00:00:00"/>
    <d v="2024-06-06T00:00:00"/>
    <d v="2024-06-06T00:00:00"/>
    <n v="15"/>
    <n v="0"/>
    <s v="05-2024"/>
    <s v="Q2-2024"/>
    <d v="2023-03-03T00:00:00"/>
    <s v="03-2023"/>
    <x v="3"/>
    <x v="7"/>
    <s v="Nagoya"/>
    <s v="Nagoya"/>
    <s v="Corporate"/>
    <s v="Distributor"/>
    <s v="Distributor"/>
    <s v="C. Otieno"/>
    <x v="5"/>
    <x v="3"/>
    <s v="Medium"/>
    <s v="MON-6870"/>
    <s v="A"/>
    <n v="673.88"/>
    <n v="1228.01"/>
    <n v="1228.01"/>
    <n v="0.105"/>
    <n v="0.105"/>
    <n v="0"/>
    <n v="13"/>
    <n v="14287.896349999999"/>
    <n v="8760.44"/>
    <n v="5527.4563499999986"/>
    <n v="0.38686285332689996"/>
    <n v="8583630.8750600014"/>
    <n v="0.78419631617665286"/>
  </r>
  <r>
    <s v="ORD-2023-946143"/>
    <d v="2023-03-14T00:00:00"/>
    <d v="2023-03-14T00:00:00"/>
    <d v="2023-03-30T00:00:00"/>
    <d v="2023-03-30T00:00:00"/>
    <n v="16"/>
    <n v="0"/>
    <s v="03-2023"/>
    <s v="Q1-2023"/>
    <d v="2023-01-07T00:00:00"/>
    <s v="01-2023"/>
    <x v="2"/>
    <x v="8"/>
    <s v="Cape Town"/>
    <s v="Cape Town"/>
    <s v="Consumer"/>
    <s v="Distributor"/>
    <s v="Distributor"/>
    <s v="K. Singh"/>
    <x v="3"/>
    <x v="0"/>
    <s v="Medium"/>
    <s v="CMP-8230"/>
    <s v="A"/>
    <n v="1309.77"/>
    <n v="1589.07"/>
    <n v="1589.07"/>
    <n v="0.10199999999999999"/>
    <n v="0.10199999999999999"/>
    <n v="0"/>
    <n v="10"/>
    <n v="14269.848599999999"/>
    <n v="13097.7"/>
    <n v="1172.1485999999986"/>
    <n v="8.2141628328137886E-2"/>
    <n v="8597900.7236600015"/>
    <n v="0.78550000256151742"/>
  </r>
  <r>
    <s v="ORD-2023-728177"/>
    <d v="2023-12-18T00:00:00"/>
    <d v="2023-12-18T00:00:00"/>
    <d v="2024-01-14T00:00:00"/>
    <d v="2024-01-14T00:00:00"/>
    <n v="27"/>
    <n v="0"/>
    <s v="12-2023"/>
    <s v="Q4-2023"/>
    <d v="2023-01-29T00:00:00"/>
    <s v="01-2023"/>
    <x v="3"/>
    <x v="3"/>
    <s v="Mumbai"/>
    <s v="Mumbai"/>
    <s v="Consumer"/>
    <s v="Distributor"/>
    <s v="Distributor"/>
    <s v="D. Smith"/>
    <x v="10"/>
    <x v="1"/>
    <s v="High"/>
    <s v="NET-6014"/>
    <s v="A"/>
    <n v="1408.3"/>
    <n v="2193.13"/>
    <n v="2193.13"/>
    <n v="7.0999999999999994E-2"/>
    <n v="7.0999999999999994E-2"/>
    <n v="0"/>
    <n v="7"/>
    <n v="14261.92439"/>
    <n v="9858.1"/>
    <n v="4403.8243899999998"/>
    <n v="0.30878191957656281"/>
    <n v="8612162.6480500009"/>
    <n v="0.78680296499443414"/>
  </r>
  <r>
    <s v="ORD-2024-594592"/>
    <d v="2024-04-06T00:00:00"/>
    <d v="2024-04-06T00:00:00"/>
    <d v="2024-04-25T00:00:00"/>
    <d v="2024-04-25T00:00:00"/>
    <n v="19"/>
    <n v="0"/>
    <s v="04-2024"/>
    <s v="Q2-2024"/>
    <d v="2023-01-12T00:00:00"/>
    <s v="01-2023"/>
    <x v="3"/>
    <x v="10"/>
    <s v="Shanghai"/>
    <s v="Shanghai"/>
    <s v="Corporate"/>
    <s v="Retail"/>
    <s v="Retail"/>
    <s v="K. Singh"/>
    <x v="3"/>
    <x v="0"/>
    <s v="High"/>
    <s v="CMP-8196"/>
    <s v="A"/>
    <n v="1366.48"/>
    <n v="1678.14"/>
    <n v="1678.14"/>
    <n v="0.154"/>
    <n v="0.154"/>
    <n v="0"/>
    <n v="10"/>
    <n v="14197.064400000001"/>
    <n v="13664.8"/>
    <n v="532.26440000000184"/>
    <n v="3.7491159087790132E-2"/>
    <n v="8626359.7124500014"/>
    <n v="0.78810000185040507"/>
  </r>
  <r>
    <s v="ORD-2023-453699"/>
    <d v="2023-07-01T00:00:00"/>
    <d v="2023-07-01T00:00:00"/>
    <d v="2023-07-08T00:00:00"/>
    <d v="2023-07-08T00:00:00"/>
    <n v="7"/>
    <n v="1"/>
    <s v="07-2023"/>
    <s v="Q3-2023"/>
    <d v="2023-01-21T00:00:00"/>
    <s v="01-2023"/>
    <x v="1"/>
    <x v="4"/>
    <s v="Frankfurt"/>
    <s v="Frankfurt"/>
    <s v="Small Business"/>
    <s v="Distributor"/>
    <s v="Distributor"/>
    <s v="N. Brown"/>
    <x v="13"/>
    <x v="2"/>
    <s v="Medium"/>
    <s v="LAP-4666"/>
    <s v="A"/>
    <n v="460.21"/>
    <n v="1139.1500000000001"/>
    <n v="1139.1500000000001"/>
    <n v="0.115"/>
    <n v="0.115"/>
    <n v="0"/>
    <n v="14"/>
    <n v="14114.068500000001"/>
    <n v="6442.94"/>
    <n v="7671.1285000000016"/>
    <n v="0.54350937151821255"/>
    <n v="8640473.7809500005"/>
    <n v="0.78938945624156764"/>
  </r>
  <r>
    <s v="ORD-2023-619385"/>
    <d v="2023-09-30T00:00:00"/>
    <d v="2023-09-30T00:00:00"/>
    <d v="2023-10-03T00:00:00"/>
    <d v="2023-10-03T00:00:00"/>
    <n v="3"/>
    <n v="1"/>
    <s v="09-2023"/>
    <s v="Q3-2023"/>
    <d v="2023-01-12T00:00:00"/>
    <s v="01-2023"/>
    <x v="3"/>
    <x v="10"/>
    <s v="Beijing"/>
    <s v="Beijing"/>
    <s v="Non-Profit"/>
    <s v="Retail"/>
    <s v="Retail"/>
    <s v="J. Njeri"/>
    <x v="8"/>
    <x v="2"/>
    <s v="Medium"/>
    <s v="LAP-5763"/>
    <s v="A"/>
    <n v="1019.36"/>
    <n v="972.91"/>
    <n v="972.91"/>
    <n v="0.14699999999999999"/>
    <n v="0.14699999999999999"/>
    <n v="0"/>
    <n v="17"/>
    <n v="14108.16791"/>
    <n v="17329.12"/>
    <n v="3220.9520899999989"/>
    <n v="0.22830406545678819"/>
    <n v="8654581.9488600008"/>
    <n v="0.79067837155771548"/>
  </r>
  <r>
    <s v="ORD-2023-249805"/>
    <d v="2023-12-22T00:00:00"/>
    <d v="2023-12-22T00:00:00"/>
    <d v="2024-01-16T00:00:00"/>
    <d v="2024-01-16T00:00:00"/>
    <n v="25"/>
    <n v="0"/>
    <s v="12-2023"/>
    <s v="Q4-2023"/>
    <d v="2023-01-29T00:00:00"/>
    <s v="01-2023"/>
    <x v="3"/>
    <x v="3"/>
    <s v="Hyderabad"/>
    <s v="Hyderabad"/>
    <s v="Small Business"/>
    <s v="Retail"/>
    <s v="Retail"/>
    <s v="A. Patel"/>
    <x v="2"/>
    <x v="0"/>
    <s v="Medium"/>
    <s v="CMP-1555"/>
    <s v="A"/>
    <n v="1346.81"/>
    <n v="978.09"/>
    <n v="978.09"/>
    <n v="0.159"/>
    <n v="0.159"/>
    <n v="0"/>
    <n v="17"/>
    <n v="13983.752729999998"/>
    <n v="22895.77"/>
    <n v="8912.0172700000021"/>
    <n v="0.6373122753293996"/>
    <n v="8668565.7015900016"/>
    <n v="0.7919559203639035"/>
  </r>
  <r>
    <s v="ORD-2023-713614"/>
    <d v="2023-08-02T00:00:00"/>
    <d v="2023-08-02T00:00:00"/>
    <d v="2023-08-19T00:00:00"/>
    <d v="2023-08-19T00:00:00"/>
    <n v="17"/>
    <n v="0"/>
    <s v="08-2023"/>
    <s v="Q3-2023"/>
    <d v="2023-01-02T00:00:00"/>
    <s v="01-2023"/>
    <x v="0"/>
    <x v="0"/>
    <s v="Vancouver"/>
    <s v="Vancouver"/>
    <s v="Corporate"/>
    <s v="Online"/>
    <s v="Online"/>
    <s v="F. Müller"/>
    <x v="9"/>
    <x v="1"/>
    <s v="Low"/>
    <s v="NET-3689"/>
    <s v="A"/>
    <n v="175.38"/>
    <n v="347.9"/>
    <n v="347.9"/>
    <n v="7.1999999999999995E-2"/>
    <n v="7.1999999999999995E-2"/>
    <n v="0"/>
    <n v="43"/>
    <n v="13882.6016"/>
    <n v="7541.34"/>
    <n v="6341.2615999999998"/>
    <n v="0.45677761148169804"/>
    <n v="8682448.3031900022"/>
    <n v="0.79322422805235504"/>
  </r>
  <r>
    <s v="ORD-2023-107265"/>
    <d v="2023-04-22T00:00:00"/>
    <d v="2023-04-22T00:00:00"/>
    <d v="2023-05-14T00:00:00"/>
    <d v="2023-05-14T00:00:00"/>
    <n v="22"/>
    <n v="0"/>
    <s v="04-2023"/>
    <s v="Q2-2023"/>
    <d v="2023-03-03T00:00:00"/>
    <s v="03-2023"/>
    <x v="3"/>
    <x v="7"/>
    <s v="Nagoya"/>
    <s v="Nagoya"/>
    <s v="Enterprise"/>
    <s v="Retail"/>
    <s v="Retail"/>
    <s v="A. Patel"/>
    <x v="2"/>
    <x v="4"/>
    <s v="Medium"/>
    <s v="ACC-7713"/>
    <s v="A"/>
    <n v="1209.22"/>
    <n v="1404.33"/>
    <n v="1404.33"/>
    <n v="0.10299999999999999"/>
    <n v="0.10299999999999999"/>
    <n v="0"/>
    <n v="11"/>
    <n v="13856.52411"/>
    <n v="13301.42"/>
    <n v="555.10411000000022"/>
    <n v="4.0060848275751328E-2"/>
    <n v="8696304.8273000028"/>
    <n v="0.79449015331408168"/>
  </r>
  <r>
    <s v="ORD-2023-132101"/>
    <d v="2023-09-25T00:00:00"/>
    <d v="2023-09-25T00:00:00"/>
    <d v="2023-10-09T00:00:00"/>
    <d v="2023-10-09T00:00:00"/>
    <n v="14"/>
    <n v="0"/>
    <s v="09-2023"/>
    <s v="Q3-2023"/>
    <d v="2023-01-13T00:00:00"/>
    <s v="01-2023"/>
    <x v="0"/>
    <x v="6"/>
    <s v="New York"/>
    <s v="New York"/>
    <s v="Small Business"/>
    <s v="Marketplace"/>
    <s v="Marketplace"/>
    <s v="J. Njeri"/>
    <x v="8"/>
    <x v="2"/>
    <s v="High"/>
    <s v="LAP-6750"/>
    <s v="A"/>
    <n v="1279.56"/>
    <n v="3083.8"/>
    <n v="3083.8"/>
    <n v="0.106"/>
    <n v="0.106"/>
    <n v="0"/>
    <n v="5"/>
    <n v="13784.586000000001"/>
    <n v="6397.7999999999993"/>
    <n v="7386.7860000000019"/>
    <n v="0.53587289455047848"/>
    <n v="8710089.413300002"/>
    <n v="0.79574950634528296"/>
  </r>
  <r>
    <s v="ORD-2025-662997"/>
    <d v="2025-03-31T00:00:00"/>
    <d v="2025-03-31T00:00:00"/>
    <d v="2025-04-04T00:00:00"/>
    <d v="2025-04-04T00:00:00"/>
    <n v="4"/>
    <n v="1"/>
    <s v="03-2025"/>
    <s v="Q1-2025"/>
    <d v="2023-01-20T00:00:00"/>
    <s v="01-2023"/>
    <x v="2"/>
    <x v="5"/>
    <s v="Nakuru"/>
    <s v="Nakuru"/>
    <s v="Corporate"/>
    <s v="Direct"/>
    <s v="Direct"/>
    <s v="C. Otieno"/>
    <x v="5"/>
    <x v="2"/>
    <s v="High"/>
    <s v="LAP-7136"/>
    <s v="A"/>
    <n v="862.08"/>
    <n v="1952.83"/>
    <n v="1952.83"/>
    <n v="0"/>
    <n v="0"/>
    <n v="0"/>
    <n v="7"/>
    <n v="13669.81"/>
    <n v="6034.56"/>
    <n v="7635.2499999999991"/>
    <n v="0.5585483631447693"/>
    <n v="8723759.2233000025"/>
    <n v="0.7969983734972923"/>
  </r>
  <r>
    <s v="ORD-2023-573146"/>
    <d v="2023-12-01T00:00:00"/>
    <d v="2023-12-01T00:00:00"/>
    <d v="2023-12-18T00:00:00"/>
    <d v="2023-12-18T00:00:00"/>
    <n v="17"/>
    <n v="0"/>
    <s v="12-2023"/>
    <s v="Q4-2023"/>
    <d v="2023-03-03T00:00:00"/>
    <s v="03-2023"/>
    <x v="3"/>
    <x v="7"/>
    <s v="Nagoya"/>
    <s v="Nagoya"/>
    <s v="Small Business"/>
    <s v="Direct"/>
    <s v="Direct"/>
    <s v="N. Brown"/>
    <x v="13"/>
    <x v="2"/>
    <s v="High"/>
    <s v="LAP-3604"/>
    <s v="A"/>
    <n v="1495.79"/>
    <n v="2783.12"/>
    <n v="2783.12"/>
    <n v="0.02"/>
    <n v="0.02"/>
    <n v="0"/>
    <n v="5"/>
    <n v="13637.287999999999"/>
    <n v="7478.95"/>
    <n v="6158.3379999999988"/>
    <n v="0.45158084217331185"/>
    <n v="8737396.5113000032"/>
    <n v="0.79824426945529681"/>
  </r>
  <r>
    <s v="ORD-2025-762212"/>
    <d v="2025-08-25T00:00:00"/>
    <d v="2025-08-25T00:00:00"/>
    <d v="2025-09-24T00:00:00"/>
    <d v="2025-09-24T00:00:00"/>
    <n v="30"/>
    <n v="0"/>
    <s v="08-2025"/>
    <s v="Q3-2025"/>
    <d v="2023-01-20T00:00:00"/>
    <s v="01-2023"/>
    <x v="2"/>
    <x v="5"/>
    <s v="Nairobi"/>
    <s v="Nairobi"/>
    <s v="Consumer"/>
    <s v="Direct"/>
    <s v="Direct"/>
    <s v="B. Chen"/>
    <x v="1"/>
    <x v="0"/>
    <s v="Medium"/>
    <s v="CMP-4970"/>
    <s v="A"/>
    <n v="589.14"/>
    <n v="1300.58"/>
    <n v="1300.58"/>
    <n v="5.5E-2"/>
    <n v="5.5E-2"/>
    <n v="0"/>
    <n v="11"/>
    <n v="13519.529099999998"/>
    <n v="6480.54"/>
    <n v="7038.989099999998"/>
    <n v="0.52065342275863724"/>
    <n v="8750916.040400004"/>
    <n v="0.79947940701782505"/>
  </r>
  <r>
    <s v="ORD-2024-811752"/>
    <d v="2024-02-25T00:00:00"/>
    <d v="2024-02-25T00:00:00"/>
    <d v="2024-03-09T00:00:00"/>
    <d v="2024-03-09T00:00:00"/>
    <n v="13"/>
    <n v="0"/>
    <s v="02-2024"/>
    <s v="Q1-2024"/>
    <d v="2023-01-10T00:00:00"/>
    <s v="01-2023"/>
    <x v="1"/>
    <x v="11"/>
    <s v="Marseille"/>
    <s v="Marseille"/>
    <s v="Small Business"/>
    <s v="Distributor"/>
    <s v="Distributor"/>
    <s v="E. Garcia"/>
    <x v="14"/>
    <x v="3"/>
    <s v="Low"/>
    <s v="MON-3350"/>
    <s v="B"/>
    <n v="322.44"/>
    <n v="395.61"/>
    <n v="395.61"/>
    <n v="0"/>
    <n v="0"/>
    <n v="0"/>
    <n v="34"/>
    <n v="13450.74"/>
    <n v="10962.96"/>
    <n v="2487.7800000000007"/>
    <n v="0.18495487980586947"/>
    <n v="8764366.7804000042"/>
    <n v="0.80070826004184059"/>
  </r>
  <r>
    <s v="ORD-2023-854471"/>
    <d v="2023-03-06T00:00:00"/>
    <d v="2023-03-06T00:00:00"/>
    <d v="2023-04-04T00:00:00"/>
    <d v="2023-04-04T00:00:00"/>
    <n v="29"/>
    <n v="0"/>
    <s v="03-2023"/>
    <s v="Q1-2023"/>
    <d v="2023-01-12T00:00:00"/>
    <s v="01-2023"/>
    <x v="3"/>
    <x v="10"/>
    <s v="Beijing"/>
    <s v="Beijing"/>
    <s v="Small Business"/>
    <s v="Direct"/>
    <s v="Direct"/>
    <s v="C. Otieno"/>
    <x v="5"/>
    <x v="3"/>
    <s v="High"/>
    <s v="MON-2073"/>
    <s v="B"/>
    <n v="1126.29"/>
    <n v="2050.87"/>
    <n v="2050.87"/>
    <n v="6.4000000000000001E-2"/>
    <n v="6.4000000000000001E-2"/>
    <n v="0"/>
    <n v="7"/>
    <n v="13437.300239999999"/>
    <n v="7884.03"/>
    <n v="5553.2702399999989"/>
    <n v="0.41327276616690373"/>
    <n v="8777804.0806400049"/>
    <n v="0.80193588521595949"/>
  </r>
  <r>
    <s v="ORD-2025-685236"/>
    <d v="2025-03-14T00:00:00"/>
    <d v="2025-03-14T00:00:00"/>
    <d v="2025-03-29T00:00:00"/>
    <d v="2025-03-29T00:00:00"/>
    <n v="15"/>
    <n v="0"/>
    <s v="03-2025"/>
    <s v="Q1-2025"/>
    <d v="2023-03-03T00:00:00"/>
    <s v="03-2023"/>
    <x v="3"/>
    <x v="7"/>
    <s v="Tokyo"/>
    <s v="Tokyo"/>
    <s v="Non-Profit"/>
    <s v="Direct"/>
    <s v="Direct"/>
    <s v="H. Kim"/>
    <x v="0"/>
    <x v="1"/>
    <s v="High"/>
    <s v="NET-8430"/>
    <s v="B"/>
    <n v="1106.96"/>
    <n v="2726.62"/>
    <n v="2726.62"/>
    <n v="0.317"/>
    <n v="0.3"/>
    <n v="1"/>
    <n v="7"/>
    <n v="13360.438"/>
    <n v="7748.72"/>
    <n v="5611.7179999999998"/>
    <n v="0.42002500217432992"/>
    <n v="8791164.5186400041"/>
    <n v="0.80315648829344588"/>
  </r>
  <r>
    <s v="ORD-2024-211453"/>
    <d v="2024-04-04T00:00:00"/>
    <d v="2024-04-04T00:00:00"/>
    <d v="2024-04-24T00:00:00"/>
    <d v="2024-04-24T00:00:00"/>
    <n v="20"/>
    <n v="0"/>
    <s v="04-2024"/>
    <s v="Q2-2024"/>
    <d v="2023-01-21T00:00:00"/>
    <s v="01-2023"/>
    <x v="1"/>
    <x v="4"/>
    <s v="Frankfurt"/>
    <s v="Frankfurt"/>
    <s v="Non-Profit"/>
    <s v="Direct"/>
    <s v="Direct"/>
    <s v="O. Wang"/>
    <x v="7"/>
    <x v="4"/>
    <s v="Medium"/>
    <s v="ACC-6543"/>
    <s v="B"/>
    <n v="683.42"/>
    <n v="951.51"/>
    <n v="951.51"/>
    <n v="0"/>
    <n v="0"/>
    <n v="0"/>
    <n v="14"/>
    <n v="13321.14"/>
    <n v="9567.8799999999992"/>
    <n v="3753.26"/>
    <n v="0.28175216235247136"/>
    <n v="8804485.6586400047"/>
    <n v="0.80437350112488371"/>
  </r>
  <r>
    <s v="ORD-2024-872291"/>
    <d v="2024-01-08T00:00:00"/>
    <d v="2024-01-08T00:00:00"/>
    <d v="2024-01-12T00:00:00"/>
    <d v="2024-01-12T00:00:00"/>
    <n v="4"/>
    <n v="1"/>
    <s v="01-2024"/>
    <s v="Q1-2024"/>
    <d v="2023-01-29T00:00:00"/>
    <s v="01-2023"/>
    <x v="3"/>
    <x v="3"/>
    <s v="Bengaluru"/>
    <s v="Bengaluru"/>
    <s v="Corporate"/>
    <s v="Direct"/>
    <s v="Direct"/>
    <s v="E. Garcia"/>
    <x v="14"/>
    <x v="6"/>
    <s v="Low"/>
    <s v="PRN-6585"/>
    <s v="B"/>
    <n v="802.32"/>
    <n v="602.34"/>
    <n v="602.34"/>
    <n v="0.12"/>
    <n v="0.12"/>
    <n v="0"/>
    <n v="25"/>
    <n v="13251.48"/>
    <n v="20058"/>
    <n v="6806.52"/>
    <n v="0.51364224977134632"/>
    <n v="8817737.1386400051"/>
    <n v="0.80558414985281102"/>
  </r>
  <r>
    <s v="ORD-2024-629525"/>
    <d v="2024-04-18T00:00:00"/>
    <d v="2024-04-18T00:00:00"/>
    <d v="2024-05-08T00:00:00"/>
    <d v="2024-05-08T00:00:00"/>
    <n v="20"/>
    <n v="0"/>
    <s v="04-2024"/>
    <s v="Q2-2024"/>
    <d v="2023-01-19T00:00:00"/>
    <s v="01-2023"/>
    <x v="1"/>
    <x v="1"/>
    <s v="London"/>
    <s v="London"/>
    <s v="Non-Profit"/>
    <m/>
    <s v="Retail"/>
    <s v="D. Smith"/>
    <x v="10"/>
    <x v="2"/>
    <s v="Medium"/>
    <s v="LAP-9932"/>
    <s v="B"/>
    <n v="645.33000000000004"/>
    <n v="1321.85"/>
    <n v="1321.85"/>
    <n v="0"/>
    <n v="0"/>
    <n v="0"/>
    <n v="10"/>
    <n v="13218.5"/>
    <n v="6453.3"/>
    <n v="6765.2"/>
    <n v="0.51179785906116426"/>
    <n v="8830955.6386400051"/>
    <n v="0.80679178554407771"/>
  </r>
  <r>
    <s v="ORD-2025-588029"/>
    <d v="2025-09-14T00:00:00"/>
    <d v="2025-09-14T00:00:00"/>
    <d v="2025-09-23T00:00:00"/>
    <d v="2025-09-23T00:00:00"/>
    <n v="9"/>
    <n v="0"/>
    <s v="09-2025"/>
    <s v="Q3-2025"/>
    <d v="2023-01-07T00:00:00"/>
    <s v="01-2023"/>
    <x v="2"/>
    <x v="8"/>
    <s v="Durban"/>
    <s v="Durban"/>
    <s v="Non-Profit"/>
    <s v="Online"/>
    <s v="Online"/>
    <s v="D. Smith"/>
    <x v="10"/>
    <x v="0"/>
    <s v="High"/>
    <s v="CMP-6898"/>
    <s v="B"/>
    <n v="1310.3"/>
    <n v="2875.8"/>
    <n v="2875.8"/>
    <n v="8.3000000000000004E-2"/>
    <n v="8.3000000000000004E-2"/>
    <n v="0"/>
    <n v="5"/>
    <n v="13185.543"/>
    <n v="6551.5"/>
    <n v="6634.0429999999997"/>
    <n v="0.50313005691157353"/>
    <n v="8844141.1816400047"/>
    <n v="0.80799641029995251"/>
  </r>
  <r>
    <s v="ORD-2023-841426"/>
    <d v="2023-12-22T00:00:00"/>
    <d v="2023-12-22T00:00:00"/>
    <d v="2023-12-23T00:00:00"/>
    <d v="2023-12-23T00:00:00"/>
    <n v="1"/>
    <n v="1"/>
    <s v="12-2023"/>
    <s v="Q4-2023"/>
    <d v="2023-01-07T00:00:00"/>
    <s v="01-2023"/>
    <x v="2"/>
    <x v="8"/>
    <s v="Cape Town"/>
    <s v="Cape Town"/>
    <s v="Non-Profit"/>
    <s v="Marketplace"/>
    <s v="Marketplace"/>
    <s v="D. Smith"/>
    <x v="10"/>
    <x v="0"/>
    <s v="Medium"/>
    <s v="CMP-4531"/>
    <s v="B"/>
    <n v="1186.18"/>
    <n v="1285.0899999999999"/>
    <n v="1285.0899999999999"/>
    <n v="7.0000000000000007E-2"/>
    <n v="7.0000000000000007E-2"/>
    <n v="0"/>
    <n v="11"/>
    <n v="13146.470699999998"/>
    <n v="13047.980000000001"/>
    <n v="98.49069999999665"/>
    <n v="7.4917977796121861E-3"/>
    <n v="8857287.6523400042"/>
    <n v="0.80919746542962012"/>
  </r>
  <r>
    <s v="ORD-2024-555229"/>
    <d v="2024-05-18T00:00:00"/>
    <d v="2024-05-18T00:00:00"/>
    <d v="2024-05-22T00:00:00"/>
    <d v="2024-05-22T00:00:00"/>
    <n v="4"/>
    <n v="1"/>
    <s v="05-2024"/>
    <s v="Q2-2024"/>
    <d v="2023-01-20T00:00:00"/>
    <s v="01-2023"/>
    <x v="2"/>
    <x v="5"/>
    <s v="Nairobi"/>
    <s v="Nairobi"/>
    <s v="Corporate"/>
    <s v="Direct"/>
    <s v="Direct"/>
    <s v="H. Kim"/>
    <x v="0"/>
    <x v="4"/>
    <s v="High"/>
    <s v="ACC-7354"/>
    <s v="B"/>
    <n v="857.42"/>
    <n v="1658.92"/>
    <n v="1658.92"/>
    <n v="0.122"/>
    <n v="0.122"/>
    <n v="0"/>
    <n v="9"/>
    <n v="13108.78584"/>
    <n v="7716.78"/>
    <n v="5392.0058400000007"/>
    <n v="0.41132763215544305"/>
    <n v="8870396.4381800033"/>
    <n v="0.81039507768891994"/>
  </r>
  <r>
    <s v="ORD-2024-972999"/>
    <d v="2024-09-06T00:00:00"/>
    <d v="2024-09-06T00:00:00"/>
    <d v="2024-10-04T00:00:00"/>
    <d v="2024-10-04T00:00:00"/>
    <n v="28"/>
    <n v="0"/>
    <s v="09-2024"/>
    <s v="Q3-2024"/>
    <d v="2023-01-07T00:00:00"/>
    <s v="01-2023"/>
    <x v="2"/>
    <x v="8"/>
    <s v="Cape Town"/>
    <s v="Cape Town"/>
    <s v="Corporate"/>
    <s v="Marketplace"/>
    <s v="Marketplace"/>
    <s v="D. Smith"/>
    <x v="10"/>
    <x v="3"/>
    <s v="High"/>
    <s v="MON-3504"/>
    <s v="B"/>
    <n v="1174.17"/>
    <n v="1641.61"/>
    <n v="1641.61"/>
    <n v="0.122"/>
    <n v="0.122"/>
    <n v="0"/>
    <n v="9"/>
    <n v="12972.00222"/>
    <n v="10567.53"/>
    <n v="2404.4722199999997"/>
    <n v="0.18535860380079394"/>
    <n v="8883368.4404000025"/>
    <n v="0.8115801934636343"/>
  </r>
  <r>
    <s v="ORD-2024-837651"/>
    <d v="2024-12-10T00:00:00"/>
    <d v="2024-12-10T00:00:00"/>
    <d v="2024-12-19T00:00:00"/>
    <d v="2024-12-19T00:00:00"/>
    <n v="9"/>
    <n v="0"/>
    <s v="12-2024"/>
    <s v="Q4-2024"/>
    <d v="2023-01-13T00:00:00"/>
    <s v="01-2023"/>
    <x v="2"/>
    <x v="2"/>
    <s v="Lagos"/>
    <s v="Lagos"/>
    <s v="Corporate"/>
    <s v="Retail"/>
    <s v="Retail"/>
    <s v="O. Wang"/>
    <x v="7"/>
    <x v="3"/>
    <s v="Medium"/>
    <s v="MON-4789"/>
    <s v="B"/>
    <n v="488.68"/>
    <n v="984.36"/>
    <n v="984.36"/>
    <n v="5.8999999999999997E-2"/>
    <n v="5.8999999999999997E-2"/>
    <n v="0"/>
    <n v="14"/>
    <n v="12967.958640000001"/>
    <n v="6841.52"/>
    <n v="6126.4386400000003"/>
    <n v="0.47242891576649876"/>
    <n v="8896336.3990400024"/>
    <n v="0.81276493981885867"/>
  </r>
  <r>
    <s v="ORD-2024-381197"/>
    <d v="2024-11-01T00:00:00"/>
    <d v="2024-11-01T00:00:00"/>
    <d v="2024-11-12T00:00:00"/>
    <d v="2024-11-12T00:00:00"/>
    <n v="11"/>
    <n v="0"/>
    <s v="11-2024"/>
    <s v="Q4-2024"/>
    <d v="2023-01-21T00:00:00"/>
    <s v="01-2023"/>
    <x v="1"/>
    <x v="4"/>
    <s v="Frankfurt"/>
    <s v="Frankfurt"/>
    <s v="Consumer"/>
    <s v="Online"/>
    <s v="Online"/>
    <s v="B. Chen"/>
    <x v="1"/>
    <x v="6"/>
    <s v="Medium"/>
    <s v="PRN-2409"/>
    <s v="B"/>
    <n v="599.84"/>
    <n v="1330.85"/>
    <n v="1330.85"/>
    <n v="0.115"/>
    <n v="0.115"/>
    <n v="0"/>
    <n v="11"/>
    <n v="12955.824749999998"/>
    <n v="6598.2400000000007"/>
    <n v="6357.5847499999973"/>
    <n v="0.49071246892252063"/>
    <n v="8909292.223790003"/>
    <n v="0.81394857762783068"/>
  </r>
  <r>
    <s v="ORD-2023-825495"/>
    <d v="2023-11-30T00:00:00"/>
    <d v="2023-11-29T00:00:00"/>
    <d v="2023-11-29T00:00:00"/>
    <d v="2023-11-30T00:00:00"/>
    <n v="1"/>
    <n v="1"/>
    <s v="11-2023"/>
    <s v="Q4-2023"/>
    <d v="2023-01-07T00:00:00"/>
    <s v="01-2023"/>
    <x v="2"/>
    <x v="8"/>
    <s v="Durban"/>
    <s v="Durban"/>
    <s v="Small Business"/>
    <s v="Marketplace"/>
    <s v="Marketplace"/>
    <s v="E. Garcia"/>
    <x v="14"/>
    <x v="2"/>
    <s v="Low"/>
    <s v="LAP-1525"/>
    <s v="B"/>
    <n v="275.56"/>
    <n v="630.72"/>
    <n v="630.72"/>
    <n v="0.107"/>
    <n v="0.107"/>
    <n v="0"/>
    <n v="23"/>
    <n v="12954.358080000002"/>
    <n v="6337.88"/>
    <n v="6616.4780800000017"/>
    <n v="0.5107530638831933"/>
    <n v="8922246.5818700027"/>
    <n v="0.81513208144254923"/>
  </r>
  <r>
    <s v="ORD-2025-822030"/>
    <d v="2025-08-07T00:00:00"/>
    <d v="2025-08-07T00:00:00"/>
    <d v="2025-09-06T00:00:00"/>
    <d v="2025-09-06T00:00:00"/>
    <n v="30"/>
    <n v="0"/>
    <s v="08-2025"/>
    <s v="Q3-2025"/>
    <d v="2023-01-02T00:00:00"/>
    <s v="01-2023"/>
    <x v="0"/>
    <x v="0"/>
    <s v="Montreal"/>
    <s v="Montreal"/>
    <s v="Education"/>
    <s v="Direct"/>
    <s v="Direct"/>
    <s v="M. Rossi"/>
    <x v="6"/>
    <x v="1"/>
    <s v="Medium"/>
    <s v="NET-1336"/>
    <s v="B"/>
    <n v="833.73"/>
    <n v="1116.5999999999999"/>
    <n v="1116.5999999999999"/>
    <n v="0.17599999999999999"/>
    <n v="0.17599999999999999"/>
    <n v="0"/>
    <n v="14"/>
    <n v="12881.097599999999"/>
    <n v="11672.220000000001"/>
    <n v="1208.877599999998"/>
    <n v="9.3848958958279924E-2"/>
    <n v="8935127.6794700027"/>
    <n v="0.81630889221566638"/>
  </r>
  <r>
    <s v="ORD-2023-455933"/>
    <d v="2023-11-19T00:00:00"/>
    <d v="2023-11-19T00:00:00"/>
    <d v="2023-12-19T00:00:00"/>
    <d v="2023-12-19T00:00:00"/>
    <n v="30"/>
    <n v="0"/>
    <s v="11-2023"/>
    <s v="Q4-2023"/>
    <d v="2023-03-03T00:00:00"/>
    <s v="03-2023"/>
    <x v="3"/>
    <x v="7"/>
    <s v="Nagoya"/>
    <s v="Nagoya"/>
    <s v="Consumer"/>
    <s v="Retail"/>
    <s v="Retail"/>
    <m/>
    <x v="3"/>
    <x v="5"/>
    <s v="High"/>
    <s v="PHN-9184"/>
    <s v="B"/>
    <n v="807.11"/>
    <n v="1853.86"/>
    <n v="1853.86"/>
    <n v="0.13900000000000001"/>
    <n v="0.13900000000000001"/>
    <n v="0"/>
    <n v="8"/>
    <n v="12769.38768"/>
    <n v="6456.88"/>
    <n v="6312.5076799999997"/>
    <n v="0.49434693645388639"/>
    <n v="8947897.0671500023"/>
    <n v="0.81747549722515978"/>
  </r>
  <r>
    <s v="ORD-2023-386663"/>
    <d v="2023-06-05T00:00:00"/>
    <d v="2023-06-05T00:00:00"/>
    <d v="2023-06-28T00:00:00"/>
    <d v="2023-06-28T00:00:00"/>
    <n v="23"/>
    <n v="0"/>
    <s v="06-2023"/>
    <s v="Q2-2023"/>
    <d v="2023-01-19T00:00:00"/>
    <s v="01-2023"/>
    <x v="1"/>
    <x v="1"/>
    <s v="Birmingham"/>
    <s v="Birmingham"/>
    <s v="Corporate"/>
    <s v="Direct"/>
    <s v="Direct"/>
    <s v="K. Singh"/>
    <x v="3"/>
    <x v="6"/>
    <s v="Low"/>
    <s v="PRN-3690"/>
    <s v="B"/>
    <n v="605.82000000000005"/>
    <n v="771.12"/>
    <n v="771.12"/>
    <n v="0.13200000000000001"/>
    <n v="0.13200000000000001"/>
    <n v="0"/>
    <n v="19"/>
    <n v="12717.311040000001"/>
    <n v="11510.580000000002"/>
    <n v="1206.7310399999988"/>
    <n v="9.4888851597986767E-2"/>
    <n v="8960614.3781900015"/>
    <n v="0.8186373445383075"/>
  </r>
  <r>
    <s v="ORD-2025-939953"/>
    <d v="2025-01-22T00:00:00"/>
    <d v="2025-01-22T00:00:00"/>
    <d v="2025-01-22T00:00:00"/>
    <d v="2025-01-22T00:00:00"/>
    <n v="0"/>
    <n v="1"/>
    <s v="01-2025"/>
    <s v="Q1-2025"/>
    <d v="2023-01-10T00:00:00"/>
    <s v="01-2023"/>
    <x v="1"/>
    <x v="11"/>
    <s v="Lyon"/>
    <s v="Lyon"/>
    <s v="Small Business"/>
    <s v="Online"/>
    <s v="Online"/>
    <s v="B. Chen"/>
    <x v="1"/>
    <x v="4"/>
    <s v="Low"/>
    <s v="ACC-5422"/>
    <s v="B"/>
    <n v="591.72"/>
    <n v="577.24"/>
    <n v="577.24"/>
    <n v="0"/>
    <n v="0"/>
    <n v="0"/>
    <n v="22"/>
    <n v="12699.28"/>
    <n v="13017.84"/>
    <n v="318.55999999999949"/>
    <n v="2.5084886702238195E-2"/>
    <n v="8973313.6581900008"/>
    <n v="0.81979754454446463"/>
  </r>
  <r>
    <s v="ORD-2024-446030"/>
    <d v="2024-03-23T00:00:00"/>
    <d v="2024-03-23T00:00:00"/>
    <d v="2024-03-26T00:00:00"/>
    <d v="2024-03-26T00:00:00"/>
    <n v="3"/>
    <n v="1"/>
    <s v="03-2024"/>
    <s v="Q1-2024"/>
    <d v="2023-01-29T00:00:00"/>
    <s v="01-2023"/>
    <x v="3"/>
    <x v="3"/>
    <s v="Bengaluru"/>
    <s v="Bengaluru"/>
    <s v="Education"/>
    <s v="Direct"/>
    <s v="Direct"/>
    <s v="G. Dubois"/>
    <x v="11"/>
    <x v="5"/>
    <s v="Low"/>
    <s v="PHN-4346"/>
    <s v="B"/>
    <n v="382.21"/>
    <n v="571.89"/>
    <n v="571.89"/>
    <n v="0.14799999999999999"/>
    <n v="0.14799999999999999"/>
    <n v="0"/>
    <n v="26"/>
    <n v="12668.50728"/>
    <n v="9937.4599999999991"/>
    <n v="2731.0472800000007"/>
    <n v="0.2155776698578809"/>
    <n v="8985982.1654700004"/>
    <n v="0.8209549331699818"/>
  </r>
  <r>
    <s v="ORD-2025-898022"/>
    <d v="2025-09-02T00:00:00"/>
    <d v="2025-09-02T00:00:00"/>
    <d v="2025-09-11T00:00:00"/>
    <d v="2025-09-11T00:00:00"/>
    <n v="9"/>
    <n v="0"/>
    <s v="09-2025"/>
    <s v="Q3-2025"/>
    <d v="2023-01-02T00:00:00"/>
    <s v="01-2023"/>
    <x v="0"/>
    <x v="0"/>
    <s v="Toronto"/>
    <s v="Toronto"/>
    <s v="Corporate"/>
    <s v="Distributor"/>
    <s v="Distributor"/>
    <s v="M. Rossi"/>
    <x v="6"/>
    <x v="6"/>
    <s v="Medium"/>
    <s v="PRN-1276"/>
    <s v="B"/>
    <n v="1207.6300000000001"/>
    <n v="921.68"/>
    <n v="921.68"/>
    <n v="0.19600000000000001"/>
    <n v="0.19600000000000001"/>
    <n v="0"/>
    <n v="17"/>
    <n v="12597.52224"/>
    <n v="20529.710000000003"/>
    <n v="7932.1877600000025"/>
    <n v="0.62966253274897988"/>
    <n v="8998579.6877100002"/>
    <n v="0.82210583663698267"/>
  </r>
  <r>
    <s v="ORD-2023-109927"/>
    <d v="2023-07-22T00:00:00"/>
    <d v="2023-07-21T00:00:00"/>
    <d v="2023-07-21T00:00:00"/>
    <d v="2023-07-22T00:00:00"/>
    <n v="1"/>
    <n v="1"/>
    <s v="07-2023"/>
    <s v="Q3-2023"/>
    <d v="2023-01-29T00:00:00"/>
    <s v="01-2023"/>
    <x v="3"/>
    <x v="3"/>
    <s v="Delhi"/>
    <s v="Delhi"/>
    <s v="Small Business"/>
    <s v="Distributor"/>
    <s v="Distributor"/>
    <s v="E. Garcia"/>
    <x v="14"/>
    <x v="6"/>
    <s v="High"/>
    <s v="PRN-2301"/>
    <s v="B"/>
    <n v="946.99"/>
    <n v="2132.19"/>
    <n v="2132.19"/>
    <n v="0.16500000000000001"/>
    <n v="0.16500000000000001"/>
    <n v="0"/>
    <n v="7"/>
    <n v="12462.65055"/>
    <n v="6628.93"/>
    <n v="5833.72055"/>
    <n v="0.46809629513362228"/>
    <n v="9011042.3382600006"/>
    <n v="0.82324441829238715"/>
  </r>
  <r>
    <s v="ORD-2024-329104"/>
    <d v="2024-05-23T00:00:00"/>
    <d v="2024-05-23T00:00:00"/>
    <d v="2024-06-14T00:00:00"/>
    <d v="2024-06-14T00:00:00"/>
    <n v="22"/>
    <n v="0"/>
    <s v="05-2024"/>
    <s v="Q2-2024"/>
    <d v="2023-01-10T00:00:00"/>
    <s v="01-2023"/>
    <x v="1"/>
    <x v="11"/>
    <s v="Marseille"/>
    <s v="Marseille"/>
    <s v="Small Business"/>
    <s v="Online"/>
    <s v="Online"/>
    <s v="N. Brown"/>
    <x v="13"/>
    <x v="3"/>
    <s v="High"/>
    <s v="MON-2100"/>
    <s v="B"/>
    <n v="1481.74"/>
    <n v="1848.97"/>
    <n v="1848.97"/>
    <n v="0.254"/>
    <n v="0.254"/>
    <n v="1"/>
    <n v="9"/>
    <n v="12413.98458"/>
    <n v="13335.66"/>
    <n v="921.67541999999958"/>
    <n v="7.4244930309072407E-2"/>
    <n v="9023456.3228400014"/>
    <n v="0.82437855384858816"/>
  </r>
  <r>
    <s v="ORD-2024-771210"/>
    <d v="2024-09-14T00:00:00"/>
    <d v="2024-09-14T00:00:00"/>
    <d v="2024-10-05T00:00:00"/>
    <d v="2024-10-05T00:00:00"/>
    <n v="21"/>
    <n v="0"/>
    <s v="09-2024"/>
    <s v="Q3-2024"/>
    <d v="2023-01-12T00:00:00"/>
    <s v="01-2023"/>
    <x v="3"/>
    <x v="10"/>
    <s v="Shanghai"/>
    <s v="Shanghai"/>
    <s v="Small Business"/>
    <s v="Online"/>
    <s v="Online"/>
    <s v="H. Kim"/>
    <x v="0"/>
    <x v="2"/>
    <s v="High"/>
    <s v="LAP-5150"/>
    <s v="B"/>
    <n v="1405.56"/>
    <n v="2968.87"/>
    <n v="2968.87"/>
    <n v="0.16900000000000001"/>
    <n v="0.16900000000000001"/>
    <n v="0"/>
    <n v="5"/>
    <n v="12335.654849999999"/>
    <n v="7027.7999999999993"/>
    <n v="5307.8548499999997"/>
    <n v="0.4302856163327235"/>
    <n v="9035791.9776900019"/>
    <n v="0.82550553323898856"/>
  </r>
  <r>
    <s v="ORD-2024-566589"/>
    <d v="2024-06-11T00:00:00"/>
    <d v="2024-06-11T00:00:00"/>
    <d v="2024-07-09T00:00:00"/>
    <d v="2024-07-09T00:00:00"/>
    <n v="28"/>
    <n v="0"/>
    <s v="06-2024"/>
    <s v="Q2-2024"/>
    <d v="2023-01-13T00:00:00"/>
    <s v="01-2023"/>
    <x v="2"/>
    <x v="2"/>
    <s v="Port Harcourt"/>
    <s v="Port Harcourt"/>
    <s v="Corporate"/>
    <s v="Marketplace"/>
    <s v="Marketplace"/>
    <s v="I. Johnson"/>
    <x v="12"/>
    <x v="5"/>
    <s v="Medium"/>
    <s v="PHN-2436"/>
    <s v="B"/>
    <n v="895.54"/>
    <n v="1045"/>
    <n v="1045"/>
    <n v="0.216"/>
    <n v="0.216"/>
    <n v="1"/>
    <n v="15"/>
    <n v="12289.2"/>
    <n v="13433.099999999999"/>
    <n v="1143.8999999999978"/>
    <n v="9.3081730299775234E-2"/>
    <n v="9048081.1776900012"/>
    <n v="0.82662826853702642"/>
  </r>
  <r>
    <s v="ORD-2023-747341"/>
    <d v="2023-04-19T00:00:00"/>
    <d v="2023-04-19T00:00:00"/>
    <d v="2023-04-28T00:00:00"/>
    <d v="2023-04-28T00:00:00"/>
    <n v="9"/>
    <n v="0"/>
    <s v="04-2023"/>
    <s v="Q2-2023"/>
    <d v="2023-01-29T00:00:00"/>
    <s v="01-2023"/>
    <x v="0"/>
    <x v="9"/>
    <s v="Rio de Janeiro"/>
    <s v="Rio de Janeiro"/>
    <s v="Corporate"/>
    <s v="Distributor"/>
    <s v="Distributor"/>
    <s v="M. Rossi"/>
    <x v="6"/>
    <x v="5"/>
    <s v="Medium"/>
    <s v="PHN-7132"/>
    <s v="B"/>
    <n v="1013.54"/>
    <n v="927.93"/>
    <n v="927.93"/>
    <n v="0.17499999999999999"/>
    <n v="0.17499999999999999"/>
    <n v="0"/>
    <n v="16"/>
    <n v="12248.675999999999"/>
    <n v="16216.64"/>
    <n v="3967.9639999999999"/>
    <n v="0.32395044166406234"/>
    <n v="9060329.8536900021"/>
    <n v="0.82774730158225562"/>
  </r>
  <r>
    <s v="ORD-2025-480172"/>
    <d v="2025-06-17T00:00:00"/>
    <d v="2025-06-17T00:00:00"/>
    <d v="2025-07-05T00:00:00"/>
    <d v="2025-07-05T00:00:00"/>
    <n v="18"/>
    <n v="0"/>
    <s v="06-2025"/>
    <s v="Q2-2025"/>
    <d v="2023-01-29T00:00:00"/>
    <s v="01-2023"/>
    <x v="3"/>
    <x v="3"/>
    <s v="Delhi"/>
    <s v="Delhi"/>
    <s v="Consumer"/>
    <s v="Marketplace"/>
    <s v="Marketplace"/>
    <s v="L. Okafor"/>
    <x v="4"/>
    <x v="2"/>
    <s v="High"/>
    <s v="LAP-1990"/>
    <s v="B"/>
    <n v="982.93"/>
    <n v="2299.3000000000002"/>
    <n v="2299.3000000000002"/>
    <n v="0.113"/>
    <n v="0.113"/>
    <n v="0"/>
    <n v="6"/>
    <n v="12236.874600000001"/>
    <n v="5897.58"/>
    <n v="6339.2946000000011"/>
    <n v="0.51804850562087157"/>
    <n v="9072566.7282900028"/>
    <n v="0.82886525645735609"/>
  </r>
  <r>
    <s v="ORD-2023-240507"/>
    <d v="2023-03-25T00:00:00"/>
    <d v="2023-03-25T00:00:00"/>
    <d v="2023-03-26T00:00:00"/>
    <d v="2023-03-26T00:00:00"/>
    <n v="1"/>
    <n v="1"/>
    <s v="03-2023"/>
    <s v="Q1-2023"/>
    <d v="2023-03-03T00:00:00"/>
    <s v="03-2023"/>
    <x v="3"/>
    <x v="7"/>
    <s v="Osaka"/>
    <s v="Osaka"/>
    <s v="Small Business"/>
    <s v="Distributor"/>
    <s v="Distributor"/>
    <s v="I. Johnson"/>
    <x v="12"/>
    <x v="3"/>
    <s v="Low"/>
    <s v="MON-9227"/>
    <s v="B"/>
    <n v="135.12"/>
    <n v="301.7"/>
    <n v="301.7"/>
    <n v="0.14000000000000001"/>
    <n v="0.14000000000000001"/>
    <n v="0"/>
    <n v="47"/>
    <n v="12194.714"/>
    <n v="6350.64"/>
    <n v="5844.0739999999996"/>
    <n v="0.47923009920527859"/>
    <n v="9084761.4422900025"/>
    <n v="0.82997935956067259"/>
  </r>
  <r>
    <s v="ORD-2024-664046"/>
    <d v="2024-09-02T00:00:00"/>
    <d v="2024-09-02T00:00:00"/>
    <d v="2024-09-08T00:00:00"/>
    <d v="2024-09-08T00:00:00"/>
    <n v="6"/>
    <n v="1"/>
    <s v="09-2024"/>
    <s v="Q3-2024"/>
    <d v="2023-01-13T00:00:00"/>
    <s v="01-2023"/>
    <x v="0"/>
    <x v="6"/>
    <s v="Austin"/>
    <s v="Austin"/>
    <s v="Consumer"/>
    <s v="Direct"/>
    <s v="Direct"/>
    <s v="H. Kim"/>
    <x v="0"/>
    <x v="0"/>
    <s v="Medium"/>
    <s v="CMP-7563"/>
    <s v="B"/>
    <n v="462.94"/>
    <n v="1015.7"/>
    <n v="1015.7"/>
    <n v="0.14299999999999999"/>
    <n v="0.14299999999999999"/>
    <n v="0"/>
    <n v="14"/>
    <n v="12186.368600000002"/>
    <n v="6481.16"/>
    <n v="5705.2086000000018"/>
    <n v="0.46816314090483041"/>
    <n v="9096947.8108900022"/>
    <n v="0.83109270023232906"/>
  </r>
  <r>
    <s v="ORD-2023-239789"/>
    <d v="2023-12-03T00:00:00"/>
    <d v="2023-12-03T00:00:00"/>
    <d v="2023-12-26T00:00:00"/>
    <d v="2023-12-26T00:00:00"/>
    <n v="23"/>
    <n v="0"/>
    <s v="12-2023"/>
    <s v="Q4-2023"/>
    <d v="2023-01-29T00:00:00"/>
    <s v="01-2023"/>
    <x v="0"/>
    <x v="9"/>
    <s v="Rio de Janeiro"/>
    <s v="Rio de Janeiro"/>
    <s v="Education"/>
    <s v="Retail"/>
    <s v="Retail"/>
    <s v="O. Wang"/>
    <x v="7"/>
    <x v="5"/>
    <s v="Medium"/>
    <s v="PHN-4644"/>
    <s v="B"/>
    <n v="1303.1099999999999"/>
    <n v="1145.67"/>
    <n v="1145.67"/>
    <n v="0.184"/>
    <n v="0.184"/>
    <n v="0"/>
    <n v="13"/>
    <n v="12153.267360000002"/>
    <n v="16940.43"/>
    <n v="4787.1626399999986"/>
    <n v="0.39389922875851208"/>
    <n v="9109101.0782500021"/>
    <n v="0.83220301679089792"/>
  </r>
  <r>
    <s v="ORD-2025-281413"/>
    <d v="2025-08-03T00:00:00"/>
    <d v="2025-08-03T00:00:00"/>
    <d v="2025-08-16T00:00:00"/>
    <d v="2025-08-16T00:00:00"/>
    <n v="13"/>
    <n v="0"/>
    <s v="08-2025"/>
    <s v="Q3-2025"/>
    <d v="2023-01-02T00:00:00"/>
    <s v="01-2023"/>
    <x v="0"/>
    <x v="0"/>
    <s v="Montreal"/>
    <s v="Montreal"/>
    <s v="Enterprise"/>
    <s v="Distributor"/>
    <s v="Distributor"/>
    <s v="O. Wang"/>
    <x v="7"/>
    <x v="1"/>
    <s v="Medium"/>
    <s v="NET-3785"/>
    <s v="B"/>
    <n v="698.66"/>
    <n v="868.62"/>
    <n v="868.62"/>
    <n v="7.1999999999999995E-2"/>
    <n v="7.1999999999999995E-2"/>
    <n v="0"/>
    <n v="15"/>
    <n v="12091.190399999999"/>
    <n v="10479.9"/>
    <n v="1611.2903999999999"/>
    <n v="0.13326151906432637"/>
    <n v="9121192.2686500028"/>
    <n v="0.83330766202877982"/>
  </r>
  <r>
    <s v="ORD-2024-155337"/>
    <d v="2024-05-21T00:00:00"/>
    <d v="2024-05-21T00:00:00"/>
    <d v="2024-05-27T00:00:00"/>
    <d v="2024-05-27T00:00:00"/>
    <n v="6"/>
    <n v="1"/>
    <s v="05-2024"/>
    <s v="Q2-2024"/>
    <d v="2023-01-07T00:00:00"/>
    <s v="01-2023"/>
    <x v="2"/>
    <x v="8"/>
    <s v="Johannesburg"/>
    <s v="Johannesburg"/>
    <s v="Non-Profit"/>
    <s v="Online"/>
    <s v="Online"/>
    <s v="M. Rossi"/>
    <x v="6"/>
    <x v="0"/>
    <s v="Medium"/>
    <s v="CMP-8101"/>
    <s v="B"/>
    <n v="1157.51"/>
    <n v="1394.3"/>
    <n v="1394.3"/>
    <n v="0.27800000000000002"/>
    <n v="0.27800000000000002"/>
    <n v="1"/>
    <n v="12"/>
    <n v="12080.215199999999"/>
    <n v="13890.119999999999"/>
    <n v="1809.9048000000003"/>
    <n v="0.14982388724333326"/>
    <n v="9133272.4838500023"/>
    <n v="0.83441130457776058"/>
  </r>
  <r>
    <s v="ORD-2025-281062"/>
    <d v="2025-02-15T00:00:00"/>
    <d v="2025-02-15T00:00:00"/>
    <d v="2025-02-27T00:00:00"/>
    <d v="2025-02-27T00:00:00"/>
    <n v="12"/>
    <n v="0"/>
    <s v="02-2025"/>
    <s v="Q1-2025"/>
    <d v="2023-01-10T00:00:00"/>
    <s v="01-2023"/>
    <x v="1"/>
    <x v="11"/>
    <s v="Lyon"/>
    <s v="Lyon"/>
    <s v="Non-Profit"/>
    <s v="Direct"/>
    <s v="Direct"/>
    <s v="K. Singh"/>
    <x v="3"/>
    <x v="4"/>
    <s v="High"/>
    <s v="ACC-1604"/>
    <s v="B"/>
    <n v="1027.26"/>
    <n v="2200.41"/>
    <n v="2200.41"/>
    <n v="8.7999999999999995E-2"/>
    <n v="8.7999999999999995E-2"/>
    <n v="0"/>
    <n v="6"/>
    <n v="12040.64352"/>
    <n v="6163.5599999999995"/>
    <n v="5877.0835200000001"/>
    <n v="0.48810377204822358"/>
    <n v="9145313.1273700017"/>
    <n v="0.83551133187742166"/>
  </r>
  <r>
    <s v="ORD-2024-164288"/>
    <d v="2024-12-21T00:00:00"/>
    <d v="2024-12-21T00:00:00"/>
    <d v="2024-12-26T00:00:00"/>
    <d v="2024-12-26T00:00:00"/>
    <n v="5"/>
    <n v="1"/>
    <s v="12-2024"/>
    <s v="Q4-2024"/>
    <d v="2023-01-13T00:00:00"/>
    <s v="01-2023"/>
    <x v="0"/>
    <x v="6"/>
    <s v="San Francisco"/>
    <s v="San Francisco"/>
    <s v="Consumer"/>
    <s v="Marketplace"/>
    <s v="Marketplace"/>
    <s v="M. Rossi"/>
    <x v="6"/>
    <x v="6"/>
    <s v="Low"/>
    <s v="PRN-4788"/>
    <s v="B"/>
    <n v="699.57"/>
    <n v="572.71"/>
    <n v="572.71"/>
    <n v="0.192"/>
    <n v="0.192"/>
    <n v="0"/>
    <n v="26"/>
    <n v="12031.491680000001"/>
    <n v="18188.82"/>
    <n v="6157.3283199999987"/>
    <n v="0.51176765805651114"/>
    <n v="9157344.6190500017"/>
    <n v="0.83661052306945904"/>
  </r>
  <r>
    <s v="ORD-2025-718992"/>
    <d v="2025-06-24T00:00:00"/>
    <d v="2025-06-24T00:00:00"/>
    <d v="2025-07-10T00:00:00"/>
    <d v="2025-07-10T00:00:00"/>
    <n v="16"/>
    <n v="0"/>
    <s v="06-2025"/>
    <s v="Q2-2025"/>
    <d v="2023-01-12T00:00:00"/>
    <s v="01-2023"/>
    <x v="3"/>
    <x v="10"/>
    <s v="Shanghai"/>
    <s v="Shanghai"/>
    <s v="Enterprise"/>
    <s v="Direct"/>
    <s v="Direct"/>
    <s v="N. Brown"/>
    <x v="13"/>
    <x v="0"/>
    <s v="High"/>
    <s v="CMP-8390"/>
    <s v="B"/>
    <n v="757.19"/>
    <n v="1735.41"/>
    <n v="1735.41"/>
    <n v="0.13600000000000001"/>
    <n v="0.13600000000000001"/>
    <n v="0"/>
    <n v="8"/>
    <n v="11995.153920000001"/>
    <n v="6057.52"/>
    <n v="5937.6339200000002"/>
    <n v="0.4950027285685718"/>
    <n v="9169339.7729700021"/>
    <n v="0.83770639446152539"/>
  </r>
  <r>
    <s v="ORD-2025-417942"/>
    <d v="2025-06-09T00:00:00"/>
    <d v="2025-06-09T00:00:00"/>
    <d v="2025-06-24T00:00:00"/>
    <d v="2025-06-24T00:00:00"/>
    <n v="15"/>
    <n v="0"/>
    <s v="06-2025"/>
    <s v="Q2-2025"/>
    <d v="2023-03-03T00:00:00"/>
    <s v="03-2023"/>
    <x v="3"/>
    <x v="7"/>
    <s v="Nagoya"/>
    <s v="Nagoya"/>
    <s v="Corporate"/>
    <s v="Direct"/>
    <s v="Direct"/>
    <s v="B. Chen"/>
    <x v="1"/>
    <x v="5"/>
    <s v="Low"/>
    <s v="PHN-5675"/>
    <s v="B"/>
    <n v="400.39"/>
    <n v="712.75"/>
    <n v="712.75"/>
    <n v="0.115"/>
    <n v="0.115"/>
    <n v="0"/>
    <n v="19"/>
    <n v="11984.891250000001"/>
    <n v="7607.41"/>
    <n v="4377.4812500000007"/>
    <n v="0.36524997671547504"/>
    <n v="9181324.6642200015"/>
    <n v="0.83880132826108278"/>
  </r>
  <r>
    <s v="ORD-2023-525643"/>
    <d v="2023-08-17T00:00:00"/>
    <d v="2023-08-17T00:00:00"/>
    <d v="2023-09-03T00:00:00"/>
    <d v="2023-09-03T00:00:00"/>
    <n v="17"/>
    <n v="0"/>
    <s v="08-2023"/>
    <s v="Q3-2023"/>
    <d v="2023-01-07T00:00:00"/>
    <s v="01-2023"/>
    <x v="2"/>
    <x v="8"/>
    <s v="Durban"/>
    <s v="Durban"/>
    <s v="Enterprise"/>
    <s v="Retail"/>
    <s v="Retail"/>
    <s v="A. Patel"/>
    <x v="2"/>
    <x v="5"/>
    <s v="Medium"/>
    <s v="PHN-8072"/>
    <s v="B"/>
    <n v="676.37"/>
    <n v="1276.67"/>
    <n v="1276.67"/>
    <n v="6.6000000000000003E-2"/>
    <n v="6.6000000000000003E-2"/>
    <n v="0"/>
    <n v="10"/>
    <n v="11924.0978"/>
    <n v="6763.7"/>
    <n v="5160.3977999999997"/>
    <n v="0.4327705027712872"/>
    <n v="9193248.7620200012"/>
    <n v="0.83989070800079868"/>
  </r>
  <r>
    <s v="ORD-2024-578646"/>
    <d v="2024-05-27T00:00:00"/>
    <d v="2024-05-27T00:00:00"/>
    <d v="2024-06-17T00:00:00"/>
    <d v="2024-06-17T00:00:00"/>
    <n v="21"/>
    <n v="0"/>
    <s v="05-2024"/>
    <s v="Q2-2024"/>
    <d v="2023-01-29T00:00:00"/>
    <s v="01-2023"/>
    <x v="3"/>
    <x v="3"/>
    <s v="Delhi"/>
    <s v="Delhi"/>
    <s v="Small Business"/>
    <s v="Online"/>
    <s v="Online"/>
    <s v="H. Kim"/>
    <x v="0"/>
    <x v="4"/>
    <s v="Low"/>
    <s v="ACC-7240"/>
    <s v="B"/>
    <n v="465.02"/>
    <n v="651.55999999999995"/>
    <n v="651.55999999999995"/>
    <n v="4.2000000000000003E-2"/>
    <n v="4.2000000000000003E-2"/>
    <n v="0"/>
    <n v="19"/>
    <n v="11859.695119999998"/>
    <n v="8835.3799999999992"/>
    <n v="3024.3151199999993"/>
    <n v="0.25500783025187918"/>
    <n v="9205108.4571400005"/>
    <n v="0.84097420394318645"/>
  </r>
  <r>
    <s v="ORD-2024-134084"/>
    <d v="2024-06-04T00:00:00"/>
    <d v="2024-06-04T00:00:00"/>
    <d v="2024-06-16T00:00:00"/>
    <d v="2024-06-16T00:00:00"/>
    <n v="12"/>
    <n v="0"/>
    <s v="06-2024"/>
    <s v="Q2-2024"/>
    <d v="2023-01-12T00:00:00"/>
    <s v="01-2023"/>
    <x v="3"/>
    <x v="10"/>
    <s v="Shanghai"/>
    <s v="Shanghai"/>
    <s v="Corporate"/>
    <s v="Retail"/>
    <s v="Retail"/>
    <s v="J. Njeri"/>
    <x v="8"/>
    <x v="6"/>
    <s v="Medium"/>
    <s v="PRN-4097"/>
    <s v="B"/>
    <n v="918.42"/>
    <n v="1511.71"/>
    <n v="1511.71"/>
    <n v="0.02"/>
    <n v="0.02"/>
    <n v="0"/>
    <n v="8"/>
    <n v="11851.806399999999"/>
    <n v="7347.36"/>
    <n v="4504.4463999999998"/>
    <n v="0.38006412254590999"/>
    <n v="9216960.2635399997"/>
    <n v="0.84205697917597544"/>
  </r>
  <r>
    <s v="ORD-2024-604471"/>
    <d v="2024-01-21T00:00:00"/>
    <d v="2024-01-21T00:00:00"/>
    <d v="2024-01-25T00:00:00"/>
    <d v="2024-01-25T00:00:00"/>
    <n v="4"/>
    <n v="1"/>
    <s v="01-2024"/>
    <s v="Q1-2024"/>
    <d v="2023-01-29T00:00:00"/>
    <s v="01-2023"/>
    <x v="3"/>
    <x v="3"/>
    <s v="Delhi"/>
    <s v="Delhi"/>
    <s v="Consumer"/>
    <s v="Direct"/>
    <s v="Direct"/>
    <s v="C. Otieno"/>
    <x v="5"/>
    <x v="3"/>
    <s v="Medium"/>
    <s v="MON-8973"/>
    <s v="B"/>
    <n v="523.70000000000005"/>
    <n v="1109.92"/>
    <n v="1109.92"/>
    <n v="0.03"/>
    <n v="0.03"/>
    <n v="0"/>
    <n v="11"/>
    <n v="11842.8464"/>
    <n v="5760.7000000000007"/>
    <n v="6082.1463999999996"/>
    <n v="0.51357133197302973"/>
    <n v="9228803.1099399999"/>
    <n v="0.84313893582754929"/>
  </r>
  <r>
    <s v="ORD-2025-248586"/>
    <d v="2025-09-12T00:00:00"/>
    <d v="2025-09-12T00:00:00"/>
    <d v="2025-09-30T00:00:00"/>
    <d v="2025-09-30T00:00:00"/>
    <n v="18"/>
    <n v="0"/>
    <s v="09-2025"/>
    <s v="Q3-2025"/>
    <d v="2023-03-03T00:00:00"/>
    <s v="03-2023"/>
    <x v="3"/>
    <x v="7"/>
    <s v="Nagoya"/>
    <s v="Nagoya"/>
    <s v="Non-Profit"/>
    <s v="Marketplace"/>
    <s v="Marketplace"/>
    <s v="F. Müller"/>
    <x v="9"/>
    <x v="3"/>
    <s v="High"/>
    <s v="MON-2998"/>
    <s v="B"/>
    <n v="1212.99"/>
    <n v="1653.64"/>
    <n v="1653.64"/>
    <n v="0.107"/>
    <n v="0.107"/>
    <n v="0"/>
    <n v="8"/>
    <n v="11813.604160000001"/>
    <n v="9703.92"/>
    <n v="2109.6841600000007"/>
    <n v="0.17858090819931455"/>
    <n v="9240616.7140999995"/>
    <n v="0.84421822092238696"/>
  </r>
  <r>
    <s v="ORD-2025-993993"/>
    <d v="2025-08-30T00:00:00"/>
    <d v="2025-08-30T00:00:00"/>
    <d v="2025-09-22T00:00:00"/>
    <d v="2025-09-22T00:00:00"/>
    <n v="23"/>
    <n v="0"/>
    <s v="08-2025"/>
    <s v="Q3-2025"/>
    <d v="2023-01-10T00:00:00"/>
    <s v="01-2023"/>
    <x v="1"/>
    <x v="11"/>
    <s v="Marseille"/>
    <s v="Marseille"/>
    <s v="Corporate"/>
    <s v="Direct"/>
    <s v="Direct"/>
    <s v="E. Garcia"/>
    <x v="14"/>
    <x v="0"/>
    <s v="Medium"/>
    <s v="CMP-5311"/>
    <s v="B"/>
    <n v="663.9"/>
    <n v="947.77"/>
    <n v="947.77"/>
    <n v="0.17399999999999999"/>
    <n v="0.17399999999999999"/>
    <n v="0"/>
    <n v="15"/>
    <n v="11742.8703"/>
    <n v="9958.5"/>
    <n v="1784.3703000000005"/>
    <n v="0.1519535049280073"/>
    <n v="9252359.5844000001"/>
    <n v="0.8452910438063902"/>
  </r>
  <r>
    <s v="ORD-2025-983096"/>
    <d v="2025-05-17T00:00:00"/>
    <d v="2025-05-17T00:00:00"/>
    <d v="2025-05-28T00:00:00"/>
    <d v="2025-05-28T00:00:00"/>
    <n v="11"/>
    <n v="0"/>
    <s v="05-2025"/>
    <s v="Q2-2025"/>
    <d v="2023-01-29T00:00:00"/>
    <s v="01-2023"/>
    <x v="3"/>
    <x v="3"/>
    <s v="Bengaluru"/>
    <s v="Bengaluru"/>
    <s v="Corporate"/>
    <s v="Distributor"/>
    <s v="Distributor"/>
    <s v="B. Chen"/>
    <x v="1"/>
    <x v="2"/>
    <s v="Medium"/>
    <s v="LAP-9016"/>
    <s v="B"/>
    <n v="623.4"/>
    <n v="1100.0899999999999"/>
    <n v="1100.0899999999999"/>
    <n v="0.114"/>
    <n v="0.114"/>
    <n v="0"/>
    <n v="12"/>
    <n v="11696.156879999999"/>
    <n v="7480.7999999999993"/>
    <n v="4215.3568799999994"/>
    <n v="0.36040529579490388"/>
    <n v="9264055.7412800007"/>
    <n v="0.8463595989752023"/>
  </r>
  <r>
    <s v="ORD-2024-834983"/>
    <d v="2024-03-16T00:00:00"/>
    <d v="2024-03-16T00:00:00"/>
    <d v="2024-04-13T00:00:00"/>
    <d v="2024-04-13T00:00:00"/>
    <n v="28"/>
    <n v="0"/>
    <s v="03-2024"/>
    <s v="Q1-2024"/>
    <d v="2023-01-10T00:00:00"/>
    <s v="01-2023"/>
    <x v="1"/>
    <x v="11"/>
    <s v="Paris"/>
    <s v="Paris"/>
    <s v="Small Business"/>
    <s v="Online"/>
    <s v="Online"/>
    <s v="K. Singh"/>
    <x v="3"/>
    <x v="6"/>
    <s v="Low"/>
    <s v="PRN-8758"/>
    <s v="B"/>
    <n v="287.61"/>
    <n v="628.54"/>
    <n v="628.54"/>
    <n v="0.13500000000000001"/>
    <n v="0.13500000000000001"/>
    <n v="0"/>
    <n v="21"/>
    <n v="11417.429099999999"/>
    <n v="6039.81"/>
    <n v="5377.619099999999"/>
    <n v="0.47100087531964613"/>
    <n v="9275473.17038"/>
    <n v="0.84740268971043442"/>
  </r>
  <r>
    <s v="ORD-2023-700699"/>
    <d v="2023-01-12T00:00:00"/>
    <d v="2023-01-12T00:00:00"/>
    <d v="2023-01-26T00:00:00"/>
    <d v="2023-01-26T00:00:00"/>
    <n v="14"/>
    <n v="0"/>
    <s v="01-2023"/>
    <s v="Q1-2023"/>
    <d v="2023-01-12T00:00:00"/>
    <s v="01-2023"/>
    <x v="3"/>
    <x v="10"/>
    <s v="Shenzhen"/>
    <s v="Shenzhen"/>
    <s v="Non-Profit"/>
    <s v="Retail"/>
    <s v="Retail"/>
    <s v="M. Rossi"/>
    <x v="6"/>
    <x v="6"/>
    <s v="Medium"/>
    <s v="PRN-1641"/>
    <s v="B"/>
    <n v="1083.0899999999999"/>
    <n v="1425.87"/>
    <n v="1425.87"/>
    <n v="0"/>
    <n v="0"/>
    <n v="0"/>
    <n v="8"/>
    <n v="11406.96"/>
    <n v="8664.7199999999993"/>
    <n v="2742.24"/>
    <n v="0.24040059752992909"/>
    <n v="9286880.1303800009"/>
    <n v="0.84844482399381405"/>
  </r>
  <r>
    <s v="ORD-2025-192876"/>
    <d v="2025-01-31T00:00:00"/>
    <d v="2025-01-31T00:00:00"/>
    <d v="2025-02-17T00:00:00"/>
    <d v="2025-02-17T00:00:00"/>
    <n v="17"/>
    <n v="0"/>
    <s v="01-2025"/>
    <s v="Q1-2025"/>
    <d v="2023-01-19T00:00:00"/>
    <s v="01-2023"/>
    <x v="1"/>
    <x v="1"/>
    <s v="London"/>
    <s v="London"/>
    <s v="Enterprise"/>
    <s v="Retail"/>
    <s v="Retail"/>
    <s v="H. Kim"/>
    <x v="0"/>
    <x v="0"/>
    <s v="Low"/>
    <s v="CMP-5820"/>
    <s v="B"/>
    <n v="378.26"/>
    <n v="541.55999999999995"/>
    <n v="541.55999999999995"/>
    <n v="0.16300000000000001"/>
    <n v="0.16300000000000001"/>
    <n v="0"/>
    <n v="25"/>
    <n v="11332.142999999998"/>
    <n v="9456.5"/>
    <n v="1875.6429999999982"/>
    <n v="0.16551529573885526"/>
    <n v="9298212.2733800001"/>
    <n v="0.84948012303268661"/>
  </r>
  <r>
    <s v="ORD-2024-968374"/>
    <d v="2024-02-11T00:00:00"/>
    <d v="2024-02-11T00:00:00"/>
    <d v="2024-03-03T00:00:00"/>
    <d v="2024-03-03T00:00:00"/>
    <n v="21"/>
    <n v="0"/>
    <s v="02-2024"/>
    <s v="Q1-2024"/>
    <d v="2023-01-20T00:00:00"/>
    <s v="01-2023"/>
    <x v="2"/>
    <x v="5"/>
    <s v="Kisumu"/>
    <s v="Kisumu"/>
    <s v="Enterprise"/>
    <s v="Online"/>
    <s v="Online"/>
    <s v="B. Chen"/>
    <x v="1"/>
    <x v="5"/>
    <s v="Medium"/>
    <s v="PHN-5082"/>
    <s v="B"/>
    <n v="516.86"/>
    <n v="852.54"/>
    <n v="852.54"/>
    <n v="5.0999999999999997E-2"/>
    <n v="5.0999999999999997E-2"/>
    <n v="0"/>
    <n v="14"/>
    <n v="11326.846439999999"/>
    <n v="7236.04"/>
    <n v="4090.8064399999994"/>
    <n v="0.36116022775355994"/>
    <n v="9309539.1198200006"/>
    <n v="0.85051493818042956"/>
  </r>
  <r>
    <s v="ORD-2024-251426"/>
    <d v="2024-03-09T00:00:00"/>
    <d v="2024-03-09T00:00:00"/>
    <d v="2024-03-26T00:00:00"/>
    <d v="2024-03-26T00:00:00"/>
    <n v="17"/>
    <n v="0"/>
    <s v="03-2024"/>
    <s v="Q1-2024"/>
    <d v="2023-01-13T00:00:00"/>
    <s v="01-2023"/>
    <x v="0"/>
    <x v="6"/>
    <s v="San Francisco"/>
    <s v="San Francisco"/>
    <s v="Education"/>
    <s v="Direct"/>
    <s v="Direct"/>
    <s v="I. Johnson"/>
    <x v="12"/>
    <x v="5"/>
    <s v="High"/>
    <s v="PHN-3398"/>
    <s v="B"/>
    <n v="1137.4100000000001"/>
    <n v="1680.93"/>
    <n v="1680.93"/>
    <n v="0.254"/>
    <n v="0.254"/>
    <n v="1"/>
    <n v="9"/>
    <n v="11285.764020000001"/>
    <n v="10236.69"/>
    <n v="1049.07402"/>
    <n v="9.2955516183121464E-2"/>
    <n v="9320824.8838400003"/>
    <n v="0.85154600005838588"/>
  </r>
  <r>
    <s v="ORD-2023-890605"/>
    <d v="2023-06-24T00:00:00"/>
    <d v="2023-06-22T00:00:00"/>
    <d v="2023-06-22T00:00:00"/>
    <d v="2023-06-24T00:00:00"/>
    <n v="2"/>
    <n v="1"/>
    <s v="06-2023"/>
    <s v="Q2-2023"/>
    <d v="2023-01-02T00:00:00"/>
    <s v="01-2023"/>
    <x v="0"/>
    <x v="0"/>
    <s v="Toronto"/>
    <s v="Toronto"/>
    <s v="Non-Profit"/>
    <s v="Retail"/>
    <s v="Retail"/>
    <s v="M. Rossi"/>
    <x v="6"/>
    <x v="4"/>
    <s v="Medium"/>
    <s v="ACC-2903"/>
    <s v="B"/>
    <n v="471.42"/>
    <n v="824.81"/>
    <n v="824.81"/>
    <n v="8.7999999999999995E-2"/>
    <n v="8.7999999999999995E-2"/>
    <n v="0"/>
    <n v="15"/>
    <n v="11283.400799999999"/>
    <n v="7071.3"/>
    <n v="4212.1007999999993"/>
    <n v="0.37330064531608231"/>
    <n v="9332108.2846400011"/>
    <n v="0.85257684603371953"/>
  </r>
  <r>
    <s v="ORD-2023-842488"/>
    <d v="2023-10-31T00:00:00"/>
    <d v="2023-10-31T00:00:00"/>
    <d v="2023-11-02T00:00:00"/>
    <d v="2023-11-02T00:00:00"/>
    <n v="2"/>
    <n v="1"/>
    <s v="10-2023"/>
    <s v="Q4-2023"/>
    <d v="2023-01-20T00:00:00"/>
    <s v="01-2023"/>
    <x v="2"/>
    <x v="5"/>
    <s v="Kisumu"/>
    <s v="Kisumu"/>
    <s v="Education"/>
    <s v="Retail"/>
    <s v="Retail"/>
    <s v="O. Wang"/>
    <x v="7"/>
    <x v="4"/>
    <s v="Medium"/>
    <s v="ACC-4124"/>
    <s v="B"/>
    <n v="867.89"/>
    <n v="1349.94"/>
    <n v="1349.94"/>
    <n v="0.184"/>
    <n v="0.184"/>
    <n v="0"/>
    <n v="10"/>
    <n v="11015.510400000003"/>
    <n v="8678.9"/>
    <n v="2336.6104000000032"/>
    <n v="0.21212003031652557"/>
    <n v="9343123.7950400002"/>
    <n v="0.85358321767320644"/>
  </r>
  <r>
    <s v="ORD-2023-824839"/>
    <d v="2023-12-06T00:00:00"/>
    <d v="2023-12-06T00:00:00"/>
    <d v="2023-12-31T00:00:00"/>
    <d v="2023-12-31T00:00:00"/>
    <n v="25"/>
    <n v="0"/>
    <s v="12-2023"/>
    <s v="Q4-2023"/>
    <d v="2023-03-03T00:00:00"/>
    <s v="03-2023"/>
    <x v="3"/>
    <x v="7"/>
    <s v="Osaka"/>
    <s v="Osaka"/>
    <s v="Consumer"/>
    <s v="Retail"/>
    <s v="Retail"/>
    <s v="L. Okafor"/>
    <x v="4"/>
    <x v="6"/>
    <s v="Low"/>
    <s v="PRN-8041"/>
    <s v="B"/>
    <n v="663.03"/>
    <n v="813.51"/>
    <n v="813.51"/>
    <n v="0.10199999999999999"/>
    <n v="0.10199999999999999"/>
    <n v="0"/>
    <n v="15"/>
    <n v="10957.9797"/>
    <n v="9945.4499999999989"/>
    <n v="1012.529700000001"/>
    <n v="9.2401129379715952E-2"/>
    <n v="9354081.7747399993"/>
    <n v="0.85458433333609518"/>
  </r>
  <r>
    <s v="ORD-2025-526650"/>
    <d v="2025-04-27T00:00:00"/>
    <d v="2025-04-27T00:00:00"/>
    <d v="2025-05-25T00:00:00"/>
    <d v="2025-05-25T00:00:00"/>
    <n v="28"/>
    <n v="0"/>
    <s v="04-2025"/>
    <s v="Q2-2025"/>
    <d v="2023-01-10T00:00:00"/>
    <s v="01-2023"/>
    <x v="1"/>
    <x v="11"/>
    <s v="Paris"/>
    <s v="Paris"/>
    <s v="Small Business"/>
    <s v="Marketplace"/>
    <s v="Marketplace"/>
    <s v="I. Johnson"/>
    <x v="12"/>
    <x v="5"/>
    <s v="Medium"/>
    <s v="PHN-8350"/>
    <s v="B"/>
    <n v="603.45000000000005"/>
    <n v="1244.08"/>
    <n v="1244.08"/>
    <n v="0.2"/>
    <n v="0.2"/>
    <n v="0"/>
    <n v="11"/>
    <n v="10947.904"/>
    <n v="6637.9500000000007"/>
    <n v="4309.9539999999997"/>
    <n v="0.39367846119220623"/>
    <n v="9365029.6787399985"/>
    <n v="0.85558452848796263"/>
  </r>
  <r>
    <s v="ORD-2024-202877"/>
    <d v="2024-07-13T00:00:00"/>
    <d v="2024-07-13T00:00:00"/>
    <d v="2024-08-03T00:00:00"/>
    <d v="2024-08-03T00:00:00"/>
    <n v="21"/>
    <n v="0"/>
    <s v="07-2024"/>
    <s v="Q3-2024"/>
    <d v="2023-01-29T00:00:00"/>
    <s v="01-2023"/>
    <x v="0"/>
    <x v="9"/>
    <s v="Rio de Janeiro"/>
    <s v="Rio de Janeiro"/>
    <s v="Corporate"/>
    <s v="Marketplace"/>
    <s v="Marketplace"/>
    <s v="M. Rossi"/>
    <x v="6"/>
    <x v="3"/>
    <s v="Medium"/>
    <s v="MON-6287"/>
    <s v="B"/>
    <n v="702.98"/>
    <n v="1104.8"/>
    <n v="1104.8"/>
    <n v="0.17499999999999999"/>
    <n v="0.17499999999999999"/>
    <n v="0"/>
    <n v="12"/>
    <n v="10937.519999999999"/>
    <n v="8435.76"/>
    <n v="2501.7599999999984"/>
    <n v="0.22873192460448061"/>
    <n v="9375967.198739998"/>
    <n v="0.8565837749626718"/>
  </r>
  <r>
    <s v="ORD-2025-580047"/>
    <d v="2025-06-14T00:00:00"/>
    <d v="2025-06-14T00:00:00"/>
    <d v="2025-06-29T00:00:00"/>
    <d v="2025-06-29T00:00:00"/>
    <n v="15"/>
    <n v="0"/>
    <s v="06-2025"/>
    <s v="Q2-2025"/>
    <d v="2023-01-13T00:00:00"/>
    <s v="01-2023"/>
    <x v="2"/>
    <x v="2"/>
    <s v="Port Harcourt"/>
    <s v="Port Harcourt"/>
    <s v="Consumer"/>
    <s v="Marketplace"/>
    <s v="Marketplace"/>
    <s v="M. Rossi"/>
    <x v="6"/>
    <x v="4"/>
    <s v="Medium"/>
    <s v="ACC-3961"/>
    <s v="B"/>
    <n v="730.99"/>
    <n v="1242.8399999999999"/>
    <n v="1242.8399999999999"/>
    <n v="0.12"/>
    <n v="0.12"/>
    <n v="0"/>
    <n v="10"/>
    <n v="10936.992"/>
    <n v="7309.9"/>
    <n v="3627.0920000000006"/>
    <n v="0.33163524303574515"/>
    <n v="9386904.1907399986"/>
    <n v="0.85758297319955945"/>
  </r>
  <r>
    <s v="ORD-2024-655710"/>
    <d v="2024-11-30T00:00:00"/>
    <d v="2024-11-30T00:00:00"/>
    <d v="2024-12-10T00:00:00"/>
    <d v="2024-12-10T00:00:00"/>
    <n v="10"/>
    <n v="0"/>
    <s v="11-2024"/>
    <s v="Q4-2024"/>
    <d v="2023-01-29T00:00:00"/>
    <s v="01-2023"/>
    <x v="3"/>
    <x v="3"/>
    <s v="Hyderabad"/>
    <s v="Hyderabad"/>
    <s v="Small Business"/>
    <s v="Retail"/>
    <s v="Retail"/>
    <s v="F. Müller"/>
    <x v="9"/>
    <x v="4"/>
    <s v="Medium"/>
    <s v="ACC-1075"/>
    <s v="B"/>
    <n v="851.49"/>
    <n v="901.79"/>
    <n v="901.79"/>
    <n v="0.245"/>
    <n v="0.245"/>
    <n v="1"/>
    <n v="16"/>
    <n v="10893.6232"/>
    <n v="13623.84"/>
    <n v="2730.2168000000001"/>
    <n v="0.25062522816100341"/>
    <n v="9397797.8139399979"/>
    <n v="0.85857820928410222"/>
  </r>
  <r>
    <s v="ORD-2023-744942"/>
    <d v="2023-02-23T00:00:00"/>
    <d v="2023-02-23T00:00:00"/>
    <d v="2023-03-18T00:00:00"/>
    <d v="2023-03-18T00:00:00"/>
    <n v="23"/>
    <n v="0"/>
    <s v="02-2023"/>
    <s v="Q1-2023"/>
    <d v="2023-01-12T00:00:00"/>
    <s v="01-2023"/>
    <x v="3"/>
    <x v="10"/>
    <s v="Beijing"/>
    <s v="Beijing"/>
    <s v="Education"/>
    <s v="Distributor"/>
    <s v="Distributor"/>
    <s v="K. Singh"/>
    <x v="3"/>
    <x v="6"/>
    <s v="High"/>
    <s v="PRN-1060"/>
    <s v="B"/>
    <n v="770.11"/>
    <n v="1667.82"/>
    <n v="1667.82"/>
    <n v="6.9000000000000006E-2"/>
    <n v="6.9000000000000006E-2"/>
    <n v="0"/>
    <n v="7"/>
    <n v="10869.182940000001"/>
    <n v="5390.77"/>
    <n v="5478.4129400000002"/>
    <n v="0.50403171703355287"/>
    <n v="9408666.9968799986"/>
    <n v="0.85957121251845203"/>
  </r>
  <r>
    <s v="ORD-2025-635337"/>
    <d v="2025-08-05T00:00:00"/>
    <d v="2025-08-05T00:00:00"/>
    <d v="2025-08-28T00:00:00"/>
    <d v="2025-08-28T00:00:00"/>
    <n v="23"/>
    <n v="0"/>
    <s v="08-2025"/>
    <s v="Q3-2025"/>
    <d v="2023-01-29T00:00:00"/>
    <s v="01-2023"/>
    <x v="3"/>
    <x v="3"/>
    <s v="Mumbai"/>
    <s v="Mumbai"/>
    <s v="Non-Profit"/>
    <s v="Distributor"/>
    <s v="Distributor"/>
    <s v="N. Brown"/>
    <x v="13"/>
    <x v="2"/>
    <s v="Medium"/>
    <s v="LAP-3905"/>
    <s v="B"/>
    <n v="638.54"/>
    <n v="987.24"/>
    <n v="987.24"/>
    <n v="0"/>
    <n v="0"/>
    <n v="0"/>
    <n v="11"/>
    <n v="10859.64"/>
    <n v="7023.94"/>
    <n v="3835.7"/>
    <n v="0.35320692030306716"/>
    <n v="9419526.6368799992"/>
    <n v="0.86056334391447331"/>
  </r>
  <r>
    <s v="ORD-2024-588972"/>
    <d v="2024-11-02T00:00:00"/>
    <d v="2024-11-02T00:00:00"/>
    <d v="2024-11-29T00:00:00"/>
    <d v="2024-11-29T00:00:00"/>
    <n v="27"/>
    <n v="0"/>
    <s v="11-2024"/>
    <s v="Q4-2024"/>
    <d v="2023-01-29T00:00:00"/>
    <s v="01-2023"/>
    <x v="0"/>
    <x v="9"/>
    <s v="Brasília"/>
    <s v="Brasília"/>
    <s v="Small Business"/>
    <s v="Direct"/>
    <s v="Direct"/>
    <s v="I. Johnson"/>
    <x v="12"/>
    <x v="1"/>
    <s v="Medium"/>
    <s v="NET-8561"/>
    <s v="B"/>
    <n v="1363.51"/>
    <n v="1433.9"/>
    <n v="1433.9"/>
    <n v="5.7000000000000002E-2"/>
    <n v="5.7000000000000002E-2"/>
    <n v="0"/>
    <n v="8"/>
    <n v="10817.3416"/>
    <n v="10908.08"/>
    <n v="90.738400000000183"/>
    <n v="8.3882346842037592E-3"/>
    <n v="9430343.97848"/>
    <n v="0.86155161094937027"/>
  </r>
  <r>
    <s v="ORD-2025-960931"/>
    <d v="2025-08-20T00:00:00"/>
    <d v="2025-08-20T00:00:00"/>
    <d v="2025-08-26T00:00:00"/>
    <d v="2025-08-26T00:00:00"/>
    <n v="6"/>
    <n v="1"/>
    <s v="08-2025"/>
    <s v="Q3-2025"/>
    <d v="2023-01-13T00:00:00"/>
    <s v="01-2023"/>
    <x v="0"/>
    <x v="6"/>
    <s v="New York"/>
    <s v="New York"/>
    <s v="Corporate"/>
    <s v="Retail"/>
    <s v="Retail"/>
    <s v="M. Rossi"/>
    <x v="6"/>
    <x v="1"/>
    <s v="High"/>
    <s v="NET-5196"/>
    <s v="B"/>
    <n v="1304.95"/>
    <n v="1712.03"/>
    <n v="1712.03"/>
    <n v="0.21199999999999999"/>
    <n v="0.21199999999999999"/>
    <n v="1"/>
    <n v="8"/>
    <n v="10792.637119999999"/>
    <n v="10439.6"/>
    <n v="353.03711999999905"/>
    <n v="3.2710922833287949E-2"/>
    <n v="9441136.6155999992"/>
    <n v="0.86253762099506381"/>
  </r>
  <r>
    <s v="ORD-2023-502205"/>
    <d v="2023-10-09T00:00:00"/>
    <d v="2023-10-09T00:00:00"/>
    <d v="2023-10-11T00:00:00"/>
    <d v="2023-10-11T00:00:00"/>
    <n v="2"/>
    <n v="1"/>
    <s v="10-2023"/>
    <s v="Q4-2023"/>
    <d v="2023-01-13T00:00:00"/>
    <s v="01-2023"/>
    <x v="2"/>
    <x v="2"/>
    <s v="Port Harcourt"/>
    <s v="Port Harcourt"/>
    <s v="Education"/>
    <s v="Marketplace"/>
    <s v="Marketplace"/>
    <s v="K. Singh"/>
    <x v="3"/>
    <x v="1"/>
    <s v="Medium"/>
    <s v="NET-8856"/>
    <s v="B"/>
    <n v="391.16"/>
    <n v="902.47"/>
    <n v="902.47"/>
    <n v="4.0000000000000001E-3"/>
    <n v="4.0000000000000001E-3"/>
    <n v="0"/>
    <n v="12"/>
    <n v="10786.32144"/>
    <n v="4693.92"/>
    <n v="6092.4014399999996"/>
    <n v="0.56482661618139207"/>
    <n v="9451922.9370399993"/>
    <n v="0.86352305404332341"/>
  </r>
  <r>
    <s v="ORD-2025-649633"/>
    <d v="2025-07-19T00:00:00"/>
    <d v="2025-07-19T00:00:00"/>
    <d v="2025-07-31T00:00:00"/>
    <d v="2025-07-31T00:00:00"/>
    <n v="12"/>
    <n v="0"/>
    <s v="07-2025"/>
    <s v="Q3-2025"/>
    <d v="2023-01-20T00:00:00"/>
    <s v="01-2023"/>
    <x v="2"/>
    <x v="5"/>
    <s v="Nairobi"/>
    <s v="Nairobi"/>
    <s v="Small Business"/>
    <s v="Marketplace"/>
    <s v="Marketplace"/>
    <s v="O. Wang"/>
    <x v="7"/>
    <x v="4"/>
    <s v="Medium"/>
    <s v="ACC-1028"/>
    <s v="B"/>
    <n v="619.64"/>
    <n v="861.16"/>
    <n v="861.16"/>
    <n v="0.113"/>
    <n v="0.113"/>
    <n v="0"/>
    <n v="14"/>
    <n v="10693.88488"/>
    <n v="8674.9599999999991"/>
    <n v="2018.9248800000005"/>
    <n v="0.18879246435276761"/>
    <n v="9462616.82192"/>
    <n v="0.86450004213269704"/>
  </r>
  <r>
    <s v="ORD-2025-820255"/>
    <d v="2025-05-29T00:00:00"/>
    <d v="2025-05-29T00:00:00"/>
    <d v="2025-06-20T00:00:00"/>
    <d v="2025-06-20T00:00:00"/>
    <n v="22"/>
    <n v="0"/>
    <s v="05-2025"/>
    <s v="Q2-2025"/>
    <d v="2023-01-21T00:00:00"/>
    <s v="01-2023"/>
    <x v="1"/>
    <x v="4"/>
    <s v="Berlin"/>
    <s v="Berlin"/>
    <s v="Corporate"/>
    <s v="Direct"/>
    <s v="Direct"/>
    <s v="A. Patel"/>
    <x v="2"/>
    <x v="6"/>
    <s v="Medium"/>
    <s v="PRN-9787"/>
    <s v="B"/>
    <n v="483.47"/>
    <n v="1135.43"/>
    <n v="1135.43"/>
    <n v="0.14599999999999999"/>
    <n v="0.14599999999999999"/>
    <n v="0"/>
    <n v="11"/>
    <n v="10666.229420000001"/>
    <n v="5318.17"/>
    <n v="5348.0594200000014"/>
    <n v="0.50140112399719983"/>
    <n v="9473283.0513400007"/>
    <n v="0.86547450363277889"/>
  </r>
  <r>
    <s v="ORD-2024-287210"/>
    <d v="2024-03-18T00:00:00"/>
    <d v="2024-03-18T00:00:00"/>
    <d v="2024-03-21T00:00:00"/>
    <d v="2024-03-21T00:00:00"/>
    <n v="3"/>
    <n v="1"/>
    <s v="03-2024"/>
    <s v="Q1-2024"/>
    <d v="2023-01-21T00:00:00"/>
    <s v="01-2023"/>
    <x v="1"/>
    <x v="4"/>
    <s v="Munich"/>
    <s v="Munich"/>
    <s v="Small Business"/>
    <s v="Online"/>
    <s v="Online"/>
    <s v="M. Rossi"/>
    <x v="6"/>
    <x v="4"/>
    <s v="Medium"/>
    <s v="ACC-2761"/>
    <s v="B"/>
    <n v="910.63"/>
    <n v="1269.4000000000001"/>
    <n v="1269.4000000000001"/>
    <n v="6.8000000000000005E-2"/>
    <n v="6.8000000000000005E-2"/>
    <n v="0"/>
    <n v="9"/>
    <n v="10647.727199999999"/>
    <n v="8195.67"/>
    <n v="2452.0571999999993"/>
    <n v="0.23028925834989455"/>
    <n v="9483930.7785400003"/>
    <n v="0.86644727477909578"/>
  </r>
  <r>
    <s v="ORD-2024-296582"/>
    <d v="2024-01-11T00:00:00"/>
    <d v="2024-01-11T00:00:00"/>
    <d v="2024-02-02T00:00:00"/>
    <d v="2024-02-02T00:00:00"/>
    <n v="22"/>
    <n v="0"/>
    <s v="01-2024"/>
    <s v="Q1-2024"/>
    <d v="2023-01-07T00:00:00"/>
    <s v="01-2023"/>
    <x v="2"/>
    <x v="8"/>
    <s v="Durban"/>
    <s v="Durban"/>
    <s v="Consumer"/>
    <s v="Online"/>
    <s v="Online"/>
    <s v="K. Singh"/>
    <x v="3"/>
    <x v="1"/>
    <s v="High"/>
    <s v="NET-1412"/>
    <s v="B"/>
    <n v="1206.2"/>
    <n v="1759.79"/>
    <n v="1759.79"/>
    <n v="0"/>
    <n v="0"/>
    <n v="0"/>
    <n v="6"/>
    <n v="10558.74"/>
    <n v="7237.2000000000007"/>
    <n v="3321.5399999999991"/>
    <n v="0.31457730751964713"/>
    <n v="9494489.5185400005"/>
    <n v="0.86741191609836843"/>
  </r>
  <r>
    <s v="ORD-2024-687073"/>
    <d v="2024-03-11T00:00:00"/>
    <d v="2024-03-11T00:00:00"/>
    <d v="2024-03-29T00:00:00"/>
    <d v="2024-03-29T00:00:00"/>
    <n v="18"/>
    <n v="0"/>
    <s v="03-2024"/>
    <s v="Q1-2024"/>
    <d v="2023-01-13T00:00:00"/>
    <s v="01-2023"/>
    <x v="0"/>
    <x v="6"/>
    <s v="New York"/>
    <s v="New York"/>
    <s v="Corporate"/>
    <s v="Retail"/>
    <s v="Retail"/>
    <s v="M. Rossi"/>
    <x v="6"/>
    <x v="3"/>
    <s v="Medium"/>
    <s v="MON-7099"/>
    <s v="B"/>
    <n v="710.98"/>
    <n v="1481.45"/>
    <n v="1481.45"/>
    <n v="0.21099999999999999"/>
    <n v="0.21099999999999999"/>
    <n v="1"/>
    <n v="9"/>
    <n v="10519.776450000001"/>
    <n v="6398.82"/>
    <n v="4120.9564500000015"/>
    <n v="0.39173422264120461"/>
    <n v="9505009.2949900012"/>
    <n v="0.86837299772678078"/>
  </r>
  <r>
    <s v="ORD-2025-532859"/>
    <d v="2025-03-11T00:00:00"/>
    <d v="2025-03-11T00:00:00"/>
    <d v="2025-03-27T00:00:00"/>
    <d v="2025-03-27T00:00:00"/>
    <n v="16"/>
    <n v="0"/>
    <s v="03-2025"/>
    <s v="Q1-2025"/>
    <d v="2023-03-03T00:00:00"/>
    <s v="03-2023"/>
    <x v="3"/>
    <x v="7"/>
    <s v="Tokyo"/>
    <s v="Tokyo"/>
    <s v="Enterprise"/>
    <s v="Distributor"/>
    <s v="Distributor"/>
    <s v="B. Chen"/>
    <x v="1"/>
    <x v="6"/>
    <s v="High"/>
    <s v="PRN-5264"/>
    <s v="B"/>
    <n v="1317.58"/>
    <n v="1897.74"/>
    <n v="1897.74"/>
    <n v="8.1000000000000003E-2"/>
    <n v="8.1000000000000003E-2"/>
    <n v="0"/>
    <n v="6"/>
    <n v="10464.138360000001"/>
    <n v="7905.48"/>
    <n v="2558.6583600000013"/>
    <n v="0.24451687009230266"/>
    <n v="9515473.4333500005"/>
    <n v="0.86932899628651805"/>
  </r>
  <r>
    <s v="ORD-2023-369150"/>
    <d v="2023-07-18T00:00:00"/>
    <d v="2023-07-18T00:00:00"/>
    <d v="2023-08-10T00:00:00"/>
    <d v="2023-08-10T00:00:00"/>
    <n v="23"/>
    <n v="0"/>
    <s v="07-2023"/>
    <s v="Q3-2023"/>
    <d v="2023-01-07T00:00:00"/>
    <s v="01-2023"/>
    <x v="2"/>
    <x v="8"/>
    <s v="Johannesburg"/>
    <s v="Johannesburg"/>
    <s v="Small Business"/>
    <s v="Retail"/>
    <s v="Retail"/>
    <s v="L. Okafor"/>
    <x v="4"/>
    <x v="0"/>
    <s v="Medium"/>
    <s v="CMP-8659"/>
    <s v="B"/>
    <n v="1271.56"/>
    <n v="995.47"/>
    <n v="995.47"/>
    <n v="0.192"/>
    <n v="0.192"/>
    <n v="0"/>
    <n v="13"/>
    <n v="10456.416880000001"/>
    <n v="16530.28"/>
    <n v="6073.8631199999982"/>
    <n v="0.58087423155607754"/>
    <n v="9525929.8502300009"/>
    <n v="0.8702842894156213"/>
  </r>
  <r>
    <s v="ORD-2023-290279"/>
    <d v="2023-06-14T00:00:00"/>
    <d v="2023-06-14T00:00:00"/>
    <d v="2023-06-16T00:00:00"/>
    <d v="2023-06-16T00:00:00"/>
    <n v="2"/>
    <n v="1"/>
    <s v="06-2023"/>
    <s v="Q2-2023"/>
    <d v="2023-01-19T00:00:00"/>
    <s v="01-2023"/>
    <x v="1"/>
    <x v="1"/>
    <s v="Manchester"/>
    <s v="Manchester"/>
    <s v="Non-Profit"/>
    <s v="Direct"/>
    <s v="Direct"/>
    <s v="K. Singh"/>
    <x v="3"/>
    <x v="0"/>
    <s v="Low"/>
    <s v="CMP-5820"/>
    <s v="B"/>
    <n v="357.36"/>
    <n v="703.62"/>
    <n v="703.62"/>
    <n v="0.25700000000000001"/>
    <n v="0.25700000000000001"/>
    <n v="1"/>
    <n v="20"/>
    <n v="10455.7932"/>
    <n v="7147.2000000000007"/>
    <n v="3308.5931999999993"/>
    <n v="0.31643636563125593"/>
    <n v="9536385.6434300002"/>
    <n v="0.87123952556562489"/>
  </r>
  <r>
    <s v="ORD-2023-931633"/>
    <d v="2023-05-14T00:00:00"/>
    <d v="2023-05-14T00:00:00"/>
    <d v="2023-05-22T00:00:00"/>
    <d v="2023-05-22T00:00:00"/>
    <n v="8"/>
    <n v="0"/>
    <s v="05-2023"/>
    <s v="Q2-2023"/>
    <d v="2023-01-20T00:00:00"/>
    <s v="01-2023"/>
    <x v="2"/>
    <x v="5"/>
    <s v="Mombasa"/>
    <s v="Mombasa"/>
    <s v="Small Business"/>
    <s v="Distributor"/>
    <s v="Distributor"/>
    <s v="F. Müller"/>
    <x v="9"/>
    <x v="6"/>
    <s v="Medium"/>
    <s v="PRN-9488"/>
    <s v="B"/>
    <n v="432.01"/>
    <n v="913.78"/>
    <n v="913.78"/>
    <n v="4.9000000000000002E-2"/>
    <n v="4.9000000000000002E-2"/>
    <n v="0"/>
    <n v="12"/>
    <n v="10428.057360000001"/>
    <n v="5184.12"/>
    <n v="5243.9373600000008"/>
    <n v="0.50286809699711899"/>
    <n v="9546813.7007900011"/>
    <n v="0.87219222778285932"/>
  </r>
  <r>
    <s v="ORD-2023-399631"/>
    <d v="2023-06-22T00:00:00"/>
    <d v="2023-06-22T00:00:00"/>
    <d v="2023-07-21T00:00:00"/>
    <d v="2023-07-21T00:00:00"/>
    <n v="29"/>
    <n v="0"/>
    <s v="06-2023"/>
    <s v="Q2-2023"/>
    <d v="2023-01-10T00:00:00"/>
    <s v="01-2023"/>
    <x v="1"/>
    <x v="11"/>
    <s v="Lyon"/>
    <s v="Lyon"/>
    <s v="Corporate"/>
    <s v="Retail"/>
    <s v="Retail"/>
    <s v="J. Njeri"/>
    <x v="8"/>
    <x v="4"/>
    <s v="Medium"/>
    <s v="ACC-3385"/>
    <s v="B"/>
    <n v="734.34"/>
    <n v="887.9"/>
    <n v="887.9"/>
    <n v="2.5000000000000001E-2"/>
    <n v="2.5000000000000001E-2"/>
    <n v="0"/>
    <n v="12"/>
    <n v="10388.429999999998"/>
    <n v="8812.08"/>
    <n v="1576.3499999999985"/>
    <n v="0.15174092716608753"/>
    <n v="9557202.1307900008"/>
    <n v="0.87314130966387649"/>
  </r>
  <r>
    <s v="ORD-2025-766923"/>
    <d v="2025-02-15T00:00:00"/>
    <d v="2025-02-15T00:00:00"/>
    <d v="2025-02-15T00:00:00"/>
    <d v="2025-02-15T00:00:00"/>
    <n v="0"/>
    <n v="1"/>
    <s v="02-2025"/>
    <s v="Q1-2025"/>
    <d v="2023-01-21T00:00:00"/>
    <s v="01-2023"/>
    <x v="1"/>
    <x v="4"/>
    <s v="Frankfurt"/>
    <s v="Frankfurt"/>
    <s v="Small Business"/>
    <s v="Marketplace"/>
    <s v="Marketplace"/>
    <s v="L. Okafor"/>
    <x v="4"/>
    <x v="4"/>
    <s v="High"/>
    <s v="ACC-3989"/>
    <s v="B"/>
    <n v="815.83"/>
    <n v="1982.18"/>
    <n v="1982.18"/>
    <n v="0.127"/>
    <n v="0.127"/>
    <n v="0"/>
    <n v="6"/>
    <n v="10382.65884"/>
    <n v="4894.9800000000005"/>
    <n v="5487.6788399999996"/>
    <n v="0.52854272923408507"/>
    <n v="9567584.7896300014"/>
    <n v="0.87408986429454039"/>
  </r>
  <r>
    <s v="ORD-2025-515515"/>
    <d v="2025-01-03T00:00:00"/>
    <d v="2025-01-03T00:00:00"/>
    <d v="2025-01-23T00:00:00"/>
    <d v="2025-01-23T00:00:00"/>
    <n v="20"/>
    <n v="0"/>
    <s v="01-2025"/>
    <s v="Q1-2025"/>
    <d v="2023-03-03T00:00:00"/>
    <s v="03-2023"/>
    <x v="3"/>
    <x v="7"/>
    <s v="Osaka"/>
    <s v="Osaka"/>
    <s v="Corporate"/>
    <s v="Distributor"/>
    <s v="Distributor"/>
    <s v="F. Müller"/>
    <x v="9"/>
    <x v="5"/>
    <s v="Low"/>
    <s v="PHN-7019"/>
    <s v="B"/>
    <n v="908.6"/>
    <n v="691.37"/>
    <n v="691.37"/>
    <n v="0.25"/>
    <n v="0.25"/>
    <n v="1"/>
    <n v="20"/>
    <n v="10370.549999999999"/>
    <n v="18172"/>
    <n v="7801.4500000000007"/>
    <n v="0.75226964818645115"/>
    <n v="9577955.3396300022"/>
    <n v="0.87503731266750751"/>
  </r>
  <r>
    <s v="ORD-2023-664790"/>
    <d v="2023-04-16T00:00:00"/>
    <d v="2023-04-16T00:00:00"/>
    <d v="2023-04-23T00:00:00"/>
    <d v="2023-04-23T00:00:00"/>
    <n v="7"/>
    <n v="1"/>
    <s v="04-2023"/>
    <s v="Q2-2023"/>
    <d v="2023-01-13T00:00:00"/>
    <s v="01-2023"/>
    <x v="0"/>
    <x v="6"/>
    <s v="Austin"/>
    <s v="Austin"/>
    <s v="Corporate"/>
    <s v="Distributor"/>
    <s v="Distributor"/>
    <s v="O. Wang"/>
    <x v="7"/>
    <x v="6"/>
    <s v="Medium"/>
    <s v="PRN-9249"/>
    <s v="B"/>
    <n v="1099.1500000000001"/>
    <n v="1431.37"/>
    <n v="1431.37"/>
    <n v="0.104"/>
    <n v="0.104"/>
    <n v="0"/>
    <n v="8"/>
    <n v="10260.060159999999"/>
    <n v="8793.2000000000007"/>
    <n v="1466.8601599999984"/>
    <n v="0.14296798821109433"/>
    <n v="9588215.399790002"/>
    <n v="0.87597466674276259"/>
  </r>
  <r>
    <s v="ORD-2025-680118"/>
    <d v="2025-03-10T00:00:00"/>
    <d v="2025-03-10T00:00:00"/>
    <d v="2025-03-27T00:00:00"/>
    <d v="2025-03-27T00:00:00"/>
    <n v="17"/>
    <n v="0"/>
    <s v="03-2025"/>
    <s v="Q1-2025"/>
    <d v="2023-01-29T00:00:00"/>
    <s v="01-2023"/>
    <x v="0"/>
    <x v="9"/>
    <s v="Rio de Janeiro"/>
    <s v="Rio de Janeiro"/>
    <s v="Enterprise"/>
    <s v="Direct"/>
    <s v="Direct"/>
    <s v="F. Müller"/>
    <x v="9"/>
    <x v="1"/>
    <s v="Medium"/>
    <s v="NET-6269"/>
    <s v="B"/>
    <n v="996.73"/>
    <n v="1217.43"/>
    <n v="1217.43"/>
    <n v="7.0000000000000007E-2"/>
    <n v="7.0000000000000007E-2"/>
    <n v="0"/>
    <n v="9"/>
    <n v="10189.8891"/>
    <n v="8970.57"/>
    <n v="1219.3191000000006"/>
    <n v="0.11965970267527255"/>
    <n v="9598405.2888900023"/>
    <n v="0.87690561002431566"/>
  </r>
  <r>
    <s v="ORD-2025-659650"/>
    <d v="2025-02-04T00:00:00"/>
    <d v="2025-02-04T00:00:00"/>
    <d v="2025-02-08T00:00:00"/>
    <d v="2025-02-08T00:00:00"/>
    <n v="4"/>
    <n v="1"/>
    <s v="02-2025"/>
    <s v="Q1-2025"/>
    <d v="2023-01-19T00:00:00"/>
    <s v="01-2023"/>
    <x v="1"/>
    <x v="1"/>
    <s v="Manchester"/>
    <s v="Manchester"/>
    <s v="Enterprise"/>
    <s v="Marketplace"/>
    <s v="Marketplace"/>
    <s v="L. Okafor"/>
    <x v="4"/>
    <x v="1"/>
    <s v="Low"/>
    <s v="NET-2502"/>
    <s v="B"/>
    <n v="586.21"/>
    <n v="727.22"/>
    <n v="727.22"/>
    <n v="6.8000000000000005E-2"/>
    <n v="6.8000000000000005E-2"/>
    <n v="0"/>
    <n v="15"/>
    <n v="10166.535600000001"/>
    <n v="8793.1500000000015"/>
    <n v="1373.3855999999996"/>
    <n v="0.13508884973559721"/>
    <n v="9608571.8244900014"/>
    <n v="0.8778344197415372"/>
  </r>
  <r>
    <s v="ORD-2023-374486"/>
    <d v="2023-06-24T00:00:00"/>
    <d v="2023-06-23T00:00:00"/>
    <d v="2023-06-23T00:00:00"/>
    <d v="2023-06-24T00:00:00"/>
    <n v="1"/>
    <n v="1"/>
    <s v="06-2023"/>
    <s v="Q2-2023"/>
    <d v="2023-01-29T00:00:00"/>
    <s v="01-2023"/>
    <x v="0"/>
    <x v="9"/>
    <s v="Rio de Janeiro"/>
    <s v="Rio de Janeiro"/>
    <s v="Non-Profit"/>
    <s v="Retail"/>
    <s v="Retail"/>
    <s v="E. Garcia"/>
    <x v="14"/>
    <x v="6"/>
    <s v="Medium"/>
    <s v="PRN-6490"/>
    <s v="B"/>
    <n v="804.01"/>
    <n v="1405.07"/>
    <n v="1405.07"/>
    <n v="9.6000000000000002E-2"/>
    <n v="9.6000000000000002E-2"/>
    <n v="0"/>
    <n v="8"/>
    <n v="10161.46624"/>
    <n v="6432.08"/>
    <n v="3729.3862399999998"/>
    <n v="0.36701260939287439"/>
    <n v="9618733.2907300014"/>
    <n v="0.87876276632451"/>
  </r>
  <r>
    <s v="ORD-2025-276968"/>
    <d v="2025-02-25T00:00:00"/>
    <d v="2025-02-25T00:00:00"/>
    <d v="2025-03-17T00:00:00"/>
    <d v="2025-03-17T00:00:00"/>
    <n v="20"/>
    <n v="0"/>
    <s v="02-2025"/>
    <s v="Q1-2025"/>
    <d v="2023-01-13T00:00:00"/>
    <s v="01-2023"/>
    <x v="0"/>
    <x v="6"/>
    <s v="San Francisco"/>
    <s v="San Francisco"/>
    <s v="Non-Profit"/>
    <s v="Marketplace"/>
    <s v="Marketplace"/>
    <s v="H. Kim"/>
    <x v="0"/>
    <x v="5"/>
    <s v="High"/>
    <s v="PHN-1044"/>
    <s v="B"/>
    <n v="1205.26"/>
    <n v="1696.35"/>
    <n v="1696.35"/>
    <n v="1.9E-2"/>
    <n v="1.9E-2"/>
    <n v="0"/>
    <n v="6"/>
    <n v="9984.7160999999978"/>
    <n v="7231.5599999999995"/>
    <n v="2753.1560999999983"/>
    <n v="0.27573704374028213"/>
    <n v="9628718.0068300012"/>
    <n v="0.87967496510118848"/>
  </r>
  <r>
    <s v="ORD-2024-389102"/>
    <d v="2024-06-15T00:00:00"/>
    <d v="2024-06-15T00:00:00"/>
    <d v="2024-07-06T00:00:00"/>
    <d v="2024-07-06T00:00:00"/>
    <n v="21"/>
    <n v="0"/>
    <s v="06-2024"/>
    <s v="Q2-2024"/>
    <d v="2023-01-02T00:00:00"/>
    <s v="01-2023"/>
    <x v="0"/>
    <x v="0"/>
    <s v="Toronto"/>
    <s v="Toronto"/>
    <s v="Enterprise"/>
    <s v="Distributor"/>
    <s v="Distributor"/>
    <s v="L. Okafor"/>
    <x v="4"/>
    <x v="6"/>
    <s v="Medium"/>
    <s v="PRN-4453"/>
    <s v="B"/>
    <n v="817.23"/>
    <n v="1467.17"/>
    <n v="1467.17"/>
    <n v="0.245"/>
    <n v="0.245"/>
    <n v="1"/>
    <n v="9"/>
    <n v="9969.4201499999999"/>
    <n v="7355.07"/>
    <n v="2614.3501500000002"/>
    <n v="0.26223693160328893"/>
    <n v="9638687.4269800019"/>
    <n v="0.88058576644736042"/>
  </r>
  <r>
    <s v="ORD-2023-166668"/>
    <d v="2023-10-05T00:00:00"/>
    <d v="2023-10-05T00:00:00"/>
    <d v="2023-10-31T00:00:00"/>
    <d v="2023-10-31T00:00:00"/>
    <n v="26"/>
    <n v="0"/>
    <s v="10-2023"/>
    <s v="Q4-2023"/>
    <d v="2023-01-12T00:00:00"/>
    <s v="01-2023"/>
    <x v="3"/>
    <x v="10"/>
    <s v="Shanghai"/>
    <s v="Shanghai"/>
    <s v="Consumer"/>
    <m/>
    <s v="Marketplace"/>
    <s v="J. Njeri"/>
    <x v="8"/>
    <x v="6"/>
    <s v="Medium"/>
    <s v="PRN-6520"/>
    <s v="B"/>
    <n v="649.91"/>
    <n v="1360.12"/>
    <n v="1360.12"/>
    <n v="0.19400000000000001"/>
    <n v="0.19400000000000001"/>
    <n v="0"/>
    <n v="9"/>
    <n v="9866.3104799999983"/>
    <n v="5849.19"/>
    <n v="4017.1204799999987"/>
    <n v="0.40715528749506769"/>
    <n v="9648553.7374600023"/>
    <n v="0.88148714774453996"/>
  </r>
  <r>
    <s v="ORD-2023-884192"/>
    <d v="2023-01-10T00:00:00"/>
    <d v="2023-01-10T00:00:00"/>
    <d v="2023-01-29T00:00:00"/>
    <d v="2023-01-29T00:00:00"/>
    <n v="19"/>
    <n v="0"/>
    <s v="01-2023"/>
    <s v="Q1-2023"/>
    <d v="2023-01-10T00:00:00"/>
    <s v="01-2023"/>
    <x v="1"/>
    <x v="11"/>
    <s v="Lyon"/>
    <s v="Lyon"/>
    <s v="Non-Profit"/>
    <s v="Direct"/>
    <s v="Direct"/>
    <s v="D. Smith"/>
    <x v="10"/>
    <x v="2"/>
    <s v="Low"/>
    <s v="LAP-4551"/>
    <s v="B"/>
    <n v="401.66"/>
    <n v="772.09"/>
    <n v="772.09"/>
    <n v="8.8999999999999996E-2"/>
    <n v="8.8999999999999996E-2"/>
    <n v="0"/>
    <n v="14"/>
    <n v="9847.2358600000007"/>
    <n v="5623.2400000000007"/>
    <n v="4223.99586"/>
    <n v="0.42895244107619046"/>
    <n v="9658400.9733200017"/>
    <n v="0.88238678639377066"/>
  </r>
  <r>
    <s v="ORD-2023-144816"/>
    <d v="2023-05-07T00:00:00"/>
    <d v="2023-05-07T00:00:00"/>
    <d v="2023-05-29T00:00:00"/>
    <d v="2023-05-29T00:00:00"/>
    <n v="22"/>
    <n v="0"/>
    <s v="05-2023"/>
    <s v="Q2-2023"/>
    <d v="2023-01-07T00:00:00"/>
    <s v="01-2023"/>
    <x v="2"/>
    <x v="8"/>
    <s v="Durban"/>
    <s v="Durban"/>
    <s v="Education"/>
    <s v="Distributor"/>
    <s v="Distributor"/>
    <s v="K. Singh"/>
    <x v="3"/>
    <x v="4"/>
    <s v="Medium"/>
    <s v="ACC-2364"/>
    <s v="B"/>
    <n v="653.86"/>
    <n v="931.84"/>
    <n v="931.84"/>
    <n v="0.121"/>
    <n v="0.121"/>
    <n v="0"/>
    <n v="12"/>
    <n v="9829.0483199999999"/>
    <n v="7846.32"/>
    <n v="1982.7283200000002"/>
    <n v="0.20172129136506273"/>
    <n v="9668230.0216400009"/>
    <n v="0.88328476343824736"/>
  </r>
  <r>
    <s v="ORD-2024-402240"/>
    <d v="2024-05-01T00:00:00"/>
    <d v="2024-05-01T00:00:00"/>
    <d v="2024-05-26T00:00:00"/>
    <d v="2024-05-26T00:00:00"/>
    <n v="25"/>
    <n v="0"/>
    <s v="05-2024"/>
    <s v="Q2-2024"/>
    <d v="2023-01-21T00:00:00"/>
    <s v="01-2023"/>
    <x v="1"/>
    <x v="4"/>
    <s v="Berlin"/>
    <s v="Berlin"/>
    <s v="Non-Profit"/>
    <s v="Retail"/>
    <s v="Retail"/>
    <s v="B. Chen"/>
    <x v="1"/>
    <x v="1"/>
    <s v="Medium"/>
    <s v="NET-4228"/>
    <s v="B"/>
    <n v="930.71"/>
    <n v="1625.42"/>
    <n v="1625.42"/>
    <n v="0.13800000000000001"/>
    <n v="0.13800000000000001"/>
    <n v="0"/>
    <n v="7"/>
    <n v="9807.7842799999999"/>
    <n v="6514.97"/>
    <n v="3292.8142799999996"/>
    <n v="0.33573477821231196"/>
    <n v="9678037.8059200011"/>
    <n v="0.88418079781043579"/>
  </r>
  <r>
    <s v="ORD-2024-170313"/>
    <d v="2024-12-27T00:00:00"/>
    <d v="2024-12-27T00:00:00"/>
    <d v="2025-01-15T00:00:00"/>
    <d v="2025-01-15T00:00:00"/>
    <n v="19"/>
    <n v="0"/>
    <s v="12-2024"/>
    <s v="Q4-2024"/>
    <d v="2023-01-29T00:00:00"/>
    <s v="01-2023"/>
    <x v="3"/>
    <x v="3"/>
    <s v="Delhi"/>
    <s v="Delhi"/>
    <s v="Non-Profit"/>
    <s v="Distributor"/>
    <s v="Distributor"/>
    <s v="G. Dubois"/>
    <x v="11"/>
    <x v="0"/>
    <s v="Low"/>
    <s v="CMP-6919"/>
    <s v="B"/>
    <n v="495.59"/>
    <n v="631.78"/>
    <n v="631.78"/>
    <n v="8.6999999999999994E-2"/>
    <n v="8.6999999999999994E-2"/>
    <n v="0"/>
    <n v="17"/>
    <n v="9805.8573800000013"/>
    <n v="8425.0299999999988"/>
    <n v="1380.8273800000024"/>
    <n v="0.14081658813601899"/>
    <n v="9687843.663300002"/>
    <n v="0.88507665614198328"/>
  </r>
  <r>
    <s v="ORD-2024-544865"/>
    <d v="2024-02-16T00:00:00"/>
    <d v="2024-02-16T00:00:00"/>
    <d v="2024-03-04T00:00:00"/>
    <d v="2024-03-04T00:00:00"/>
    <n v="17"/>
    <n v="0"/>
    <s v="02-2024"/>
    <s v="Q1-2024"/>
    <d v="2023-01-02T00:00:00"/>
    <s v="01-2023"/>
    <x v="0"/>
    <x v="0"/>
    <s v="Montreal"/>
    <s v="Montreal"/>
    <s v="Non-Profit"/>
    <s v="Retail"/>
    <s v="Retail"/>
    <s v="D. Smith"/>
    <x v="10"/>
    <x v="2"/>
    <s v="High"/>
    <s v="LAP-2774"/>
    <s v="B"/>
    <n v="1350.98"/>
    <n v="2210.4"/>
    <n v="2210.4"/>
    <n v="0.26300000000000001"/>
    <n v="0.26300000000000001"/>
    <n v="1"/>
    <n v="6"/>
    <n v="9774.3888000000006"/>
    <n v="8105.88"/>
    <n v="1668.5088000000005"/>
    <n v="0.17070211080615091"/>
    <n v="9697618.0521000028"/>
    <n v="0.88596963951946162"/>
  </r>
  <r>
    <s v="ORD-2023-580751"/>
    <d v="2023-12-24T00:00:00"/>
    <d v="2023-12-24T00:00:00"/>
    <d v="2024-01-13T00:00:00"/>
    <d v="2024-01-13T00:00:00"/>
    <n v="20"/>
    <n v="0"/>
    <s v="12-2023"/>
    <s v="Q4-2023"/>
    <d v="2023-03-03T00:00:00"/>
    <s v="03-2023"/>
    <x v="3"/>
    <x v="7"/>
    <s v="Nagoya"/>
    <s v="Nagoya"/>
    <s v="Education"/>
    <s v="Direct"/>
    <s v="Direct"/>
    <s v="B. Chen"/>
    <x v="1"/>
    <x v="2"/>
    <s v="Medium"/>
    <s v="LAP-1946"/>
    <s v="B"/>
    <n v="625.37"/>
    <n v="1319.04"/>
    <n v="1319.04"/>
    <n v="7.3999999999999996E-2"/>
    <n v="7.3999999999999996E-2"/>
    <n v="0"/>
    <n v="8"/>
    <n v="9771.4483199999995"/>
    <n v="5002.96"/>
    <n v="4768.4883199999995"/>
    <n v="0.48800220436513547"/>
    <n v="9707389.5004200023"/>
    <n v="0.88686235425612614"/>
  </r>
  <r>
    <s v="ORD-2024-836421"/>
    <d v="2024-12-14T00:00:00"/>
    <d v="2024-12-14T00:00:00"/>
    <d v="2025-01-12T00:00:00"/>
    <d v="2025-01-12T00:00:00"/>
    <n v="29"/>
    <n v="0"/>
    <s v="12-2024"/>
    <s v="Q4-2024"/>
    <d v="2023-01-12T00:00:00"/>
    <s v="01-2023"/>
    <x v="3"/>
    <x v="10"/>
    <s v="Shenzhen"/>
    <s v="Shenzhen"/>
    <s v="Education"/>
    <s v="Online"/>
    <s v="Online"/>
    <s v="J. Njeri"/>
    <x v="8"/>
    <x v="0"/>
    <s v="Medium"/>
    <s v="CMP-3720"/>
    <s v="B"/>
    <n v="1412.15"/>
    <n v="1631.04"/>
    <n v="1631.04"/>
    <n v="8.9999999999999993E-3"/>
    <n v="8.9999999999999993E-3"/>
    <n v="0"/>
    <n v="6"/>
    <n v="9698.1638399999993"/>
    <n v="8472.9000000000015"/>
    <n v="1225.2638399999978"/>
    <n v="0.12633977526203535"/>
    <n v="9717087.6642600019"/>
    <n v="0.88774837375856097"/>
  </r>
  <r>
    <s v="ORD-2025-509940"/>
    <d v="2025-05-16T00:00:00"/>
    <d v="2025-05-16T00:00:00"/>
    <d v="2025-05-27T00:00:00"/>
    <d v="2025-05-27T00:00:00"/>
    <n v="11"/>
    <n v="0"/>
    <s v="05-2025"/>
    <s v="Q2-2025"/>
    <d v="2023-01-12T00:00:00"/>
    <s v="01-2023"/>
    <x v="3"/>
    <x v="10"/>
    <s v="Beijing"/>
    <s v="Beijing"/>
    <s v="Enterprise"/>
    <s v="Online"/>
    <s v="Online"/>
    <s v="F. Müller"/>
    <x v="9"/>
    <x v="5"/>
    <s v="Medium"/>
    <s v="PHN-3800"/>
    <s v="B"/>
    <n v="918.12"/>
    <n v="1337.69"/>
    <n v="1337.69"/>
    <n v="9.5000000000000001E-2"/>
    <n v="9.5000000000000001E-2"/>
    <n v="0"/>
    <n v="8"/>
    <n v="9684.8756000000012"/>
    <n v="7344.96"/>
    <n v="2339.9156000000012"/>
    <n v="0.24160512707050164"/>
    <n v="9726772.5398600027"/>
    <n v="0.8886331792538924"/>
  </r>
  <r>
    <s v="ORD-2025-474710"/>
    <d v="2025-07-24T00:00:00"/>
    <d v="2025-07-24T00:00:00"/>
    <d v="2025-08-06T00:00:00"/>
    <d v="2025-08-06T00:00:00"/>
    <n v="13"/>
    <n v="0"/>
    <s v="07-2025"/>
    <s v="Q3-2025"/>
    <d v="2023-01-07T00:00:00"/>
    <s v="01-2023"/>
    <x v="2"/>
    <x v="8"/>
    <s v="Johannesburg"/>
    <s v="Johannesburg"/>
    <s v="Education"/>
    <s v="Marketplace"/>
    <s v="Marketplace"/>
    <s v="D. Smith"/>
    <x v="10"/>
    <x v="1"/>
    <s v="High"/>
    <s v="NET-7966"/>
    <s v="B"/>
    <n v="1463.9"/>
    <n v="2633.02"/>
    <n v="2633.02"/>
    <n v="8.4000000000000005E-2"/>
    <n v="8.4000000000000005E-2"/>
    <n v="0"/>
    <n v="4"/>
    <n v="9647.3852800000004"/>
    <n v="5855.6"/>
    <n v="3791.7852800000001"/>
    <n v="0.39303761277791527"/>
    <n v="9736419.9251400027"/>
    <n v="0.88951455965193527"/>
  </r>
  <r>
    <s v="ORD-2025-254721"/>
    <d v="2025-05-15T00:00:00"/>
    <d v="2025-05-15T00:00:00"/>
    <d v="2025-06-05T00:00:00"/>
    <d v="2025-06-05T00:00:00"/>
    <n v="21"/>
    <n v="0"/>
    <s v="05-2025"/>
    <s v="Q2-2025"/>
    <d v="2023-03-03T00:00:00"/>
    <s v="03-2023"/>
    <x v="3"/>
    <x v="7"/>
    <s v="Osaka"/>
    <s v="Osaka"/>
    <s v="Enterprise"/>
    <s v="Direct"/>
    <s v="Direct"/>
    <s v="H. Kim"/>
    <x v="0"/>
    <x v="5"/>
    <s v="High"/>
    <s v="PHN-6480"/>
    <s v="B"/>
    <n v="1466.5"/>
    <n v="2778.74"/>
    <n v="2778.74"/>
    <n v="0.13500000000000001"/>
    <n v="0.13500000000000001"/>
    <n v="0"/>
    <n v="4"/>
    <n v="9614.4403999999995"/>
    <n v="5866"/>
    <n v="3748.4403999999995"/>
    <n v="0.38987608680792279"/>
    <n v="9746034.3655400034"/>
    <n v="0.8903929302218635"/>
  </r>
  <r>
    <s v="ORD-2025-866565"/>
    <d v="2025-05-12T00:00:00"/>
    <d v="2025-05-12T00:00:00"/>
    <d v="2025-05-26T00:00:00"/>
    <d v="2025-05-26T00:00:00"/>
    <n v="14"/>
    <n v="0"/>
    <s v="05-2025"/>
    <s v="Q2-2025"/>
    <d v="2023-01-29T00:00:00"/>
    <s v="01-2023"/>
    <x v="3"/>
    <x v="3"/>
    <s v="Hyderabad"/>
    <s v="Hyderabad"/>
    <s v="Corporate"/>
    <s v="Marketplace"/>
    <s v="Marketplace"/>
    <s v="G. Dubois"/>
    <x v="11"/>
    <x v="6"/>
    <s v="Low"/>
    <s v="PRN-8850"/>
    <s v="B"/>
    <n v="320.12"/>
    <n v="594.41999999999996"/>
    <n v="594.41999999999996"/>
    <n v="0.104"/>
    <n v="0.104"/>
    <n v="0"/>
    <n v="18"/>
    <n v="9586.8057599999993"/>
    <n v="5762.16"/>
    <n v="3824.6457599999994"/>
    <n v="0.39894891538931104"/>
    <n v="9755621.1713000033"/>
    <n v="0.89126877610460487"/>
  </r>
  <r>
    <s v="ORD-2024-749242"/>
    <d v="2024-01-16T00:00:00"/>
    <d v="2024-01-16T00:00:00"/>
    <d v="2024-02-11T00:00:00"/>
    <d v="2024-02-11T00:00:00"/>
    <n v="26"/>
    <n v="0"/>
    <s v="01-2024"/>
    <s v="Q1-2024"/>
    <d v="2023-01-21T00:00:00"/>
    <s v="01-2023"/>
    <x v="1"/>
    <x v="4"/>
    <s v="Frankfurt"/>
    <s v="Frankfurt"/>
    <s v="Non-Profit"/>
    <s v="Distributor"/>
    <s v="Distributor"/>
    <s v="E. Garcia"/>
    <x v="14"/>
    <x v="3"/>
    <s v="Medium"/>
    <s v="MON-4195"/>
    <s v="B"/>
    <n v="504.93"/>
    <n v="819.06"/>
    <n v="819.06"/>
    <n v="0.22600000000000001"/>
    <n v="0.22600000000000001"/>
    <n v="1"/>
    <n v="15"/>
    <n v="9509.2865999999995"/>
    <n v="7573.95"/>
    <n v="1935.3365999999996"/>
    <n v="0.20352069312959814"/>
    <n v="9765130.4579000026"/>
    <n v="0.89213753987482414"/>
  </r>
  <r>
    <s v="ORD-2024-800947"/>
    <d v="2024-12-15T00:00:00"/>
    <d v="2024-12-15T00:00:00"/>
    <d v="2024-12-20T00:00:00"/>
    <d v="2024-12-20T00:00:00"/>
    <n v="5"/>
    <n v="1"/>
    <s v="12-2024"/>
    <s v="Q4-2024"/>
    <d v="2023-01-12T00:00:00"/>
    <s v="01-2023"/>
    <x v="3"/>
    <x v="10"/>
    <s v="Shenzhen"/>
    <s v="Shenzhen"/>
    <s v="Small Business"/>
    <s v="Direct"/>
    <s v="Direct"/>
    <s v="J. Njeri"/>
    <x v="8"/>
    <x v="1"/>
    <s v="Low"/>
    <s v="NET-1846"/>
    <s v="B"/>
    <n v="717.55"/>
    <n v="546.42999999999995"/>
    <n v="546.42999999999995"/>
    <n v="4.7E-2"/>
    <n v="4.7E-2"/>
    <n v="0"/>
    <n v="18"/>
    <n v="9373.460219999999"/>
    <n v="12915.9"/>
    <n v="3542.4397800000006"/>
    <n v="0.37792231437026369"/>
    <n v="9774503.9181200024"/>
    <n v="0.89299389461343592"/>
  </r>
  <r>
    <s v="ORD-2024-532184"/>
    <d v="2024-01-25T00:00:00"/>
    <d v="2024-01-25T00:00:00"/>
    <d v="2024-02-08T00:00:00"/>
    <d v="2024-02-08T00:00:00"/>
    <n v="14"/>
    <n v="0"/>
    <s v="01-2024"/>
    <s v="Q1-2024"/>
    <d v="2023-03-03T00:00:00"/>
    <s v="03-2023"/>
    <x v="3"/>
    <x v="7"/>
    <s v="Osaka"/>
    <s v="Osaka"/>
    <s v="Consumer"/>
    <s v="Marketplace"/>
    <s v="Marketplace"/>
    <s v="I. Johnson"/>
    <x v="12"/>
    <x v="1"/>
    <s v="Medium"/>
    <s v="NET-9569"/>
    <s v="B"/>
    <n v="937.16"/>
    <n v="1069.77"/>
    <n v="1069.77"/>
    <n v="3.7999999999999999E-2"/>
    <n v="3.7999999999999999E-2"/>
    <n v="0"/>
    <n v="9"/>
    <n v="9262.0686600000008"/>
    <n v="8434.44"/>
    <n v="827.62866000000031"/>
    <n v="8.9356783066645962E-2"/>
    <n v="9783765.9867800027"/>
    <n v="0.89384007267363785"/>
  </r>
  <r>
    <s v="ORD-2024-741404"/>
    <d v="2024-10-19T00:00:00"/>
    <d v="2024-10-19T00:00:00"/>
    <d v="2024-11-06T00:00:00"/>
    <d v="2024-11-06T00:00:00"/>
    <n v="18"/>
    <n v="0"/>
    <s v="10-2024"/>
    <s v="Q4-2024"/>
    <d v="2023-01-13T00:00:00"/>
    <s v="01-2023"/>
    <x v="0"/>
    <x v="6"/>
    <s v="Chicago"/>
    <s v="Chicago"/>
    <s v="Education"/>
    <m/>
    <s v="Direct"/>
    <s v="C. Otieno"/>
    <x v="5"/>
    <x v="3"/>
    <s v="Medium"/>
    <s v="MON-8129"/>
    <s v="B"/>
    <n v="942.02"/>
    <n v="1028.46"/>
    <n v="1028.46"/>
    <n v="0"/>
    <n v="0"/>
    <n v="0"/>
    <n v="9"/>
    <n v="9256.14"/>
    <n v="8478.18"/>
    <n v="777.95999999999913"/>
    <n v="8.4047994088248354E-2"/>
    <n v="9793022.1267800033"/>
    <n v="0.89468570909436351"/>
  </r>
  <r>
    <s v="ORD-2023-913592"/>
    <d v="2023-05-10T00:00:00"/>
    <d v="2023-05-10T00:00:00"/>
    <d v="2023-05-14T00:00:00"/>
    <d v="2023-05-14T00:00:00"/>
    <n v="4"/>
    <n v="1"/>
    <s v="05-2023"/>
    <s v="Q2-2023"/>
    <d v="2023-01-29T00:00:00"/>
    <s v="01-2023"/>
    <x v="3"/>
    <x v="3"/>
    <s v="Delhi"/>
    <s v="Delhi"/>
    <s v="Non-Profit"/>
    <s v="Distributor"/>
    <s v="Distributor"/>
    <s v="C. Otieno"/>
    <x v="5"/>
    <x v="3"/>
    <s v="Medium"/>
    <s v="MON-2465"/>
    <s v="B"/>
    <n v="622.6"/>
    <n v="833.69"/>
    <n v="833.69"/>
    <n v="0.20899999999999999"/>
    <n v="0.20899999999999999"/>
    <n v="1"/>
    <n v="14"/>
    <n v="9232.2830599999998"/>
    <n v="8716.4"/>
    <n v="515.88306000000011"/>
    <n v="5.5878167582959715E-2"/>
    <n v="9802254.4098400027"/>
    <n v="0.89552916595672549"/>
  </r>
  <r>
    <s v="ORD-2023-363031"/>
    <d v="2023-05-06T00:00:00"/>
    <d v="2023-05-06T00:00:00"/>
    <d v="2023-05-14T00:00:00"/>
    <d v="2023-05-14T00:00:00"/>
    <n v="8"/>
    <n v="0"/>
    <s v="05-2023"/>
    <s v="Q2-2023"/>
    <d v="2023-03-03T00:00:00"/>
    <s v="03-2023"/>
    <x v="3"/>
    <x v="7"/>
    <s v="Osaka"/>
    <s v="Osaka"/>
    <s v="Enterprise"/>
    <s v="Marketplace"/>
    <s v="Marketplace"/>
    <s v="B. Chen"/>
    <x v="1"/>
    <x v="5"/>
    <s v="Low"/>
    <s v="PHN-6131"/>
    <s v="B"/>
    <n v="291.18"/>
    <n v="479.54"/>
    <n v="479.54"/>
    <n v="0.14099999999999999"/>
    <n v="0.14099999999999999"/>
    <n v="0"/>
    <n v="22"/>
    <n v="9062.34692"/>
    <n v="6405.96"/>
    <n v="2656.3869199999999"/>
    <n v="0.29312350801066001"/>
    <n v="9811316.756760003"/>
    <n v="0.89635709753649873"/>
  </r>
  <r>
    <s v="ORD-2023-727290"/>
    <d v="2023-04-03T00:00:00"/>
    <d v="2023-04-03T00:00:00"/>
    <d v="2023-04-16T00:00:00"/>
    <d v="2023-04-16T00:00:00"/>
    <n v="13"/>
    <n v="0"/>
    <s v="04-2023"/>
    <s v="Q2-2023"/>
    <d v="2023-01-10T00:00:00"/>
    <s v="01-2023"/>
    <x v="1"/>
    <x v="11"/>
    <s v="Marseille"/>
    <s v="Marseille"/>
    <s v="Non-Profit"/>
    <s v="Marketplace"/>
    <s v="Marketplace"/>
    <s v="M. Rossi"/>
    <x v="6"/>
    <x v="4"/>
    <s v="Low"/>
    <s v="ACC-4815"/>
    <s v="B"/>
    <n v="790.54"/>
    <n v="601.49"/>
    <n v="601.49"/>
    <n v="0"/>
    <n v="0"/>
    <n v="0"/>
    <n v="15"/>
    <n v="9022.35"/>
    <n v="11858.099999999999"/>
    <n v="2835.7499999999982"/>
    <n v="0.31430281467688553"/>
    <n v="9820339.1067600027"/>
    <n v="0.89718137501723405"/>
  </r>
  <r>
    <s v="ORD-2024-647473"/>
    <d v="2024-02-17T00:00:00"/>
    <d v="2024-02-17T00:00:00"/>
    <d v="2024-03-04T00:00:00"/>
    <d v="2024-03-04T00:00:00"/>
    <n v="16"/>
    <n v="0"/>
    <s v="02-2024"/>
    <s v="Q1-2024"/>
    <d v="2023-01-29T00:00:00"/>
    <s v="01-2023"/>
    <x v="3"/>
    <x v="3"/>
    <s v="Delhi"/>
    <s v="Delhi"/>
    <s v="Small Business"/>
    <s v="Marketplace"/>
    <s v="Marketplace"/>
    <s v="F. Müller"/>
    <x v="9"/>
    <x v="5"/>
    <s v="High"/>
    <s v="PHN-1717"/>
    <s v="B"/>
    <n v="1231.8"/>
    <n v="2015.99"/>
    <n v="2015.99"/>
    <n v="0.26100000000000001"/>
    <n v="0.26100000000000001"/>
    <n v="1"/>
    <n v="6"/>
    <n v="8938.8996600000009"/>
    <n v="7390.7999999999993"/>
    <n v="1548.0996600000017"/>
    <n v="0.17318682599464391"/>
    <n v="9829278.0064200033"/>
    <n v="0.89799802851574506"/>
  </r>
  <r>
    <s v="ORD-2023-809913"/>
    <d v="2023-04-21T00:00:00"/>
    <d v="2023-04-21T00:00:00"/>
    <d v="2023-05-10T00:00:00"/>
    <d v="2023-05-10T00:00:00"/>
    <n v="19"/>
    <n v="0"/>
    <s v="04-2023"/>
    <s v="Q2-2023"/>
    <d v="2023-01-12T00:00:00"/>
    <s v="01-2023"/>
    <x v="3"/>
    <x v="10"/>
    <s v="Shanghai"/>
    <s v="Shanghai"/>
    <s v="Corporate"/>
    <s v="Retail"/>
    <s v="Retail"/>
    <s v="A. Patel"/>
    <x v="2"/>
    <x v="0"/>
    <s v="High"/>
    <s v="CMP-7371"/>
    <s v="B"/>
    <n v="882.33"/>
    <n v="1880.15"/>
    <n v="1880.15"/>
    <n v="0.05"/>
    <n v="0.05"/>
    <n v="0"/>
    <n v="5"/>
    <n v="8930.7124999999996"/>
    <n v="4411.6500000000005"/>
    <n v="4519.0624999999991"/>
    <n v="0.50601365792482955"/>
    <n v="9838208.7189200036"/>
    <n v="0.89881393403932508"/>
  </r>
  <r>
    <s v="ORD-2023-450877"/>
    <d v="2023-09-21T00:00:00"/>
    <d v="2023-09-21T00:00:00"/>
    <d v="2023-10-10T00:00:00"/>
    <d v="2023-10-10T00:00:00"/>
    <n v="19"/>
    <n v="0"/>
    <s v="09-2023"/>
    <s v="Q3-2023"/>
    <d v="2023-03-03T00:00:00"/>
    <s v="03-2023"/>
    <x v="3"/>
    <x v="7"/>
    <s v="Tokyo"/>
    <s v="Tokyo"/>
    <s v="Education"/>
    <s v="Online"/>
    <s v="Online"/>
    <s v="D. Smith"/>
    <x v="10"/>
    <x v="0"/>
    <s v="High"/>
    <s v="CMP-5211"/>
    <s v="B"/>
    <n v="845.63"/>
    <n v="2062.12"/>
    <n v="2062.12"/>
    <n v="0.13400000000000001"/>
    <n v="0.13400000000000001"/>
    <n v="0"/>
    <n v="5"/>
    <n v="8928.9795999999988"/>
    <n v="4228.1499999999996"/>
    <n v="4700.8295999999991"/>
    <n v="0.52646884757133949"/>
    <n v="9847137.6985200029"/>
    <n v="0.89962968124600895"/>
  </r>
  <r>
    <s v="ORD-2023-883066"/>
    <d v="2023-08-12T00:00:00"/>
    <d v="2023-08-12T00:00:00"/>
    <d v="2023-09-06T00:00:00"/>
    <d v="2023-09-06T00:00:00"/>
    <n v="25"/>
    <n v="0"/>
    <s v="08-2023"/>
    <s v="Q3-2023"/>
    <d v="2023-01-12T00:00:00"/>
    <s v="01-2023"/>
    <x v="3"/>
    <x v="10"/>
    <s v="Shanghai"/>
    <s v="Shanghai"/>
    <s v="Small Business"/>
    <s v="Retail"/>
    <s v="Retail"/>
    <s v="B. Chen"/>
    <x v="1"/>
    <x v="0"/>
    <s v="Low"/>
    <s v="CMP-6352"/>
    <s v="B"/>
    <n v="950.77"/>
    <n v="694.78"/>
    <n v="694.78"/>
    <n v="8.4000000000000005E-2"/>
    <n v="8.4000000000000005E-2"/>
    <n v="0"/>
    <n v="14"/>
    <n v="8909.8587200000002"/>
    <n v="13310.779999999999"/>
    <n v="4400.9212799999987"/>
    <n v="0.49393839097821279"/>
    <n v="9856047.5572400037"/>
    <n v="0.90044368157845345"/>
  </r>
  <r>
    <s v="ORD-2024-136321"/>
    <d v="2024-08-07T00:00:00"/>
    <d v="2024-08-07T00:00:00"/>
    <d v="2024-08-17T00:00:00"/>
    <d v="2024-08-17T00:00:00"/>
    <n v="10"/>
    <n v="0"/>
    <s v="08-2024"/>
    <s v="Q3-2024"/>
    <d v="2023-03-03T00:00:00"/>
    <s v="03-2023"/>
    <x v="3"/>
    <x v="7"/>
    <s v="Osaka"/>
    <s v="Osaka"/>
    <s v="Consumer"/>
    <s v="Online"/>
    <s v="Online"/>
    <s v="K. Singh"/>
    <x v="3"/>
    <x v="1"/>
    <s v="Low"/>
    <s v="NET-7924"/>
    <s v="B"/>
    <n v="436.58"/>
    <n v="527.48"/>
    <n v="527.48"/>
    <n v="0.111"/>
    <n v="0.111"/>
    <n v="0"/>
    <n v="19"/>
    <n v="8909.6646800000017"/>
    <n v="8295.02"/>
    <n v="614.64468000000124"/>
    <n v="6.8986286473802644E-2"/>
    <n v="9864957.2219200041"/>
    <n v="0.9012576641834984"/>
  </r>
  <r>
    <s v="ORD-2023-211715"/>
    <d v="2023-10-30T00:00:00"/>
    <d v="2023-10-30T00:00:00"/>
    <d v="2023-11-14T00:00:00"/>
    <d v="2023-11-14T00:00:00"/>
    <n v="15"/>
    <n v="0"/>
    <s v="10-2023"/>
    <s v="Q4-2023"/>
    <d v="2023-01-29T00:00:00"/>
    <s v="01-2023"/>
    <x v="3"/>
    <x v="3"/>
    <s v="Bengaluru"/>
    <s v="Bengaluru"/>
    <s v="Corporate"/>
    <s v="Online"/>
    <s v="Online"/>
    <s v="F. Müller"/>
    <x v="9"/>
    <x v="2"/>
    <s v="High"/>
    <s v="LAP-2378"/>
    <s v="B"/>
    <n v="953.46"/>
    <n v="2066.75"/>
    <n v="2066.75"/>
    <n v="0.13800000000000001"/>
    <n v="0.13800000000000001"/>
    <n v="0"/>
    <n v="5"/>
    <n v="8907.6924999999992"/>
    <n v="4767.3"/>
    <n v="4140.392499999999"/>
    <n v="0.46481089238318446"/>
    <n v="9873864.9144200049"/>
    <n v="0.90207146661114368"/>
  </r>
  <r>
    <s v="ORD-2025-487025"/>
    <d v="2025-04-11T00:00:00"/>
    <d v="2025-04-11T00:00:00"/>
    <d v="2025-05-04T00:00:00"/>
    <d v="2025-05-04T00:00:00"/>
    <n v="23"/>
    <n v="0"/>
    <s v="04-2025"/>
    <s v="Q2-2025"/>
    <d v="2023-03-03T00:00:00"/>
    <s v="03-2023"/>
    <x v="3"/>
    <x v="7"/>
    <s v="Osaka"/>
    <s v="Osaka"/>
    <s v="Small Business"/>
    <s v="Online"/>
    <s v="Online"/>
    <s v="M. Rossi"/>
    <x v="6"/>
    <x v="0"/>
    <s v="Medium"/>
    <s v="CMP-3743"/>
    <s v="B"/>
    <n v="786.2"/>
    <n v="1075.3"/>
    <n v="1075.3"/>
    <n v="0.08"/>
    <n v="0.08"/>
    <n v="0"/>
    <n v="9"/>
    <n v="8903.4839999999986"/>
    <n v="7075.8"/>
    <n v="1827.6839999999984"/>
    <n v="0.20527739478163815"/>
    <n v="9882768.3984200042"/>
    <n v="0.90288488455228832"/>
  </r>
  <r>
    <s v="ORD-2025-231184"/>
    <d v="2025-06-01T00:00:00"/>
    <d v="2025-06-01T00:00:00"/>
    <d v="2025-06-06T00:00:00"/>
    <d v="2025-06-06T00:00:00"/>
    <n v="5"/>
    <n v="1"/>
    <s v="06-2025"/>
    <s v="Q2-2025"/>
    <d v="2023-01-10T00:00:00"/>
    <s v="01-2023"/>
    <x v="1"/>
    <x v="11"/>
    <s v="Paris"/>
    <s v="Paris"/>
    <s v="Consumer"/>
    <s v="Distributor"/>
    <s v="Distributor"/>
    <s v="G. Dubois"/>
    <x v="11"/>
    <x v="0"/>
    <s v="Low"/>
    <s v="CMP-4093"/>
    <s v="B"/>
    <n v="379.45"/>
    <n v="742.23"/>
    <n v="742.23"/>
    <n v="0.09"/>
    <n v="0.09"/>
    <n v="0"/>
    <n v="13"/>
    <n v="8780.5809000000008"/>
    <n v="4932.8499999999995"/>
    <n v="3847.7309000000014"/>
    <n v="0.43820915083192286"/>
    <n v="9891548.9793200046"/>
    <n v="0.90368707412636218"/>
  </r>
  <r>
    <s v="ORD-2025-737787"/>
    <d v="2025-09-14T00:00:00"/>
    <d v="2025-09-14T00:00:00"/>
    <d v="2025-09-26T00:00:00"/>
    <d v="2025-09-26T00:00:00"/>
    <n v="12"/>
    <n v="0"/>
    <s v="09-2025"/>
    <s v="Q3-2025"/>
    <d v="2023-01-19T00:00:00"/>
    <s v="01-2023"/>
    <x v="1"/>
    <x v="1"/>
    <s v="London"/>
    <s v="London"/>
    <s v="Small Business"/>
    <s v="Direct"/>
    <s v="Direct"/>
    <s v="N. Brown"/>
    <x v="13"/>
    <x v="1"/>
    <s v="Medium"/>
    <s v="NET-9003"/>
    <s v="B"/>
    <n v="425.15"/>
    <n v="885.92"/>
    <n v="885.92"/>
    <n v="0.23899999999999999"/>
    <n v="0.23899999999999999"/>
    <n v="1"/>
    <n v="13"/>
    <n v="8764.4065599999994"/>
    <n v="5526.95"/>
    <n v="3237.4565599999996"/>
    <n v="0.3693868532725848"/>
    <n v="9900313.3858800046"/>
    <n v="0.90448778602064883"/>
  </r>
  <r>
    <s v="ORD-2023-197661"/>
    <d v="2023-08-08T00:00:00"/>
    <d v="2023-08-08T00:00:00"/>
    <d v="2023-08-22T00:00:00"/>
    <d v="2023-08-22T00:00:00"/>
    <n v="14"/>
    <n v="0"/>
    <s v="08-2023"/>
    <s v="Q3-2023"/>
    <d v="2023-01-19T00:00:00"/>
    <s v="01-2023"/>
    <x v="1"/>
    <x v="1"/>
    <s v="Birmingham"/>
    <s v="Birmingham"/>
    <s v="Non-Profit"/>
    <s v="Direct"/>
    <s v="Direct"/>
    <s v="N. Brown"/>
    <x v="13"/>
    <x v="3"/>
    <s v="Medium"/>
    <s v="MON-7511"/>
    <s v="B"/>
    <n v="446.69"/>
    <n v="967.25"/>
    <n v="967.25"/>
    <n v="9.4E-2"/>
    <n v="9.4E-2"/>
    <n v="0"/>
    <n v="10"/>
    <n v="8763.2849999999999"/>
    <n v="4466.8999999999996"/>
    <n v="4296.3850000000002"/>
    <n v="0.49027105702941309"/>
    <n v="9909076.6708800048"/>
    <n v="0.9052883954497627"/>
  </r>
  <r>
    <s v="ORD-2023-334213"/>
    <d v="2023-08-19T00:00:00"/>
    <d v="2023-08-19T00:00:00"/>
    <d v="2023-08-23T00:00:00"/>
    <d v="2023-08-23T00:00:00"/>
    <n v="4"/>
    <n v="1"/>
    <s v="08-2023"/>
    <s v="Q3-2023"/>
    <d v="2023-01-13T00:00:00"/>
    <s v="01-2023"/>
    <x v="2"/>
    <x v="2"/>
    <s v="Abuja"/>
    <s v="Abuja"/>
    <s v="Small Business"/>
    <s v="Online"/>
    <s v="Online"/>
    <s v="J. Njeri"/>
    <x v="8"/>
    <x v="3"/>
    <s v="Medium"/>
    <s v="MON-5517"/>
    <s v="B"/>
    <n v="790.63"/>
    <n v="1382.31"/>
    <n v="1382.31"/>
    <n v="0.10100000000000001"/>
    <n v="0.10100000000000001"/>
    <n v="0"/>
    <n v="7"/>
    <n v="8698.8768300000011"/>
    <n v="5534.41"/>
    <n v="3164.4668300000012"/>
    <n v="0.36377878338116448"/>
    <n v="9917775.5477100052"/>
    <n v="0.90608312057998486"/>
  </r>
  <r>
    <s v="ORD-2023-749324"/>
    <d v="2023-08-19T00:00:00"/>
    <d v="2023-08-19T00:00:00"/>
    <d v="2023-09-07T00:00:00"/>
    <d v="2023-09-07T00:00:00"/>
    <n v="19"/>
    <n v="0"/>
    <s v="08-2023"/>
    <s v="Q3-2023"/>
    <d v="2023-01-07T00:00:00"/>
    <s v="01-2023"/>
    <x v="2"/>
    <x v="8"/>
    <s v="Johannesburg"/>
    <s v="Johannesburg"/>
    <s v="Enterprise"/>
    <s v="Retail"/>
    <s v="Retail"/>
    <s v="D. Smith"/>
    <x v="10"/>
    <x v="3"/>
    <s v="Low"/>
    <s v="MON-2296"/>
    <s v="B"/>
    <n v="494.61"/>
    <n v="605.23"/>
    <n v="605.23"/>
    <n v="0.20399999999999999"/>
    <n v="0.20399999999999999"/>
    <n v="1"/>
    <n v="18"/>
    <n v="8671.7354400000004"/>
    <n v="8902.98"/>
    <n v="231.24455999999918"/>
    <n v="2.6666468505639647E-2"/>
    <n v="9926447.2831500061"/>
    <n v="0.90687536608609876"/>
  </r>
  <r>
    <s v="ORD-2023-406606"/>
    <d v="2023-10-25T00:00:00"/>
    <d v="2023-10-25T00:00:00"/>
    <d v="2023-10-28T00:00:00"/>
    <d v="2023-10-28T00:00:00"/>
    <n v="3"/>
    <n v="1"/>
    <s v="10-2023"/>
    <s v="Q4-2023"/>
    <d v="2023-01-29T00:00:00"/>
    <s v="01-2023"/>
    <x v="0"/>
    <x v="9"/>
    <s v="Brasília"/>
    <s v="Brasília"/>
    <s v="Corporate"/>
    <s v="Distributor"/>
    <s v="Distributor"/>
    <s v="L. Okafor"/>
    <x v="4"/>
    <x v="4"/>
    <s v="Medium"/>
    <s v="ACC-2867"/>
    <s v="B"/>
    <n v="509.31"/>
    <n v="1145.9000000000001"/>
    <n v="1145.9000000000001"/>
    <n v="5.7000000000000002E-2"/>
    <n v="5.7000000000000002E-2"/>
    <n v="0"/>
    <n v="8"/>
    <n v="8644.6696000000011"/>
    <n v="4074.48"/>
    <n v="4570.1896000000015"/>
    <n v="0.52867140231709964"/>
    <n v="9935091.9527500067"/>
    <n v="0.90766513887031552"/>
  </r>
  <r>
    <s v="ORD-2025-331237"/>
    <d v="2025-03-24T00:00:00"/>
    <d v="2025-03-24T00:00:00"/>
    <d v="2025-03-25T00:00:00"/>
    <d v="2025-03-25T00:00:00"/>
    <n v="1"/>
    <n v="1"/>
    <s v="03-2025"/>
    <s v="Q1-2025"/>
    <d v="2023-01-12T00:00:00"/>
    <s v="01-2023"/>
    <x v="3"/>
    <x v="10"/>
    <s v="Beijing"/>
    <s v="Beijing"/>
    <s v="Non-Profit"/>
    <s v="Online"/>
    <s v="Online"/>
    <s v="G. Dubois"/>
    <x v="11"/>
    <x v="1"/>
    <s v="High"/>
    <s v="NET-8329"/>
    <s v="B"/>
    <n v="1133.03"/>
    <n v="1921.51"/>
    <n v="1921.51"/>
    <n v="0.10100000000000001"/>
    <n v="0.10100000000000001"/>
    <n v="0"/>
    <n v="5"/>
    <n v="8637.1874499999994"/>
    <n v="5665.15"/>
    <n v="2972.0374499999998"/>
    <n v="0.3440978289755654"/>
    <n v="9943729.1402000058"/>
    <n v="0.90845422808896958"/>
  </r>
  <r>
    <s v="ORD-2024-215294"/>
    <d v="2024-06-30T00:00:00"/>
    <d v="2024-06-30T00:00:00"/>
    <d v="2024-07-14T00:00:00"/>
    <d v="2024-07-14T00:00:00"/>
    <n v="14"/>
    <n v="0"/>
    <s v="06-2024"/>
    <s v="Q2-2024"/>
    <d v="2023-01-29T00:00:00"/>
    <s v="01-2023"/>
    <x v="0"/>
    <x v="9"/>
    <s v="Brasília"/>
    <s v="Brasília"/>
    <s v="Education"/>
    <s v="Retail"/>
    <s v="Retail"/>
    <s v="C. Otieno"/>
    <x v="5"/>
    <x v="4"/>
    <s v="High"/>
    <s v="ACC-8683"/>
    <s v="B"/>
    <n v="1491.85"/>
    <n v="2583.02"/>
    <n v="2583.02"/>
    <n v="0.16800000000000001"/>
    <n v="0.16800000000000001"/>
    <n v="0"/>
    <n v="4"/>
    <n v="8596.2905599999995"/>
    <n v="5967.4"/>
    <n v="2628.8905599999998"/>
    <n v="0.30581685689321325"/>
    <n v="9952325.4307600055"/>
    <n v="0.90923958098776714"/>
  </r>
  <r>
    <s v="ORD-2024-503082"/>
    <d v="2024-05-19T00:00:00"/>
    <d v="2024-05-19T00:00:00"/>
    <d v="2024-06-08T00:00:00"/>
    <d v="2024-06-08T00:00:00"/>
    <n v="20"/>
    <n v="0"/>
    <s v="05-2024"/>
    <s v="Q2-2024"/>
    <d v="2023-01-29T00:00:00"/>
    <s v="01-2023"/>
    <x v="0"/>
    <x v="9"/>
    <s v="Brasília"/>
    <s v="Brasília"/>
    <s v="Small Business"/>
    <s v="Retail"/>
    <s v="Retail"/>
    <s v="E. Garcia"/>
    <x v="14"/>
    <x v="3"/>
    <s v="Medium"/>
    <s v="MON-4271"/>
    <s v="B"/>
    <n v="1075.9000000000001"/>
    <n v="1242.1500000000001"/>
    <n v="1242.1500000000001"/>
    <n v="1.2E-2"/>
    <n v="1.2E-2"/>
    <n v="0"/>
    <n v="7"/>
    <n v="8590.7094000000016"/>
    <n v="7531.3000000000011"/>
    <n v="1059.4094000000005"/>
    <n v="0.12332036280961853"/>
    <n v="9960916.1401600055"/>
    <n v="0.91002442399451822"/>
  </r>
  <r>
    <s v="ORD-2024-499009"/>
    <d v="2024-01-25T00:00:00"/>
    <d v="2024-01-25T00:00:00"/>
    <d v="2024-01-27T00:00:00"/>
    <d v="2024-01-27T00:00:00"/>
    <n v="2"/>
    <n v="1"/>
    <s v="01-2024"/>
    <s v="Q1-2024"/>
    <d v="2023-01-29T00:00:00"/>
    <s v="01-2023"/>
    <x v="0"/>
    <x v="9"/>
    <s v="São Paulo"/>
    <s v="São Paulo"/>
    <s v="Non-Profit"/>
    <s v="Marketplace"/>
    <s v="Marketplace"/>
    <s v="N. Brown"/>
    <x v="13"/>
    <x v="2"/>
    <s v="High"/>
    <s v="LAP-7056"/>
    <s v="B"/>
    <n v="1410.97"/>
    <n v="1650.75"/>
    <n v="1650.75"/>
    <n v="0.13500000000000001"/>
    <n v="0.13500000000000001"/>
    <n v="0"/>
    <n v="6"/>
    <n v="8567.3924999999999"/>
    <n v="8465.82"/>
    <n v="101.57250000000022"/>
    <n v="1.1855707556295596E-2"/>
    <n v="9969483.5326600056"/>
    <n v="0.91080713678069603"/>
  </r>
  <r>
    <s v="ORD-2023-356427"/>
    <d v="2023-04-13T00:00:00"/>
    <d v="2023-04-13T00:00:00"/>
    <d v="2023-05-02T00:00:00"/>
    <d v="2023-05-02T00:00:00"/>
    <n v="19"/>
    <n v="0"/>
    <s v="04-2023"/>
    <s v="Q2-2023"/>
    <d v="2023-01-02T00:00:00"/>
    <s v="01-2023"/>
    <x v="0"/>
    <x v="0"/>
    <s v="Montreal"/>
    <s v="Montreal"/>
    <s v="Consumer"/>
    <s v="Distributor"/>
    <s v="Distributor"/>
    <s v="E. Garcia"/>
    <x v="14"/>
    <x v="3"/>
    <s v="High"/>
    <s v="MON-6053"/>
    <s v="B"/>
    <n v="671.05"/>
    <n v="1645.48"/>
    <n v="1645.48"/>
    <n v="0.13700000000000001"/>
    <n v="0.13700000000000001"/>
    <n v="0"/>
    <n v="6"/>
    <n v="8520.2954399999999"/>
    <n v="4026.2999999999997"/>
    <n v="4493.9954400000006"/>
    <n v="0.52744596377517172"/>
    <n v="9978003.8281000052"/>
    <n v="0.91158554680252002"/>
  </r>
  <r>
    <s v="ORD-2025-856556"/>
    <d v="2025-06-15T00:00:00"/>
    <d v="2025-06-15T00:00:00"/>
    <d v="2025-07-12T00:00:00"/>
    <d v="2025-07-12T00:00:00"/>
    <n v="27"/>
    <n v="0"/>
    <s v="06-2025"/>
    <s v="Q2-2025"/>
    <d v="2023-01-10T00:00:00"/>
    <s v="01-2023"/>
    <x v="1"/>
    <x v="11"/>
    <s v="Marseille"/>
    <s v="Marseille"/>
    <s v="Consumer"/>
    <s v="Direct"/>
    <s v="Direct"/>
    <s v="C. Otieno"/>
    <x v="5"/>
    <x v="4"/>
    <s v="Low"/>
    <s v="ACC-7906"/>
    <s v="B"/>
    <n v="318.83"/>
    <n v="699.5"/>
    <n v="699.5"/>
    <n v="0.08"/>
    <n v="0.08"/>
    <n v="0"/>
    <n v="13"/>
    <n v="8366.02"/>
    <n v="4144.79"/>
    <n v="4221.2300000000005"/>
    <n v="0.50456848059172699"/>
    <n v="9986369.8481000047"/>
    <n v="0.9123498622956433"/>
  </r>
  <r>
    <s v="ORD-2023-575584"/>
    <d v="2023-01-30T00:00:00"/>
    <d v="2023-01-30T00:00:00"/>
    <d v="2023-02-21T00:00:00"/>
    <d v="2023-02-21T00:00:00"/>
    <n v="22"/>
    <n v="0"/>
    <s v="01-2023"/>
    <s v="Q1-2023"/>
    <d v="2023-01-21T00:00:00"/>
    <s v="01-2023"/>
    <x v="1"/>
    <x v="4"/>
    <s v="Munich"/>
    <s v="Munich"/>
    <s v="Small Business"/>
    <s v="Marketplace"/>
    <s v="Marketplace"/>
    <s v="G. Dubois"/>
    <x v="11"/>
    <x v="1"/>
    <s v="Medium"/>
    <s v="NET-3460"/>
    <s v="B"/>
    <n v="1142.8800000000001"/>
    <n v="1465.29"/>
    <n v="1465.29"/>
    <n v="0.186"/>
    <n v="0.186"/>
    <n v="0"/>
    <n v="7"/>
    <n v="8349.2224200000001"/>
    <n v="8000.1600000000008"/>
    <n v="349.06241999999929"/>
    <n v="4.1807775915017401E-2"/>
    <n v="9994719.0705200043"/>
    <n v="0.91311264317007801"/>
  </r>
  <r>
    <s v="ORD-2023-430904"/>
    <d v="2023-01-27T00:00:00"/>
    <d v="2023-01-27T00:00:00"/>
    <d v="2023-01-31T00:00:00"/>
    <d v="2023-01-31T00:00:00"/>
    <n v="4"/>
    <n v="1"/>
    <s v="01-2023"/>
    <s v="Q1-2023"/>
    <d v="2023-01-19T00:00:00"/>
    <s v="01-2023"/>
    <x v="1"/>
    <x v="1"/>
    <s v="Manchester"/>
    <s v="Manchester"/>
    <s v="Enterprise"/>
    <s v="Online"/>
    <s v="Online"/>
    <s v="N. Brown"/>
    <x v="13"/>
    <x v="2"/>
    <s v="Low"/>
    <s v="LAP-9782"/>
    <s v="B"/>
    <n v="941.2"/>
    <n v="668.02"/>
    <n v="668.02"/>
    <n v="0.22"/>
    <n v="0.22"/>
    <n v="1"/>
    <n v="16"/>
    <n v="8336.8896000000004"/>
    <n v="15059.2"/>
    <n v="6722.3104000000003"/>
    <n v="0.80633314371825193"/>
    <n v="10003055.960120004"/>
    <n v="0.91387429732411285"/>
  </r>
  <r>
    <s v="ORD-2024-647571"/>
    <d v="2024-02-06T00:00:00"/>
    <d v="2024-02-06T00:00:00"/>
    <d v="2024-02-28T00:00:00"/>
    <d v="2024-02-28T00:00:00"/>
    <n v="22"/>
    <n v="0"/>
    <s v="02-2024"/>
    <s v="Q1-2024"/>
    <d v="2023-01-20T00:00:00"/>
    <s v="01-2023"/>
    <x v="2"/>
    <x v="5"/>
    <s v="Kisumu"/>
    <s v="Kisumu"/>
    <s v="Non-Profit"/>
    <s v="Online"/>
    <s v="Online"/>
    <s v="K. Singh"/>
    <x v="3"/>
    <x v="3"/>
    <s v="Medium"/>
    <s v="MON-2462"/>
    <s v="B"/>
    <n v="834.93"/>
    <n v="1588.53"/>
    <n v="1588.53"/>
    <n v="0.126"/>
    <n v="0.126"/>
    <n v="0"/>
    <n v="6"/>
    <n v="8330.2513199999994"/>
    <n v="5009.58"/>
    <n v="3320.6713199999995"/>
    <n v="0.39862798761274343"/>
    <n v="10011386.211440004"/>
    <n v="0.91463534500813548"/>
  </r>
  <r>
    <s v="ORD-2024-364080"/>
    <d v="2024-04-16T00:00:00"/>
    <d v="2024-04-16T00:00:00"/>
    <d v="2024-04-27T00:00:00"/>
    <d v="2024-04-27T00:00:00"/>
    <n v="11"/>
    <n v="0"/>
    <s v="04-2024"/>
    <s v="Q2-2024"/>
    <d v="2023-01-20T00:00:00"/>
    <s v="01-2023"/>
    <x v="2"/>
    <x v="5"/>
    <s v="Nakuru"/>
    <s v="Nakuru"/>
    <s v="Enterprise"/>
    <s v="Online"/>
    <s v="Online"/>
    <s v="D. Smith"/>
    <x v="10"/>
    <x v="6"/>
    <s v="Medium"/>
    <s v="PRN-2641"/>
    <s v="B"/>
    <n v="401.3"/>
    <n v="826.47"/>
    <n v="826.47"/>
    <n v="0.22500000000000001"/>
    <n v="0.22500000000000001"/>
    <n v="1"/>
    <n v="13"/>
    <n v="8326.6852500000005"/>
    <n v="5216.9000000000005"/>
    <n v="3109.7852499999999"/>
    <n v="0.37347217489696755"/>
    <n v="10019712.896690004"/>
    <n v="0.915396066897748"/>
  </r>
  <r>
    <s v="ORD-2025-626047"/>
    <d v="2025-04-28T00:00:00"/>
    <d v="2025-04-28T00:00:00"/>
    <d v="2025-05-15T00:00:00"/>
    <d v="2025-05-15T00:00:00"/>
    <n v="17"/>
    <n v="0"/>
    <s v="04-2025"/>
    <s v="Q2-2025"/>
    <d v="2023-03-03T00:00:00"/>
    <s v="03-2023"/>
    <x v="3"/>
    <x v="7"/>
    <s v="Nagoya"/>
    <s v="Nagoya"/>
    <s v="Education"/>
    <s v="Direct"/>
    <s v="Direct"/>
    <s v="N. Brown"/>
    <x v="13"/>
    <x v="1"/>
    <s v="Medium"/>
    <s v="NET-1966"/>
    <s v="B"/>
    <n v="691.19"/>
    <n v="1284.3"/>
    <n v="1284.3"/>
    <n v="7.3999999999999996E-2"/>
    <n v="7.3999999999999996E-2"/>
    <n v="0"/>
    <n v="7"/>
    <n v="8324.8326000000015"/>
    <n v="4838.33"/>
    <n v="3486.5026000000016"/>
    <n v="0.41880753253825198"/>
    <n v="10028037.729290003"/>
    <n v="0.91615661953016314"/>
  </r>
  <r>
    <s v="ORD-2024-776337"/>
    <d v="2024-11-12T00:00:00"/>
    <d v="2024-11-12T00:00:00"/>
    <d v="2024-11-21T00:00:00"/>
    <d v="2024-11-21T00:00:00"/>
    <n v="9"/>
    <n v="0"/>
    <s v="11-2024"/>
    <s v="Q4-2024"/>
    <d v="2023-01-29T00:00:00"/>
    <s v="01-2023"/>
    <x v="3"/>
    <x v="3"/>
    <s v="Mumbai"/>
    <s v="Mumbai"/>
    <s v="Corporate"/>
    <s v="Direct"/>
    <s v="Direct"/>
    <s v="H. Kim"/>
    <x v="0"/>
    <x v="2"/>
    <s v="High"/>
    <s v="LAP-5078"/>
    <s v="B"/>
    <n v="903.41"/>
    <n v="1860.41"/>
    <n v="1860.41"/>
    <n v="0.108"/>
    <n v="0.108"/>
    <n v="0"/>
    <n v="5"/>
    <n v="8297.4286000000011"/>
    <n v="4517.05"/>
    <n v="3780.3786000000009"/>
    <n v="0.455608451996803"/>
    <n v="10036335.157890003"/>
    <n v="0.91691466854654913"/>
  </r>
  <r>
    <s v="ORD-2024-902741"/>
    <d v="2024-12-23T00:00:00"/>
    <d v="2024-12-23T00:00:00"/>
    <d v="2025-01-11T00:00:00"/>
    <d v="2025-01-11T00:00:00"/>
    <n v="19"/>
    <n v="0"/>
    <s v="12-2024"/>
    <s v="Q4-2024"/>
    <d v="2023-01-21T00:00:00"/>
    <s v="01-2023"/>
    <x v="1"/>
    <x v="4"/>
    <s v="Berlin"/>
    <s v="Berlin"/>
    <s v="Education"/>
    <s v="Retail"/>
    <s v="Retail"/>
    <s v="K. Singh"/>
    <x v="3"/>
    <x v="5"/>
    <s v="Medium"/>
    <s v="PHN-8057"/>
    <s v="B"/>
    <n v="501.81"/>
    <n v="921.62"/>
    <n v="921.62"/>
    <n v="0.01"/>
    <n v="0.01"/>
    <n v="0"/>
    <n v="9"/>
    <n v="8211.6342000000004"/>
    <n v="4516.29"/>
    <n v="3695.3442000000005"/>
    <n v="0.45001325071202031"/>
    <n v="10044546.792090002"/>
    <n v="0.91766487942853614"/>
  </r>
  <r>
    <s v="ORD-2023-630430"/>
    <d v="2023-08-04T00:00:00"/>
    <d v="2023-08-04T00:00:00"/>
    <d v="2023-08-24T00:00:00"/>
    <d v="2023-08-24T00:00:00"/>
    <n v="20"/>
    <n v="0"/>
    <s v="08-2023"/>
    <s v="Q3-2023"/>
    <d v="2023-01-29T00:00:00"/>
    <s v="01-2023"/>
    <x v="0"/>
    <x v="9"/>
    <s v="Brasília"/>
    <s v="Brasília"/>
    <s v="Non-Profit"/>
    <s v="Direct"/>
    <s v="Direct"/>
    <m/>
    <x v="0"/>
    <x v="1"/>
    <s v="Medium"/>
    <s v="NET-9125"/>
    <s v="B"/>
    <n v="582.88"/>
    <n v="1044.1400000000001"/>
    <n v="1044.1400000000001"/>
    <n v="0.216"/>
    <n v="0.216"/>
    <n v="1"/>
    <n v="10"/>
    <n v="8186.057600000001"/>
    <n v="5828.8"/>
    <n v="2357.2576000000008"/>
    <n v="0.28796005539956138"/>
    <n v="10052732.849690003"/>
    <n v="0.91841275364486363"/>
  </r>
  <r>
    <s v="ORD-2024-219735"/>
    <d v="2024-04-03T00:00:00"/>
    <d v="2024-04-03T00:00:00"/>
    <d v="2024-04-07T00:00:00"/>
    <d v="2024-04-07T00:00:00"/>
    <n v="4"/>
    <n v="1"/>
    <s v="04-2024"/>
    <s v="Q2-2024"/>
    <d v="2023-01-29T00:00:00"/>
    <s v="01-2023"/>
    <x v="0"/>
    <x v="9"/>
    <s v="Brasília"/>
    <s v="Brasília"/>
    <s v="Non-Profit"/>
    <s v="Direct"/>
    <s v="Direct"/>
    <s v="N. Brown"/>
    <x v="13"/>
    <x v="5"/>
    <s v="Medium"/>
    <s v="PHN-5445"/>
    <s v="B"/>
    <n v="1023.27"/>
    <n v="1343.64"/>
    <n v="1343.64"/>
    <n v="0.13300000000000001"/>
    <n v="0.13300000000000001"/>
    <n v="0"/>
    <n v="7"/>
    <n v="8154.5511600000009"/>
    <n v="7162.8899999999994"/>
    <n v="991.66116000000147"/>
    <n v="0.12160830688810116"/>
    <n v="10060887.400850004"/>
    <n v="0.91915774944825102"/>
  </r>
  <r>
    <s v="ORD-2025-705398"/>
    <d v="2025-02-17T00:00:00"/>
    <d v="2025-02-15T00:00:00"/>
    <d v="2025-02-15T00:00:00"/>
    <d v="2025-02-17T00:00:00"/>
    <n v="2"/>
    <n v="1"/>
    <s v="02-2025"/>
    <s v="Q1-2025"/>
    <d v="2023-01-02T00:00:00"/>
    <s v="01-2023"/>
    <x v="0"/>
    <x v="0"/>
    <s v="Toronto"/>
    <s v="Toronto"/>
    <s v="Small Business"/>
    <s v="Retail"/>
    <s v="Retail"/>
    <s v="D. Smith"/>
    <x v="10"/>
    <x v="0"/>
    <s v="High"/>
    <s v="CMP-5065"/>
    <s v="B"/>
    <n v="1133.47"/>
    <n v="1698.75"/>
    <n v="1698.75"/>
    <n v="4.2999999999999997E-2"/>
    <n v="4.2999999999999997E-2"/>
    <n v="0"/>
    <n v="5"/>
    <n v="8128.5187499999993"/>
    <n v="5667.35"/>
    <n v="2461.1687499999989"/>
    <n v="0.30278194904821976"/>
    <n v="10069015.919600004"/>
    <n v="0.91990036694340038"/>
  </r>
  <r>
    <s v="ORD-2025-278048"/>
    <d v="2025-06-22T00:00:00"/>
    <d v="2025-06-22T00:00:00"/>
    <d v="2025-07-08T00:00:00"/>
    <d v="2025-07-08T00:00:00"/>
    <n v="16"/>
    <n v="0"/>
    <s v="06-2025"/>
    <s v="Q2-2025"/>
    <d v="2023-01-19T00:00:00"/>
    <s v="01-2023"/>
    <x v="1"/>
    <x v="1"/>
    <s v="London"/>
    <s v="London"/>
    <s v="Education"/>
    <s v="Direct"/>
    <s v="Direct"/>
    <s v="A. Patel"/>
    <x v="2"/>
    <x v="5"/>
    <s v="Medium"/>
    <s v="PHN-5316"/>
    <s v="B"/>
    <n v="892.73"/>
    <n v="979.84"/>
    <n v="979.84"/>
    <n v="0.17399999999999999"/>
    <n v="0.17399999999999999"/>
    <n v="0"/>
    <n v="10"/>
    <n v="8093.4784"/>
    <n v="8927.2999999999993"/>
    <n v="833.82159999999931"/>
    <n v="0.10302388649112838"/>
    <n v="10077109.398000004"/>
    <n v="0.92063978316932127"/>
  </r>
  <r>
    <s v="ORD-2025-411385"/>
    <d v="2025-06-05T00:00:00"/>
    <d v="2025-06-05T00:00:00"/>
    <d v="2025-06-14T00:00:00"/>
    <d v="2025-06-14T00:00:00"/>
    <n v="9"/>
    <n v="0"/>
    <s v="06-2025"/>
    <s v="Q2-2025"/>
    <d v="2023-01-29T00:00:00"/>
    <s v="01-2023"/>
    <x v="3"/>
    <x v="3"/>
    <s v="Delhi"/>
    <s v="Delhi"/>
    <s v="Non-Profit"/>
    <s v="Retail"/>
    <s v="Retail"/>
    <s v="A. Patel"/>
    <x v="2"/>
    <x v="4"/>
    <s v="Low"/>
    <s v="ACC-2902"/>
    <s v="B"/>
    <n v="618.69000000000005"/>
    <n v="796.15"/>
    <n v="796.15"/>
    <n v="0.09"/>
    <n v="0.09"/>
    <n v="0"/>
    <n v="11"/>
    <n v="7969.4615000000003"/>
    <n v="6805.59"/>
    <n v="1163.8715000000002"/>
    <n v="0.14604142325049191"/>
    <n v="10085078.859500004"/>
    <n v="0.92136786927194836"/>
  </r>
  <r>
    <s v="ORD-2025-246470"/>
    <d v="2025-04-16T00:00:00"/>
    <d v="2025-04-16T00:00:00"/>
    <d v="2025-05-16T00:00:00"/>
    <d v="2025-05-16T00:00:00"/>
    <n v="30"/>
    <n v="0"/>
    <s v="04-2025"/>
    <s v="Q2-2025"/>
    <d v="2023-01-02T00:00:00"/>
    <s v="01-2023"/>
    <x v="0"/>
    <x v="0"/>
    <s v="Montreal"/>
    <s v="Montreal"/>
    <s v="Enterprise"/>
    <s v="Distributor"/>
    <s v="Distributor"/>
    <s v="K. Singh"/>
    <x v="3"/>
    <x v="6"/>
    <s v="Low"/>
    <s v="PRN-6178"/>
    <s v="B"/>
    <n v="763.32"/>
    <n v="568.29"/>
    <n v="568.29"/>
    <n v="0.13100000000000001"/>
    <n v="0.13100000000000001"/>
    <n v="0"/>
    <n v="16"/>
    <n v="7901.5041599999995"/>
    <n v="12213.12"/>
    <n v="4311.6158400000013"/>
    <n v="0.54567026134426555"/>
    <n v="10092980.363660004"/>
    <n v="0.92208974682524925"/>
  </r>
  <r>
    <s v="ORD-2023-880296"/>
    <d v="2023-05-02T00:00:00"/>
    <d v="2023-05-02T00:00:00"/>
    <d v="2023-05-19T00:00:00"/>
    <d v="2023-05-19T00:00:00"/>
    <n v="17"/>
    <n v="0"/>
    <s v="05-2023"/>
    <s v="Q2-2023"/>
    <d v="2023-01-12T00:00:00"/>
    <s v="01-2023"/>
    <x v="3"/>
    <x v="10"/>
    <s v="Shanghai"/>
    <s v="Shanghai"/>
    <s v="Non-Profit"/>
    <s v="Direct"/>
    <s v="Direct"/>
    <s v="J. Njeri"/>
    <x v="8"/>
    <x v="3"/>
    <s v="Low"/>
    <s v="MON-5086"/>
    <s v="B"/>
    <n v="714.28"/>
    <n v="757.59"/>
    <n v="757.59"/>
    <n v="0.13600000000000001"/>
    <n v="0.13600000000000001"/>
    <n v="0"/>
    <n v="12"/>
    <n v="7854.6931199999999"/>
    <n v="8571.36"/>
    <n v="716.66688000000067"/>
    <n v="9.1240595787910383E-2"/>
    <n v="10100835.056780005"/>
    <n v="0.92280734774484374"/>
  </r>
  <r>
    <s v="ORD-2023-653343"/>
    <d v="2023-11-10T00:00:00"/>
    <d v="2023-11-10T00:00:00"/>
    <d v="2023-11-28T00:00:00"/>
    <d v="2023-11-28T00:00:00"/>
    <n v="18"/>
    <n v="0"/>
    <s v="11-2023"/>
    <s v="Q4-2023"/>
    <d v="2023-01-29T00:00:00"/>
    <s v="01-2023"/>
    <x v="0"/>
    <x v="9"/>
    <s v="Brasília"/>
    <s v="Brasília"/>
    <s v="Education"/>
    <s v="Marketplace"/>
    <s v="Marketplace"/>
    <s v="L. Okafor"/>
    <x v="4"/>
    <x v="4"/>
    <s v="Low"/>
    <s v="ACC-5260"/>
    <s v="B"/>
    <n v="388.51"/>
    <n v="776.46"/>
    <n v="776.46"/>
    <n v="0.157"/>
    <n v="0.157"/>
    <n v="0"/>
    <n v="12"/>
    <n v="7854.6693599999999"/>
    <n v="4662.12"/>
    <n v="3192.54936"/>
    <n v="0.40645241876864946"/>
    <n v="10108689.726140006"/>
    <n v="0.92352494649373629"/>
  </r>
  <r>
    <s v="ORD-2025-909340"/>
    <d v="2025-01-20T00:00:00"/>
    <d v="2025-01-20T00:00:00"/>
    <d v="2025-02-03T00:00:00"/>
    <d v="2025-02-03T00:00:00"/>
    <n v="14"/>
    <n v="0"/>
    <s v="01-2025"/>
    <s v="Q1-2025"/>
    <d v="2023-01-29T00:00:00"/>
    <s v="01-2023"/>
    <x v="0"/>
    <x v="9"/>
    <s v="Brasília"/>
    <s v="Brasília"/>
    <s v="Enterprise"/>
    <s v="Marketplace"/>
    <s v="Marketplace"/>
    <s v="F. Müller"/>
    <x v="9"/>
    <x v="0"/>
    <s v="Medium"/>
    <s v="CMP-8658"/>
    <s v="B"/>
    <n v="974.11"/>
    <n v="880.99"/>
    <n v="880.99"/>
    <n v="0.111"/>
    <n v="0.111"/>
    <n v="0"/>
    <n v="10"/>
    <n v="7832.0010999999995"/>
    <n v="9741.1"/>
    <n v="1909.0989000000009"/>
    <n v="0.2437562093805121"/>
    <n v="10116521.727240006"/>
    <n v="0.92424047428148826"/>
  </r>
  <r>
    <s v="ORD-2023-215819"/>
    <d v="2023-07-01T00:00:00"/>
    <d v="2023-07-01T00:00:00"/>
    <d v="2023-07-11T00:00:00"/>
    <d v="2023-07-11T00:00:00"/>
    <n v="10"/>
    <n v="0"/>
    <s v="07-2023"/>
    <s v="Q3-2023"/>
    <d v="2023-01-10T00:00:00"/>
    <s v="01-2023"/>
    <x v="1"/>
    <x v="11"/>
    <s v="Paris"/>
    <s v="Paris"/>
    <s v="Corporate"/>
    <s v="Direct"/>
    <s v="Direct"/>
    <s v="F. Müller"/>
    <x v="9"/>
    <x v="1"/>
    <s v="Low"/>
    <s v="NET-6533"/>
    <s v="B"/>
    <n v="479.5"/>
    <n v="656.66"/>
    <n v="656.66"/>
    <n v="0.14899999999999999"/>
    <n v="0.14899999999999999"/>
    <n v="0"/>
    <n v="14"/>
    <n v="7823.4472399999995"/>
    <n v="6713"/>
    <n v="1110.4472399999995"/>
    <n v="0.14193835606412289"/>
    <n v="10124345.174480006"/>
    <n v="0.92495522059277668"/>
  </r>
  <r>
    <s v="ORD-2023-431328"/>
    <d v="2023-12-20T00:00:00"/>
    <d v="2023-12-20T00:00:00"/>
    <d v="2024-01-14T00:00:00"/>
    <d v="2024-01-14T00:00:00"/>
    <n v="25"/>
    <n v="0"/>
    <s v="12-2023"/>
    <s v="Q4-2023"/>
    <d v="2023-01-29T00:00:00"/>
    <s v="01-2023"/>
    <x v="3"/>
    <x v="3"/>
    <s v="Mumbai"/>
    <s v="Mumbai"/>
    <s v="Non-Profit"/>
    <s v="Marketplace"/>
    <s v="Marketplace"/>
    <s v="L. Okafor"/>
    <x v="4"/>
    <x v="3"/>
    <s v="Medium"/>
    <s v="MON-1572"/>
    <s v="B"/>
    <n v="1085.6099999999999"/>
    <n v="1246.4100000000001"/>
    <n v="1246.4100000000001"/>
    <n v="0.113"/>
    <n v="0.113"/>
    <n v="0"/>
    <n v="7"/>
    <n v="7738.9596900000006"/>
    <n v="7599.2699999999995"/>
    <n v="139.68969000000106"/>
    <n v="1.8050189637310417E-2"/>
    <n v="10132084.134170007"/>
    <n v="0.92566224816284282"/>
  </r>
  <r>
    <s v="ORD-2025-650719"/>
    <d v="2025-02-12T00:00:00"/>
    <d v="2025-02-12T00:00:00"/>
    <d v="2025-02-28T00:00:00"/>
    <d v="2025-02-28T00:00:00"/>
    <n v="16"/>
    <n v="0"/>
    <s v="02-2025"/>
    <s v="Q1-2025"/>
    <d v="2023-01-29T00:00:00"/>
    <s v="01-2023"/>
    <x v="0"/>
    <x v="9"/>
    <s v="São Paulo"/>
    <s v="São Paulo"/>
    <s v="Non-Profit"/>
    <s v="Direct"/>
    <s v="Direct"/>
    <s v="B. Chen"/>
    <x v="1"/>
    <x v="3"/>
    <s v="Medium"/>
    <s v="MON-5179"/>
    <s v="B"/>
    <n v="414.95"/>
    <n v="1027.73"/>
    <n v="1027.73"/>
    <n v="6.3E-2"/>
    <n v="6.3E-2"/>
    <n v="0"/>
    <n v="8"/>
    <n v="7703.8640800000003"/>
    <n v="3319.6"/>
    <n v="4384.2640800000008"/>
    <n v="0.56909935513815568"/>
    <n v="10139787.998250008"/>
    <n v="0.92636606941515409"/>
  </r>
  <r>
    <s v="ORD-2025-898843"/>
    <d v="2025-02-02T00:00:00"/>
    <d v="2025-02-02T00:00:00"/>
    <d v="2025-03-04T00:00:00"/>
    <d v="2025-03-04T00:00:00"/>
    <n v="30"/>
    <n v="0"/>
    <s v="02-2025"/>
    <s v="Q1-2025"/>
    <d v="2023-03-03T00:00:00"/>
    <s v="03-2023"/>
    <x v="3"/>
    <x v="7"/>
    <s v="Osaka"/>
    <s v="Osaka"/>
    <s v="Education"/>
    <s v="Distributor"/>
    <s v="Distributor"/>
    <s v="L. Okafor"/>
    <x v="4"/>
    <x v="4"/>
    <s v="High"/>
    <s v="ACC-9591"/>
    <s v="B"/>
    <n v="766.59"/>
    <n v="1912.8"/>
    <n v="1912.8"/>
    <n v="0.19600000000000001"/>
    <n v="0.19600000000000001"/>
    <n v="0"/>
    <n v="5"/>
    <n v="7689.4560000000001"/>
    <n v="3832.9500000000003"/>
    <n v="3856.5059999999999"/>
    <n v="0.50153170783472845"/>
    <n v="10147477.454250008"/>
    <n v="0.92706857435232737"/>
  </r>
  <r>
    <s v="ORD-2024-885858"/>
    <d v="2024-01-10T00:00:00"/>
    <d v="2024-01-10T00:00:00"/>
    <d v="2024-01-23T00:00:00"/>
    <d v="2024-01-23T00:00:00"/>
    <n v="13"/>
    <n v="0"/>
    <s v="01-2024"/>
    <s v="Q1-2024"/>
    <d v="2023-01-10T00:00:00"/>
    <s v="01-2023"/>
    <x v="1"/>
    <x v="11"/>
    <s v="Marseille"/>
    <s v="Marseille"/>
    <s v="Corporate"/>
    <s v="Direct"/>
    <s v="Direct"/>
    <s v="A. Patel"/>
    <x v="2"/>
    <x v="6"/>
    <s v="Medium"/>
    <s v="PRN-6776"/>
    <s v="B"/>
    <n v="720"/>
    <n v="907.59"/>
    <n v="907.59"/>
    <n v="0.154"/>
    <n v="0.154"/>
    <n v="0"/>
    <n v="10"/>
    <n v="7678.2113999999992"/>
    <n v="7200"/>
    <n v="478.21139999999923"/>
    <n v="6.2281614179052078E-2"/>
    <n v="10155155.665650008"/>
    <n v="0.92777005198834739"/>
  </r>
  <r>
    <s v="ORD-2023-191563"/>
    <d v="2023-11-30T00:00:00"/>
    <d v="2023-11-30T00:00:00"/>
    <d v="2023-12-10T00:00:00"/>
    <d v="2023-12-10T00:00:00"/>
    <n v="10"/>
    <n v="0"/>
    <s v="11-2023"/>
    <s v="Q4-2023"/>
    <d v="2023-01-21T00:00:00"/>
    <s v="01-2023"/>
    <x v="1"/>
    <x v="4"/>
    <s v="Munich"/>
    <s v="Munich"/>
    <s v="Small Business"/>
    <s v="Direct"/>
    <s v="Direct"/>
    <s v="F. Müller"/>
    <x v="9"/>
    <x v="2"/>
    <s v="Low"/>
    <s v="LAP-4899"/>
    <s v="B"/>
    <n v="174.74"/>
    <n v="415.96"/>
    <n v="415.96"/>
    <n v="0.125"/>
    <n v="0.125"/>
    <n v="0"/>
    <n v="21"/>
    <n v="7643.2649999999994"/>
    <n v="3669.54"/>
    <n v="3973.7249999999995"/>
    <n v="0.51989889137691803"/>
    <n v="10162798.930650009"/>
    <n v="0.92846833693836517"/>
  </r>
  <r>
    <s v="ORD-2025-840976"/>
    <d v="2025-09-01T00:00:00"/>
    <d v="2025-09-01T00:00:00"/>
    <d v="2025-09-30T00:00:00"/>
    <d v="2025-09-30T00:00:00"/>
    <n v="29"/>
    <n v="0"/>
    <s v="09-2025"/>
    <s v="Q3-2025"/>
    <d v="2023-01-29T00:00:00"/>
    <s v="01-2023"/>
    <x v="0"/>
    <x v="9"/>
    <s v="Brasília"/>
    <s v="Brasília"/>
    <s v="Education"/>
    <s v="Retail"/>
    <s v="Retail"/>
    <s v="K. Singh"/>
    <x v="3"/>
    <x v="4"/>
    <s v="Low"/>
    <s v="ACC-1663"/>
    <s v="B"/>
    <n v="780.59"/>
    <n v="631.57000000000005"/>
    <n v="631.57000000000005"/>
    <n v="0"/>
    <n v="0"/>
    <n v="0"/>
    <n v="12"/>
    <n v="7578.84"/>
    <n v="9367.08"/>
    <n v="1788.2399999999998"/>
    <n v="0.23595167598207639"/>
    <n v="10170377.770650009"/>
    <n v="0.92916073605191063"/>
  </r>
  <r>
    <s v="ORD-2023-888140"/>
    <d v="2023-10-11T00:00:00"/>
    <d v="2023-10-11T00:00:00"/>
    <d v="2023-10-13T00:00:00"/>
    <d v="2023-10-13T00:00:00"/>
    <n v="2"/>
    <n v="1"/>
    <s v="10-2023"/>
    <s v="Q4-2023"/>
    <d v="2023-01-29T00:00:00"/>
    <s v="01-2023"/>
    <x v="0"/>
    <x v="9"/>
    <s v="Brasília"/>
    <s v="Brasília"/>
    <s v="Consumer"/>
    <s v="Distributor"/>
    <s v="Distributor"/>
    <m/>
    <x v="0"/>
    <x v="4"/>
    <s v="Low"/>
    <s v="ACC-3567"/>
    <s v="B"/>
    <n v="715.94"/>
    <n v="550.07000000000005"/>
    <n v="550.07000000000005"/>
    <n v="0.14000000000000001"/>
    <n v="0.14000000000000001"/>
    <n v="0"/>
    <n v="16"/>
    <n v="7568.9632000000001"/>
    <n v="11455.04"/>
    <n v="3886.0768000000007"/>
    <n v="0.51342260456491595"/>
    <n v="10177946.733850008"/>
    <n v="0.92985223282584129"/>
  </r>
  <r>
    <s v="ORD-2025-703623"/>
    <d v="2025-07-23T00:00:00"/>
    <d v="2025-07-23T00:00:00"/>
    <d v="2025-08-19T00:00:00"/>
    <d v="2025-08-19T00:00:00"/>
    <n v="27"/>
    <n v="0"/>
    <s v="07-2025"/>
    <s v="Q3-2025"/>
    <d v="2023-03-03T00:00:00"/>
    <s v="03-2023"/>
    <x v="3"/>
    <x v="7"/>
    <s v="Nagoya"/>
    <s v="Nagoya"/>
    <s v="Consumer"/>
    <s v="Marketplace"/>
    <s v="Marketplace"/>
    <s v="B. Chen"/>
    <x v="1"/>
    <x v="4"/>
    <s v="Low"/>
    <s v="ACC-1596"/>
    <s v="B"/>
    <n v="896.09"/>
    <n v="744.27"/>
    <n v="744.27"/>
    <n v="8.3000000000000004E-2"/>
    <n v="8.3000000000000004E-2"/>
    <n v="0"/>
    <n v="11"/>
    <n v="7507.4514899999995"/>
    <n v="9856.99"/>
    <n v="2349.5385100000003"/>
    <n v="0.31296086469950679"/>
    <n v="10185454.185340008"/>
    <n v="0.93053810992004848"/>
  </r>
  <r>
    <s v="ORD-2024-719055"/>
    <d v="2024-01-02T00:00:00"/>
    <d v="2024-01-01T00:00:00"/>
    <d v="2024-01-01T00:00:00"/>
    <d v="2024-01-02T00:00:00"/>
    <n v="1"/>
    <n v="1"/>
    <s v="01-2024"/>
    <s v="Q1-2024"/>
    <d v="2023-01-13T00:00:00"/>
    <s v="01-2023"/>
    <x v="0"/>
    <x v="6"/>
    <s v="Chicago"/>
    <s v="Chicago"/>
    <s v="Education"/>
    <s v="Marketplace"/>
    <s v="Marketplace"/>
    <s v="B. Chen"/>
    <x v="1"/>
    <x v="1"/>
    <s v="Low"/>
    <s v="NET-4554"/>
    <s v="B"/>
    <n v="404.77"/>
    <n v="433.88"/>
    <n v="433.88"/>
    <n v="0.215"/>
    <n v="0.215"/>
    <n v="1"/>
    <n v="22"/>
    <n v="7493.1076000000012"/>
    <n v="8904.9399999999987"/>
    <n v="1411.8323999999975"/>
    <n v="0.18841747314558746"/>
    <n v="10192947.292940008"/>
    <n v="0.93122267656348467"/>
  </r>
  <r>
    <s v="ORD-2024-550400"/>
    <d v="2024-08-19T00:00:00"/>
    <d v="2024-08-19T00:00:00"/>
    <d v="2024-09-02T00:00:00"/>
    <d v="2024-09-02T00:00:00"/>
    <n v="14"/>
    <n v="0"/>
    <s v="08-2024"/>
    <s v="Q3-2024"/>
    <d v="2023-01-02T00:00:00"/>
    <s v="01-2023"/>
    <x v="0"/>
    <x v="0"/>
    <s v="Toronto"/>
    <s v="Toronto"/>
    <s v="Consumer"/>
    <s v="Distributor"/>
    <s v="Distributor"/>
    <s v="C. Otieno"/>
    <x v="5"/>
    <x v="6"/>
    <s v="Medium"/>
    <s v="PRN-9793"/>
    <s v="B"/>
    <n v="1337.01"/>
    <n v="1269.78"/>
    <n v="1269.78"/>
    <n v="0.16"/>
    <n v="0.16"/>
    <n v="0"/>
    <n v="7"/>
    <n v="7466.3063999999986"/>
    <n v="9359.07"/>
    <n v="1892.7636000000011"/>
    <n v="0.25350735672996244"/>
    <n v="10200413.599340007"/>
    <n v="0.9319047946624045"/>
  </r>
  <r>
    <s v="ORD-2023-949710"/>
    <d v="2023-03-07T00:00:00"/>
    <d v="2023-03-07T00:00:00"/>
    <d v="2023-04-01T00:00:00"/>
    <d v="2023-04-01T00:00:00"/>
    <n v="25"/>
    <n v="0"/>
    <s v="03-2023"/>
    <s v="Q1-2023"/>
    <d v="2023-01-20T00:00:00"/>
    <s v="01-2023"/>
    <x v="2"/>
    <x v="5"/>
    <s v="Nairobi"/>
    <s v="Nairobi"/>
    <s v="Consumer"/>
    <s v="Marketplace"/>
    <s v="Marketplace"/>
    <s v="D. Smith"/>
    <x v="10"/>
    <x v="6"/>
    <s v="Medium"/>
    <s v="PRN-7049"/>
    <s v="B"/>
    <n v="1024.0999999999999"/>
    <n v="918.19"/>
    <n v="918.19"/>
    <n v="0.189"/>
    <n v="0.189"/>
    <n v="0"/>
    <n v="10"/>
    <n v="7446.5209000000004"/>
    <n v="10241"/>
    <n v="2794.4790999999996"/>
    <n v="0.37527311579827827"/>
    <n v="10207860.120240007"/>
    <n v="0.93258510516772675"/>
  </r>
  <r>
    <s v="ORD-2024-567435"/>
    <d v="2024-04-26T00:00:00"/>
    <d v="2024-04-24T00:00:00"/>
    <d v="2024-04-24T00:00:00"/>
    <d v="2024-04-26T00:00:00"/>
    <n v="2"/>
    <n v="1"/>
    <s v="04-2024"/>
    <s v="Q2-2024"/>
    <d v="2023-01-19T00:00:00"/>
    <s v="01-2023"/>
    <x v="1"/>
    <x v="1"/>
    <s v="London"/>
    <s v="London"/>
    <s v="Non-Profit"/>
    <s v="Distributor"/>
    <s v="Distributor"/>
    <s v="N. Brown"/>
    <x v="13"/>
    <x v="5"/>
    <s v="Medium"/>
    <s v="PHN-9107"/>
    <s v="B"/>
    <n v="1232.77"/>
    <n v="891.73"/>
    <n v="891.73"/>
    <n v="0.16700000000000001"/>
    <n v="0.16700000000000001"/>
    <n v="0"/>
    <n v="10"/>
    <n v="7428.1108999999988"/>
    <n v="12327.7"/>
    <n v="4899.589100000002"/>
    <n v="0.65960096260813805"/>
    <n v="10215288.231140006"/>
    <n v="0.93326373374445837"/>
  </r>
  <r>
    <s v="ORD-2024-892879"/>
    <d v="2024-07-09T00:00:00"/>
    <d v="2024-07-09T00:00:00"/>
    <d v="2024-08-08T00:00:00"/>
    <d v="2024-08-08T00:00:00"/>
    <n v="30"/>
    <n v="0"/>
    <s v="07-2024"/>
    <s v="Q3-2024"/>
    <d v="2023-01-10T00:00:00"/>
    <s v="01-2023"/>
    <x v="1"/>
    <x v="11"/>
    <s v="Marseille"/>
    <s v="Marseille"/>
    <s v="Corporate"/>
    <s v="Direct"/>
    <s v="Direct"/>
    <s v="J. Njeri"/>
    <x v="8"/>
    <x v="0"/>
    <s v="Medium"/>
    <s v="CMP-5825"/>
    <s v="B"/>
    <n v="1062.3800000000001"/>
    <n v="1503.96"/>
    <n v="1503.96"/>
    <n v="0.18"/>
    <n v="0.18"/>
    <n v="0"/>
    <n v="6"/>
    <n v="7399.4832000000006"/>
    <n v="6374.2800000000007"/>
    <n v="1025.2031999999999"/>
    <n v="0.13855064905073369"/>
    <n v="10222687.714340007"/>
    <n v="0.93393974690852766"/>
  </r>
  <r>
    <s v="ORD-2023-375011"/>
    <d v="2023-08-23T00:00:00"/>
    <d v="2023-08-23T00:00:00"/>
    <d v="2023-09-22T00:00:00"/>
    <d v="2023-09-22T00:00:00"/>
    <n v="30"/>
    <n v="0"/>
    <s v="08-2023"/>
    <s v="Q3-2023"/>
    <d v="2023-01-19T00:00:00"/>
    <s v="01-2023"/>
    <x v="1"/>
    <x v="1"/>
    <s v="London"/>
    <s v="London"/>
    <s v="Consumer"/>
    <s v="Distributor"/>
    <s v="Distributor"/>
    <s v="O. Wang"/>
    <x v="7"/>
    <x v="4"/>
    <s v="Low"/>
    <s v="ACC-1492"/>
    <s v="B"/>
    <n v="209.81"/>
    <n v="523"/>
    <n v="523"/>
    <n v="5.8999999999999997E-2"/>
    <n v="5.8999999999999997E-2"/>
    <n v="0"/>
    <n v="15"/>
    <n v="7382.1450000000004"/>
    <n v="3147.15"/>
    <n v="4234.9950000000008"/>
    <n v="0.57368082041195356"/>
    <n v="10230069.859340006"/>
    <n v="0.93461417606312946"/>
  </r>
  <r>
    <s v="ORD-2023-752962"/>
    <d v="2023-04-21T00:00:00"/>
    <d v="2023-04-19T00:00:00"/>
    <d v="2023-04-19T00:00:00"/>
    <d v="2023-04-21T00:00:00"/>
    <n v="2"/>
    <n v="1"/>
    <s v="04-2023"/>
    <s v="Q2-2023"/>
    <d v="2023-03-03T00:00:00"/>
    <s v="03-2023"/>
    <x v="3"/>
    <x v="7"/>
    <s v="Nagoya"/>
    <s v="Nagoya"/>
    <s v="Small Business"/>
    <s v="Direct"/>
    <s v="Direct"/>
    <s v="M. Rossi"/>
    <x v="6"/>
    <x v="0"/>
    <s v="Medium"/>
    <s v="CMP-8604"/>
    <s v="B"/>
    <n v="607.04"/>
    <n v="1229.3399999999999"/>
    <n v="1229.3399999999999"/>
    <n v="0.14699999999999999"/>
    <n v="0.14699999999999999"/>
    <n v="0"/>
    <n v="7"/>
    <n v="7340.3891399999993"/>
    <n v="4249.28"/>
    <n v="3091.1091399999996"/>
    <n v="0.42110970972310058"/>
    <n v="10237410.248480007"/>
    <n v="0.935284790422796"/>
  </r>
  <r>
    <s v="ORD-2024-343877"/>
    <d v="2024-03-09T00:00:00"/>
    <d v="2024-03-09T00:00:00"/>
    <d v="2024-03-26T00:00:00"/>
    <d v="2024-03-26T00:00:00"/>
    <n v="17"/>
    <n v="0"/>
    <s v="03-2024"/>
    <s v="Q1-2024"/>
    <d v="2023-01-12T00:00:00"/>
    <s v="01-2023"/>
    <x v="3"/>
    <x v="10"/>
    <s v="Shenzhen"/>
    <s v="Shenzhen"/>
    <s v="Enterprise"/>
    <s v="Online"/>
    <s v="Online"/>
    <s v="K. Singh"/>
    <x v="3"/>
    <x v="3"/>
    <s v="Medium"/>
    <s v="MON-5749"/>
    <s v="B"/>
    <n v="1029.67"/>
    <n v="1118.43"/>
    <n v="1118.43"/>
    <n v="0.27200000000000002"/>
    <n v="0.27200000000000002"/>
    <n v="1"/>
    <n v="9"/>
    <n v="7327.9533600000004"/>
    <n v="9267.0300000000007"/>
    <n v="1939.0766400000002"/>
    <n v="0.26461367106736061"/>
    <n v="10244738.201840008"/>
    <n v="0.93595426865568732"/>
  </r>
  <r>
    <s v="ORD-2023-253245"/>
    <d v="2023-08-03T00:00:00"/>
    <d v="2023-08-03T00:00:00"/>
    <d v="2023-08-14T00:00:00"/>
    <d v="2023-08-14T00:00:00"/>
    <n v="11"/>
    <n v="0"/>
    <s v="08-2023"/>
    <s v="Q3-2023"/>
    <d v="2023-01-29T00:00:00"/>
    <s v="01-2023"/>
    <x v="0"/>
    <x v="9"/>
    <s v="Brasília"/>
    <s v="Brasília"/>
    <s v="Corporate"/>
    <s v="Direct"/>
    <s v="Direct"/>
    <s v="J. Njeri"/>
    <x v="8"/>
    <x v="4"/>
    <s v="Low"/>
    <s v="ACC-3951"/>
    <s v="B"/>
    <n v="232.73"/>
    <n v="334.19"/>
    <n v="334.19"/>
    <n v="0.13400000000000001"/>
    <n v="0.13400000000000001"/>
    <n v="0"/>
    <n v="25"/>
    <n v="7235.2134999999998"/>
    <n v="5818.25"/>
    <n v="1416.9634999999998"/>
    <n v="0.1958426658729559"/>
    <n v="10251973.415340008"/>
    <n v="0.93661527422035318"/>
  </r>
  <r>
    <s v="ORD-2024-764468"/>
    <d v="2024-02-01T00:00:00"/>
    <d v="2024-02-01T00:00:00"/>
    <d v="2024-02-21T00:00:00"/>
    <d v="2024-02-21T00:00:00"/>
    <n v="20"/>
    <n v="0"/>
    <s v="02-2024"/>
    <s v="Q1-2024"/>
    <d v="2023-01-10T00:00:00"/>
    <s v="01-2023"/>
    <x v="1"/>
    <x v="11"/>
    <s v="Paris"/>
    <s v="Paris"/>
    <s v="Small Business"/>
    <s v="Marketplace"/>
    <s v="Marketplace"/>
    <s v="A. Patel"/>
    <x v="2"/>
    <x v="1"/>
    <s v="Medium"/>
    <s v="NET-8761"/>
    <s v="B"/>
    <n v="656.2"/>
    <n v="1467.17"/>
    <n v="1467.17"/>
    <n v="1.7999999999999999E-2"/>
    <n v="1.7999999999999999E-2"/>
    <n v="0"/>
    <n v="5"/>
    <n v="7203.8047000000006"/>
    <n v="3281"/>
    <n v="3922.8047000000006"/>
    <n v="0.54454623124360946"/>
    <n v="10259177.220040008"/>
    <n v="0.93727341029242139"/>
  </r>
  <r>
    <s v="ORD-2025-155182"/>
    <d v="2025-07-11T00:00:00"/>
    <d v="2025-07-11T00:00:00"/>
    <d v="2025-08-03T00:00:00"/>
    <d v="2025-08-03T00:00:00"/>
    <n v="23"/>
    <n v="0"/>
    <s v="07-2025"/>
    <s v="Q3-2025"/>
    <d v="2023-01-20T00:00:00"/>
    <s v="01-2023"/>
    <x v="2"/>
    <x v="5"/>
    <s v="Nakuru"/>
    <s v="Nakuru"/>
    <s v="Small Business"/>
    <s v="Retail"/>
    <s v="Retail"/>
    <s v="C. Otieno"/>
    <x v="5"/>
    <x v="5"/>
    <s v="Low"/>
    <s v="PHN-7636"/>
    <s v="B"/>
    <n v="389.93"/>
    <n v="486.13"/>
    <n v="486.13"/>
    <n v="0.13200000000000001"/>
    <n v="0.13200000000000001"/>
    <n v="0"/>
    <n v="17"/>
    <n v="7173.3342799999991"/>
    <n v="6628.81"/>
    <n v="544.52427999999873"/>
    <n v="7.5909508569562828E-2"/>
    <n v="10266350.554320008"/>
    <n v="0.93792876260182978"/>
  </r>
  <r>
    <s v="ORD-2023-128295"/>
    <d v="2023-06-23T00:00:00"/>
    <d v="2023-06-23T00:00:00"/>
    <d v="2023-07-03T00:00:00"/>
    <d v="2023-07-03T00:00:00"/>
    <n v="10"/>
    <n v="0"/>
    <s v="06-2023"/>
    <s v="Q2-2023"/>
    <d v="2023-01-13T00:00:00"/>
    <s v="01-2023"/>
    <x v="2"/>
    <x v="2"/>
    <s v="Abuja"/>
    <s v="Abuja"/>
    <s v="Consumer"/>
    <s v="Online"/>
    <s v="Online"/>
    <s v="J. Njeri"/>
    <x v="8"/>
    <x v="6"/>
    <s v="Low"/>
    <s v="PRN-2542"/>
    <s v="B"/>
    <n v="337.75"/>
    <n v="548.89"/>
    <n v="548.89"/>
    <n v="0"/>
    <n v="0"/>
    <n v="0"/>
    <n v="13"/>
    <n v="7135.57"/>
    <n v="4390.75"/>
    <n v="2744.8199999999997"/>
    <n v="0.38466723751571352"/>
    <n v="10273486.124320008"/>
    <n v="0.93858066478509805"/>
  </r>
  <r>
    <s v="ORD-2025-484073"/>
    <d v="2025-02-19T00:00:00"/>
    <d v="2025-02-19T00:00:00"/>
    <d v="2025-03-09T00:00:00"/>
    <d v="2025-03-09T00:00:00"/>
    <n v="18"/>
    <n v="0"/>
    <s v="02-2025"/>
    <s v="Q1-2025"/>
    <d v="2023-01-29T00:00:00"/>
    <s v="01-2023"/>
    <x v="3"/>
    <x v="3"/>
    <s v="Delhi"/>
    <s v="Delhi"/>
    <s v="Small Business"/>
    <s v="Direct"/>
    <s v="Direct"/>
    <s v="O. Wang"/>
    <x v="7"/>
    <x v="3"/>
    <s v="Low"/>
    <s v="MON-1436"/>
    <s v="B"/>
    <n v="325.87"/>
    <n v="538.79"/>
    <n v="538.79"/>
    <n v="0.17399999999999999"/>
    <n v="0.17399999999999999"/>
    <n v="0"/>
    <n v="16"/>
    <n v="7120.6486400000003"/>
    <n v="5213.92"/>
    <n v="1906.7286400000003"/>
    <n v="0.26777457172778013"/>
    <n v="10280606.772960007"/>
    <n v="0.93923120376021874"/>
  </r>
  <r>
    <s v="ORD-2023-944052"/>
    <d v="2023-08-30T00:00:00"/>
    <d v="2023-08-30T00:00:00"/>
    <d v="2023-09-03T00:00:00"/>
    <d v="2023-09-03T00:00:00"/>
    <n v="4"/>
    <n v="1"/>
    <s v="08-2023"/>
    <s v="Q3-2023"/>
    <d v="2023-01-29T00:00:00"/>
    <s v="01-2023"/>
    <x v="3"/>
    <x v="3"/>
    <s v="Delhi"/>
    <s v="Delhi"/>
    <s v="Small Business"/>
    <s v="Marketplace"/>
    <s v="Marketplace"/>
    <s v="L. Okafor"/>
    <x v="4"/>
    <x v="4"/>
    <s v="High"/>
    <s v="ACC-3068"/>
    <s v="B"/>
    <n v="1082.25"/>
    <n v="2433.34"/>
    <n v="2433.34"/>
    <n v="0.27"/>
    <n v="0.27"/>
    <n v="1"/>
    <n v="4"/>
    <n v="7105.3528000000006"/>
    <n v="4329"/>
    <n v="2776.3528000000006"/>
    <n v="0.3907410199251472"/>
    <n v="10287712.125760008"/>
    <n v="0.9398803453148824"/>
  </r>
  <r>
    <s v="ORD-2023-987700"/>
    <d v="2023-04-05T00:00:00"/>
    <d v="2023-04-05T00:00:00"/>
    <d v="2023-04-16T00:00:00"/>
    <d v="2023-04-16T00:00:00"/>
    <n v="11"/>
    <n v="0"/>
    <s v="04-2023"/>
    <s v="Q2-2023"/>
    <d v="2023-01-02T00:00:00"/>
    <s v="01-2023"/>
    <x v="0"/>
    <x v="0"/>
    <s v="Vancouver"/>
    <s v="Vancouver"/>
    <s v="Non-Profit"/>
    <s v="Online"/>
    <s v="Online"/>
    <s v="O. Wang"/>
    <x v="7"/>
    <x v="3"/>
    <s v="Low"/>
    <s v="MON-5259"/>
    <s v="B"/>
    <n v="213.1"/>
    <n v="501.31"/>
    <n v="501.31"/>
    <n v="5.6000000000000001E-2"/>
    <n v="5.6000000000000001E-2"/>
    <n v="0"/>
    <n v="15"/>
    <n v="7098.5495999999994"/>
    <n v="3196.5"/>
    <n v="3902.0495999999994"/>
    <n v="0.54969674368409005"/>
    <n v="10294810.675360007"/>
    <n v="0.94052886533252333"/>
  </r>
  <r>
    <s v="ORD-2023-937291"/>
    <d v="2023-04-23T00:00:00"/>
    <d v="2023-04-22T00:00:00"/>
    <d v="2023-04-22T00:00:00"/>
    <d v="2023-04-23T00:00:00"/>
    <n v="1"/>
    <n v="1"/>
    <s v="04-2023"/>
    <s v="Q2-2023"/>
    <d v="2023-01-20T00:00:00"/>
    <s v="01-2023"/>
    <x v="2"/>
    <x v="5"/>
    <s v="Nairobi"/>
    <s v="Nairobi"/>
    <s v="Small Business"/>
    <s v="Direct"/>
    <s v="Direct"/>
    <s v="E. Garcia"/>
    <x v="14"/>
    <x v="2"/>
    <s v="Medium"/>
    <s v="LAP-1698"/>
    <s v="B"/>
    <n v="756.51"/>
    <n v="850.8"/>
    <n v="850.8"/>
    <n v="7.3999999999999996E-2"/>
    <n v="7.3999999999999996E-2"/>
    <n v="0"/>
    <n v="9"/>
    <n v="7090.5672000000004"/>
    <n v="6808.59"/>
    <n v="281.97720000000027"/>
    <n v="3.9767932810791252E-2"/>
    <n v="10301901.242560007"/>
    <n v="0.94117665608200662"/>
  </r>
  <r>
    <s v="ORD-2023-552115"/>
    <d v="2023-09-17T00:00:00"/>
    <d v="2023-09-17T00:00:00"/>
    <d v="2023-10-02T00:00:00"/>
    <d v="2023-10-02T00:00:00"/>
    <n v="15"/>
    <n v="0"/>
    <s v="09-2023"/>
    <s v="Q3-2023"/>
    <d v="2023-01-29T00:00:00"/>
    <s v="01-2023"/>
    <x v="0"/>
    <x v="9"/>
    <s v="Rio de Janeiro"/>
    <s v="Rio de Janeiro"/>
    <s v="Small Business"/>
    <s v="Retail"/>
    <s v="Retail"/>
    <s v="B. Chen"/>
    <x v="1"/>
    <x v="2"/>
    <s v="Low"/>
    <s v="LAP-4932"/>
    <s v="B"/>
    <n v="689.33"/>
    <n v="668.27"/>
    <n v="668.27"/>
    <n v="0.186"/>
    <n v="0.186"/>
    <n v="0"/>
    <n v="13"/>
    <n v="7071.6331400000008"/>
    <n v="8961.2900000000009"/>
    <n v="1889.6568600000001"/>
    <n v="0.26721647214861033"/>
    <n v="10308972.875700006"/>
    <n v="0.94182271702503395"/>
  </r>
  <r>
    <s v="ORD-2024-988736"/>
    <d v="2024-09-09T00:00:00"/>
    <d v="2024-09-09T00:00:00"/>
    <d v="2024-10-01T00:00:00"/>
    <d v="2024-10-01T00:00:00"/>
    <n v="22"/>
    <n v="0"/>
    <s v="09-2024"/>
    <s v="Q3-2024"/>
    <d v="2023-01-12T00:00:00"/>
    <s v="01-2023"/>
    <x v="3"/>
    <x v="10"/>
    <s v="Shenzhen"/>
    <s v="Shenzhen"/>
    <s v="Consumer"/>
    <s v="Direct"/>
    <s v="Direct"/>
    <s v="L. Okafor"/>
    <x v="4"/>
    <x v="6"/>
    <s v="Medium"/>
    <s v="PRN-3014"/>
    <s v="B"/>
    <n v="1166.18"/>
    <n v="1335.02"/>
    <n v="1335.02"/>
    <n v="0.128"/>
    <n v="0.128"/>
    <n v="0"/>
    <n v="6"/>
    <n v="6984.8246399999998"/>
    <n v="6997.08"/>
    <n v="12.25536000000011"/>
    <n v="1.7545694604582242E-3"/>
    <n v="10315957.700340007"/>
    <n v="0.94246084718598289"/>
  </r>
  <r>
    <s v="ORD-2023-967239"/>
    <d v="2023-12-24T00:00:00"/>
    <d v="2023-12-24T00:00:00"/>
    <d v="2024-01-01T00:00:00"/>
    <d v="2024-01-01T00:00:00"/>
    <n v="8"/>
    <n v="0"/>
    <s v="12-2023"/>
    <s v="Q4-2023"/>
    <d v="2023-01-29T00:00:00"/>
    <s v="01-2023"/>
    <x v="0"/>
    <x v="9"/>
    <s v="São Paulo"/>
    <s v="São Paulo"/>
    <s v="Education"/>
    <s v="Direct"/>
    <s v="Direct"/>
    <s v="C. Otieno"/>
    <x v="5"/>
    <x v="5"/>
    <s v="Low"/>
    <s v="PHN-3014"/>
    <s v="B"/>
    <n v="526.49"/>
    <n v="496.2"/>
    <n v="496.2"/>
    <n v="0"/>
    <n v="0"/>
    <n v="0"/>
    <n v="14"/>
    <n v="6946.8"/>
    <n v="7370.8600000000006"/>
    <n v="424.0600000000004"/>
    <n v="6.1043933897621985E-2"/>
    <n v="10322904.500340007"/>
    <n v="0.94309550343442961"/>
  </r>
  <r>
    <s v="ORD-2024-375848"/>
    <d v="2024-05-18T00:00:00"/>
    <d v="2024-05-18T00:00:00"/>
    <d v="2024-05-21T00:00:00"/>
    <d v="2024-05-21T00:00:00"/>
    <n v="3"/>
    <n v="1"/>
    <s v="05-2024"/>
    <s v="Q2-2024"/>
    <d v="2023-01-10T00:00:00"/>
    <s v="01-2023"/>
    <x v="1"/>
    <x v="11"/>
    <s v="Marseille"/>
    <s v="Marseille"/>
    <s v="Non-Profit"/>
    <s v="Marketplace"/>
    <s v="Marketplace"/>
    <s v="D. Smith"/>
    <x v="10"/>
    <x v="6"/>
    <s v="Medium"/>
    <s v="PRN-1725"/>
    <s v="B"/>
    <n v="663.66"/>
    <n v="824.26"/>
    <n v="824.26"/>
    <n v="0.23899999999999999"/>
    <n v="0.23899999999999999"/>
    <n v="1"/>
    <n v="11"/>
    <n v="6899.8804600000003"/>
    <n v="7300.2599999999993"/>
    <n v="400.379539999999"/>
    <n v="5.8027025587048933E-2"/>
    <n v="10329804.380800007"/>
    <n v="0.94372587313666279"/>
  </r>
  <r>
    <s v="ORD-2023-722117"/>
    <d v="2023-09-18T00:00:00"/>
    <d v="2023-09-18T00:00:00"/>
    <d v="2023-10-08T00:00:00"/>
    <d v="2023-10-08T00:00:00"/>
    <n v="20"/>
    <n v="0"/>
    <s v="09-2023"/>
    <s v="Q3-2023"/>
    <d v="2023-01-29T00:00:00"/>
    <s v="01-2023"/>
    <x v="3"/>
    <x v="3"/>
    <s v="Delhi"/>
    <s v="Delhi"/>
    <s v="Small Business"/>
    <s v="Direct"/>
    <s v="Direct"/>
    <s v="B. Chen"/>
    <x v="1"/>
    <x v="0"/>
    <s v="Medium"/>
    <s v="CMP-1009"/>
    <s v="B"/>
    <n v="825.64"/>
    <n v="1108.43"/>
    <n v="1108.43"/>
    <n v="0.114"/>
    <n v="0.114"/>
    <n v="0"/>
    <n v="7"/>
    <n v="6874.4828600000001"/>
    <n v="5779.48"/>
    <n v="1095.0028600000005"/>
    <n v="0.15928512475773349"/>
    <n v="10336678.863660008"/>
    <n v="0.94435392252658878"/>
  </r>
  <r>
    <s v="ORD-2023-304451"/>
    <d v="2023-10-07T00:00:00"/>
    <d v="2023-10-07T00:00:00"/>
    <d v="2023-10-23T00:00:00"/>
    <d v="2023-10-23T00:00:00"/>
    <n v="16"/>
    <n v="0"/>
    <s v="10-2023"/>
    <s v="Q4-2023"/>
    <d v="2023-01-29T00:00:00"/>
    <s v="01-2023"/>
    <x v="3"/>
    <x v="3"/>
    <s v="Hyderabad"/>
    <s v="Hyderabad"/>
    <s v="Consumer"/>
    <s v="Retail"/>
    <s v="Retail"/>
    <s v="G. Dubois"/>
    <x v="11"/>
    <x v="3"/>
    <s v="Medium"/>
    <s v="MON-7602"/>
    <s v="B"/>
    <n v="906.81"/>
    <n v="1395.56"/>
    <n v="1395.56"/>
    <n v="0.185"/>
    <n v="0.185"/>
    <n v="0"/>
    <n v="6"/>
    <n v="6824.2884000000004"/>
    <n v="5440.86"/>
    <n v="1383.4284000000007"/>
    <n v="0.20272126834498974"/>
    <n v="10343503.152060008"/>
    <n v="0.94497738617521287"/>
  </r>
  <r>
    <s v="ORD-2024-250862"/>
    <d v="2024-10-25T00:00:00"/>
    <d v="2024-10-25T00:00:00"/>
    <d v="2024-11-05T00:00:00"/>
    <d v="2024-11-05T00:00:00"/>
    <n v="11"/>
    <n v="0"/>
    <s v="10-2024"/>
    <s v="Q4-2024"/>
    <d v="2023-01-13T00:00:00"/>
    <s v="01-2023"/>
    <x v="0"/>
    <x v="6"/>
    <s v="New York"/>
    <s v="New York"/>
    <s v="Corporate"/>
    <s v="Distributor"/>
    <s v="Distributor"/>
    <s v="N. Brown"/>
    <x v="13"/>
    <x v="0"/>
    <s v="Low"/>
    <s v="CMP-9498"/>
    <s v="B"/>
    <n v="446.66"/>
    <n v="527.64"/>
    <n v="527.64"/>
    <n v="0.14499999999999999"/>
    <n v="0.14499999999999999"/>
    <n v="0"/>
    <n v="15"/>
    <n v="6766.9829999999993"/>
    <n v="6699.9000000000005"/>
    <n v="67.082999999998719"/>
    <n v="9.9132804087137105E-3"/>
    <n v="10350270.135060007"/>
    <n v="0.94559561443053641"/>
  </r>
  <r>
    <s v="ORD-2023-173313"/>
    <d v="2023-06-15T00:00:00"/>
    <d v="2023-06-15T00:00:00"/>
    <d v="2023-07-12T00:00:00"/>
    <d v="2023-07-12T00:00:00"/>
    <n v="27"/>
    <n v="0"/>
    <s v="06-2023"/>
    <s v="Q2-2023"/>
    <d v="2023-01-19T00:00:00"/>
    <s v="01-2023"/>
    <x v="1"/>
    <x v="1"/>
    <s v="Manchester"/>
    <s v="Manchester"/>
    <s v="Consumer"/>
    <s v="Direct"/>
    <s v="Direct"/>
    <s v="I. Johnson"/>
    <x v="12"/>
    <x v="4"/>
    <s v="Medium"/>
    <s v="ACC-3833"/>
    <s v="B"/>
    <n v="751.28"/>
    <n v="1111.8800000000001"/>
    <n v="1111.8800000000001"/>
    <n v="0.13500000000000001"/>
    <n v="0.13500000000000001"/>
    <n v="0"/>
    <n v="7"/>
    <n v="6732.4334000000008"/>
    <n v="5258.96"/>
    <n v="1473.4734000000008"/>
    <n v="0.21886193482433863"/>
    <n v="10357002.568460006"/>
    <n v="0.94621068625131144"/>
  </r>
  <r>
    <s v="ORD-2023-920483"/>
    <d v="2023-07-02T00:00:00"/>
    <d v="2023-07-02T00:00:00"/>
    <d v="2023-08-01T00:00:00"/>
    <d v="2023-08-01T00:00:00"/>
    <n v="30"/>
    <n v="0"/>
    <s v="07-2023"/>
    <s v="Q3-2023"/>
    <d v="2023-01-19T00:00:00"/>
    <s v="01-2023"/>
    <x v="1"/>
    <x v="1"/>
    <s v="Birmingham"/>
    <s v="Birmingham"/>
    <s v="Small Business"/>
    <s v="Retail"/>
    <s v="Retail"/>
    <s v="B. Chen"/>
    <x v="1"/>
    <x v="0"/>
    <s v="Low"/>
    <s v="CMP-7256"/>
    <s v="B"/>
    <n v="137.46"/>
    <n v="188.3"/>
    <n v="188.3"/>
    <n v="3.7999999999999999E-2"/>
    <n v="3.7999999999999999E-2"/>
    <n v="0"/>
    <n v="37"/>
    <n v="6702.3501999999999"/>
    <n v="5086.0200000000004"/>
    <n v="1616.3301999999994"/>
    <n v="0.24115872071262398"/>
    <n v="10363704.918660006"/>
    <n v="0.94682300968565636"/>
  </r>
  <r>
    <s v="ORD-2023-964434"/>
    <d v="2023-11-28T00:00:00"/>
    <d v="2023-11-28T00:00:00"/>
    <d v="2023-12-07T00:00:00"/>
    <d v="2023-12-07T00:00:00"/>
    <n v="9"/>
    <n v="0"/>
    <s v="11-2023"/>
    <s v="Q4-2023"/>
    <d v="2023-01-29T00:00:00"/>
    <s v="01-2023"/>
    <x v="3"/>
    <x v="3"/>
    <s v="Delhi"/>
    <s v="Delhi"/>
    <s v="Enterprise"/>
    <s v="Marketplace"/>
    <s v="Marketplace"/>
    <s v="L. Okafor"/>
    <x v="4"/>
    <x v="5"/>
    <s v="Medium"/>
    <s v="PHN-2447"/>
    <s v="B"/>
    <n v="699.33"/>
    <n v="873.75"/>
    <n v="873.75"/>
    <n v="0.23499999999999999"/>
    <n v="0.23499999999999999"/>
    <n v="1"/>
    <n v="10"/>
    <n v="6684.1875"/>
    <n v="6993.3"/>
    <n v="309.11250000000018"/>
    <n v="4.6245336475076469E-2"/>
    <n v="10370389.106160006"/>
    <n v="0.94743367378461751"/>
  </r>
  <r>
    <s v="ORD-2025-779530"/>
    <d v="2025-05-19T00:00:00"/>
    <d v="2025-05-17T00:00:00"/>
    <d v="2025-05-17T00:00:00"/>
    <d v="2025-05-19T00:00:00"/>
    <n v="2"/>
    <n v="1"/>
    <s v="05-2025"/>
    <s v="Q2-2025"/>
    <d v="2023-01-29T00:00:00"/>
    <s v="01-2023"/>
    <x v="0"/>
    <x v="9"/>
    <s v="São Paulo"/>
    <s v="São Paulo"/>
    <s v="Small Business"/>
    <s v="Distributor"/>
    <s v="Distributor"/>
    <s v="L. Okafor"/>
    <x v="4"/>
    <x v="3"/>
    <s v="Medium"/>
    <s v="MON-2993"/>
    <s v="B"/>
    <n v="383.77"/>
    <n v="952.56"/>
    <n v="952.56"/>
    <n v="0.34599999999999997"/>
    <n v="0.3"/>
    <n v="1"/>
    <n v="10"/>
    <n v="6667.9199999999983"/>
    <n v="3837.7"/>
    <n v="2830.2199999999984"/>
    <n v="0.42445320279787385"/>
    <n v="10377057.026160005"/>
    <n v="0.9480428516927395"/>
  </r>
  <r>
    <s v="ORD-2024-792353"/>
    <d v="2024-08-19T00:00:00"/>
    <d v="2024-08-19T00:00:00"/>
    <d v="2024-09-07T00:00:00"/>
    <d v="2024-09-07T00:00:00"/>
    <n v="19"/>
    <n v="0"/>
    <s v="08-2024"/>
    <s v="Q3-2024"/>
    <d v="2023-01-10T00:00:00"/>
    <s v="01-2023"/>
    <x v="1"/>
    <x v="11"/>
    <s v="Lyon"/>
    <s v="Lyon"/>
    <s v="Corporate"/>
    <s v="Direct"/>
    <s v="Direct"/>
    <s v="J. Njeri"/>
    <x v="8"/>
    <x v="0"/>
    <s v="Low"/>
    <s v="CMP-5435"/>
    <s v="B"/>
    <n v="297.58999999999997"/>
    <n v="666.41"/>
    <n v="666.41"/>
    <n v="0"/>
    <n v="0"/>
    <n v="0"/>
    <n v="10"/>
    <n v="6664.0999999999995"/>
    <n v="2975.8999999999996"/>
    <n v="3688.2"/>
    <n v="0.55344307558409989"/>
    <n v="10383721.126160005"/>
    <n v="0.94865168060753091"/>
  </r>
  <r>
    <s v="ORD-2023-864121"/>
    <d v="2023-03-27T00:00:00"/>
    <d v="2023-03-27T00:00:00"/>
    <d v="2023-04-22T00:00:00"/>
    <d v="2023-04-22T00:00:00"/>
    <n v="26"/>
    <n v="0"/>
    <s v="03-2023"/>
    <s v="Q1-2023"/>
    <d v="2023-01-29T00:00:00"/>
    <s v="01-2023"/>
    <x v="3"/>
    <x v="3"/>
    <s v="Delhi"/>
    <s v="Delhi"/>
    <s v="Non-Profit"/>
    <s v="Marketplace"/>
    <s v="Marketplace"/>
    <s v="J. Njeri"/>
    <x v="8"/>
    <x v="6"/>
    <s v="Low"/>
    <s v="PRN-4506"/>
    <s v="B"/>
    <n v="178.53"/>
    <n v="199.37"/>
    <n v="199.37"/>
    <n v="0.10100000000000001"/>
    <n v="0.10100000000000001"/>
    <n v="0"/>
    <n v="37"/>
    <n v="6631.6443100000006"/>
    <n v="6605.61"/>
    <n v="26.034310000000914"/>
    <n v="3.9257699573457538E-3"/>
    <n v="10390352.770470005"/>
    <n v="0.94925754438636667"/>
  </r>
  <r>
    <s v="ORD-2025-636162"/>
    <d v="2025-01-07T00:00:00"/>
    <d v="2025-01-07T00:00:00"/>
    <d v="2025-01-20T00:00:00"/>
    <d v="2025-01-20T00:00:00"/>
    <n v="13"/>
    <n v="0"/>
    <s v="01-2025"/>
    <s v="Q1-2025"/>
    <d v="2023-01-07T00:00:00"/>
    <s v="01-2023"/>
    <x v="2"/>
    <x v="8"/>
    <s v="Cape Town"/>
    <s v="Cape Town"/>
    <s v="Corporate"/>
    <s v="Direct"/>
    <s v="Direct"/>
    <s v="K. Singh"/>
    <x v="3"/>
    <x v="1"/>
    <s v="Medium"/>
    <s v="NET-7901"/>
    <s v="B"/>
    <n v="432.13"/>
    <n v="1034.6600000000001"/>
    <n v="1034.6600000000001"/>
    <n v="9.1999999999999998E-2"/>
    <n v="9.1999999999999998E-2"/>
    <n v="0"/>
    <n v="7"/>
    <n v="6576.298960000001"/>
    <n v="3024.91"/>
    <n v="3551.3889600000011"/>
    <n v="0.54002851476204794"/>
    <n v="10396929.069430005"/>
    <n v="0.94985835184111089"/>
  </r>
  <r>
    <s v="ORD-2024-720756"/>
    <d v="2024-10-11T00:00:00"/>
    <d v="2024-10-11T00:00:00"/>
    <d v="2024-11-09T00:00:00"/>
    <d v="2024-11-09T00:00:00"/>
    <n v="29"/>
    <n v="0"/>
    <s v="10-2024"/>
    <s v="Q4-2024"/>
    <d v="2023-01-12T00:00:00"/>
    <s v="01-2023"/>
    <x v="3"/>
    <x v="10"/>
    <s v="Shanghai"/>
    <s v="Shanghai"/>
    <s v="Non-Profit"/>
    <s v="Online"/>
    <s v="Online"/>
    <s v="F. Müller"/>
    <x v="9"/>
    <x v="6"/>
    <s v="Low"/>
    <s v="PRN-5666"/>
    <s v="C"/>
    <n v="391.64"/>
    <n v="504.76"/>
    <n v="504.76"/>
    <n v="4.0000000000000001E-3"/>
    <n v="4.0000000000000001E-3"/>
    <n v="0"/>
    <n v="13"/>
    <n v="6535.6324800000002"/>
    <n v="5091.32"/>
    <n v="1444.3124800000005"/>
    <n v="0.22099046793402319"/>
    <n v="10403464.701910004"/>
    <n v="0.95045544402614313"/>
  </r>
  <r>
    <s v="ORD-2024-350100"/>
    <d v="2024-10-27T00:00:00"/>
    <d v="2024-10-27T00:00:00"/>
    <d v="2024-11-20T00:00:00"/>
    <d v="2024-11-20T00:00:00"/>
    <n v="24"/>
    <n v="0"/>
    <s v="10-2024"/>
    <s v="Q4-2024"/>
    <d v="2023-03-03T00:00:00"/>
    <s v="03-2023"/>
    <x v="3"/>
    <x v="7"/>
    <s v="Nagoya"/>
    <s v="Nagoya"/>
    <s v="Non-Profit"/>
    <s v="Online"/>
    <s v="Online"/>
    <s v="H. Kim"/>
    <x v="0"/>
    <x v="3"/>
    <s v="Low"/>
    <s v="MON-8939"/>
    <s v="C"/>
    <n v="317.25"/>
    <n v="758.92"/>
    <n v="758.92"/>
    <n v="5.2999999999999999E-2"/>
    <n v="5.2999999999999999E-2"/>
    <n v="0"/>
    <n v="9"/>
    <n v="6468.2751599999992"/>
    <n v="2855.25"/>
    <n v="3613.0251599999992"/>
    <n v="0.5585762928489888"/>
    <n v="10409932.977070004"/>
    <n v="0.95104638247938289"/>
  </r>
  <r>
    <s v="ORD-2024-206311"/>
    <d v="2024-01-13T00:00:00"/>
    <d v="2024-01-13T00:00:00"/>
    <d v="2024-01-15T00:00:00"/>
    <d v="2024-01-15T00:00:00"/>
    <n v="2"/>
    <n v="1"/>
    <s v="01-2024"/>
    <s v="Q1-2024"/>
    <d v="2023-01-13T00:00:00"/>
    <s v="01-2023"/>
    <x v="0"/>
    <x v="6"/>
    <s v="San Francisco"/>
    <s v="San Francisco"/>
    <s v="Non-Profit"/>
    <s v="Direct"/>
    <s v="Direct"/>
    <s v="E. Garcia"/>
    <x v="14"/>
    <x v="0"/>
    <s v="High"/>
    <s v="CMP-2410"/>
    <s v="C"/>
    <n v="1061.3699999999999"/>
    <n v="1938.33"/>
    <n v="1938.33"/>
    <n v="0.17"/>
    <n v="0.17"/>
    <n v="0"/>
    <n v="4"/>
    <n v="6435.2555999999995"/>
    <n v="4245.4799999999996"/>
    <n v="2189.7755999999999"/>
    <n v="0.34027795259600879"/>
    <n v="10416368.232670004"/>
    <n v="0.95163430428177975"/>
  </r>
  <r>
    <s v="ORD-2025-640677"/>
    <d v="2025-04-09T00:00:00"/>
    <d v="2025-04-09T00:00:00"/>
    <d v="2025-05-06T00:00:00"/>
    <d v="2025-05-06T00:00:00"/>
    <n v="27"/>
    <n v="0"/>
    <s v="04-2025"/>
    <s v="Q2-2025"/>
    <d v="2023-01-29T00:00:00"/>
    <s v="01-2023"/>
    <x v="0"/>
    <x v="9"/>
    <s v="Brasília"/>
    <s v="Brasília"/>
    <s v="Enterprise"/>
    <s v="Marketplace"/>
    <s v="Marketplace"/>
    <s v="F. Müller"/>
    <x v="9"/>
    <x v="2"/>
    <s v="Low"/>
    <s v="LAP-4517"/>
    <s v="C"/>
    <n v="264.19"/>
    <n v="620.92999999999995"/>
    <n v="620.92999999999995"/>
    <n v="0.14199999999999999"/>
    <n v="0.14199999999999999"/>
    <n v="0"/>
    <n v="12"/>
    <n v="6393.0952799999995"/>
    <n v="3170.2799999999997"/>
    <n v="3222.8152799999998"/>
    <n v="0.50410875152794532"/>
    <n v="10422761.327950003"/>
    <n v="0.95221837433797341"/>
  </r>
  <r>
    <s v="ORD-2024-851883"/>
    <d v="2024-01-13T00:00:00"/>
    <d v="2024-01-13T00:00:00"/>
    <d v="2024-01-22T00:00:00"/>
    <d v="2024-01-22T00:00:00"/>
    <n v="9"/>
    <n v="0"/>
    <s v="01-2024"/>
    <s v="Q1-2024"/>
    <d v="2023-01-29T00:00:00"/>
    <s v="01-2023"/>
    <x v="3"/>
    <x v="3"/>
    <s v="Mumbai"/>
    <s v="Mumbai"/>
    <s v="Enterprise"/>
    <s v="Marketplace"/>
    <s v="Marketplace"/>
    <s v="J. Njeri"/>
    <x v="8"/>
    <x v="0"/>
    <s v="Low"/>
    <s v="CMP-8141"/>
    <s v="C"/>
    <n v="313.60000000000002"/>
    <n v="334.28"/>
    <n v="334.28"/>
    <n v="0.14000000000000001"/>
    <n v="0.14000000000000001"/>
    <n v="0"/>
    <n v="22"/>
    <n v="6324.5775999999996"/>
    <n v="6899.2000000000007"/>
    <n v="574.62240000000111"/>
    <n v="9.0855458868905517E-2"/>
    <n v="10429085.905550003"/>
    <n v="0.95279618465245286"/>
  </r>
  <r>
    <s v="ORD-2023-244375"/>
    <d v="2023-06-03T00:00:00"/>
    <d v="2023-06-03T00:00:00"/>
    <d v="2023-07-01T00:00:00"/>
    <d v="2023-07-01T00:00:00"/>
    <n v="28"/>
    <n v="0"/>
    <s v="06-2023"/>
    <s v="Q2-2023"/>
    <d v="2023-01-29T00:00:00"/>
    <s v="01-2023"/>
    <x v="0"/>
    <x v="9"/>
    <s v="Brasília"/>
    <s v="Brasília"/>
    <s v="Small Business"/>
    <s v="Marketplace"/>
    <s v="Marketplace"/>
    <s v="A. Patel"/>
    <x v="2"/>
    <x v="0"/>
    <s v="High"/>
    <s v="CMP-1223"/>
    <s v="C"/>
    <n v="860.4"/>
    <n v="2066.6"/>
    <n v="2066.6"/>
    <n v="0.01"/>
    <n v="0.01"/>
    <n v="0"/>
    <n v="3"/>
    <n v="6137.8019999999988"/>
    <n v="2581.1999999999998"/>
    <n v="3556.601999999999"/>
    <n v="0.57945857491004105"/>
    <n v="10435223.707550002"/>
    <n v="0.95335693123951848"/>
  </r>
  <r>
    <s v="ORD-2025-678328"/>
    <d v="2025-06-24T00:00:00"/>
    <d v="2025-06-24T00:00:00"/>
    <d v="2025-07-14T00:00:00"/>
    <d v="2025-07-14T00:00:00"/>
    <n v="20"/>
    <n v="0"/>
    <s v="06-2025"/>
    <s v="Q2-2025"/>
    <d v="2023-01-21T00:00:00"/>
    <s v="01-2023"/>
    <x v="1"/>
    <x v="4"/>
    <s v="Berlin"/>
    <s v="Berlin"/>
    <s v="Corporate"/>
    <s v="Direct"/>
    <s v="Direct"/>
    <s v="O. Wang"/>
    <x v="7"/>
    <x v="4"/>
    <s v="Medium"/>
    <s v="ACC-8094"/>
    <s v="C"/>
    <n v="385.08"/>
    <n v="893.19"/>
    <n v="893.19"/>
    <n v="0.151"/>
    <n v="0.151"/>
    <n v="0"/>
    <n v="8"/>
    <n v="6066.54648"/>
    <n v="3080.64"/>
    <n v="2985.9064800000001"/>
    <n v="0.49219213762621666"/>
    <n v="10441290.254030002"/>
    <n v="0.95391116795714725"/>
  </r>
  <r>
    <s v="ORD-2024-382152"/>
    <d v="2024-12-08T00:00:00"/>
    <d v="2024-12-08T00:00:00"/>
    <d v="2024-12-08T00:00:00"/>
    <d v="2024-12-08T00:00:00"/>
    <n v="0"/>
    <n v="1"/>
    <s v="12-2024"/>
    <s v="Q4-2024"/>
    <d v="2023-01-10T00:00:00"/>
    <s v="01-2023"/>
    <x v="1"/>
    <x v="11"/>
    <s v="Lyon"/>
    <s v="Lyon"/>
    <s v="Enterprise"/>
    <s v="Retail"/>
    <s v="Retail"/>
    <s v="H. Kim"/>
    <x v="0"/>
    <x v="0"/>
    <s v="Low"/>
    <s v="CMP-2335"/>
    <s v="C"/>
    <n v="257.44"/>
    <n v="290.33"/>
    <n v="290.33"/>
    <n v="9.1999999999999998E-2"/>
    <n v="9.1999999999999998E-2"/>
    <n v="0"/>
    <n v="23"/>
    <n v="6063.2517199999993"/>
    <n v="5921.12"/>
    <n v="142.1317199999994"/>
    <n v="2.3441500792581216E-2"/>
    <n v="10447353.505750002"/>
    <n v="0.95446510366711479"/>
  </r>
  <r>
    <s v="ORD-2024-585443"/>
    <d v="2024-08-17T00:00:00"/>
    <d v="2024-08-15T00:00:00"/>
    <d v="2024-08-15T00:00:00"/>
    <d v="2024-08-17T00:00:00"/>
    <n v="2"/>
    <n v="1"/>
    <s v="08-2024"/>
    <s v="Q3-2024"/>
    <d v="2023-01-29T00:00:00"/>
    <s v="01-2023"/>
    <x v="0"/>
    <x v="9"/>
    <s v="Rio de Janeiro"/>
    <s v="Rio de Janeiro"/>
    <s v="Consumer"/>
    <s v="Direct"/>
    <s v="Direct"/>
    <s v="M. Rossi"/>
    <x v="6"/>
    <x v="3"/>
    <s v="Low"/>
    <s v="MON-2849"/>
    <s v="C"/>
    <n v="165.3"/>
    <n v="275.07"/>
    <n v="275.07"/>
    <n v="0.13300000000000001"/>
    <n v="0.13300000000000001"/>
    <n v="0"/>
    <n v="25"/>
    <n v="5962.1422499999999"/>
    <n v="4132.5"/>
    <n v="1829.6422499999999"/>
    <n v="0.30687665159280625"/>
    <n v="10453315.648000002"/>
    <n v="0.955009802065383"/>
  </r>
  <r>
    <s v="ORD-2024-478165"/>
    <d v="2024-12-05T00:00:00"/>
    <d v="2024-12-05T00:00:00"/>
    <d v="2024-12-28T00:00:00"/>
    <d v="2024-12-28T00:00:00"/>
    <n v="23"/>
    <n v="0"/>
    <s v="12-2024"/>
    <s v="Q4-2024"/>
    <d v="2023-01-02T00:00:00"/>
    <s v="01-2023"/>
    <x v="0"/>
    <x v="0"/>
    <s v="Vancouver"/>
    <s v="Vancouver"/>
    <s v="Corporate"/>
    <s v="Direct"/>
    <s v="Direct"/>
    <s v="F. Müller"/>
    <x v="9"/>
    <x v="4"/>
    <s v="Low"/>
    <s v="ACC-2386"/>
    <s v="C"/>
    <n v="107.03"/>
    <n v="242.29"/>
    <n v="242.29"/>
    <n v="0.18"/>
    <n v="0.18"/>
    <n v="0"/>
    <n v="30"/>
    <n v="5960.3340000000007"/>
    <n v="3210.9"/>
    <n v="2749.4340000000007"/>
    <n v="0.46128857879440988"/>
    <n v="10459275.982000003"/>
    <n v="0.9555543352628163"/>
  </r>
  <r>
    <s v="ORD-2024-745424"/>
    <d v="2024-08-22T00:00:00"/>
    <d v="2024-08-22T00:00:00"/>
    <d v="2024-09-04T00:00:00"/>
    <d v="2024-09-04T00:00:00"/>
    <n v="13"/>
    <n v="0"/>
    <s v="08-2024"/>
    <s v="Q3-2024"/>
    <d v="2023-01-21T00:00:00"/>
    <s v="01-2023"/>
    <x v="1"/>
    <x v="4"/>
    <s v="Frankfurt"/>
    <s v="Frankfurt"/>
    <s v="Non-Profit"/>
    <s v="Retail"/>
    <s v="Retail"/>
    <s v="L. Okafor"/>
    <x v="4"/>
    <x v="6"/>
    <s v="Low"/>
    <s v="PRN-4892"/>
    <s v="C"/>
    <n v="90.04"/>
    <n v="194.62"/>
    <n v="194.62"/>
    <n v="4.2999999999999997E-2"/>
    <n v="4.2999999999999997E-2"/>
    <n v="0"/>
    <n v="32"/>
    <n v="5960.04288"/>
    <n v="2881.28"/>
    <n v="3078.7628799999998"/>
    <n v="0.51656723650954672"/>
    <n v="10465236.024880003"/>
    <n v="0.95609884186366878"/>
  </r>
  <r>
    <s v="ORD-2024-878493"/>
    <d v="2024-06-19T00:00:00"/>
    <d v="2024-06-19T00:00:00"/>
    <d v="2024-06-20T00:00:00"/>
    <d v="2024-06-20T00:00:00"/>
    <n v="1"/>
    <n v="1"/>
    <s v="06-2024"/>
    <s v="Q2-2024"/>
    <d v="2023-01-20T00:00:00"/>
    <s v="01-2023"/>
    <x v="2"/>
    <x v="5"/>
    <s v="Kisumu"/>
    <s v="Kisumu"/>
    <s v="Small Business"/>
    <s v="Direct"/>
    <s v="Direct"/>
    <s v="J. Njeri"/>
    <x v="8"/>
    <x v="2"/>
    <s v="Low"/>
    <s v="LAP-4607"/>
    <s v="C"/>
    <n v="231.63"/>
    <n v="537.39"/>
    <n v="537.39"/>
    <n v="0.08"/>
    <n v="0.08"/>
    <n v="0"/>
    <n v="12"/>
    <n v="5932.7856000000002"/>
    <n v="2779.56"/>
    <n v="3153.2256000000002"/>
    <n v="0.53149158129024587"/>
    <n v="10471168.810480002"/>
    <n v="0.95664085825275924"/>
  </r>
  <r>
    <s v="ORD-2025-757957"/>
    <d v="2025-04-24T00:00:00"/>
    <d v="2025-04-24T00:00:00"/>
    <d v="2025-05-06T00:00:00"/>
    <d v="2025-05-06T00:00:00"/>
    <n v="12"/>
    <n v="0"/>
    <s v="04-2025"/>
    <s v="Q2-2025"/>
    <d v="2023-01-29T00:00:00"/>
    <s v="01-2023"/>
    <x v="0"/>
    <x v="9"/>
    <s v="Brasília"/>
    <s v="Brasília"/>
    <s v="Consumer"/>
    <s v="Online"/>
    <s v="Online"/>
    <s v="C. Otieno"/>
    <x v="5"/>
    <x v="5"/>
    <s v="Medium"/>
    <s v="PHN-2787"/>
    <s v="C"/>
    <n v="394.13"/>
    <n v="932.29"/>
    <n v="932.29"/>
    <n v="0.109"/>
    <n v="0.109"/>
    <n v="0"/>
    <n v="7"/>
    <n v="5814.6927299999998"/>
    <n v="2758.91"/>
    <n v="3055.7827299999999"/>
    <n v="0.5255278089303268"/>
    <n v="10476983.503210003"/>
    <n v="0.95717208573503765"/>
  </r>
  <r>
    <s v="ORD-2023-419187"/>
    <d v="2023-03-31T00:00:00"/>
    <d v="2023-03-31T00:00:00"/>
    <d v="2023-04-05T00:00:00"/>
    <d v="2023-04-05T00:00:00"/>
    <n v="5"/>
    <n v="1"/>
    <s v="03-2023"/>
    <s v="Q1-2023"/>
    <d v="2023-01-20T00:00:00"/>
    <s v="01-2023"/>
    <x v="2"/>
    <x v="5"/>
    <s v="Nakuru"/>
    <s v="Nakuru"/>
    <s v="Education"/>
    <s v="Marketplace"/>
    <s v="Marketplace"/>
    <s v="B. Chen"/>
    <x v="1"/>
    <x v="2"/>
    <s v="Low"/>
    <s v="LAP-7819"/>
    <s v="C"/>
    <n v="533.26"/>
    <n v="385.72"/>
    <n v="385.72"/>
    <n v="0"/>
    <n v="0"/>
    <n v="0"/>
    <n v="15"/>
    <n v="5785.8"/>
    <n v="7998.9"/>
    <n v="2213.0999999999995"/>
    <n v="0.38250544436378708"/>
    <n v="10482769.303210003"/>
    <n v="0.95770067359164246"/>
  </r>
  <r>
    <s v="ORD-2023-427304"/>
    <d v="2023-06-09T00:00:00"/>
    <d v="2023-06-09T00:00:00"/>
    <d v="2023-06-19T00:00:00"/>
    <d v="2023-06-19T00:00:00"/>
    <n v="10"/>
    <n v="0"/>
    <s v="06-2023"/>
    <s v="Q2-2023"/>
    <d v="2023-01-12T00:00:00"/>
    <s v="01-2023"/>
    <x v="3"/>
    <x v="10"/>
    <s v="Beijing"/>
    <s v="Beijing"/>
    <s v="Enterprise"/>
    <s v="Retail"/>
    <s v="Retail"/>
    <s v="F. Müller"/>
    <x v="9"/>
    <x v="3"/>
    <s v="Low"/>
    <s v="MON-9194"/>
    <s v="C"/>
    <n v="339.61"/>
    <n v="621.02"/>
    <n v="621.02"/>
    <n v="7.0999999999999994E-2"/>
    <n v="7.0999999999999994E-2"/>
    <n v="0"/>
    <n v="10"/>
    <n v="5769.2758000000003"/>
    <n v="3396.1000000000004"/>
    <n v="2373.1758"/>
    <n v="0.41134726129750981"/>
    <n v="10488538.579010004"/>
    <n v="0.95822775180542186"/>
  </r>
  <r>
    <s v="ORD-2024-947056"/>
    <d v="2024-07-31T00:00:00"/>
    <d v="2024-07-31T00:00:00"/>
    <d v="2024-08-15T00:00:00"/>
    <d v="2024-08-15T00:00:00"/>
    <n v="15"/>
    <n v="0"/>
    <s v="07-2024"/>
    <s v="Q3-2024"/>
    <d v="2023-03-03T00:00:00"/>
    <s v="03-2023"/>
    <x v="3"/>
    <x v="7"/>
    <s v="Tokyo"/>
    <s v="Tokyo"/>
    <s v="Corporate"/>
    <s v="Marketplace"/>
    <s v="Marketplace"/>
    <s v="F. Müller"/>
    <x v="9"/>
    <x v="3"/>
    <s v="Medium"/>
    <s v="MON-1564"/>
    <s v="C"/>
    <n v="1252.52"/>
    <n v="1417.24"/>
    <n v="1417.24"/>
    <n v="0.192"/>
    <n v="0.192"/>
    <n v="0"/>
    <n v="5"/>
    <n v="5725.6496000000006"/>
    <n v="6262.6"/>
    <n v="536.95039999999972"/>
    <n v="9.3779821943696953E-2"/>
    <n v="10494264.228610003"/>
    <n v="0.9587508443509184"/>
  </r>
  <r>
    <s v="ORD-2024-357368"/>
    <d v="2024-10-30T00:00:00"/>
    <d v="2024-10-30T00:00:00"/>
    <d v="2024-11-24T00:00:00"/>
    <d v="2024-11-24T00:00:00"/>
    <n v="25"/>
    <n v="0"/>
    <s v="10-2024"/>
    <s v="Q4-2024"/>
    <d v="2023-01-12T00:00:00"/>
    <s v="01-2023"/>
    <x v="3"/>
    <x v="10"/>
    <s v="Shenzhen"/>
    <s v="Shenzhen"/>
    <s v="Small Business"/>
    <s v="Online"/>
    <s v="Online"/>
    <s v="E. Garcia"/>
    <x v="14"/>
    <x v="0"/>
    <s v="Medium"/>
    <s v="CMP-4610"/>
    <s v="C"/>
    <n v="811.05"/>
    <n v="1217.71"/>
    <n v="1217.71"/>
    <n v="7.1999999999999995E-2"/>
    <n v="7.1999999999999995E-2"/>
    <n v="0"/>
    <n v="5"/>
    <n v="5650.1744000000008"/>
    <n v="4055.25"/>
    <n v="1594.9244000000008"/>
    <n v="0.28227879125288602"/>
    <n v="10499914.403010003"/>
    <n v="0.95926704151907816"/>
  </r>
  <r>
    <s v="ORD-2023-181257"/>
    <d v="2023-11-15T00:00:00"/>
    <d v="2023-11-15T00:00:00"/>
    <d v="2023-12-06T00:00:00"/>
    <d v="2023-12-06T00:00:00"/>
    <n v="21"/>
    <n v="0"/>
    <s v="11-2023"/>
    <s v="Q4-2023"/>
    <d v="2023-01-19T00:00:00"/>
    <s v="01-2023"/>
    <x v="1"/>
    <x v="1"/>
    <s v="Manchester"/>
    <s v="Manchester"/>
    <s v="Education"/>
    <s v="Direct"/>
    <s v="Direct"/>
    <s v="H. Kim"/>
    <x v="0"/>
    <x v="4"/>
    <s v="Medium"/>
    <s v="ACC-1060"/>
    <s v="C"/>
    <n v="1184.99"/>
    <n v="1154.3399999999999"/>
    <n v="1154.3399999999999"/>
    <n v="2.8000000000000001E-2"/>
    <n v="2.8000000000000001E-2"/>
    <n v="0"/>
    <n v="5"/>
    <n v="5610.0923999999995"/>
    <n v="5924.95"/>
    <n v="314.85760000000028"/>
    <n v="5.6123424990290764E-2"/>
    <n v="10505524.495410003"/>
    <n v="0.95977957681533299"/>
  </r>
  <r>
    <s v="ORD-2025-473192"/>
    <d v="2025-03-30T00:00:00"/>
    <d v="2025-03-30T00:00:00"/>
    <d v="2025-04-29T00:00:00"/>
    <d v="2025-04-29T00:00:00"/>
    <n v="30"/>
    <n v="0"/>
    <s v="03-2025"/>
    <s v="Q1-2025"/>
    <d v="2023-01-07T00:00:00"/>
    <s v="01-2023"/>
    <x v="2"/>
    <x v="8"/>
    <s v="Durban"/>
    <s v="Durban"/>
    <s v="Consumer"/>
    <s v="Marketplace"/>
    <s v="Marketplace"/>
    <s v="J. Njeri"/>
    <x v="8"/>
    <x v="3"/>
    <s v="Low"/>
    <s v="MON-7106"/>
    <s v="C"/>
    <n v="194.6"/>
    <n v="314.87"/>
    <n v="314.87"/>
    <n v="0.29299999999999998"/>
    <n v="0.29299999999999998"/>
    <n v="1"/>
    <n v="25"/>
    <n v="5565.3272500000003"/>
    <n v="4865"/>
    <n v="700.32725000000028"/>
    <n v="0.1258375686712763"/>
    <n v="10511089.822660003"/>
    <n v="0.96028802238939048"/>
  </r>
  <r>
    <s v="ORD-2024-972318"/>
    <d v="2024-12-24T00:00:00"/>
    <d v="2024-12-24T00:00:00"/>
    <d v="2025-01-13T00:00:00"/>
    <d v="2025-01-13T00:00:00"/>
    <n v="20"/>
    <n v="0"/>
    <s v="12-2024"/>
    <s v="Q4-2024"/>
    <d v="2023-01-29T00:00:00"/>
    <s v="01-2023"/>
    <x v="3"/>
    <x v="3"/>
    <s v="Bengaluru"/>
    <s v="Bengaluru"/>
    <s v="Corporate"/>
    <s v="Marketplace"/>
    <s v="Marketplace"/>
    <s v="D. Smith"/>
    <x v="10"/>
    <x v="1"/>
    <s v="Low"/>
    <s v="NET-9832"/>
    <s v="C"/>
    <n v="126.15"/>
    <n v="284.23"/>
    <n v="284.23"/>
    <n v="0.113"/>
    <n v="0.113"/>
    <n v="0"/>
    <n v="22"/>
    <n v="5546.4642200000008"/>
    <n v="2775.3"/>
    <n v="2771.1642200000006"/>
    <n v="0.49962716968541088"/>
    <n v="10516636.286880003"/>
    <n v="0.96079474464625814"/>
  </r>
  <r>
    <s v="ORD-2023-302041"/>
    <d v="2023-10-04T00:00:00"/>
    <d v="2023-10-04T00:00:00"/>
    <d v="2023-10-29T00:00:00"/>
    <d v="2023-10-29T00:00:00"/>
    <n v="25"/>
    <n v="0"/>
    <s v="10-2023"/>
    <s v="Q4-2023"/>
    <d v="2023-01-13T00:00:00"/>
    <s v="01-2023"/>
    <x v="0"/>
    <x v="6"/>
    <s v="San Francisco"/>
    <s v="San Francisco"/>
    <s v="Small Business"/>
    <s v="Distributor"/>
    <s v="Distributor"/>
    <s v="O. Wang"/>
    <x v="7"/>
    <x v="4"/>
    <s v="Medium"/>
    <s v="ACC-5079"/>
    <s v="C"/>
    <n v="1239.8399999999999"/>
    <n v="1482.75"/>
    <n v="1482.75"/>
    <n v="6.7000000000000004E-2"/>
    <n v="6.7000000000000004E-2"/>
    <n v="0"/>
    <n v="4"/>
    <n v="5533.6230000000005"/>
    <n v="4959.3599999999997"/>
    <n v="574.26300000000083"/>
    <n v="0.10377703721413634"/>
    <n v="10522169.909880003"/>
    <n v="0.9613002937355507"/>
  </r>
  <r>
    <s v="ORD-2025-725646"/>
    <d v="2025-09-10T00:00:00"/>
    <d v="2025-09-10T00:00:00"/>
    <d v="2025-09-30T00:00:00"/>
    <d v="2025-09-30T00:00:00"/>
    <n v="20"/>
    <n v="0"/>
    <s v="09-2025"/>
    <s v="Q3-2025"/>
    <d v="2023-01-20T00:00:00"/>
    <s v="01-2023"/>
    <x v="2"/>
    <x v="5"/>
    <s v="Mombasa"/>
    <s v="Mombasa"/>
    <s v="Corporate"/>
    <s v="Direct"/>
    <s v="Direct"/>
    <s v="L. Okafor"/>
    <x v="4"/>
    <x v="5"/>
    <s v="Medium"/>
    <s v="PHN-6954"/>
    <s v="C"/>
    <n v="1009.48"/>
    <n v="1088.81"/>
    <n v="1088.81"/>
    <n v="0.16"/>
    <n v="0.16"/>
    <n v="0"/>
    <n v="6"/>
    <n v="5487.6023999999998"/>
    <n v="6056.88"/>
    <n v="569.27760000000035"/>
    <n v="0.10373885688219693"/>
    <n v="10527657.512280002"/>
    <n v="0.96180163840534838"/>
  </r>
  <r>
    <s v="ORD-2023-294716"/>
    <d v="2023-04-10T00:00:00"/>
    <d v="2023-04-10T00:00:00"/>
    <d v="2023-04-25T00:00:00"/>
    <d v="2023-04-25T00:00:00"/>
    <n v="15"/>
    <n v="0"/>
    <s v="04-2023"/>
    <s v="Q2-2023"/>
    <d v="2023-01-19T00:00:00"/>
    <s v="01-2023"/>
    <x v="1"/>
    <x v="1"/>
    <s v="London"/>
    <s v="London"/>
    <s v="Small Business"/>
    <s v="Retail"/>
    <s v="Retail"/>
    <s v="D. Smith"/>
    <x v="10"/>
    <x v="6"/>
    <s v="Medium"/>
    <s v="PRN-5067"/>
    <s v="C"/>
    <n v="405.66"/>
    <n v="962.51"/>
    <n v="962.51"/>
    <n v="0.19"/>
    <n v="0.19"/>
    <n v="0"/>
    <n v="7"/>
    <n v="5457.4317000000001"/>
    <n v="2839.6200000000003"/>
    <n v="2617.8116999999997"/>
    <n v="0.47967832561239376"/>
    <n v="10533114.943980003"/>
    <n v="0.96230022669475879"/>
  </r>
  <r>
    <s v="ORD-2025-415018"/>
    <d v="2025-01-22T00:00:00"/>
    <d v="2025-01-22T00:00:00"/>
    <d v="2025-02-04T00:00:00"/>
    <d v="2025-02-04T00:00:00"/>
    <n v="13"/>
    <n v="0"/>
    <s v="01-2025"/>
    <s v="Q1-2025"/>
    <d v="2023-03-03T00:00:00"/>
    <s v="03-2023"/>
    <x v="3"/>
    <x v="7"/>
    <s v="Tokyo"/>
    <s v="Tokyo"/>
    <s v="Small Business"/>
    <s v="Distributor"/>
    <s v="Distributor"/>
    <s v="L. Okafor"/>
    <x v="4"/>
    <x v="6"/>
    <s v="Low"/>
    <s v="PRN-2991"/>
    <s v="C"/>
    <n v="122.29"/>
    <n v="224.95"/>
    <n v="224.95"/>
    <n v="0.153"/>
    <n v="0.153"/>
    <n v="0"/>
    <n v="28"/>
    <n v="5334.9141999999993"/>
    <n v="3424.1200000000003"/>
    <n v="1910.7941999999989"/>
    <n v="0.3581677471026618"/>
    <n v="10538449.858180003"/>
    <n v="0.9627876218453254"/>
  </r>
  <r>
    <s v="ORD-2025-114382"/>
    <d v="2025-05-14T00:00:00"/>
    <d v="2025-05-14T00:00:00"/>
    <d v="2025-05-24T00:00:00"/>
    <d v="2025-05-24T00:00:00"/>
    <n v="10"/>
    <n v="0"/>
    <s v="05-2025"/>
    <s v="Q2-2025"/>
    <d v="2023-01-10T00:00:00"/>
    <s v="01-2023"/>
    <x v="1"/>
    <x v="11"/>
    <s v="Paris"/>
    <s v="Paris"/>
    <s v="Small Business"/>
    <s v="Marketplace"/>
    <s v="Marketplace"/>
    <s v="K. Singh"/>
    <x v="3"/>
    <x v="0"/>
    <s v="Low"/>
    <s v="CMP-2865"/>
    <s v="C"/>
    <n v="170.39"/>
    <n v="388.04"/>
    <n v="388.04"/>
    <n v="8.4000000000000005E-2"/>
    <n v="8.4000000000000005E-2"/>
    <n v="0"/>
    <n v="15"/>
    <n v="5331.6696000000002"/>
    <n v="2555.85"/>
    <n v="2775.8196000000003"/>
    <n v="0.52062858508711796"/>
    <n v="10543781.527780004"/>
    <n v="0.96327472057082397"/>
  </r>
  <r>
    <s v="ORD-2025-541501"/>
    <d v="2025-07-22T00:00:00"/>
    <d v="2025-07-22T00:00:00"/>
    <d v="2025-08-18T00:00:00"/>
    <d v="2025-08-18T00:00:00"/>
    <n v="27"/>
    <n v="0"/>
    <s v="07-2025"/>
    <s v="Q3-2025"/>
    <d v="2023-01-12T00:00:00"/>
    <s v="01-2023"/>
    <x v="3"/>
    <x v="10"/>
    <s v="Shenzhen"/>
    <s v="Shenzhen"/>
    <s v="Non-Profit"/>
    <s v="Marketplace"/>
    <s v="Marketplace"/>
    <s v="M. Rossi"/>
    <x v="6"/>
    <x v="1"/>
    <s v="Low"/>
    <s v="NET-1804"/>
    <s v="C"/>
    <n v="547.32000000000005"/>
    <n v="419.17"/>
    <n v="419.17"/>
    <n v="9.1999999999999998E-2"/>
    <n v="9.1999999999999998E-2"/>
    <n v="0"/>
    <n v="14"/>
    <n v="5328.4890400000004"/>
    <n v="7662.4800000000005"/>
    <n v="2333.9909600000001"/>
    <n v="0.43802116181137907"/>
    <n v="10549110.016820004"/>
    <n v="0.96376152872191734"/>
  </r>
  <r>
    <s v="ORD-2024-542244"/>
    <d v="2024-08-30T00:00:00"/>
    <d v="2024-08-30T00:00:00"/>
    <d v="2024-09-05T00:00:00"/>
    <d v="2024-09-05T00:00:00"/>
    <n v="6"/>
    <n v="1"/>
    <s v="08-2024"/>
    <s v="Q3-2024"/>
    <d v="2023-03-03T00:00:00"/>
    <s v="03-2023"/>
    <x v="3"/>
    <x v="7"/>
    <s v="Nagoya"/>
    <s v="Nagoya"/>
    <s v="Education"/>
    <s v="Online"/>
    <s v="Online"/>
    <s v="N. Brown"/>
    <x v="13"/>
    <x v="2"/>
    <s v="Medium"/>
    <s v="LAP-7009"/>
    <s v="C"/>
    <n v="466.16"/>
    <n v="876.81"/>
    <n v="876.81"/>
    <n v="0.24099999999999999"/>
    <n v="0.24099999999999999"/>
    <n v="1"/>
    <n v="8"/>
    <n v="5323.9903199999999"/>
    <n v="3729.28"/>
    <n v="1594.7103199999997"/>
    <n v="0.29953291124691594"/>
    <n v="10554434.007140005"/>
    <n v="0.96424792587215313"/>
  </r>
  <r>
    <s v="ORD-2024-569164"/>
    <d v="2024-09-05T00:00:00"/>
    <d v="2024-09-05T00:00:00"/>
    <d v="2024-09-25T00:00:00"/>
    <d v="2024-09-25T00:00:00"/>
    <n v="20"/>
    <n v="0"/>
    <s v="09-2024"/>
    <s v="Q3-2024"/>
    <d v="2023-03-03T00:00:00"/>
    <s v="03-2023"/>
    <x v="3"/>
    <x v="7"/>
    <s v="Osaka"/>
    <s v="Osaka"/>
    <s v="Enterprise"/>
    <s v="Distributor"/>
    <s v="Distributor"/>
    <s v="D. Smith"/>
    <x v="10"/>
    <x v="3"/>
    <s v="Low"/>
    <s v="MON-5249"/>
    <s v="C"/>
    <n v="195.54"/>
    <n v="405.97"/>
    <n v="405.97"/>
    <n v="0.187"/>
    <n v="0.187"/>
    <n v="0"/>
    <n v="16"/>
    <n v="5280.8577599999999"/>
    <n v="3128.64"/>
    <n v="2152.21776"/>
    <n v="0.40755079152141377"/>
    <n v="10559714.864900004"/>
    <n v="0.96473038245281484"/>
  </r>
  <r>
    <s v="ORD-2024-678110"/>
    <d v="2024-07-24T00:00:00"/>
    <d v="2024-07-24T00:00:00"/>
    <d v="2024-08-08T00:00:00"/>
    <d v="2024-08-08T00:00:00"/>
    <n v="15"/>
    <n v="0"/>
    <s v="07-2024"/>
    <s v="Q3-2024"/>
    <d v="2023-01-10T00:00:00"/>
    <s v="01-2023"/>
    <x v="1"/>
    <x v="11"/>
    <s v="Marseille"/>
    <s v="Marseille"/>
    <s v="Enterprise"/>
    <s v="Marketplace"/>
    <s v="Marketplace"/>
    <s v="H. Kim"/>
    <x v="0"/>
    <x v="2"/>
    <s v="Medium"/>
    <s v="LAP-9901"/>
    <s v="C"/>
    <n v="501.5"/>
    <n v="1201.47"/>
    <n v="1201.47"/>
    <n v="0.126"/>
    <n v="0.126"/>
    <n v="0"/>
    <n v="5"/>
    <n v="5250.4239000000007"/>
    <n v="2507.5"/>
    <n v="2742.9239000000007"/>
    <n v="0.52241951359394057"/>
    <n v="10564965.288800005"/>
    <n v="0.96521005861092057"/>
  </r>
  <r>
    <s v="ORD-2025-168148"/>
    <d v="2025-03-29T00:00:00"/>
    <d v="2025-03-29T00:00:00"/>
    <d v="2025-04-02T00:00:00"/>
    <d v="2025-04-02T00:00:00"/>
    <n v="4"/>
    <n v="1"/>
    <s v="03-2025"/>
    <s v="Q1-2025"/>
    <d v="2023-01-13T00:00:00"/>
    <s v="01-2023"/>
    <x v="2"/>
    <x v="2"/>
    <s v="Lagos"/>
    <s v="Lagos"/>
    <s v="Non-Profit"/>
    <s v="Marketplace"/>
    <s v="Marketplace"/>
    <s v="G. Dubois"/>
    <x v="11"/>
    <x v="5"/>
    <s v="Low"/>
    <s v="PHN-4556"/>
    <s v="C"/>
    <n v="259.93"/>
    <n v="255.94"/>
    <n v="255.94"/>
    <n v="7.1999999999999995E-2"/>
    <n v="7.1999999999999995E-2"/>
    <n v="0"/>
    <n v="22"/>
    <n v="5225.2710400000005"/>
    <n v="5718.46"/>
    <n v="493.1889599999995"/>
    <n v="9.4385335463861311E-2"/>
    <n v="10570190.559840005"/>
    <n v="0.96568743681604563"/>
  </r>
  <r>
    <s v="ORD-2023-349264"/>
    <d v="2023-06-01T00:00:00"/>
    <d v="2023-06-01T00:00:00"/>
    <d v="2023-06-08T00:00:00"/>
    <d v="2023-06-08T00:00:00"/>
    <n v="7"/>
    <n v="1"/>
    <s v="06-2023"/>
    <s v="Q2-2023"/>
    <d v="2023-01-21T00:00:00"/>
    <s v="01-2023"/>
    <x v="1"/>
    <x v="4"/>
    <s v="Frankfurt"/>
    <s v="Frankfurt"/>
    <s v="Consumer"/>
    <s v="Online"/>
    <s v="Online"/>
    <s v="A. Patel"/>
    <x v="2"/>
    <x v="5"/>
    <s v="Medium"/>
    <s v="PHN-1924"/>
    <s v="C"/>
    <n v="804.17"/>
    <n v="1072.29"/>
    <n v="1072.29"/>
    <n v="3.2000000000000001E-2"/>
    <n v="3.2000000000000001E-2"/>
    <n v="0"/>
    <n v="5"/>
    <n v="5189.8836000000001"/>
    <n v="4020.85"/>
    <n v="1169.0336000000002"/>
    <n v="0.2252523736755869"/>
    <n v="10575380.443440005"/>
    <n v="0.96616158204197"/>
  </r>
  <r>
    <s v="ORD-2023-597666"/>
    <d v="2023-10-25T00:00:00"/>
    <d v="2023-10-25T00:00:00"/>
    <d v="2023-11-24T00:00:00"/>
    <d v="2023-11-24T00:00:00"/>
    <n v="30"/>
    <n v="0"/>
    <s v="10-2023"/>
    <s v="Q4-2023"/>
    <d v="2023-01-10T00:00:00"/>
    <s v="01-2023"/>
    <x v="1"/>
    <x v="11"/>
    <s v="Paris"/>
    <s v="Paris"/>
    <s v="Enterprise"/>
    <s v="Distributor"/>
    <s v="Distributor"/>
    <s v="C. Otieno"/>
    <x v="5"/>
    <x v="5"/>
    <s v="Low"/>
    <s v="PHN-5938"/>
    <s v="C"/>
    <n v="287.85000000000002"/>
    <n v="602.91999999999996"/>
    <n v="602.91999999999996"/>
    <n v="0.222"/>
    <n v="0.222"/>
    <n v="1"/>
    <n v="11"/>
    <n v="5159.7893599999998"/>
    <n v="3166.3500000000004"/>
    <n v="1993.4393599999994"/>
    <n v="0.38634122847216373"/>
    <n v="10580540.232800005"/>
    <n v="0.96663297787285496"/>
  </r>
  <r>
    <s v="ORD-2025-252117"/>
    <d v="2025-04-28T00:00:00"/>
    <d v="2025-04-28T00:00:00"/>
    <d v="2025-05-19T00:00:00"/>
    <d v="2025-05-19T00:00:00"/>
    <n v="21"/>
    <n v="0"/>
    <s v="04-2025"/>
    <s v="Q2-2025"/>
    <d v="2023-01-21T00:00:00"/>
    <s v="01-2023"/>
    <x v="1"/>
    <x v="4"/>
    <s v="Berlin"/>
    <s v="Berlin"/>
    <s v="Corporate"/>
    <s v="Distributor"/>
    <s v="Distributor"/>
    <s v="B. Chen"/>
    <x v="1"/>
    <x v="5"/>
    <s v="Low"/>
    <s v="PHN-2462"/>
    <s v="C"/>
    <n v="350.76"/>
    <n v="492.18"/>
    <n v="492.18"/>
    <n v="5.2999999999999999E-2"/>
    <n v="5.2999999999999999E-2"/>
    <n v="0"/>
    <n v="11"/>
    <n v="5127.0390600000001"/>
    <n v="3858.3599999999997"/>
    <n v="1268.6790600000004"/>
    <n v="0.24744868239798437"/>
    <n v="10585667.271860005"/>
    <n v="0.96710138165235904"/>
  </r>
  <r>
    <s v="ORD-2023-548934"/>
    <d v="2023-08-03T00:00:00"/>
    <d v="2023-08-03T00:00:00"/>
    <d v="2023-08-30T00:00:00"/>
    <d v="2023-08-30T00:00:00"/>
    <n v="27"/>
    <n v="0"/>
    <s v="08-2023"/>
    <s v="Q3-2023"/>
    <d v="2023-01-12T00:00:00"/>
    <s v="01-2023"/>
    <x v="3"/>
    <x v="10"/>
    <s v="Shanghai"/>
    <s v="Shanghai"/>
    <s v="Consumer"/>
    <s v="Distributor"/>
    <s v="Distributor"/>
    <s v="N. Brown"/>
    <x v="13"/>
    <x v="3"/>
    <s v="Low"/>
    <s v="MON-3773"/>
    <s v="C"/>
    <n v="226.04"/>
    <n v="545.72"/>
    <n v="545.72"/>
    <n v="0.151"/>
    <n v="0.151"/>
    <n v="0"/>
    <n v="11"/>
    <n v="5096.4790800000001"/>
    <n v="2486.44"/>
    <n v="2610.03908"/>
    <n v="0.51212592831834014"/>
    <n v="10590763.750940006"/>
    <n v="0.96756699348704556"/>
  </r>
  <r>
    <s v="ORD-2024-427031"/>
    <d v="2024-06-08T00:00:00"/>
    <d v="2024-06-08T00:00:00"/>
    <d v="2024-06-24T00:00:00"/>
    <d v="2024-06-24T00:00:00"/>
    <n v="16"/>
    <n v="0"/>
    <s v="06-2024"/>
    <s v="Q2-2024"/>
    <d v="2023-01-07T00:00:00"/>
    <s v="01-2023"/>
    <x v="2"/>
    <x v="8"/>
    <s v="Durban"/>
    <s v="Durban"/>
    <s v="Education"/>
    <s v="Distributor"/>
    <s v="Distributor"/>
    <s v="H. Kim"/>
    <x v="0"/>
    <x v="3"/>
    <s v="Low"/>
    <s v="MON-1389"/>
    <s v="C"/>
    <n v="597.85"/>
    <n v="741.92"/>
    <n v="741.92"/>
    <n v="3.1E-2"/>
    <n v="3.1E-2"/>
    <n v="0"/>
    <n v="7"/>
    <n v="5032.4433599999993"/>
    <n v="4184.95"/>
    <n v="847.49335999999948"/>
    <n v="0.16840594108544515"/>
    <n v="10595796.194300007"/>
    <n v="0.96802675504968994"/>
  </r>
  <r>
    <s v="ORD-2025-487261"/>
    <d v="2025-03-06T00:00:00"/>
    <d v="2025-03-06T00:00:00"/>
    <d v="2025-03-31T00:00:00"/>
    <d v="2025-03-31T00:00:00"/>
    <n v="25"/>
    <n v="0"/>
    <s v="03-2025"/>
    <s v="Q1-2025"/>
    <d v="2023-01-29T00:00:00"/>
    <s v="01-2023"/>
    <x v="0"/>
    <x v="9"/>
    <s v="Brasília"/>
    <s v="Brasília"/>
    <s v="Non-Profit"/>
    <s v="Online"/>
    <s v="Online"/>
    <s v="J. Njeri"/>
    <x v="8"/>
    <x v="0"/>
    <s v="Low"/>
    <s v="CMP-3693"/>
    <s v="C"/>
    <n v="331.57"/>
    <n v="548.4"/>
    <n v="548.4"/>
    <n v="9.4E-2"/>
    <n v="9.4E-2"/>
    <n v="0"/>
    <n v="10"/>
    <n v="4968.5039999999999"/>
    <n v="3315.7"/>
    <n v="1652.8040000000001"/>
    <n v="0.33265626836568918"/>
    <n v="10600764.698300008"/>
    <n v="0.96848067514369474"/>
  </r>
  <r>
    <s v="ORD-2024-192263"/>
    <d v="2024-11-21T00:00:00"/>
    <d v="2024-11-21T00:00:00"/>
    <d v="2024-12-21T00:00:00"/>
    <d v="2024-12-21T00:00:00"/>
    <n v="30"/>
    <n v="0"/>
    <s v="11-2024"/>
    <s v="Q4-2024"/>
    <d v="2023-01-10T00:00:00"/>
    <s v="01-2023"/>
    <x v="1"/>
    <x v="11"/>
    <s v="Marseille"/>
    <s v="Marseille"/>
    <s v="Small Business"/>
    <s v="Direct"/>
    <s v="Direct"/>
    <s v="I. Johnson"/>
    <x v="12"/>
    <x v="3"/>
    <s v="High"/>
    <s v="MON-7943"/>
    <s v="C"/>
    <n v="1122.68"/>
    <n v="1997.19"/>
    <n v="1997.19"/>
    <n v="0.186"/>
    <n v="0.186"/>
    <n v="0"/>
    <n v="3"/>
    <n v="4877.1379800000004"/>
    <n v="3368.04"/>
    <n v="1509.0979800000005"/>
    <n v="0.30942285951073306"/>
    <n v="10605641.836280007"/>
    <n v="0.9689262480828239"/>
  </r>
  <r>
    <s v="ORD-2024-275203"/>
    <d v="2024-03-11T00:00:00"/>
    <d v="2024-03-11T00:00:00"/>
    <d v="2024-04-06T00:00:00"/>
    <d v="2024-04-06T00:00:00"/>
    <n v="26"/>
    <n v="0"/>
    <s v="03-2024"/>
    <s v="Q1-2024"/>
    <d v="2023-01-20T00:00:00"/>
    <s v="01-2023"/>
    <x v="2"/>
    <x v="5"/>
    <s v="Kisumu"/>
    <s v="Kisumu"/>
    <s v="Corporate"/>
    <s v="Retail"/>
    <s v="Retail"/>
    <s v="C. Otieno"/>
    <x v="5"/>
    <x v="0"/>
    <s v="Low"/>
    <s v="CMP-8270"/>
    <s v="C"/>
    <n v="279.24"/>
    <n v="608.9"/>
    <n v="608.9"/>
    <n v="0.112"/>
    <n v="0.112"/>
    <n v="0"/>
    <n v="9"/>
    <n v="4866.3287999999993"/>
    <n v="2513.16"/>
    <n v="2353.1687999999995"/>
    <n v="0.48356140670149533"/>
    <n v="10610508.165080007"/>
    <n v="0.96937083350055808"/>
  </r>
  <r>
    <s v="ORD-2025-323492"/>
    <d v="2025-04-27T00:00:00"/>
    <d v="2025-04-27T00:00:00"/>
    <d v="2025-05-27T00:00:00"/>
    <d v="2025-05-27T00:00:00"/>
    <n v="30"/>
    <n v="0"/>
    <s v="04-2025"/>
    <s v="Q2-2025"/>
    <d v="2023-01-29T00:00:00"/>
    <s v="01-2023"/>
    <x v="3"/>
    <x v="3"/>
    <m/>
    <s v="Delhi"/>
    <s v="Enterprise"/>
    <s v="Marketplace"/>
    <s v="Marketplace"/>
    <s v="H. Kim"/>
    <x v="0"/>
    <x v="5"/>
    <s v="Medium"/>
    <s v="PHN-3854"/>
    <s v="C"/>
    <n v="481.32"/>
    <n v="1135.99"/>
    <n v="1135.99"/>
    <n v="0.14499999999999999"/>
    <n v="0.14499999999999999"/>
    <n v="0"/>
    <n v="5"/>
    <n v="4856.35725"/>
    <n v="2406.6"/>
    <n v="2449.7572500000001"/>
    <n v="0.50444337677175621"/>
    <n v="10615364.522330007"/>
    <n v="0.96981450792236401"/>
  </r>
  <r>
    <s v="ORD-2025-542939"/>
    <d v="2025-01-13T00:00:00"/>
    <d v="2025-01-13T00:00:00"/>
    <d v="2025-02-08T00:00:00"/>
    <d v="2025-02-08T00:00:00"/>
    <n v="26"/>
    <n v="0"/>
    <s v="01-2025"/>
    <s v="Q1-2025"/>
    <d v="2023-01-10T00:00:00"/>
    <s v="01-2023"/>
    <x v="1"/>
    <x v="11"/>
    <s v="Paris"/>
    <s v="Paris"/>
    <s v="Non-Profit"/>
    <m/>
    <s v="Distributor"/>
    <s v="E. Garcia"/>
    <x v="14"/>
    <x v="3"/>
    <s v="Medium"/>
    <s v="MON-1593"/>
    <s v="C"/>
    <n v="594.74"/>
    <n v="1020.69"/>
    <n v="1020.69"/>
    <n v="0.21099999999999999"/>
    <n v="0.21099999999999999"/>
    <n v="1"/>
    <n v="6"/>
    <n v="4831.9464600000001"/>
    <n v="3568.44"/>
    <n v="1263.5064600000001"/>
    <n v="0.26149016146176424"/>
    <n v="10620196.468790006"/>
    <n v="0.97025595218634131"/>
  </r>
  <r>
    <s v="ORD-2024-419248"/>
    <d v="2024-03-04T00:00:00"/>
    <d v="2024-03-04T00:00:00"/>
    <d v="2024-03-16T00:00:00"/>
    <d v="2024-03-16T00:00:00"/>
    <n v="12"/>
    <n v="0"/>
    <s v="03-2024"/>
    <s v="Q1-2024"/>
    <d v="2023-01-07T00:00:00"/>
    <s v="01-2023"/>
    <x v="2"/>
    <x v="8"/>
    <s v="Johannesburg"/>
    <s v="Johannesburg"/>
    <s v="Enterprise"/>
    <s v="Distributor"/>
    <s v="Distributor"/>
    <s v="M. Rossi"/>
    <x v="6"/>
    <x v="3"/>
    <s v="Medium"/>
    <s v="MON-8422"/>
    <s v="C"/>
    <n v="441.08"/>
    <n v="1054.29"/>
    <n v="1054.29"/>
    <n v="0.23699999999999999"/>
    <n v="0.23699999999999999"/>
    <n v="1"/>
    <n v="6"/>
    <n v="4826.5396199999996"/>
    <n v="2646.48"/>
    <n v="2180.0596199999995"/>
    <n v="0.45168169985932899"/>
    <n v="10625023.008410007"/>
    <n v="0.97069690248406237"/>
  </r>
  <r>
    <s v="ORD-2025-591006"/>
    <d v="2025-06-25T00:00:00"/>
    <d v="2025-06-25T00:00:00"/>
    <d v="2025-07-10T00:00:00"/>
    <d v="2025-07-10T00:00:00"/>
    <n v="15"/>
    <n v="0"/>
    <s v="06-2025"/>
    <s v="Q2-2025"/>
    <d v="2023-01-19T00:00:00"/>
    <s v="01-2023"/>
    <x v="1"/>
    <x v="1"/>
    <s v="Birmingham"/>
    <s v="Birmingham"/>
    <s v="Non-Profit"/>
    <s v="Marketplace"/>
    <s v="Marketplace"/>
    <s v="D. Smith"/>
    <x v="10"/>
    <x v="5"/>
    <s v="Low"/>
    <s v="PHN-5383"/>
    <s v="C"/>
    <n v="546.83000000000004"/>
    <n v="400.84"/>
    <n v="400.84"/>
    <n v="7.8E-2"/>
    <n v="7.8E-2"/>
    <n v="0"/>
    <n v="13"/>
    <n v="4804.4682400000002"/>
    <n v="7108.7900000000009"/>
    <n v="2304.3217600000007"/>
    <n v="0.47962056254533608"/>
    <n v="10629827.476650007"/>
    <n v="0.97113583635130762"/>
  </r>
  <r>
    <s v="ORD-2024-289089"/>
    <d v="2024-12-17T00:00:00"/>
    <d v="2024-12-17T00:00:00"/>
    <d v="2024-12-18T00:00:00"/>
    <d v="2024-12-18T00:00:00"/>
    <n v="1"/>
    <n v="1"/>
    <s v="12-2024"/>
    <s v="Q4-2024"/>
    <d v="2023-01-21T00:00:00"/>
    <s v="01-2023"/>
    <x v="1"/>
    <x v="4"/>
    <s v="Munich"/>
    <s v="Munich"/>
    <s v="Education"/>
    <s v="Retail"/>
    <s v="Retail"/>
    <s v="L. Okafor"/>
    <x v="4"/>
    <x v="4"/>
    <s v="Low"/>
    <s v="ACC-5780"/>
    <s v="C"/>
    <n v="346.82"/>
    <n v="701.95"/>
    <n v="701.95"/>
    <n v="0.14699999999999999"/>
    <n v="0.14699999999999999"/>
    <n v="0"/>
    <n v="8"/>
    <n v="4790.1068000000005"/>
    <n v="2774.56"/>
    <n v="2015.5468000000005"/>
    <n v="0.42077283120284509"/>
    <n v="10634617.583450006"/>
    <n v="0.97157345816442242"/>
  </r>
  <r>
    <s v="ORD-2024-207792"/>
    <d v="2024-09-03T00:00:00"/>
    <d v="2024-09-03T00:00:00"/>
    <d v="2024-09-07T00:00:00"/>
    <d v="2024-09-07T00:00:00"/>
    <n v="4"/>
    <n v="1"/>
    <s v="09-2024"/>
    <s v="Q3-2024"/>
    <d v="2023-03-03T00:00:00"/>
    <s v="03-2023"/>
    <x v="3"/>
    <x v="7"/>
    <s v="Tokyo"/>
    <s v="Tokyo"/>
    <s v="Small Business"/>
    <s v="Distributor"/>
    <s v="Distributor"/>
    <s v="N. Brown"/>
    <x v="13"/>
    <x v="6"/>
    <s v="Low"/>
    <s v="PRN-3917"/>
    <s v="C"/>
    <n v="43.23"/>
    <n v="94.78"/>
    <n v="94.78"/>
    <n v="9.0999999999999998E-2"/>
    <n v="9.0999999999999998E-2"/>
    <n v="0"/>
    <n v="55"/>
    <n v="4738.5261"/>
    <n v="2377.6499999999996"/>
    <n v="2360.8761000000004"/>
    <n v="0.49823005090127082"/>
    <n v="10639356.109550007"/>
    <n v="0.97200636759002745"/>
  </r>
  <r>
    <s v="ORD-2023-960380"/>
    <d v="2023-02-11T00:00:00"/>
    <d v="2023-02-11T00:00:00"/>
    <d v="2023-02-12T00:00:00"/>
    <d v="2023-02-12T00:00:00"/>
    <n v="1"/>
    <n v="1"/>
    <s v="02-2023"/>
    <s v="Q1-2023"/>
    <d v="2023-01-13T00:00:00"/>
    <s v="01-2023"/>
    <x v="2"/>
    <x v="2"/>
    <s v="Port Harcourt"/>
    <s v="Port Harcourt"/>
    <s v="Non-Profit"/>
    <s v="Direct"/>
    <s v="Direct"/>
    <s v="D. Smith"/>
    <x v="10"/>
    <x v="4"/>
    <s v="Medium"/>
    <s v="ACC-8242"/>
    <s v="C"/>
    <n v="944.61"/>
    <n v="839.04"/>
    <n v="839.04"/>
    <n v="5.8999999999999997E-2"/>
    <n v="5.8999999999999997E-2"/>
    <n v="0"/>
    <n v="6"/>
    <n v="4737.2198399999997"/>
    <n v="5667.66"/>
    <n v="930.44016000000011"/>
    <n v="0.19641059343363726"/>
    <n v="10644093.329390006"/>
    <n v="0.97243915767635791"/>
  </r>
  <r>
    <s v="ORD-2023-382272"/>
    <d v="2023-05-20T00:00:00"/>
    <d v="2023-05-18T00:00:00"/>
    <d v="2023-05-18T00:00:00"/>
    <d v="2023-05-20T00:00:00"/>
    <n v="2"/>
    <n v="1"/>
    <s v="05-2023"/>
    <s v="Q2-2023"/>
    <d v="2023-01-07T00:00:00"/>
    <s v="01-2023"/>
    <x v="2"/>
    <x v="8"/>
    <s v="Durban"/>
    <s v="Durban"/>
    <s v="Corporate"/>
    <s v="Distributor"/>
    <s v="Distributor"/>
    <s v="A. Patel"/>
    <x v="2"/>
    <x v="0"/>
    <s v="Medium"/>
    <s v="CMP-5208"/>
    <s v="C"/>
    <n v="917.88"/>
    <n v="1347.92"/>
    <n v="1347.92"/>
    <n v="0.34300000000000003"/>
    <n v="0.3"/>
    <n v="1"/>
    <n v="5"/>
    <n v="4717.72"/>
    <n v="4589.3999999999996"/>
    <n v="128.32000000000062"/>
    <n v="2.7199579457873848E-2"/>
    <n v="10648811.049390007"/>
    <n v="0.97287016626684886"/>
  </r>
  <r>
    <s v="ORD-2024-433936"/>
    <d v="2024-08-04T00:00:00"/>
    <d v="2024-08-04T00:00:00"/>
    <d v="2024-08-17T00:00:00"/>
    <d v="2024-08-17T00:00:00"/>
    <n v="13"/>
    <n v="0"/>
    <s v="08-2024"/>
    <s v="Q3-2024"/>
    <d v="2023-01-13T00:00:00"/>
    <s v="01-2023"/>
    <x v="0"/>
    <x v="6"/>
    <s v="Austin"/>
    <s v="Austin"/>
    <s v="Consumer"/>
    <s v="Retail"/>
    <s v="Retail"/>
    <s v="D. Smith"/>
    <x v="10"/>
    <x v="3"/>
    <s v="Low"/>
    <s v="MON-8867"/>
    <s v="C"/>
    <n v="352.79"/>
    <n v="754.22"/>
    <n v="754.22"/>
    <n v="0.113"/>
    <n v="0.113"/>
    <n v="0"/>
    <n v="7"/>
    <n v="4682.9519799999998"/>
    <n v="2469.5300000000002"/>
    <n v="2213.4219799999996"/>
    <n v="0.47265528014233443"/>
    <n v="10653494.001370007"/>
    <n v="0.97329799846804688"/>
  </r>
  <r>
    <s v="ORD-2025-512310"/>
    <d v="2025-03-08T00:00:00"/>
    <d v="2025-03-08T00:00:00"/>
    <d v="2025-03-15T00:00:00"/>
    <d v="2025-03-15T00:00:00"/>
    <n v="7"/>
    <n v="1"/>
    <s v="03-2025"/>
    <s v="Q1-2025"/>
    <d v="2023-01-29T00:00:00"/>
    <s v="01-2023"/>
    <x v="3"/>
    <x v="3"/>
    <s v="Bengaluru"/>
    <s v="Bengaluru"/>
    <s v="Corporate"/>
    <s v="Distributor"/>
    <s v="Distributor"/>
    <s v="K. Singh"/>
    <x v="3"/>
    <x v="2"/>
    <s v="Low"/>
    <s v="LAP-8119"/>
    <s v="C"/>
    <n v="475.66"/>
    <n v="529.14"/>
    <n v="529.14"/>
    <n v="0.19600000000000001"/>
    <n v="0.19600000000000001"/>
    <n v="0"/>
    <n v="11"/>
    <n v="4679.7141600000004"/>
    <n v="5232.26"/>
    <n v="552.54583999999977"/>
    <n v="0.11807256193613323"/>
    <n v="10658173.715530008"/>
    <n v="0.97372553486359426"/>
  </r>
  <r>
    <s v="ORD-2024-999607"/>
    <d v="2024-01-12T00:00:00"/>
    <d v="2024-01-12T00:00:00"/>
    <d v="2024-01-29T00:00:00"/>
    <d v="2024-01-29T00:00:00"/>
    <n v="17"/>
    <n v="0"/>
    <s v="01-2024"/>
    <s v="Q1-2024"/>
    <d v="2023-01-13T00:00:00"/>
    <s v="01-2023"/>
    <x v="0"/>
    <x v="6"/>
    <s v="Chicago"/>
    <s v="Chicago"/>
    <s v="Education"/>
    <s v="Distributor"/>
    <s v="Distributor"/>
    <s v="A. Patel"/>
    <x v="2"/>
    <x v="6"/>
    <s v="Low"/>
    <s v="PRN-8604"/>
    <s v="C"/>
    <n v="493.76"/>
    <n v="625.04"/>
    <n v="625.04"/>
    <n v="0.25800000000000001"/>
    <n v="0.25800000000000001"/>
    <n v="1"/>
    <n v="10"/>
    <n v="4637.7968000000001"/>
    <n v="4937.6000000000004"/>
    <n v="299.80320000000029"/>
    <n v="6.464345311549663E-2"/>
    <n v="10662811.512330009"/>
    <n v="0.97414924170964512"/>
  </r>
  <r>
    <s v="ORD-2023-868460"/>
    <d v="2023-06-01T00:00:00"/>
    <d v="2023-06-01T00:00:00"/>
    <d v="2023-06-01T00:00:00"/>
    <d v="2023-06-01T00:00:00"/>
    <n v="0"/>
    <n v="1"/>
    <s v="06-2023"/>
    <s v="Q2-2023"/>
    <d v="2023-01-29T00:00:00"/>
    <s v="01-2023"/>
    <x v="3"/>
    <x v="3"/>
    <s v="Bengaluru"/>
    <s v="Bengaluru"/>
    <s v="Corporate"/>
    <s v="Retail"/>
    <s v="Retail"/>
    <s v="E. Garcia"/>
    <x v="14"/>
    <x v="4"/>
    <s v="Medium"/>
    <s v="ACC-4587"/>
    <s v="C"/>
    <n v="669.37"/>
    <n v="997.2"/>
    <n v="997.2"/>
    <n v="8.2000000000000003E-2"/>
    <n v="8.2000000000000003E-2"/>
    <n v="0"/>
    <n v="5"/>
    <n v="4577.1480000000001"/>
    <n v="3346.85"/>
    <n v="1230.2980000000002"/>
    <n v="0.26879139586484863"/>
    <n v="10667388.660330009"/>
    <n v="0.97456740771100758"/>
  </r>
  <r>
    <s v="ORD-2025-762301"/>
    <d v="2025-05-02T00:00:00"/>
    <d v="2025-05-02T00:00:00"/>
    <d v="2025-05-13T00:00:00"/>
    <d v="2025-05-13T00:00:00"/>
    <n v="11"/>
    <n v="0"/>
    <s v="05-2025"/>
    <s v="Q2-2025"/>
    <d v="2023-01-20T00:00:00"/>
    <s v="01-2023"/>
    <x v="2"/>
    <x v="5"/>
    <s v="Nakuru"/>
    <s v="Nakuru"/>
    <s v="Small Business"/>
    <s v="Online"/>
    <s v="Online"/>
    <s v="A. Patel"/>
    <x v="2"/>
    <x v="4"/>
    <s v="Medium"/>
    <s v="ACC-2252"/>
    <s v="C"/>
    <n v="1057.5999999999999"/>
    <n v="1437.06"/>
    <n v="1437.06"/>
    <n v="0.20499999999999999"/>
    <n v="0.20499999999999999"/>
    <n v="1"/>
    <n v="4"/>
    <n v="4569.8508000000002"/>
    <n v="4230.3999999999996"/>
    <n v="339.45080000000053"/>
    <n v="7.4280499485891424E-2"/>
    <n v="10671958.511130009"/>
    <n v="0.97498490704374907"/>
  </r>
  <r>
    <s v="ORD-2025-306903"/>
    <d v="2025-06-24T00:00:00"/>
    <d v="2025-06-24T00:00:00"/>
    <d v="2025-07-23T00:00:00"/>
    <d v="2025-07-23T00:00:00"/>
    <n v="29"/>
    <n v="0"/>
    <s v="06-2025"/>
    <s v="Q2-2025"/>
    <d v="2023-01-02T00:00:00"/>
    <s v="01-2023"/>
    <x v="0"/>
    <x v="0"/>
    <s v="Vancouver"/>
    <s v="Vancouver"/>
    <s v="Non-Profit"/>
    <s v="Marketplace"/>
    <s v="Marketplace"/>
    <s v="I. Johnson"/>
    <x v="12"/>
    <x v="6"/>
    <s v="Low"/>
    <s v="PRN-3775"/>
    <s v="C"/>
    <n v="255.4"/>
    <n v="322.70999999999998"/>
    <n v="322.70999999999998"/>
    <n v="0.115"/>
    <n v="0.115"/>
    <n v="0"/>
    <n v="16"/>
    <n v="4569.5735999999997"/>
    <n v="4086.4"/>
    <n v="483.17359999999962"/>
    <n v="0.10573713048412212"/>
    <n v="10676528.084730009"/>
    <n v="0.97540238105163424"/>
  </r>
  <r>
    <s v="ORD-2023-713375"/>
    <d v="2023-08-26T00:00:00"/>
    <d v="2023-08-26T00:00:00"/>
    <d v="2023-09-10T00:00:00"/>
    <d v="2023-09-10T00:00:00"/>
    <n v="15"/>
    <n v="0"/>
    <s v="08-2023"/>
    <s v="Q3-2023"/>
    <d v="2023-01-07T00:00:00"/>
    <s v="01-2023"/>
    <x v="2"/>
    <x v="8"/>
    <s v="Cape Town"/>
    <s v="Cape Town"/>
    <s v="Non-Profit"/>
    <s v="Direct"/>
    <s v="Direct"/>
    <s v="N. Brown"/>
    <x v="13"/>
    <x v="0"/>
    <s v="Low"/>
    <s v="CMP-7063"/>
    <s v="C"/>
    <n v="241.14"/>
    <n v="496.52"/>
    <n v="496.52"/>
    <n v="9.2999999999999999E-2"/>
    <n v="9.2999999999999999E-2"/>
    <n v="0"/>
    <n v="10"/>
    <n v="4503.4363999999996"/>
    <n v="2411.3999999999996"/>
    <n v="2092.0364"/>
    <n v="0.46454223268257994"/>
    <n v="10681031.521130009"/>
    <n v="0.97581381279729296"/>
  </r>
  <r>
    <s v="ORD-2023-517216"/>
    <d v="2023-09-19T00:00:00"/>
    <d v="2023-09-19T00:00:00"/>
    <d v="2023-10-08T00:00:00"/>
    <d v="2023-10-08T00:00:00"/>
    <n v="19"/>
    <n v="0"/>
    <s v="09-2023"/>
    <s v="Q3-2023"/>
    <d v="2023-01-29T00:00:00"/>
    <s v="01-2023"/>
    <x v="3"/>
    <x v="3"/>
    <s v="Bengaluru"/>
    <s v="Bengaluru"/>
    <s v="Education"/>
    <s v="Direct"/>
    <s v="Direct"/>
    <s v="J. Njeri"/>
    <x v="8"/>
    <x v="6"/>
    <s v="Low"/>
    <s v="PRN-5005"/>
    <s v="C"/>
    <n v="385.32"/>
    <n v="606.76"/>
    <n v="606.76"/>
    <n v="8.5999999999999993E-2"/>
    <n v="8.5999999999999993E-2"/>
    <n v="0"/>
    <n v="8"/>
    <n v="4436.6291200000005"/>
    <n v="3082.56"/>
    <n v="1354.0691200000006"/>
    <n v="0.30520223425842735"/>
    <n v="10685468.150250008"/>
    <n v="0.97621914106254426"/>
  </r>
  <r>
    <s v="ORD-2025-652467"/>
    <d v="2025-08-21T00:00:00"/>
    <d v="2025-08-21T00:00:00"/>
    <d v="2025-09-12T00:00:00"/>
    <d v="2025-09-12T00:00:00"/>
    <n v="22"/>
    <n v="0"/>
    <s v="08-2025"/>
    <s v="Q3-2025"/>
    <d v="2023-01-12T00:00:00"/>
    <s v="01-2023"/>
    <x v="3"/>
    <x v="10"/>
    <s v="Shenzhen"/>
    <s v="Shenzhen"/>
    <s v="Education"/>
    <s v="Retail"/>
    <s v="Retail"/>
    <s v="B. Chen"/>
    <x v="1"/>
    <x v="6"/>
    <s v="Low"/>
    <s v="PRN-8137"/>
    <s v="C"/>
    <n v="352.66"/>
    <n v="411.18"/>
    <n v="411.18"/>
    <n v="0.17299999999999999"/>
    <n v="0.17299999999999999"/>
    <n v="0"/>
    <n v="13"/>
    <n v="4420.5961799999995"/>
    <n v="4584.58"/>
    <n v="163.98382000000038"/>
    <n v="3.7095408248758066E-2"/>
    <n v="10689888.746430008"/>
    <n v="0.97662300456624318"/>
  </r>
  <r>
    <s v="ORD-2025-501927"/>
    <d v="2025-03-03T00:00:00"/>
    <d v="2025-03-03T00:00:00"/>
    <d v="2025-03-24T00:00:00"/>
    <d v="2025-03-24T00:00:00"/>
    <n v="21"/>
    <n v="0"/>
    <s v="03-2025"/>
    <s v="Q1-2025"/>
    <d v="2023-01-13T00:00:00"/>
    <s v="01-2023"/>
    <x v="2"/>
    <x v="2"/>
    <s v="Abuja"/>
    <s v="Abuja"/>
    <s v="Enterprise"/>
    <s v="Direct"/>
    <s v="Direct"/>
    <s v="H. Kim"/>
    <x v="0"/>
    <x v="4"/>
    <s v="Low"/>
    <s v="ACC-4056"/>
    <s v="C"/>
    <n v="555.95000000000005"/>
    <n v="468.09"/>
    <n v="468.09"/>
    <n v="0.14199999999999999"/>
    <n v="0.14199999999999999"/>
    <n v="0"/>
    <n v="11"/>
    <n v="4417.8334199999999"/>
    <n v="6115.4500000000007"/>
    <n v="1697.6165800000008"/>
    <n v="0.38426450674095375"/>
    <n v="10694306.579850007"/>
    <n v="0.9770266156655405"/>
  </r>
  <r>
    <s v="ORD-2025-683247"/>
    <d v="2025-03-10T00:00:00"/>
    <d v="2025-03-10T00:00:00"/>
    <d v="2025-04-04T00:00:00"/>
    <d v="2025-04-04T00:00:00"/>
    <n v="25"/>
    <n v="0"/>
    <s v="03-2025"/>
    <s v="Q1-2025"/>
    <d v="2023-03-03T00:00:00"/>
    <s v="03-2023"/>
    <x v="3"/>
    <x v="7"/>
    <s v="Osaka"/>
    <s v="Osaka"/>
    <s v="Corporate"/>
    <s v="Direct"/>
    <s v="Direct"/>
    <s v="H. Kim"/>
    <x v="0"/>
    <x v="6"/>
    <s v="Medium"/>
    <s v="PRN-9867"/>
    <s v="C"/>
    <n v="783.72"/>
    <n v="1355.94"/>
    <n v="1355.94"/>
    <n v="0.187"/>
    <n v="0.187"/>
    <n v="0"/>
    <n v="4"/>
    <n v="4409.5168800000001"/>
    <n v="3134.88"/>
    <n v="1274.63688"/>
    <n v="0.28906497348525856"/>
    <n v="10698716.096730007"/>
    <n v="0.97742946696981337"/>
  </r>
  <r>
    <s v="ORD-2023-925146"/>
    <d v="2023-10-15T00:00:00"/>
    <d v="2023-10-15T00:00:00"/>
    <d v="2023-11-13T00:00:00"/>
    <d v="2023-11-13T00:00:00"/>
    <n v="29"/>
    <n v="0"/>
    <s v="10-2023"/>
    <s v="Q4-2023"/>
    <d v="2023-01-12T00:00:00"/>
    <s v="01-2023"/>
    <x v="3"/>
    <x v="10"/>
    <s v="Shenzhen"/>
    <s v="Shenzhen"/>
    <s v="Non-Profit"/>
    <s v="Distributor"/>
    <s v="Distributor"/>
    <s v="J. Njeri"/>
    <x v="8"/>
    <x v="6"/>
    <s v="Low"/>
    <s v="PRN-4983"/>
    <s v="C"/>
    <n v="986.44"/>
    <n v="790.61"/>
    <n v="790.61"/>
    <n v="7.1999999999999995E-2"/>
    <n v="7.1999999999999995E-2"/>
    <n v="0"/>
    <n v="6"/>
    <n v="4402.1164799999997"/>
    <n v="5918.64"/>
    <n v="1516.5235200000006"/>
    <n v="0.34449872621271499"/>
    <n v="10703118.213210007"/>
    <n v="0.97783164217716378"/>
  </r>
  <r>
    <s v="ORD-2025-184754"/>
    <d v="2025-06-27T00:00:00"/>
    <d v="2025-06-27T00:00:00"/>
    <d v="2025-07-05T00:00:00"/>
    <d v="2025-07-05T00:00:00"/>
    <n v="8"/>
    <n v="0"/>
    <s v="06-2025"/>
    <s v="Q2-2025"/>
    <d v="2023-01-21T00:00:00"/>
    <s v="01-2023"/>
    <x v="1"/>
    <x v="4"/>
    <s v="Munich"/>
    <s v="Munich"/>
    <s v="Small Business"/>
    <s v="Direct"/>
    <s v="Direct"/>
    <s v="G. Dubois"/>
    <x v="11"/>
    <x v="3"/>
    <s v="Low"/>
    <s v="MON-7626"/>
    <s v="C"/>
    <n v="314.93"/>
    <n v="687.95"/>
    <n v="687.95"/>
    <n v="0.20499999999999999"/>
    <n v="0.20499999999999999"/>
    <n v="1"/>
    <n v="8"/>
    <n v="4375.3620000000001"/>
    <n v="2519.44"/>
    <n v="1855.922"/>
    <n v="0.424175645352316"/>
    <n v="10707493.575210007"/>
    <n v="0.97823137310831421"/>
  </r>
  <r>
    <s v="ORD-2023-613287"/>
    <d v="2023-03-31T00:00:00"/>
    <d v="2023-03-31T00:00:00"/>
    <d v="2023-04-12T00:00:00"/>
    <d v="2023-04-12T00:00:00"/>
    <n v="12"/>
    <n v="0"/>
    <s v="03-2023"/>
    <s v="Q1-2023"/>
    <d v="2023-01-20T00:00:00"/>
    <s v="01-2023"/>
    <x v="2"/>
    <x v="5"/>
    <s v="Mombasa"/>
    <s v="Mombasa"/>
    <s v="Small Business"/>
    <s v="Online"/>
    <s v="Online"/>
    <s v="C. Otieno"/>
    <x v="5"/>
    <x v="5"/>
    <s v="Low"/>
    <s v="PHN-8014"/>
    <s v="C"/>
    <n v="304.22000000000003"/>
    <n v="393.31"/>
    <n v="393.31"/>
    <n v="0.26500000000000001"/>
    <n v="0.26500000000000001"/>
    <n v="1"/>
    <n v="15"/>
    <n v="4336.2427499999994"/>
    <n v="4563.3"/>
    <n v="227.05725000000075"/>
    <n v="5.2362670424759034E-2"/>
    <n v="10711829.817960007"/>
    <n v="0.97862753012392845"/>
  </r>
  <r>
    <s v="ORD-2024-496601"/>
    <d v="2024-11-11T00:00:00"/>
    <d v="2024-11-11T00:00:00"/>
    <d v="2024-11-24T00:00:00"/>
    <d v="2024-11-24T00:00:00"/>
    <n v="13"/>
    <n v="0"/>
    <s v="11-2024"/>
    <s v="Q4-2024"/>
    <d v="2023-01-19T00:00:00"/>
    <s v="01-2023"/>
    <x v="1"/>
    <x v="1"/>
    <s v="London"/>
    <s v="London"/>
    <s v="Corporate"/>
    <s v="Retail"/>
    <s v="Retail"/>
    <s v="E. Garcia"/>
    <x v="14"/>
    <x v="1"/>
    <s v="Low"/>
    <s v="NET-2932"/>
    <s v="C"/>
    <n v="164.53"/>
    <n v="327.72"/>
    <n v="327.72"/>
    <n v="6.7000000000000004E-2"/>
    <n v="6.7000000000000004E-2"/>
    <n v="0"/>
    <n v="14"/>
    <n v="4280.6786400000001"/>
    <n v="2303.42"/>
    <n v="1977.25864"/>
    <n v="0.46190307805960412"/>
    <n v="10716110.496600008"/>
    <n v="0.97901861082964448"/>
  </r>
  <r>
    <s v="ORD-2024-792137"/>
    <d v="2024-03-02T00:00:00"/>
    <d v="2024-03-02T00:00:00"/>
    <d v="2024-03-16T00:00:00"/>
    <d v="2024-03-16T00:00:00"/>
    <n v="14"/>
    <n v="0"/>
    <s v="03-2024"/>
    <s v="Q1-2024"/>
    <d v="2023-01-02T00:00:00"/>
    <s v="01-2023"/>
    <x v="0"/>
    <x v="0"/>
    <s v="Vancouver"/>
    <s v="Vancouver"/>
    <s v="Non-Profit"/>
    <s v="Direct"/>
    <s v="Direct"/>
    <s v="O. Wang"/>
    <x v="7"/>
    <x v="6"/>
    <s v="Low"/>
    <s v="PRN-7976"/>
    <s v="C"/>
    <n v="248.24"/>
    <n v="464.05"/>
    <n v="464.05"/>
    <n v="0.16900000000000001"/>
    <n v="0.16900000000000001"/>
    <n v="0"/>
    <n v="11"/>
    <n v="4241.88105"/>
    <n v="2730.6400000000003"/>
    <n v="1511.2410499999996"/>
    <n v="0.3562667203975462"/>
    <n v="10720352.377650008"/>
    <n v="0.9794061470065244"/>
  </r>
  <r>
    <s v="ORD-2024-207669"/>
    <d v="2024-01-24T00:00:00"/>
    <d v="2024-01-24T00:00:00"/>
    <d v="2024-02-04T00:00:00"/>
    <d v="2024-02-04T00:00:00"/>
    <n v="11"/>
    <n v="0"/>
    <s v="01-2024"/>
    <s v="Q1-2024"/>
    <d v="2023-01-19T00:00:00"/>
    <s v="01-2023"/>
    <x v="1"/>
    <x v="1"/>
    <s v="Manchester"/>
    <s v="Manchester"/>
    <s v="Consumer"/>
    <s v="Retail"/>
    <s v="Retail"/>
    <s v="B. Chen"/>
    <x v="1"/>
    <x v="2"/>
    <s v="Medium"/>
    <s v="LAP-5689"/>
    <s v="C"/>
    <n v="525.34"/>
    <n v="1233.79"/>
    <n v="1233.79"/>
    <n v="0.14299999999999999"/>
    <n v="0.14299999999999999"/>
    <n v="0"/>
    <n v="4"/>
    <n v="4229.4321199999995"/>
    <n v="2101.36"/>
    <n v="2128.0721199999994"/>
    <n v="0.50315788494082736"/>
    <n v="10724581.809770007"/>
    <n v="0.97979254585525166"/>
  </r>
  <r>
    <s v="ORD-2023-799597"/>
    <d v="2023-03-14T00:00:00"/>
    <d v="2023-03-14T00:00:00"/>
    <d v="2023-03-18T00:00:00"/>
    <d v="2023-03-18T00:00:00"/>
    <n v="4"/>
    <n v="1"/>
    <s v="03-2023"/>
    <s v="Q1-2023"/>
    <d v="2023-01-21T00:00:00"/>
    <s v="01-2023"/>
    <x v="1"/>
    <x v="4"/>
    <s v="Frankfurt"/>
    <s v="Frankfurt"/>
    <s v="Enterprise"/>
    <s v="Direct"/>
    <s v="Direct"/>
    <s v="A. Patel"/>
    <x v="2"/>
    <x v="0"/>
    <s v="Low"/>
    <s v="CMP-8675"/>
    <s v="C"/>
    <n v="472.33"/>
    <n v="360.34"/>
    <n v="360.34"/>
    <n v="0.16500000000000001"/>
    <n v="0.16500000000000001"/>
    <n v="0"/>
    <n v="14"/>
    <n v="4212.3745999999992"/>
    <n v="6612.62"/>
    <n v="2400.2454000000007"/>
    <n v="0.56980815523861561"/>
    <n v="10728794.184370007"/>
    <n v="0.98017738633729923"/>
  </r>
  <r>
    <s v="ORD-2023-723587"/>
    <d v="2023-01-02T00:00:00"/>
    <d v="2023-01-02T00:00:00"/>
    <d v="2023-01-05T00:00:00"/>
    <d v="2023-01-05T00:00:00"/>
    <n v="3"/>
    <n v="1"/>
    <s v="01-2023"/>
    <s v="Q1-2023"/>
    <d v="2023-01-02T00:00:00"/>
    <s v="01-2023"/>
    <x v="0"/>
    <x v="0"/>
    <s v="Toronto"/>
    <s v="Toronto"/>
    <s v="Corporate"/>
    <s v="Distributor"/>
    <s v="Distributor"/>
    <s v="B. Chen"/>
    <x v="1"/>
    <x v="2"/>
    <s v="Low"/>
    <s v="LAP-8555"/>
    <s v="C"/>
    <n v="315.87"/>
    <n v="591.67999999999995"/>
    <n v="591.67999999999995"/>
    <n v="0"/>
    <n v="0"/>
    <n v="0"/>
    <n v="7"/>
    <n v="4141.7599999999993"/>
    <n v="2211.09"/>
    <n v="1930.6699999999992"/>
    <n v="0.46614724175229844"/>
    <n v="10732935.944370007"/>
    <n v="0.98055577550404738"/>
  </r>
  <r>
    <s v="ORD-2023-596758"/>
    <d v="2023-12-07T00:00:00"/>
    <d v="2023-12-05T00:00:00"/>
    <d v="2023-12-05T00:00:00"/>
    <d v="2023-12-07T00:00:00"/>
    <n v="2"/>
    <n v="1"/>
    <s v="12-2023"/>
    <s v="Q4-2023"/>
    <d v="2023-03-03T00:00:00"/>
    <s v="03-2023"/>
    <x v="3"/>
    <x v="7"/>
    <s v="Tokyo"/>
    <s v="Tokyo"/>
    <s v="Non-Profit"/>
    <s v="Marketplace"/>
    <s v="Marketplace"/>
    <s v="H. Kim"/>
    <x v="0"/>
    <x v="6"/>
    <s v="Medium"/>
    <s v="PRN-8175"/>
    <s v="C"/>
    <n v="1097.5899999999999"/>
    <n v="845.55"/>
    <n v="845.55"/>
    <n v="0.184"/>
    <n v="0.184"/>
    <n v="0"/>
    <n v="6"/>
    <n v="4139.8127999999997"/>
    <n v="6585.5399999999991"/>
    <n v="2445.7271999999994"/>
    <n v="0.59078207594314402"/>
    <n v="10737075.757170007"/>
    <n v="0.98093398677555643"/>
  </r>
  <r>
    <s v="ORD-2023-813340"/>
    <d v="2023-12-26T00:00:00"/>
    <d v="2023-12-26T00:00:00"/>
    <d v="2024-01-03T00:00:00"/>
    <d v="2024-01-03T00:00:00"/>
    <n v="8"/>
    <n v="0"/>
    <s v="12-2023"/>
    <s v="Q4-2023"/>
    <d v="2023-01-10T00:00:00"/>
    <s v="01-2023"/>
    <x v="1"/>
    <x v="11"/>
    <s v="Lyon"/>
    <s v="Lyon"/>
    <s v="Small Business"/>
    <s v="Retail"/>
    <s v="Retail"/>
    <s v="M. Rossi"/>
    <x v="6"/>
    <x v="2"/>
    <s v="Low"/>
    <s v="LAP-2942"/>
    <s v="C"/>
    <n v="492.75"/>
    <n v="731.29"/>
    <n v="731.29"/>
    <n v="5.8000000000000003E-2"/>
    <n v="5.8000000000000003E-2"/>
    <n v="0"/>
    <n v="6"/>
    <n v="4133.25108"/>
    <n v="2956.5"/>
    <n v="1176.75108"/>
    <n v="0.28470350753528384"/>
    <n v="10741209.008250007"/>
    <n v="0.98131159857153749"/>
  </r>
  <r>
    <s v="ORD-2023-735274"/>
    <d v="2023-02-23T00:00:00"/>
    <d v="2023-02-23T00:00:00"/>
    <d v="2023-03-08T00:00:00"/>
    <d v="2023-03-08T00:00:00"/>
    <n v="13"/>
    <n v="0"/>
    <s v="02-2023"/>
    <s v="Q1-2023"/>
    <d v="2023-01-19T00:00:00"/>
    <s v="01-2023"/>
    <x v="1"/>
    <x v="1"/>
    <s v="Manchester"/>
    <s v="Manchester"/>
    <s v="Small Business"/>
    <s v="Direct"/>
    <s v="Direct"/>
    <s v="C. Otieno"/>
    <x v="5"/>
    <x v="6"/>
    <s v="Low"/>
    <s v="PRN-7410"/>
    <s v="C"/>
    <n v="307.37"/>
    <n v="462.61"/>
    <n v="462.61"/>
    <n v="0.188"/>
    <n v="0.188"/>
    <n v="0"/>
    <n v="11"/>
    <n v="4132.0325200000007"/>
    <n v="3381.07"/>
    <n v="750.9625200000005"/>
    <n v="0.18174167709599739"/>
    <n v="10745341.040770007"/>
    <n v="0.98168909904047319"/>
  </r>
  <r>
    <s v="ORD-2025-269934"/>
    <d v="2025-04-04T00:00:00"/>
    <d v="2025-04-04T00:00:00"/>
    <d v="2025-04-10T00:00:00"/>
    <d v="2025-04-10T00:00:00"/>
    <n v="6"/>
    <n v="1"/>
    <s v="04-2025"/>
    <s v="Q2-2025"/>
    <d v="2023-01-19T00:00:00"/>
    <s v="01-2023"/>
    <x v="1"/>
    <x v="1"/>
    <s v="Birmingham"/>
    <s v="Birmingham"/>
    <s v="Non-Profit"/>
    <s v="Direct"/>
    <s v="Direct"/>
    <s v="N. Brown"/>
    <x v="13"/>
    <x v="6"/>
    <s v="Low"/>
    <s v="PRN-8657"/>
    <s v="C"/>
    <n v="290.14"/>
    <n v="250.73"/>
    <n v="250.73"/>
    <n v="3.4000000000000002E-2"/>
    <n v="3.4000000000000002E-2"/>
    <n v="0"/>
    <n v="17"/>
    <n v="4117.4880599999997"/>
    <n v="4932.38"/>
    <n v="814.89194000000043"/>
    <n v="0.19790997038131072"/>
    <n v="10749458.528830007"/>
    <n v="0.98206527073466077"/>
  </r>
  <r>
    <s v="ORD-2024-961756"/>
    <d v="2024-11-25T00:00:00"/>
    <d v="2024-11-25T00:00:00"/>
    <d v="2024-12-07T00:00:00"/>
    <d v="2024-12-07T00:00:00"/>
    <n v="12"/>
    <n v="0"/>
    <s v="11-2024"/>
    <s v="Q4-2024"/>
    <d v="2023-01-12T00:00:00"/>
    <s v="01-2023"/>
    <x v="3"/>
    <x v="10"/>
    <s v="Shanghai"/>
    <s v="Shanghai"/>
    <s v="Corporate"/>
    <s v="Distributor"/>
    <s v="Distributor"/>
    <s v="A. Patel"/>
    <x v="2"/>
    <x v="4"/>
    <s v="Low"/>
    <s v="ACC-7047"/>
    <s v="C"/>
    <n v="769.9"/>
    <n v="814.36"/>
    <n v="814.36"/>
    <n v="0"/>
    <n v="0"/>
    <n v="0"/>
    <n v="5"/>
    <n v="4071.8"/>
    <n v="3849.5"/>
    <n v="222.30000000000018"/>
    <n v="5.4595019401738831E-2"/>
    <n v="10753530.328830007"/>
    <n v="0.98243726839004542"/>
  </r>
  <r>
    <s v="ORD-2024-356812"/>
    <d v="2024-03-07T00:00:00"/>
    <d v="2024-03-07T00:00:00"/>
    <d v="2024-04-03T00:00:00"/>
    <d v="2024-04-03T00:00:00"/>
    <n v="27"/>
    <n v="0"/>
    <s v="03-2024"/>
    <s v="Q1-2024"/>
    <d v="2023-01-21T00:00:00"/>
    <s v="01-2023"/>
    <x v="1"/>
    <x v="4"/>
    <s v="Frankfurt"/>
    <s v="Frankfurt"/>
    <s v="Corporate"/>
    <s v="Direct"/>
    <s v="Direct"/>
    <s v="M. Rossi"/>
    <x v="6"/>
    <x v="6"/>
    <s v="Medium"/>
    <s v="PRN-6911"/>
    <s v="C"/>
    <n v="738.16"/>
    <n v="956.49"/>
    <n v="956.49"/>
    <n v="0.152"/>
    <n v="0.152"/>
    <n v="0"/>
    <n v="5"/>
    <n v="4055.5175999999997"/>
    <n v="3690.7999999999997"/>
    <n v="364.71759999999995"/>
    <n v="8.9931208780847108E-2"/>
    <n v="10757585.846430007"/>
    <n v="0.98280777849333389"/>
  </r>
  <r>
    <s v="ORD-2024-973420"/>
    <d v="2024-05-12T00:00:00"/>
    <d v="2024-05-12T00:00:00"/>
    <d v="2024-05-24T00:00:00"/>
    <d v="2024-05-24T00:00:00"/>
    <n v="12"/>
    <n v="0"/>
    <s v="05-2024"/>
    <s v="Q2-2024"/>
    <d v="2023-01-19T00:00:00"/>
    <s v="01-2023"/>
    <x v="1"/>
    <x v="1"/>
    <s v="Manchester"/>
    <s v="Manchester"/>
    <s v="Education"/>
    <s v="Marketplace"/>
    <s v="Marketplace"/>
    <s v="K. Singh"/>
    <x v="3"/>
    <x v="6"/>
    <s v="Low"/>
    <s v="PRN-5813"/>
    <s v="C"/>
    <n v="111.02"/>
    <n v="172.88"/>
    <n v="172.88"/>
    <n v="0.19700000000000001"/>
    <n v="0.19700000000000001"/>
    <n v="0"/>
    <n v="29"/>
    <n v="4025.8565599999993"/>
    <n v="3219.58"/>
    <n v="806.27655999999934"/>
    <n v="0.20027453735212053"/>
    <n v="10761611.702990007"/>
    <n v="0.98317557877852324"/>
  </r>
  <r>
    <s v="ORD-2024-855073"/>
    <d v="2024-07-19T00:00:00"/>
    <d v="2024-07-19T00:00:00"/>
    <d v="2024-07-19T00:00:00"/>
    <d v="2024-07-19T00:00:00"/>
    <n v="0"/>
    <n v="1"/>
    <s v="07-2024"/>
    <s v="Q3-2024"/>
    <d v="2023-01-20T00:00:00"/>
    <s v="01-2023"/>
    <x v="2"/>
    <x v="5"/>
    <s v="Kisumu"/>
    <s v="Kisumu"/>
    <s v="Small Business"/>
    <s v="Retail"/>
    <s v="Retail"/>
    <s v="A. Patel"/>
    <x v="2"/>
    <x v="5"/>
    <s v="Low"/>
    <s v="PHN-6854"/>
    <s v="C"/>
    <n v="857.24"/>
    <n v="758.23"/>
    <n v="758.23"/>
    <n v="0.125"/>
    <n v="0.125"/>
    <n v="0"/>
    <n v="6"/>
    <n v="3980.7075"/>
    <n v="5143.4400000000005"/>
    <n v="1162.7325000000005"/>
    <n v="0.29209192084572921"/>
    <n v="10765592.410490006"/>
    <n v="0.98353925426768563"/>
  </r>
  <r>
    <s v="ORD-2023-610470"/>
    <d v="2023-06-24T00:00:00"/>
    <d v="2023-06-24T00:00:00"/>
    <d v="2023-07-21T00:00:00"/>
    <d v="2023-07-21T00:00:00"/>
    <n v="27"/>
    <n v="0"/>
    <s v="06-2023"/>
    <s v="Q2-2023"/>
    <d v="2023-03-03T00:00:00"/>
    <s v="03-2023"/>
    <x v="3"/>
    <x v="7"/>
    <s v="Nagoya"/>
    <s v="Nagoya"/>
    <s v="Consumer"/>
    <s v="Marketplace"/>
    <s v="Marketplace"/>
    <s v="J. Njeri"/>
    <x v="8"/>
    <x v="5"/>
    <s v="Low"/>
    <s v="PHN-6818"/>
    <s v="C"/>
    <n v="554.76"/>
    <n v="728.69"/>
    <n v="728.69"/>
    <n v="0.22"/>
    <n v="0.22"/>
    <n v="1"/>
    <n v="7"/>
    <n v="3978.6474000000003"/>
    <n v="3883.3199999999997"/>
    <n v="95.32740000000058"/>
    <n v="2.395975074343119E-2"/>
    <n v="10769571.057890005"/>
    <n v="0.9839027415471201"/>
  </r>
  <r>
    <s v="ORD-2023-177794"/>
    <d v="2023-05-04T00:00:00"/>
    <d v="2023-05-04T00:00:00"/>
    <d v="2023-05-26T00:00:00"/>
    <d v="2023-05-26T00:00:00"/>
    <n v="22"/>
    <n v="0"/>
    <s v="05-2023"/>
    <s v="Q2-2023"/>
    <d v="2023-01-13T00:00:00"/>
    <s v="01-2023"/>
    <x v="0"/>
    <x v="6"/>
    <s v="San Francisco"/>
    <s v="San Francisco"/>
    <s v="Enterprise"/>
    <s v="Online"/>
    <s v="Online"/>
    <s v="J. Njeri"/>
    <x v="8"/>
    <x v="1"/>
    <s v="Low"/>
    <s v="NET-5941"/>
    <s v="C"/>
    <n v="249.71"/>
    <n v="361.33"/>
    <n v="361.33"/>
    <n v="9.4E-2"/>
    <n v="9.4E-2"/>
    <n v="0"/>
    <n v="12"/>
    <n v="3928.3797600000003"/>
    <n v="2996.52"/>
    <n v="931.85976000000028"/>
    <n v="0.23721223937881206"/>
    <n v="10773499.437650006"/>
    <n v="0.98426163639956377"/>
  </r>
  <r>
    <s v="ORD-2023-867166"/>
    <d v="2023-04-13T00:00:00"/>
    <d v="2023-04-13T00:00:00"/>
    <d v="2023-04-20T00:00:00"/>
    <d v="2023-04-20T00:00:00"/>
    <n v="7"/>
    <n v="1"/>
    <s v="04-2023"/>
    <s v="Q2-2023"/>
    <d v="2023-01-10T00:00:00"/>
    <s v="01-2023"/>
    <x v="1"/>
    <x v="11"/>
    <s v="Lyon"/>
    <s v="Lyon"/>
    <s v="Small Business"/>
    <s v="Online"/>
    <s v="Online"/>
    <s v="A. Patel"/>
    <x v="2"/>
    <x v="2"/>
    <s v="Low"/>
    <s v="LAP-3565"/>
    <s v="C"/>
    <n v="227.02"/>
    <n v="434.72"/>
    <n v="434.72"/>
    <n v="9.8000000000000004E-2"/>
    <n v="9.8000000000000004E-2"/>
    <n v="0"/>
    <n v="10"/>
    <n v="3921.1744000000008"/>
    <n v="2270.2000000000003"/>
    <n v="1650.9744000000005"/>
    <n v="0.42104079838938052"/>
    <n v="10777420.612050006"/>
    <n v="0.98461987297384379"/>
  </r>
  <r>
    <s v="ORD-2023-897079"/>
    <d v="2023-04-14T00:00:00"/>
    <d v="2023-04-14T00:00:00"/>
    <d v="2023-05-14T00:00:00"/>
    <d v="2023-05-14T00:00:00"/>
    <n v="30"/>
    <n v="0"/>
    <s v="04-2023"/>
    <s v="Q2-2023"/>
    <d v="2023-01-20T00:00:00"/>
    <s v="01-2023"/>
    <x v="2"/>
    <x v="5"/>
    <s v="Nakuru"/>
    <s v="Nakuru"/>
    <s v="Consumer"/>
    <s v="Marketplace"/>
    <s v="Marketplace"/>
    <s v="M. Rossi"/>
    <x v="6"/>
    <x v="5"/>
    <s v="Low"/>
    <s v="PHN-1784"/>
    <s v="C"/>
    <n v="209.25"/>
    <n v="434.8"/>
    <n v="434.8"/>
    <n v="0"/>
    <n v="0"/>
    <n v="0"/>
    <n v="9"/>
    <n v="3913.2000000000003"/>
    <n v="1883.25"/>
    <n v="2029.9500000000003"/>
    <n v="0.51874425022999082"/>
    <n v="10781333.812050005"/>
    <n v="0.9849773810108422"/>
  </r>
  <r>
    <s v="ORD-2024-689872"/>
    <d v="2024-08-03T00:00:00"/>
    <d v="2024-08-03T00:00:00"/>
    <d v="2024-08-09T00:00:00"/>
    <d v="2024-08-09T00:00:00"/>
    <n v="6"/>
    <n v="1"/>
    <s v="08-2024"/>
    <s v="Q3-2024"/>
    <d v="2023-01-20T00:00:00"/>
    <s v="01-2023"/>
    <x v="2"/>
    <x v="5"/>
    <s v="Mombasa"/>
    <s v="Mombasa"/>
    <s v="Consumer"/>
    <s v="Marketplace"/>
    <s v="Marketplace"/>
    <s v="H. Kim"/>
    <x v="0"/>
    <x v="2"/>
    <s v="Medium"/>
    <s v="LAP-1969"/>
    <s v="C"/>
    <n v="643.21"/>
    <n v="1112.81"/>
    <n v="1112.81"/>
    <n v="0.14099999999999999"/>
    <n v="0.14099999999999999"/>
    <n v="0"/>
    <n v="4"/>
    <n v="3823.6151599999998"/>
    <n v="2572.84"/>
    <n v="1250.7751599999997"/>
    <n v="0.32711847496702562"/>
    <n v="10785157.427210005"/>
    <n v="0.98532670462069838"/>
  </r>
  <r>
    <s v="ORD-2024-897622"/>
    <d v="2024-03-30T00:00:00"/>
    <d v="2024-03-30T00:00:00"/>
    <d v="2024-04-24T00:00:00"/>
    <d v="2024-04-24T00:00:00"/>
    <n v="25"/>
    <n v="0"/>
    <s v="03-2024"/>
    <s v="Q1-2024"/>
    <d v="2023-01-13T00:00:00"/>
    <s v="01-2023"/>
    <x v="0"/>
    <x v="6"/>
    <s v="Austin"/>
    <s v="Austin"/>
    <s v="Non-Profit"/>
    <s v="Online"/>
    <s v="Online"/>
    <s v="G. Dubois"/>
    <x v="11"/>
    <x v="2"/>
    <s v="Low"/>
    <s v="LAP-2846"/>
    <s v="C"/>
    <n v="160.82"/>
    <n v="258.52"/>
    <n v="258.52"/>
    <n v="0.13"/>
    <n v="0.13"/>
    <n v="0"/>
    <n v="17"/>
    <n v="3823.5108"/>
    <n v="2733.94"/>
    <n v="1089.5708"/>
    <n v="0.28496605789631874"/>
    <n v="10788980.938010005"/>
    <n v="0.98567601869627619"/>
  </r>
  <r>
    <s v="ORD-2023-536542"/>
    <d v="2023-06-10T00:00:00"/>
    <d v="2023-06-10T00:00:00"/>
    <d v="2023-06-18T00:00:00"/>
    <d v="2023-06-18T00:00:00"/>
    <n v="8"/>
    <n v="0"/>
    <s v="06-2023"/>
    <s v="Q2-2023"/>
    <d v="2023-01-20T00:00:00"/>
    <s v="01-2023"/>
    <x v="2"/>
    <x v="5"/>
    <s v="Nakuru"/>
    <s v="Nakuru"/>
    <s v="Enterprise"/>
    <s v="Direct"/>
    <s v="Direct"/>
    <s v="H. Kim"/>
    <x v="0"/>
    <x v="5"/>
    <s v="Medium"/>
    <s v="PHN-2337"/>
    <s v="C"/>
    <n v="894.23"/>
    <n v="1421.55"/>
    <n v="1421.55"/>
    <n v="0.109"/>
    <n v="0.109"/>
    <n v="0"/>
    <n v="3"/>
    <n v="3799.8031499999997"/>
    <n v="2682.69"/>
    <n v="1117.1131499999997"/>
    <n v="0.29399237431549574"/>
    <n v="10792780.741160005"/>
    <n v="0.98602316685255165"/>
  </r>
  <r>
    <s v="ORD-2025-364852"/>
    <d v="2025-05-18T00:00:00"/>
    <d v="2025-05-18T00:00:00"/>
    <d v="2025-06-09T00:00:00"/>
    <d v="2025-06-09T00:00:00"/>
    <n v="22"/>
    <n v="0"/>
    <s v="05-2025"/>
    <s v="Q2-2025"/>
    <d v="2023-01-13T00:00:00"/>
    <s v="01-2023"/>
    <x v="0"/>
    <x v="6"/>
    <s v="New York"/>
    <s v="New York"/>
    <s v="Consumer"/>
    <s v="Retail"/>
    <s v="Retail"/>
    <s v="H. Kim"/>
    <x v="0"/>
    <x v="1"/>
    <s v="Low"/>
    <s v="NET-3749"/>
    <s v="C"/>
    <n v="382.96"/>
    <n v="552.84"/>
    <n v="552.84"/>
    <n v="0.17599999999999999"/>
    <n v="0.17599999999999999"/>
    <n v="0"/>
    <n v="8"/>
    <n v="3644.3212800000006"/>
    <n v="3063.68"/>
    <n v="580.64128000000073"/>
    <n v="0.15932768693763483"/>
    <n v="10796425.062440006"/>
    <n v="0.98635611026127212"/>
  </r>
  <r>
    <s v="ORD-2024-320972"/>
    <d v="2024-11-08T00:00:00"/>
    <d v="2024-11-08T00:00:00"/>
    <d v="2024-11-08T00:00:00"/>
    <d v="2024-11-08T00:00:00"/>
    <n v="0"/>
    <n v="1"/>
    <s v="11-2024"/>
    <s v="Q4-2024"/>
    <d v="2023-01-20T00:00:00"/>
    <s v="01-2023"/>
    <x v="2"/>
    <x v="5"/>
    <s v="Nakuru"/>
    <s v="Nakuru"/>
    <s v="Enterprise"/>
    <s v="Marketplace"/>
    <s v="Marketplace"/>
    <s v="M. Rossi"/>
    <x v="6"/>
    <x v="1"/>
    <s v="Medium"/>
    <s v="NET-2628"/>
    <s v="C"/>
    <n v="803.28"/>
    <n v="1009"/>
    <n v="1009"/>
    <n v="0.11"/>
    <n v="0.11"/>
    <n v="0"/>
    <n v="4"/>
    <n v="3592.04"/>
    <n v="3213.12"/>
    <n v="378.92000000000007"/>
    <n v="0.10548880302001093"/>
    <n v="10800017.102440005"/>
    <n v="0.98668427727783647"/>
  </r>
  <r>
    <s v="ORD-2025-244832"/>
    <d v="2025-09-11T00:00:00"/>
    <d v="2025-09-11T00:00:00"/>
    <d v="2025-09-28T00:00:00"/>
    <d v="2025-09-28T00:00:00"/>
    <n v="17"/>
    <n v="0"/>
    <s v="09-2025"/>
    <s v="Q3-2025"/>
    <d v="2023-01-20T00:00:00"/>
    <s v="01-2023"/>
    <x v="2"/>
    <x v="5"/>
    <s v="Nairobi"/>
    <s v="Nairobi"/>
    <s v="Non-Profit"/>
    <s v="Distributor"/>
    <s v="Distributor"/>
    <s v="J. Njeri"/>
    <x v="8"/>
    <x v="2"/>
    <s v="Low"/>
    <s v="LAP-3278"/>
    <s v="C"/>
    <n v="891.46"/>
    <n v="728.61"/>
    <n v="728.61"/>
    <n v="0.185"/>
    <n v="0.185"/>
    <n v="0"/>
    <n v="6"/>
    <n v="3562.9028999999996"/>
    <n v="5348.76"/>
    <n v="1785.8571000000006"/>
    <n v="0.50123653383874167"/>
    <n v="10803580.005340004"/>
    <n v="0.98700978234320369"/>
  </r>
  <r>
    <s v="ORD-2023-651638"/>
    <d v="2023-06-17T00:00:00"/>
    <d v="2023-06-17T00:00:00"/>
    <d v="2023-06-24T00:00:00"/>
    <d v="2023-06-24T00:00:00"/>
    <n v="7"/>
    <n v="1"/>
    <s v="06-2023"/>
    <s v="Q2-2023"/>
    <d v="2023-01-13T00:00:00"/>
    <s v="01-2023"/>
    <x v="0"/>
    <x v="6"/>
    <s v="San Francisco"/>
    <s v="San Francisco"/>
    <s v="Corporate"/>
    <s v="Retail"/>
    <s v="Retail"/>
    <s v="I. Johnson"/>
    <x v="12"/>
    <x v="6"/>
    <s v="Low"/>
    <s v="PRN-6536"/>
    <s v="C"/>
    <n v="313.99"/>
    <n v="454.42"/>
    <n v="454.42"/>
    <n v="0.129"/>
    <n v="0.129"/>
    <n v="0"/>
    <n v="9"/>
    <n v="3562.1983800000003"/>
    <n v="2825.91"/>
    <n v="736.28838000000042"/>
    <n v="0.20669493988147858"/>
    <n v="10807142.203720005"/>
    <n v="0.9873352230439687"/>
  </r>
  <r>
    <s v="ORD-2024-961501"/>
    <d v="2024-03-02T00:00:00"/>
    <d v="2024-03-02T00:00:00"/>
    <d v="2024-03-23T00:00:00"/>
    <d v="2024-03-23T00:00:00"/>
    <n v="21"/>
    <n v="0"/>
    <s v="03-2024"/>
    <s v="Q1-2024"/>
    <d v="2023-01-13T00:00:00"/>
    <s v="01-2023"/>
    <x v="0"/>
    <x v="6"/>
    <s v="Chicago"/>
    <s v="Chicago"/>
    <s v="Small Business"/>
    <s v="Online"/>
    <s v="Online"/>
    <s v="F. Müller"/>
    <x v="9"/>
    <x v="0"/>
    <s v="Low"/>
    <s v="CMP-3223"/>
    <s v="C"/>
    <n v="225.01"/>
    <n v="333.48"/>
    <n v="333.48"/>
    <n v="0.11899999999999999"/>
    <n v="0.11899999999999999"/>
    <n v="0"/>
    <n v="12"/>
    <n v="3525.5505600000001"/>
    <n v="2700.12"/>
    <n v="825.43056000000024"/>
    <n v="0.23412813004729685"/>
    <n v="10810667.754280005"/>
    <n v="0.98765731561783265"/>
  </r>
  <r>
    <s v="ORD-2025-354346"/>
    <d v="2025-01-09T00:00:00"/>
    <d v="2025-01-09T00:00:00"/>
    <d v="2025-01-15T00:00:00"/>
    <d v="2025-01-15T00:00:00"/>
    <n v="6"/>
    <n v="1"/>
    <s v="01-2025"/>
    <s v="Q1-2025"/>
    <d v="2023-01-12T00:00:00"/>
    <s v="01-2023"/>
    <x v="3"/>
    <x v="10"/>
    <s v="Beijing"/>
    <s v="Beijing"/>
    <s v="Education"/>
    <s v="Online"/>
    <s v="Online"/>
    <s v="C. Otieno"/>
    <x v="5"/>
    <x v="5"/>
    <s v="Low"/>
    <s v="PHN-2875"/>
    <s v="C"/>
    <n v="304.77999999999997"/>
    <n v="537.27"/>
    <n v="537.27"/>
    <n v="0.187"/>
    <n v="0.187"/>
    <n v="0"/>
    <n v="8"/>
    <n v="3494.4040799999998"/>
    <n v="2438.2399999999998"/>
    <n v="1056.16408"/>
    <n v="0.3022444044307549"/>
    <n v="10814162.158360004"/>
    <n v="0.98797656266452594"/>
  </r>
  <r>
    <s v="ORD-2025-169093"/>
    <d v="2025-04-13T00:00:00"/>
    <d v="2025-04-13T00:00:00"/>
    <d v="2025-04-14T00:00:00"/>
    <d v="2025-04-14T00:00:00"/>
    <n v="1"/>
    <n v="1"/>
    <s v="04-2025"/>
    <s v="Q2-2025"/>
    <d v="2023-03-03T00:00:00"/>
    <s v="03-2023"/>
    <x v="3"/>
    <x v="7"/>
    <s v="Osaka"/>
    <s v="Osaka"/>
    <s v="Enterprise"/>
    <s v="Online"/>
    <s v="Online"/>
    <s v="G. Dubois"/>
    <x v="11"/>
    <x v="0"/>
    <s v="Low"/>
    <s v="CMP-6495"/>
    <s v="C"/>
    <n v="138.9"/>
    <n v="289.92"/>
    <n v="289.92"/>
    <n v="2.9000000000000001E-2"/>
    <n v="2.9000000000000001E-2"/>
    <n v="0"/>
    <n v="12"/>
    <n v="3378.1478400000001"/>
    <n v="1666.8000000000002"/>
    <n v="1711.3478399999999"/>
    <n v="0.50659353025828491"/>
    <n v="10817540.306200005"/>
    <n v="0.98828518859802517"/>
  </r>
  <r>
    <s v="ORD-2023-811823"/>
    <d v="2023-01-26T00:00:00"/>
    <d v="2023-01-26T00:00:00"/>
    <d v="2023-02-15T00:00:00"/>
    <d v="2023-02-15T00:00:00"/>
    <n v="20"/>
    <n v="0"/>
    <s v="01-2023"/>
    <s v="Q1-2023"/>
    <d v="2023-01-21T00:00:00"/>
    <s v="01-2023"/>
    <x v="1"/>
    <x v="4"/>
    <s v="Berlin"/>
    <s v="Berlin"/>
    <s v="Small Business"/>
    <s v="Online"/>
    <s v="Online"/>
    <s v="O. Wang"/>
    <x v="7"/>
    <x v="1"/>
    <s v="Low"/>
    <s v="NET-8787"/>
    <s v="C"/>
    <n v="492.62"/>
    <n v="366.7"/>
    <n v="366.7"/>
    <n v="8.8999999999999996E-2"/>
    <n v="8.8999999999999996E-2"/>
    <n v="0"/>
    <n v="10"/>
    <n v="3340.6370000000002"/>
    <n v="4926.2"/>
    <n v="1585.5629999999996"/>
    <n v="0.47462894052840809"/>
    <n v="10820880.943200005"/>
    <n v="0.98859038755953865"/>
  </r>
  <r>
    <s v="ORD-2023-602648"/>
    <d v="2023-06-20T00:00:00"/>
    <d v="2023-06-20T00:00:00"/>
    <d v="2023-07-08T00:00:00"/>
    <d v="2023-07-08T00:00:00"/>
    <n v="18"/>
    <n v="0"/>
    <s v="06-2023"/>
    <s v="Q2-2023"/>
    <d v="2023-01-13T00:00:00"/>
    <s v="01-2023"/>
    <x v="0"/>
    <x v="6"/>
    <s v="Austin"/>
    <s v="Austin"/>
    <s v="Non-Profit"/>
    <s v="Direct"/>
    <s v="Direct"/>
    <s v="F. Müller"/>
    <x v="9"/>
    <x v="3"/>
    <s v="Low"/>
    <s v="MON-4326"/>
    <s v="C"/>
    <n v="337"/>
    <n v="511.03"/>
    <n v="511.03"/>
    <n v="0.108"/>
    <n v="0.108"/>
    <n v="0"/>
    <n v="7"/>
    <n v="3190.8713200000002"/>
    <n v="2359"/>
    <n v="831.8713200000002"/>
    <n v="0.26070349963219458"/>
    <n v="10824071.814520005"/>
    <n v="0.98888190400181819"/>
  </r>
  <r>
    <s v="ORD-2024-892908"/>
    <d v="2024-07-13T00:00:00"/>
    <d v="2024-07-12T00:00:00"/>
    <d v="2024-07-12T00:00:00"/>
    <d v="2024-07-13T00:00:00"/>
    <n v="1"/>
    <n v="1"/>
    <s v="07-2024"/>
    <s v="Q3-2024"/>
    <d v="2023-03-03T00:00:00"/>
    <s v="03-2023"/>
    <x v="3"/>
    <x v="7"/>
    <s v="Nagoya"/>
    <s v="Nagoya"/>
    <s v="Small Business"/>
    <s v="Marketplace"/>
    <s v="Marketplace"/>
    <s v="F. Müller"/>
    <x v="9"/>
    <x v="1"/>
    <s v="Low"/>
    <s v="NET-9575"/>
    <s v="C"/>
    <n v="105.13"/>
    <n v="244.13"/>
    <n v="244.13"/>
    <n v="7.0999999999999994E-2"/>
    <n v="7.0999999999999994E-2"/>
    <n v="0"/>
    <n v="14"/>
    <n v="3175.1547799999998"/>
    <n v="1471.82"/>
    <n v="1703.3347799999999"/>
    <n v="0.53645724319618837"/>
    <n v="10827246.969300006"/>
    <n v="0.98917198458869449"/>
  </r>
  <r>
    <s v="ORD-2023-689428"/>
    <d v="2023-01-07T00:00:00"/>
    <d v="2023-01-07T00:00:00"/>
    <d v="2023-01-30T00:00:00"/>
    <d v="2023-01-30T00:00:00"/>
    <n v="23"/>
    <n v="0"/>
    <s v="01-2023"/>
    <s v="Q1-2023"/>
    <d v="2023-01-07T00:00:00"/>
    <s v="01-2023"/>
    <x v="2"/>
    <x v="8"/>
    <s v="Cape Town"/>
    <s v="Cape Town"/>
    <s v="Consumer"/>
    <s v="Online"/>
    <s v="Online"/>
    <s v="A. Patel"/>
    <x v="2"/>
    <x v="6"/>
    <s v="Low"/>
    <s v="PRN-4787"/>
    <s v="C"/>
    <n v="299.02"/>
    <n v="724.7"/>
    <n v="724.7"/>
    <n v="0.14000000000000001"/>
    <n v="0.14000000000000001"/>
    <n v="0"/>
    <n v="5"/>
    <n v="3116.21"/>
    <n v="1495.1"/>
    <n v="1621.1100000000001"/>
    <n v="0.52021847051386139"/>
    <n v="10830363.179300006"/>
    <n v="0.98945668000931586"/>
  </r>
  <r>
    <s v="ORD-2023-660608"/>
    <d v="2023-07-25T00:00:00"/>
    <d v="2023-07-25T00:00:00"/>
    <d v="2023-08-10T00:00:00"/>
    <d v="2023-08-10T00:00:00"/>
    <n v="16"/>
    <n v="0"/>
    <s v="07-2023"/>
    <s v="Q3-2023"/>
    <d v="2023-01-13T00:00:00"/>
    <s v="01-2023"/>
    <x v="2"/>
    <x v="2"/>
    <s v="Port Harcourt"/>
    <s v="Port Harcourt"/>
    <s v="Corporate"/>
    <s v="Distributor"/>
    <s v="Distributor"/>
    <s v="I. Johnson"/>
    <x v="12"/>
    <x v="4"/>
    <s v="Low"/>
    <s v="ACC-8178"/>
    <s v="C"/>
    <n v="506.83"/>
    <n v="441.74"/>
    <n v="441.74"/>
    <n v="0.24"/>
    <n v="0.24"/>
    <n v="1"/>
    <n v="9"/>
    <n v="3021.5016000000001"/>
    <n v="4561.47"/>
    <n v="1539.9684000000002"/>
    <n v="0.50966989393618067"/>
    <n v="10833384.680900006"/>
    <n v="0.98973272291686043"/>
  </r>
  <r>
    <s v="ORD-2025-861401"/>
    <d v="2025-04-01T00:00:00"/>
    <d v="2025-04-01T00:00:00"/>
    <d v="2025-04-27T00:00:00"/>
    <d v="2025-04-27T00:00:00"/>
    <n v="26"/>
    <n v="0"/>
    <s v="04-2025"/>
    <s v="Q2-2025"/>
    <d v="2023-01-13T00:00:00"/>
    <s v="01-2023"/>
    <x v="0"/>
    <x v="6"/>
    <s v="San Francisco"/>
    <s v="San Francisco"/>
    <s v="Corporate"/>
    <s v="Direct"/>
    <s v="Direct"/>
    <s v="I. Johnson"/>
    <x v="12"/>
    <x v="3"/>
    <s v="Low"/>
    <s v="MON-9319"/>
    <s v="C"/>
    <n v="156.55000000000001"/>
    <n v="227.45"/>
    <n v="227.45"/>
    <n v="1.4E-2"/>
    <n v="1.4E-2"/>
    <n v="0"/>
    <n v="13"/>
    <n v="2915.4540999999999"/>
    <n v="2035.15"/>
    <n v="880.30409999999983"/>
    <n v="0.3019440779396938"/>
    <n v="10836300.135000005"/>
    <n v="0.98999907737670156"/>
  </r>
  <r>
    <s v="ORD-2024-853298"/>
    <d v="2024-03-06T00:00:00"/>
    <d v="2024-03-06T00:00:00"/>
    <d v="2024-03-26T00:00:00"/>
    <d v="2024-03-26T00:00:00"/>
    <n v="20"/>
    <n v="0"/>
    <s v="03-2024"/>
    <s v="Q1-2024"/>
    <d v="2023-01-13T00:00:00"/>
    <s v="01-2023"/>
    <x v="2"/>
    <x v="2"/>
    <s v="Port Harcourt"/>
    <s v="Port Harcourt"/>
    <s v="Consumer"/>
    <s v="Marketplace"/>
    <s v="Marketplace"/>
    <s v="I. Johnson"/>
    <x v="12"/>
    <x v="5"/>
    <s v="Low"/>
    <s v="PHN-4741"/>
    <s v="C"/>
    <n v="65.64"/>
    <n v="151.88"/>
    <n v="151.88"/>
    <n v="0.16700000000000001"/>
    <n v="0.16700000000000001"/>
    <n v="0"/>
    <n v="23"/>
    <n v="2909.8689199999999"/>
    <n v="1509.72"/>
    <n v="1400.1489199999999"/>
    <n v="0.48117250587356353"/>
    <n v="10839210.003920006"/>
    <n v="0.99026492157723112"/>
  </r>
  <r>
    <s v="ORD-2024-336584"/>
    <d v="2024-12-27T00:00:00"/>
    <d v="2024-12-27T00:00:00"/>
    <d v="2025-01-14T00:00:00"/>
    <d v="2025-01-14T00:00:00"/>
    <n v="18"/>
    <n v="0"/>
    <s v="12-2024"/>
    <s v="Q4-2024"/>
    <d v="2023-01-29T00:00:00"/>
    <s v="01-2023"/>
    <x v="3"/>
    <x v="3"/>
    <s v="Bengaluru"/>
    <s v="Bengaluru"/>
    <s v="Small Business"/>
    <s v="Marketplace"/>
    <s v="Marketplace"/>
    <s v="E. Garcia"/>
    <x v="14"/>
    <x v="3"/>
    <s v="Medium"/>
    <s v="MON-8629"/>
    <s v="C"/>
    <n v="586.07000000000005"/>
    <n v="845.97"/>
    <n v="845.97"/>
    <n v="0.14699999999999999"/>
    <n v="0.14699999999999999"/>
    <n v="0"/>
    <n v="4"/>
    <n v="2886.4496399999998"/>
    <n v="2344.2800000000002"/>
    <n v="542.16963999999962"/>
    <n v="0.18783270370862928"/>
    <n v="10842096.453560006"/>
    <n v="0.99052862620380056"/>
  </r>
  <r>
    <s v="ORD-2024-423853"/>
    <d v="2024-09-03T00:00:00"/>
    <d v="2024-09-03T00:00:00"/>
    <d v="2024-09-08T00:00:00"/>
    <d v="2024-09-08T00:00:00"/>
    <n v="5"/>
    <n v="1"/>
    <s v="09-2024"/>
    <s v="Q3-2024"/>
    <d v="2023-01-13T00:00:00"/>
    <s v="01-2023"/>
    <x v="2"/>
    <x v="2"/>
    <s v="Lagos"/>
    <s v="Lagos"/>
    <s v="Small Business"/>
    <s v="Direct"/>
    <s v="Direct"/>
    <s v="K. Singh"/>
    <x v="3"/>
    <x v="6"/>
    <s v="Low"/>
    <s v="PRN-1141"/>
    <s v="C"/>
    <n v="197.63"/>
    <n v="325.79000000000002"/>
    <n v="325.79000000000002"/>
    <n v="0.11600000000000001"/>
    <n v="0.11600000000000001"/>
    <n v="0"/>
    <n v="10"/>
    <n v="2879.9836"/>
    <n v="1976.3"/>
    <n v="903.68360000000007"/>
    <n v="0.31378081458519419"/>
    <n v="10844976.437160006"/>
    <n v="0.99079174009611981"/>
  </r>
  <r>
    <s v="ORD-2023-156396"/>
    <d v="2023-02-21T00:00:00"/>
    <d v="2023-02-21T00:00:00"/>
    <d v="2023-03-12T00:00:00"/>
    <d v="2023-03-12T00:00:00"/>
    <n v="19"/>
    <n v="0"/>
    <s v="02-2023"/>
    <s v="Q1-2023"/>
    <d v="2023-01-20T00:00:00"/>
    <s v="01-2023"/>
    <x v="2"/>
    <x v="5"/>
    <s v="Nakuru"/>
    <s v="Nakuru"/>
    <s v="Corporate"/>
    <s v="Online"/>
    <s v="Online"/>
    <s v="F. Müller"/>
    <x v="9"/>
    <x v="1"/>
    <s v="Low"/>
    <s v="NET-2499"/>
    <s v="C"/>
    <n v="352.65"/>
    <n v="485.86"/>
    <n v="485.86"/>
    <n v="4.1000000000000002E-2"/>
    <n v="4.1000000000000002E-2"/>
    <n v="0"/>
    <n v="6"/>
    <n v="2795.6384399999997"/>
    <n v="2115.8999999999996"/>
    <n v="679.73844000000008"/>
    <n v="0.24314247159943908"/>
    <n v="10847772.075600006"/>
    <n v="0.99104714825589746"/>
  </r>
  <r>
    <s v="ORD-2024-266562"/>
    <d v="2024-11-27T00:00:00"/>
    <d v="2024-11-27T00:00:00"/>
    <d v="2024-12-24T00:00:00"/>
    <d v="2024-12-24T00:00:00"/>
    <n v="27"/>
    <n v="0"/>
    <s v="11-2024"/>
    <s v="Q4-2024"/>
    <d v="2023-01-20T00:00:00"/>
    <s v="01-2023"/>
    <x v="2"/>
    <x v="5"/>
    <s v="Mombasa"/>
    <s v="Mombasa"/>
    <s v="Corporate"/>
    <s v="Distributor"/>
    <s v="Distributor"/>
    <s v="B. Chen"/>
    <x v="1"/>
    <x v="6"/>
    <s v="Low"/>
    <s v="PRN-5569"/>
    <s v="C"/>
    <n v="143.33000000000001"/>
    <n v="233.51"/>
    <n v="233.51"/>
    <n v="0.16300000000000001"/>
    <n v="0.16300000000000001"/>
    <n v="0"/>
    <n v="14"/>
    <n v="2736.27018"/>
    <n v="2006.6200000000001"/>
    <n v="729.65017999999986"/>
    <n v="0.26665867476580835"/>
    <n v="10850508.345780006"/>
    <n v="0.99129713256049456"/>
  </r>
  <r>
    <s v="ORD-2024-787018"/>
    <d v="2024-06-23T00:00:00"/>
    <d v="2024-06-23T00:00:00"/>
    <d v="2024-06-28T00:00:00"/>
    <d v="2024-06-28T00:00:00"/>
    <n v="5"/>
    <n v="1"/>
    <s v="06-2024"/>
    <s v="Q2-2024"/>
    <d v="2023-01-13T00:00:00"/>
    <s v="01-2023"/>
    <x v="2"/>
    <x v="2"/>
    <s v="Port Harcourt"/>
    <s v="Port Harcourt"/>
    <s v="Non-Profit"/>
    <s v="Direct"/>
    <s v="Direct"/>
    <s v="M. Rossi"/>
    <x v="6"/>
    <x v="4"/>
    <s v="Low"/>
    <s v="ACC-7671"/>
    <s v="C"/>
    <n v="242.31"/>
    <n v="587.95000000000005"/>
    <n v="587.95000000000005"/>
    <n v="0.22900000000000001"/>
    <n v="0.22900000000000001"/>
    <n v="1"/>
    <n v="6"/>
    <n v="2719.8567000000003"/>
    <n v="1453.8600000000001"/>
    <n v="1265.9967000000001"/>
    <n v="0.46546448568411714"/>
    <n v="10853228.202480005"/>
    <n v="0.99154561733759106"/>
  </r>
  <r>
    <s v="ORD-2024-605518"/>
    <d v="2024-05-30T00:00:00"/>
    <d v="2024-05-30T00:00:00"/>
    <d v="2024-06-13T00:00:00"/>
    <d v="2024-06-13T00:00:00"/>
    <n v="14"/>
    <n v="0"/>
    <s v="05-2024"/>
    <s v="Q2-2024"/>
    <d v="2023-01-13T00:00:00"/>
    <s v="01-2023"/>
    <x v="0"/>
    <x v="6"/>
    <s v="San Francisco"/>
    <s v="San Francisco"/>
    <s v="Small Business"/>
    <s v="Retail"/>
    <s v="Retail"/>
    <s v="F. Müller"/>
    <x v="9"/>
    <x v="5"/>
    <s v="Low"/>
    <s v="PHN-4356"/>
    <s v="C"/>
    <n v="157.78"/>
    <n v="361.1"/>
    <n v="361.1"/>
    <n v="0.187"/>
    <n v="0.187"/>
    <n v="0"/>
    <n v="9"/>
    <n v="2642.1686999999997"/>
    <n v="1420.02"/>
    <n v="1222.1486999999997"/>
    <n v="0.46255513510549112"/>
    <n v="10855870.371180005"/>
    <n v="0.99178700457702584"/>
  </r>
  <r>
    <s v="ORD-2023-659070"/>
    <d v="2023-10-21T00:00:00"/>
    <d v="2023-10-21T00:00:00"/>
    <d v="2023-10-21T00:00:00"/>
    <d v="2023-10-21T00:00:00"/>
    <n v="0"/>
    <n v="1"/>
    <s v="10-2023"/>
    <s v="Q4-2023"/>
    <d v="2023-01-19T00:00:00"/>
    <s v="01-2023"/>
    <x v="1"/>
    <x v="1"/>
    <s v="Manchester"/>
    <s v="Manchester"/>
    <s v="Enterprise"/>
    <s v="Distributor"/>
    <s v="Distributor"/>
    <s v="J. Njeri"/>
    <x v="8"/>
    <x v="3"/>
    <s v="Low"/>
    <s v="MON-8697"/>
    <s v="C"/>
    <n v="384.19"/>
    <n v="278.35000000000002"/>
    <n v="278.35000000000002"/>
    <n v="5.6000000000000001E-2"/>
    <n v="5.6000000000000001E-2"/>
    <n v="0"/>
    <n v="10"/>
    <n v="2627.6239999999998"/>
    <n v="3841.9"/>
    <n v="1214.2760000000003"/>
    <n v="0.46211938998882657"/>
    <n v="10858497.995180005"/>
    <n v="0.99202706301978627"/>
  </r>
  <r>
    <s v="ORD-2025-653781"/>
    <d v="2025-01-11T00:00:00"/>
    <d v="2025-01-11T00:00:00"/>
    <d v="2025-01-23T00:00:00"/>
    <d v="2025-01-23T00:00:00"/>
    <n v="12"/>
    <n v="0"/>
    <s v="01-2025"/>
    <s v="Q1-2025"/>
    <d v="2023-01-13T00:00:00"/>
    <s v="01-2023"/>
    <x v="0"/>
    <x v="6"/>
    <s v="Austin"/>
    <s v="Austin"/>
    <s v="Consumer"/>
    <s v="Distributor"/>
    <s v="Distributor"/>
    <s v="H. Kim"/>
    <x v="0"/>
    <x v="5"/>
    <s v="Low"/>
    <s v="PHN-6307"/>
    <s v="C"/>
    <n v="100.69"/>
    <n v="226.14"/>
    <n v="226.14"/>
    <n v="6.5000000000000002E-2"/>
    <n v="6.5000000000000002E-2"/>
    <n v="0"/>
    <n v="12"/>
    <n v="2537.2908000000002"/>
    <n v="1208.28"/>
    <n v="1329.0108000000002"/>
    <n v="0.52379128162999689"/>
    <n v="10861035.285980005"/>
    <n v="0.99225886866560098"/>
  </r>
  <r>
    <s v="ORD-2024-307849"/>
    <d v="2024-08-10T00:00:00"/>
    <d v="2024-08-10T00:00:00"/>
    <d v="2024-09-07T00:00:00"/>
    <d v="2024-09-07T00:00:00"/>
    <n v="28"/>
    <n v="0"/>
    <s v="08-2024"/>
    <s v="Q3-2024"/>
    <d v="2023-01-10T00:00:00"/>
    <s v="01-2023"/>
    <x v="1"/>
    <x v="11"/>
    <s v="Marseille"/>
    <s v="Marseille"/>
    <s v="Non-Profit"/>
    <s v="Direct"/>
    <s v="Direct"/>
    <s v="F. Müller"/>
    <x v="9"/>
    <x v="6"/>
    <s v="Low"/>
    <s v="PRN-1183"/>
    <s v="C"/>
    <n v="229.96"/>
    <n v="564.26"/>
    <n v="564.26"/>
    <n v="0.105"/>
    <n v="0.105"/>
    <n v="0"/>
    <n v="5"/>
    <n v="2525.0635000000002"/>
    <n v="1149.8"/>
    <n v="1375.2635000000002"/>
    <n v="0.54464511486542821"/>
    <n v="10863560.349480005"/>
    <n v="0.99248955723127141"/>
  </r>
  <r>
    <s v="ORD-2025-578007"/>
    <d v="2025-01-21T00:00:00"/>
    <d v="2025-01-21T00:00:00"/>
    <d v="2025-02-16T00:00:00"/>
    <d v="2025-02-16T00:00:00"/>
    <n v="26"/>
    <n v="0"/>
    <s v="01-2025"/>
    <s v="Q1-2025"/>
    <d v="2023-01-10T00:00:00"/>
    <s v="01-2023"/>
    <x v="1"/>
    <x v="11"/>
    <s v="Lyon"/>
    <s v="Lyon"/>
    <s v="Corporate"/>
    <s v="Distributor"/>
    <s v="Distributor"/>
    <s v="O. Wang"/>
    <x v="7"/>
    <x v="2"/>
    <s v="Low"/>
    <s v="LAP-3779"/>
    <s v="C"/>
    <n v="204.11"/>
    <n v="236.87"/>
    <n v="236.87"/>
    <n v="0.182"/>
    <n v="0.182"/>
    <n v="0"/>
    <n v="13"/>
    <n v="2518.8755800000004"/>
    <n v="2653.4300000000003"/>
    <n v="134.55441999999994"/>
    <n v="5.3418446337075494E-2"/>
    <n v="10866079.225060005"/>
    <n v="0.99271968047159886"/>
  </r>
  <r>
    <s v="ORD-2023-256951"/>
    <d v="2023-04-19T00:00:00"/>
    <d v="2023-04-19T00:00:00"/>
    <d v="2023-05-07T00:00:00"/>
    <d v="2023-05-07T00:00:00"/>
    <n v="18"/>
    <n v="0"/>
    <s v="04-2023"/>
    <s v="Q2-2023"/>
    <d v="2023-01-19T00:00:00"/>
    <s v="01-2023"/>
    <x v="1"/>
    <x v="1"/>
    <s v="London"/>
    <s v="London"/>
    <s v="Non-Profit"/>
    <s v="Direct"/>
    <s v="Direct"/>
    <s v="H. Kim"/>
    <x v="0"/>
    <x v="1"/>
    <s v="Low"/>
    <s v="NET-2439"/>
    <s v="C"/>
    <n v="516.96"/>
    <n v="745.38"/>
    <n v="745.38"/>
    <n v="0.19700000000000001"/>
    <n v="0.19700000000000001"/>
    <n v="0"/>
    <n v="4"/>
    <n v="2394.1605599999998"/>
    <n v="2067.84"/>
    <n v="326.32055999999966"/>
    <n v="0.13629852794835101"/>
    <n v="10868473.385620005"/>
    <n v="0.99293840980873083"/>
  </r>
  <r>
    <s v="ORD-2024-153053"/>
    <d v="2024-01-12T00:00:00"/>
    <d v="2024-01-12T00:00:00"/>
    <d v="2024-01-29T00:00:00"/>
    <d v="2024-01-29T00:00:00"/>
    <n v="17"/>
    <n v="0"/>
    <s v="01-2024"/>
    <s v="Q1-2024"/>
    <d v="2023-01-29T00:00:00"/>
    <s v="01-2023"/>
    <x v="3"/>
    <x v="3"/>
    <s v="Hyderabad"/>
    <s v="Hyderabad"/>
    <s v="Small Business"/>
    <s v="Direct"/>
    <s v="Direct"/>
    <s v="B. Chen"/>
    <x v="1"/>
    <x v="0"/>
    <s v="Low"/>
    <s v="CMP-5138"/>
    <s v="C"/>
    <n v="310.02"/>
    <n v="619.51"/>
    <n v="619.51"/>
    <n v="4.2000000000000003E-2"/>
    <n v="4.2000000000000003E-2"/>
    <n v="0"/>
    <n v="4"/>
    <n v="2373.9623200000001"/>
    <n v="1240.08"/>
    <n v="1133.8823200000002"/>
    <n v="0.47763282106347843"/>
    <n v="10870847.347940005"/>
    <n v="0.99315529384454082"/>
  </r>
  <r>
    <s v="ORD-2025-907040"/>
    <d v="2025-04-17T00:00:00"/>
    <d v="2025-04-17T00:00:00"/>
    <d v="2025-05-03T00:00:00"/>
    <d v="2025-05-03T00:00:00"/>
    <n v="16"/>
    <n v="0"/>
    <s v="04-2025"/>
    <s v="Q2-2025"/>
    <d v="2023-01-29T00:00:00"/>
    <s v="01-2023"/>
    <x v="0"/>
    <x v="9"/>
    <s v="Rio de Janeiro"/>
    <s v="Rio de Janeiro"/>
    <s v="Consumer"/>
    <s v="Marketplace"/>
    <s v="Marketplace"/>
    <s v="J. Njeri"/>
    <x v="8"/>
    <x v="1"/>
    <s v="Low"/>
    <s v="NET-8610"/>
    <s v="C"/>
    <n v="168.68"/>
    <n v="413.34"/>
    <n v="413.34"/>
    <n v="0.186"/>
    <n v="0.186"/>
    <n v="0"/>
    <n v="7"/>
    <n v="2355.2113199999999"/>
    <n v="1180.76"/>
    <n v="1174.4513199999999"/>
    <n v="0.49866069767361682"/>
    <n v="10873202.559260005"/>
    <n v="0.99337046479816693"/>
  </r>
  <r>
    <s v="ORD-2024-942981"/>
    <d v="2024-10-09T00:00:00"/>
    <d v="2024-10-09T00:00:00"/>
    <d v="2024-11-08T00:00:00"/>
    <d v="2024-11-08T00:00:00"/>
    <n v="30"/>
    <n v="0"/>
    <s v="10-2024"/>
    <s v="Q4-2024"/>
    <d v="2023-01-19T00:00:00"/>
    <s v="01-2023"/>
    <x v="1"/>
    <x v="1"/>
    <s v="Manchester"/>
    <s v="Manchester"/>
    <s v="Small Business"/>
    <s v="Distributor"/>
    <s v="Distributor"/>
    <s v="J. Njeri"/>
    <x v="8"/>
    <x v="0"/>
    <s v="Low"/>
    <s v="CMP-1072"/>
    <s v="C"/>
    <n v="343.85"/>
    <n v="538.04"/>
    <n v="538.04"/>
    <n v="0.13900000000000001"/>
    <n v="0.13900000000000001"/>
    <n v="0"/>
    <n v="5"/>
    <n v="2316.2621999999997"/>
    <n v="1719.25"/>
    <n v="597.01219999999967"/>
    <n v="0.25774810813732563"/>
    <n v="10875518.821460005"/>
    <n v="0.99358207737925042"/>
  </r>
  <r>
    <s v="ORD-2023-613317"/>
    <d v="2023-01-22T00:00:00"/>
    <d v="2023-01-21T00:00:00"/>
    <d v="2023-01-21T00:00:00"/>
    <d v="2023-01-22T00:00:00"/>
    <n v="1"/>
    <n v="1"/>
    <s v="01-2023"/>
    <s v="Q1-2023"/>
    <d v="2023-01-21T00:00:00"/>
    <s v="01-2023"/>
    <x v="1"/>
    <x v="4"/>
    <s v="Munich"/>
    <s v="Munich"/>
    <s v="Corporate"/>
    <s v="Direct"/>
    <s v="Direct"/>
    <s v="F. Müller"/>
    <x v="9"/>
    <x v="3"/>
    <s v="Low"/>
    <s v="MON-2537"/>
    <s v="C"/>
    <n v="150.86000000000001"/>
    <n v="346.96"/>
    <n v="346.96"/>
    <n v="0.19600000000000001"/>
    <n v="0.19600000000000001"/>
    <n v="0"/>
    <n v="8"/>
    <n v="2231.6467200000002"/>
    <n v="1206.8800000000001"/>
    <n v="1024.7667200000001"/>
    <n v="0.45919755614365343"/>
    <n v="10877750.468180005"/>
    <n v="0.99378595953148929"/>
  </r>
  <r>
    <s v="ORD-2023-898009"/>
    <d v="2023-05-04T00:00:00"/>
    <d v="2023-05-04T00:00:00"/>
    <d v="2023-05-16T00:00:00"/>
    <d v="2023-05-16T00:00:00"/>
    <n v="12"/>
    <n v="0"/>
    <s v="05-2023"/>
    <s v="Q2-2023"/>
    <d v="2023-01-13T00:00:00"/>
    <s v="01-2023"/>
    <x v="2"/>
    <x v="2"/>
    <s v="Abuja"/>
    <s v="Abuja"/>
    <s v="Small Business"/>
    <s v="Marketplace"/>
    <s v="Marketplace"/>
    <s v="J. Njeri"/>
    <x v="8"/>
    <x v="5"/>
    <s v="Low"/>
    <s v="PHN-1670"/>
    <s v="C"/>
    <n v="77.739999999999995"/>
    <n v="147.12"/>
    <n v="147.12"/>
    <n v="0"/>
    <n v="0"/>
    <n v="0"/>
    <n v="15"/>
    <n v="2206.8000000000002"/>
    <n v="1166.0999999999999"/>
    <n v="1040.7000000000003"/>
    <n v="0.47158781946710177"/>
    <n v="10879957.268180005"/>
    <n v="0.99398757169954832"/>
  </r>
  <r>
    <s v="ORD-2025-460466"/>
    <d v="2025-02-07T00:00:00"/>
    <d v="2025-02-07T00:00:00"/>
    <d v="2025-02-16T00:00:00"/>
    <d v="2025-02-16T00:00:00"/>
    <n v="9"/>
    <n v="0"/>
    <s v="02-2025"/>
    <s v="Q1-2025"/>
    <d v="2023-01-13T00:00:00"/>
    <s v="01-2023"/>
    <x v="2"/>
    <x v="2"/>
    <s v="Lagos"/>
    <s v="Lagos"/>
    <s v="Small Business"/>
    <s v="Distributor"/>
    <s v="Distributor"/>
    <s v="C. Otieno"/>
    <x v="5"/>
    <x v="6"/>
    <s v="Low"/>
    <s v="PRN-1882"/>
    <s v="C"/>
    <n v="90.68"/>
    <n v="118.17"/>
    <n v="118.17"/>
    <n v="0.13500000000000001"/>
    <n v="0.13500000000000001"/>
    <n v="0"/>
    <n v="21"/>
    <n v="2146.5580500000001"/>
    <n v="1904.2800000000002"/>
    <n v="242.27804999999989"/>
    <n v="0.11286815653552899"/>
    <n v="10882103.826230004"/>
    <n v="0.99418368019253578"/>
  </r>
  <r>
    <s v="ORD-2025-649239"/>
    <d v="2025-01-17T00:00:00"/>
    <d v="2025-01-17T00:00:00"/>
    <d v="2025-01-24T00:00:00"/>
    <d v="2025-01-24T00:00:00"/>
    <n v="7"/>
    <n v="1"/>
    <s v="01-2025"/>
    <s v="Q1-2025"/>
    <d v="2023-01-13T00:00:00"/>
    <s v="01-2023"/>
    <x v="0"/>
    <x v="6"/>
    <s v="Austin"/>
    <s v="Austin"/>
    <s v="Enterprise"/>
    <s v="Online"/>
    <s v="Online"/>
    <s v="G. Dubois"/>
    <x v="11"/>
    <x v="4"/>
    <s v="Low"/>
    <s v="ACC-4511"/>
    <s v="C"/>
    <n v="142.09"/>
    <n v="218.5"/>
    <n v="218.5"/>
    <n v="0.11899999999999999"/>
    <n v="0.11899999999999999"/>
    <n v="0"/>
    <n v="11"/>
    <n v="2117.4834999999998"/>
    <n v="1562.99"/>
    <n v="554.49349999999981"/>
    <n v="0.26186437816398561"/>
    <n v="10884221.309730005"/>
    <n v="0.9943771324488635"/>
  </r>
  <r>
    <s v="ORD-2024-838925"/>
    <d v="2024-01-28T00:00:00"/>
    <d v="2024-01-27T00:00:00"/>
    <d v="2024-01-27T00:00:00"/>
    <d v="2024-01-28T00:00:00"/>
    <n v="1"/>
    <n v="1"/>
    <s v="01-2024"/>
    <s v="Q1-2024"/>
    <d v="2023-01-07T00:00:00"/>
    <s v="01-2023"/>
    <x v="2"/>
    <x v="8"/>
    <s v="Cape Town"/>
    <s v="Cape Town"/>
    <s v="Enterprise"/>
    <s v="Direct"/>
    <s v="Direct"/>
    <s v="O. Wang"/>
    <x v="7"/>
    <x v="0"/>
    <s v="Low"/>
    <s v="CMP-1470"/>
    <s v="C"/>
    <n v="109.75"/>
    <n v="124.25"/>
    <n v="124.25"/>
    <n v="0.12"/>
    <n v="0.12"/>
    <n v="0"/>
    <n v="19"/>
    <n v="2077.46"/>
    <n v="2085.25"/>
    <n v="7.7899999999999636"/>
    <n v="3.7497713554051405E-3"/>
    <n v="10886298.769730005"/>
    <n v="0.99456692817781767"/>
  </r>
  <r>
    <s v="ORD-2023-603238"/>
    <d v="2023-08-21T00:00:00"/>
    <d v="2023-08-21T00:00:00"/>
    <d v="2023-09-04T00:00:00"/>
    <d v="2023-09-04T00:00:00"/>
    <n v="14"/>
    <n v="0"/>
    <s v="08-2023"/>
    <s v="Q3-2023"/>
    <d v="2023-01-02T00:00:00"/>
    <s v="01-2023"/>
    <x v="0"/>
    <x v="0"/>
    <s v="Montreal"/>
    <s v="Montreal"/>
    <s v="Education"/>
    <s v="Distributor"/>
    <s v="Distributor"/>
    <s v="F. Müller"/>
    <x v="9"/>
    <x v="0"/>
    <s v="Low"/>
    <s v="CMP-2136"/>
    <s v="C"/>
    <n v="178.19"/>
    <n v="284.43"/>
    <n v="284.43"/>
    <n v="8.8999999999999996E-2"/>
    <n v="8.8999999999999996E-2"/>
    <n v="0"/>
    <n v="8"/>
    <n v="2072.9258400000003"/>
    <n v="1425.52"/>
    <n v="647.40584000000035"/>
    <n v="0.31231500302972742"/>
    <n v="10888371.695570005"/>
    <n v="0.994756309668133"/>
  </r>
  <r>
    <s v="ORD-2023-933238"/>
    <d v="2023-03-17T00:00:00"/>
    <d v="2023-03-17T00:00:00"/>
    <d v="2023-04-06T00:00:00"/>
    <d v="2023-04-06T00:00:00"/>
    <n v="20"/>
    <n v="0"/>
    <s v="03-2023"/>
    <s v="Q1-2023"/>
    <d v="2023-01-21T00:00:00"/>
    <s v="01-2023"/>
    <x v="1"/>
    <x v="4"/>
    <s v="Munich"/>
    <s v="Munich"/>
    <s v="Consumer"/>
    <s v="Retail"/>
    <s v="Retail"/>
    <s v="O. Wang"/>
    <x v="7"/>
    <x v="5"/>
    <s v="Medium"/>
    <s v="PHN-8483"/>
    <s v="C"/>
    <n v="692.18"/>
    <n v="1159.3499999999999"/>
    <n v="1159.3499999999999"/>
    <n v="0.112"/>
    <n v="0.112"/>
    <n v="0"/>
    <n v="2"/>
    <n v="2059.0056"/>
    <n v="1384.36"/>
    <n v="674.64560000000006"/>
    <n v="0.32765602968734037"/>
    <n v="10890430.701170005"/>
    <n v="0.99494441941213396"/>
  </r>
  <r>
    <s v="ORD-2024-970848"/>
    <d v="2024-05-23T00:00:00"/>
    <d v="2024-05-23T00:00:00"/>
    <d v="2024-06-03T00:00:00"/>
    <d v="2024-06-03T00:00:00"/>
    <n v="11"/>
    <n v="0"/>
    <s v="05-2024"/>
    <s v="Q2-2024"/>
    <d v="2023-01-07T00:00:00"/>
    <s v="01-2023"/>
    <x v="2"/>
    <x v="8"/>
    <s v="Johannesburg"/>
    <s v="Johannesburg"/>
    <s v="Small Business"/>
    <s v="Distributor"/>
    <s v="Distributor"/>
    <s v="F. Müller"/>
    <x v="9"/>
    <x v="6"/>
    <s v="Low"/>
    <s v="PRN-3785"/>
    <s v="C"/>
    <n v="180.89"/>
    <n v="249.57"/>
    <n v="249.57"/>
    <n v="2.1999999999999999E-2"/>
    <n v="2.1999999999999999E-2"/>
    <n v="0"/>
    <n v="8"/>
    <n v="1952.6356799999999"/>
    <n v="1447.12"/>
    <n v="505.51567999999997"/>
    <n v="0.25888888806948362"/>
    <n v="10892383.336850004"/>
    <n v="0.99512281125229796"/>
  </r>
  <r>
    <s v="ORD-2024-581530"/>
    <d v="2024-09-07T00:00:00"/>
    <d v="2024-09-07T00:00:00"/>
    <d v="2024-09-18T00:00:00"/>
    <d v="2024-09-18T00:00:00"/>
    <n v="11"/>
    <n v="0"/>
    <s v="09-2024"/>
    <s v="Q3-2024"/>
    <d v="2023-01-12T00:00:00"/>
    <s v="01-2023"/>
    <x v="3"/>
    <x v="10"/>
    <s v="Beijing"/>
    <s v="Beijing"/>
    <s v="Consumer"/>
    <s v="Distributor"/>
    <s v="Distributor"/>
    <s v="O. Wang"/>
    <x v="7"/>
    <x v="1"/>
    <s v="Low"/>
    <s v="NET-7998"/>
    <s v="C"/>
    <n v="181.74"/>
    <n v="190.84"/>
    <n v="190.84"/>
    <n v="0.214"/>
    <n v="0.214"/>
    <n v="1"/>
    <n v="13"/>
    <n v="1950.0031200000001"/>
    <n v="2362.62"/>
    <n v="412.61687999999981"/>
    <n v="0.21159806144310159"/>
    <n v="10894333.339970004"/>
    <n v="0.99530096258306877"/>
  </r>
  <r>
    <s v="ORD-2023-769774"/>
    <d v="2023-06-13T00:00:00"/>
    <d v="2023-06-13T00:00:00"/>
    <d v="2023-06-24T00:00:00"/>
    <d v="2023-06-24T00:00:00"/>
    <n v="11"/>
    <n v="0"/>
    <s v="06-2023"/>
    <s v="Q2-2023"/>
    <d v="2023-01-02T00:00:00"/>
    <s v="01-2023"/>
    <x v="0"/>
    <x v="0"/>
    <s v="Toronto"/>
    <s v="Toronto"/>
    <s v="Corporate"/>
    <s v="Online"/>
    <s v="Online"/>
    <s v="C. Otieno"/>
    <x v="5"/>
    <x v="6"/>
    <s v="Low"/>
    <s v="PRN-8008"/>
    <s v="C"/>
    <n v="247.07"/>
    <n v="495.19"/>
    <n v="495.19"/>
    <n v="2.8000000000000001E-2"/>
    <n v="2.8000000000000001E-2"/>
    <n v="0"/>
    <n v="4"/>
    <n v="1925.29872"/>
    <n v="988.28"/>
    <n v="937.01872000000003"/>
    <n v="0.48668744764968214"/>
    <n v="10896258.638690004"/>
    <n v="0.9954768569319451"/>
  </r>
  <r>
    <s v="ORD-2025-306251"/>
    <d v="2025-04-10T00:00:00"/>
    <d v="2025-04-10T00:00:00"/>
    <d v="2025-04-19T00:00:00"/>
    <d v="2025-04-19T00:00:00"/>
    <n v="9"/>
    <n v="0"/>
    <s v="04-2025"/>
    <s v="Q2-2025"/>
    <d v="2023-01-07T00:00:00"/>
    <s v="01-2023"/>
    <x v="2"/>
    <x v="8"/>
    <s v="Durban"/>
    <s v="Durban"/>
    <s v="Enterprise"/>
    <m/>
    <s v="Distributor"/>
    <s v="G. Dubois"/>
    <x v="11"/>
    <x v="1"/>
    <s v="Low"/>
    <s v="NET-5270"/>
    <s v="C"/>
    <n v="113.74"/>
    <n v="165.7"/>
    <n v="165.7"/>
    <n v="0.124"/>
    <n v="0.124"/>
    <n v="0"/>
    <n v="13"/>
    <n v="1886.9915999999998"/>
    <n v="1478.62"/>
    <n v="408.37159999999994"/>
    <n v="0.21641410592394794"/>
    <n v="10898145.630290003"/>
    <n v="0.99564925156108453"/>
  </r>
  <r>
    <s v="ORD-2025-419532"/>
    <d v="2025-08-06T00:00:00"/>
    <d v="2025-08-06T00:00:00"/>
    <d v="2025-08-23T00:00:00"/>
    <d v="2025-08-23T00:00:00"/>
    <n v="17"/>
    <n v="0"/>
    <s v="08-2025"/>
    <s v="Q3-2025"/>
    <d v="2023-01-29T00:00:00"/>
    <s v="01-2023"/>
    <x v="0"/>
    <x v="9"/>
    <s v="Brasília"/>
    <s v="Brasília"/>
    <s v="Consumer"/>
    <s v="Distributor"/>
    <s v="Distributor"/>
    <s v="A. Patel"/>
    <x v="2"/>
    <x v="3"/>
    <s v="Low"/>
    <s v="MON-4317"/>
    <s v="C"/>
    <n v="86.64"/>
    <n v="213.06"/>
    <n v="213.06"/>
    <n v="0.21199999999999999"/>
    <n v="0.21199999999999999"/>
    <n v="1"/>
    <n v="11"/>
    <n v="1846.8040799999999"/>
    <n v="953.04"/>
    <n v="893.76407999999992"/>
    <n v="0.48395175735154322"/>
    <n v="10899992.434370004"/>
    <n v="0.99581797467806343"/>
  </r>
  <r>
    <s v="ORD-2025-496178"/>
    <d v="2025-07-27T00:00:00"/>
    <d v="2025-07-27T00:00:00"/>
    <d v="2025-08-15T00:00:00"/>
    <d v="2025-08-15T00:00:00"/>
    <n v="19"/>
    <n v="0"/>
    <s v="07-2025"/>
    <s v="Q3-2025"/>
    <d v="2023-03-03T00:00:00"/>
    <s v="03-2023"/>
    <x v="3"/>
    <x v="7"/>
    <s v="Tokyo"/>
    <s v="Tokyo"/>
    <s v="Small Business"/>
    <s v="Marketplace"/>
    <s v="Marketplace"/>
    <s v="J. Njeri"/>
    <x v="8"/>
    <x v="0"/>
    <s v="Low"/>
    <s v="CMP-5658"/>
    <s v="C"/>
    <n v="275.43"/>
    <n v="608.36"/>
    <n v="608.36"/>
    <n v="0.25700000000000001"/>
    <n v="0.25700000000000001"/>
    <n v="1"/>
    <n v="4"/>
    <n v="1808.04592"/>
    <n v="1101.72"/>
    <n v="706.32592"/>
    <n v="0.39065706915231446"/>
    <n v="10901800.480290003"/>
    <n v="0.99598315686851169"/>
  </r>
  <r>
    <s v="ORD-2023-856322"/>
    <d v="2023-01-29T00:00:00"/>
    <d v="2023-01-29T00:00:00"/>
    <d v="2023-02-06T00:00:00"/>
    <d v="2023-02-06T00:00:00"/>
    <n v="8"/>
    <n v="0"/>
    <s v="01-2023"/>
    <s v="Q1-2023"/>
    <d v="2023-01-29T00:00:00"/>
    <s v="01-2023"/>
    <x v="0"/>
    <x v="9"/>
    <s v="Brasília"/>
    <s v="Brasília"/>
    <s v="Corporate"/>
    <s v="Marketplace"/>
    <s v="Marketplace"/>
    <s v="D. Smith"/>
    <x v="10"/>
    <x v="3"/>
    <s v="Low"/>
    <s v="MON-7207"/>
    <s v="C"/>
    <n v="41.84"/>
    <n v="86.2"/>
    <n v="86.2"/>
    <n v="0.22600000000000001"/>
    <n v="0.22600000000000001"/>
    <n v="1"/>
    <n v="27"/>
    <n v="1801.4076000000002"/>
    <n v="1129.68"/>
    <n v="671.72760000000017"/>
    <n v="0.37289039970742882"/>
    <n v="10903601.887890004"/>
    <n v="0.99614773258529343"/>
  </r>
  <r>
    <s v="ORD-2025-586799"/>
    <d v="2025-07-14T00:00:00"/>
    <d v="2025-07-14T00:00:00"/>
    <d v="2025-08-04T00:00:00"/>
    <d v="2025-08-04T00:00:00"/>
    <n v="21"/>
    <n v="0"/>
    <s v="07-2025"/>
    <s v="Q3-2025"/>
    <d v="2023-01-02T00:00:00"/>
    <s v="01-2023"/>
    <x v="0"/>
    <x v="0"/>
    <s v="Montreal"/>
    <s v="Montreal"/>
    <s v="Consumer"/>
    <s v="Online"/>
    <s v="Online"/>
    <s v="H. Kim"/>
    <x v="0"/>
    <x v="3"/>
    <s v="Low"/>
    <s v="MON-7868"/>
    <s v="C"/>
    <n v="90.3"/>
    <n v="131.76"/>
    <n v="131.76"/>
    <n v="0.10199999999999999"/>
    <n v="0.10199999999999999"/>
    <n v="0"/>
    <n v="15"/>
    <n v="1774.8072"/>
    <n v="1354.5"/>
    <n v="420.30719999999997"/>
    <n v="0.23681851189244668"/>
    <n v="10905376.695090003"/>
    <n v="0.99630987810254856"/>
  </r>
  <r>
    <s v="ORD-2024-788105"/>
    <d v="2024-11-30T00:00:00"/>
    <d v="2024-11-30T00:00:00"/>
    <d v="2024-12-30T00:00:00"/>
    <d v="2024-12-30T00:00:00"/>
    <n v="30"/>
    <n v="0"/>
    <s v="11-2024"/>
    <s v="Q4-2024"/>
    <d v="2023-01-10T00:00:00"/>
    <s v="01-2023"/>
    <x v="1"/>
    <x v="11"/>
    <s v="Marseille"/>
    <s v="Marseille"/>
    <s v="Consumer"/>
    <s v="Marketplace"/>
    <s v="Marketplace"/>
    <s v="F. Müller"/>
    <x v="9"/>
    <x v="6"/>
    <s v="Low"/>
    <s v="PRN-4170"/>
    <s v="C"/>
    <n v="117.64"/>
    <n v="175.67"/>
    <n v="175.67"/>
    <n v="0"/>
    <n v="0"/>
    <n v="0"/>
    <n v="10"/>
    <n v="1756.6999999999998"/>
    <n v="1176.4000000000001"/>
    <n v="580.29999999999973"/>
    <n v="0.33033528775545046"/>
    <n v="10907133.395090003"/>
    <n v="0.99647036935487276"/>
  </r>
  <r>
    <s v="ORD-2023-539967"/>
    <d v="2023-07-09T00:00:00"/>
    <d v="2023-07-09T00:00:00"/>
    <d v="2023-07-19T00:00:00"/>
    <d v="2023-07-19T00:00:00"/>
    <n v="10"/>
    <n v="0"/>
    <s v="07-2023"/>
    <s v="Q3-2023"/>
    <d v="2023-03-03T00:00:00"/>
    <s v="03-2023"/>
    <x v="3"/>
    <x v="7"/>
    <s v="Tokyo"/>
    <s v="Tokyo"/>
    <s v="Enterprise"/>
    <s v="Distributor"/>
    <s v="Distributor"/>
    <s v="N. Brown"/>
    <x v="13"/>
    <x v="0"/>
    <s v="Low"/>
    <s v="CMP-6649"/>
    <s v="C"/>
    <n v="141.26"/>
    <n v="206.88"/>
    <n v="206.88"/>
    <n v="0.107"/>
    <n v="0.107"/>
    <n v="0"/>
    <n v="9"/>
    <n v="1662.6945600000001"/>
    <n v="1271.3399999999999"/>
    <n v="391.35456000000022"/>
    <n v="0.23537369365062469"/>
    <n v="10908796.089650003"/>
    <n v="0.99662227231620204"/>
  </r>
  <r>
    <s v="ORD-2024-792558"/>
    <d v="2024-10-16T00:00:00"/>
    <d v="2024-10-16T00:00:00"/>
    <d v="2024-11-08T00:00:00"/>
    <d v="2024-11-08T00:00:00"/>
    <n v="23"/>
    <n v="0"/>
    <s v="10-2024"/>
    <s v="Q4-2024"/>
    <d v="2023-03-03T00:00:00"/>
    <s v="03-2023"/>
    <x v="3"/>
    <x v="7"/>
    <s v="Osaka"/>
    <s v="Osaka"/>
    <s v="Small Business"/>
    <s v="Retail"/>
    <s v="Retail"/>
    <s v="J. Njeri"/>
    <x v="8"/>
    <x v="1"/>
    <s v="Low"/>
    <s v="NET-6387"/>
    <s v="C"/>
    <n v="82.14"/>
    <n v="166.04"/>
    <n v="166.04"/>
    <n v="0"/>
    <n v="0"/>
    <n v="0"/>
    <n v="10"/>
    <n v="1660.3999999999999"/>
    <n v="821.4"/>
    <n v="838.99999999999989"/>
    <n v="0.50529992772825827"/>
    <n v="10910456.489650004"/>
    <n v="0.99677396564765264"/>
  </r>
  <r>
    <s v="ORD-2025-863978"/>
    <d v="2025-08-07T00:00:00"/>
    <d v="2025-08-07T00:00:00"/>
    <d v="2025-08-19T00:00:00"/>
    <d v="2025-08-19T00:00:00"/>
    <n v="12"/>
    <n v="0"/>
    <s v="08-2025"/>
    <s v="Q3-2025"/>
    <d v="2023-01-20T00:00:00"/>
    <s v="01-2023"/>
    <x v="2"/>
    <x v="5"/>
    <s v="Nakuru"/>
    <s v="Nakuru"/>
    <s v="Corporate"/>
    <m/>
    <s v="Distributor"/>
    <s v="M. Rossi"/>
    <x v="6"/>
    <x v="0"/>
    <s v="Low"/>
    <s v="CMP-2854"/>
    <s v="C"/>
    <n v="601.51"/>
    <n v="679.35"/>
    <n v="679.35"/>
    <n v="0.188"/>
    <n v="0.188"/>
    <n v="0"/>
    <n v="3"/>
    <n v="1654.8966000000003"/>
    <n v="1804.53"/>
    <n v="149.63339999999971"/>
    <n v="9.0418579626062243E-2"/>
    <n v="10912111.386250004"/>
    <n v="0.9969251561911725"/>
  </r>
  <r>
    <s v="ORD-2025-138578"/>
    <d v="2025-04-09T00:00:00"/>
    <d v="2025-04-09T00:00:00"/>
    <d v="2025-04-12T00:00:00"/>
    <d v="2025-04-12T00:00:00"/>
    <n v="3"/>
    <n v="1"/>
    <s v="04-2025"/>
    <s v="Q2-2025"/>
    <d v="2023-01-10T00:00:00"/>
    <s v="01-2023"/>
    <x v="1"/>
    <x v="11"/>
    <s v="Lyon"/>
    <s v="Lyon"/>
    <s v="Small Business"/>
    <s v="Distributor"/>
    <s v="Distributor"/>
    <s v="H. Kim"/>
    <x v="0"/>
    <x v="3"/>
    <s v="Low"/>
    <s v="MON-5276"/>
    <s v="C"/>
    <n v="86.68"/>
    <n v="213.32"/>
    <n v="213.32"/>
    <n v="3.7999999999999999E-2"/>
    <n v="3.7999999999999999E-2"/>
    <n v="0"/>
    <n v="8"/>
    <n v="1641.7107199999998"/>
    <n v="693.44"/>
    <n v="948.27071999999976"/>
    <n v="0.57761133459614611"/>
    <n v="10913753.096970005"/>
    <n v="0.99707514207914827"/>
  </r>
  <r>
    <s v="ORD-2024-247032"/>
    <d v="2024-04-21T00:00:00"/>
    <d v="2024-04-21T00:00:00"/>
    <d v="2024-05-19T00:00:00"/>
    <d v="2024-05-19T00:00:00"/>
    <n v="28"/>
    <n v="0"/>
    <s v="04-2024"/>
    <s v="Q2-2024"/>
    <d v="2023-01-13T00:00:00"/>
    <s v="01-2023"/>
    <x v="2"/>
    <x v="2"/>
    <s v="Lagos"/>
    <s v="Lagos"/>
    <s v="Corporate"/>
    <s v="Distributor"/>
    <s v="Distributor"/>
    <s v="A. Patel"/>
    <x v="2"/>
    <x v="4"/>
    <s v="Low"/>
    <s v="ACC-2990"/>
    <s v="C"/>
    <n v="187.22"/>
    <n v="309.47000000000003"/>
    <n v="309.47000000000003"/>
    <n v="0"/>
    <n v="0"/>
    <n v="0"/>
    <n v="5"/>
    <n v="1547.3500000000001"/>
    <n v="936.1"/>
    <n v="611.25000000000011"/>
    <n v="0.39503021294471197"/>
    <n v="10915300.446970005"/>
    <n v="0.99721650721792199"/>
  </r>
  <r>
    <s v="ORD-2023-975863"/>
    <d v="2023-11-20T00:00:00"/>
    <d v="2023-11-20T00:00:00"/>
    <d v="2023-12-05T00:00:00"/>
    <d v="2023-12-05T00:00:00"/>
    <n v="15"/>
    <n v="0"/>
    <s v="11-2023"/>
    <s v="Q4-2023"/>
    <d v="2023-03-03T00:00:00"/>
    <s v="03-2023"/>
    <x v="3"/>
    <x v="7"/>
    <s v="Tokyo"/>
    <s v="Tokyo"/>
    <s v="Enterprise"/>
    <s v="Retail"/>
    <s v="Retail"/>
    <s v="L. Okafor"/>
    <x v="4"/>
    <x v="1"/>
    <s v="Low"/>
    <s v="NET-3033"/>
    <s v="C"/>
    <n v="354.24"/>
    <n v="249.87"/>
    <n v="249.87"/>
    <n v="0"/>
    <n v="0"/>
    <n v="0"/>
    <n v="6"/>
    <n v="1499.22"/>
    <n v="2125.44"/>
    <n v="626.22"/>
    <n v="0.41769720254532355"/>
    <n v="10916799.666970005"/>
    <n v="0.99735347522344919"/>
  </r>
  <r>
    <s v="ORD-2024-232632"/>
    <d v="2024-02-14T00:00:00"/>
    <d v="2024-02-14T00:00:00"/>
    <d v="2024-02-14T00:00:00"/>
    <d v="2024-02-14T00:00:00"/>
    <n v="0"/>
    <n v="1"/>
    <s v="02-2024"/>
    <s v="Q1-2024"/>
    <d v="2023-01-12T00:00:00"/>
    <s v="01-2023"/>
    <x v="3"/>
    <x v="10"/>
    <s v="Beijing"/>
    <s v="Beijing"/>
    <s v="Corporate"/>
    <s v="Distributor"/>
    <s v="Distributor"/>
    <s v="L. Okafor"/>
    <x v="4"/>
    <x v="4"/>
    <s v="Low"/>
    <s v="ACC-1021"/>
    <s v="C"/>
    <n v="65.930000000000007"/>
    <n v="84.9"/>
    <n v="84.9"/>
    <n v="0.25900000000000001"/>
    <n v="0.25900000000000001"/>
    <n v="1"/>
    <n v="23"/>
    <n v="1446.9507000000001"/>
    <n v="1516.39"/>
    <n v="69.439300000000003"/>
    <n v="4.7990093926489688E-2"/>
    <n v="10918246.617670005"/>
    <n v="0.99748566793130744"/>
  </r>
  <r>
    <s v="ORD-2024-225829"/>
    <d v="2024-11-07T00:00:00"/>
    <d v="2024-11-07T00:00:00"/>
    <d v="2024-11-26T00:00:00"/>
    <d v="2024-11-26T00:00:00"/>
    <n v="19"/>
    <n v="0"/>
    <s v="11-2024"/>
    <s v="Q4-2024"/>
    <d v="2023-01-29T00:00:00"/>
    <s v="01-2023"/>
    <x v="0"/>
    <x v="9"/>
    <s v="Rio de Janeiro"/>
    <s v="Rio de Janeiro"/>
    <s v="Non-Profit"/>
    <s v="Distributor"/>
    <s v="Distributor"/>
    <s v="J. Njeri"/>
    <x v="8"/>
    <x v="6"/>
    <s v="Low"/>
    <s v="PRN-9960"/>
    <s v="C"/>
    <n v="55.35"/>
    <n v="128.68"/>
    <n v="128.68"/>
    <n v="0.128"/>
    <n v="0.128"/>
    <n v="0"/>
    <n v="10"/>
    <n v="1122.0896000000002"/>
    <n v="553.5"/>
    <n v="568.58960000000025"/>
    <n v="0.50672388372550647"/>
    <n v="10919368.707270006"/>
    <n v="0.99758818148804684"/>
  </r>
  <r>
    <s v="ORD-2023-766015"/>
    <d v="2023-04-13T00:00:00"/>
    <d v="2023-04-11T00:00:00"/>
    <d v="2023-04-11T00:00:00"/>
    <d v="2023-04-13T00:00:00"/>
    <n v="2"/>
    <n v="1"/>
    <s v="04-2023"/>
    <s v="Q2-2023"/>
    <d v="2023-01-13T00:00:00"/>
    <s v="01-2023"/>
    <x v="0"/>
    <x v="6"/>
    <s v="San Francisco"/>
    <s v="San Francisco"/>
    <s v="Education"/>
    <s v="Marketplace"/>
    <s v="Marketplace"/>
    <s v="G. Dubois"/>
    <x v="11"/>
    <x v="1"/>
    <s v="Low"/>
    <s v="NET-1816"/>
    <s v="C"/>
    <n v="32.1"/>
    <n v="70.599999999999994"/>
    <n v="70.599999999999994"/>
    <n v="0.28199999999999997"/>
    <n v="0.28199999999999997"/>
    <n v="1"/>
    <n v="22"/>
    <n v="1115.1975999999997"/>
    <n v="706.2"/>
    <n v="408.99759999999969"/>
    <n v="0.36674899587301818"/>
    <n v="10920483.904870005"/>
    <n v="0.99769006539503891"/>
  </r>
  <r>
    <s v="ORD-2025-752845"/>
    <d v="2025-03-30T00:00:00"/>
    <d v="2025-03-30T00:00:00"/>
    <d v="2025-04-07T00:00:00"/>
    <d v="2025-04-07T00:00:00"/>
    <n v="8"/>
    <n v="0"/>
    <s v="03-2025"/>
    <s v="Q1-2025"/>
    <d v="2023-01-29T00:00:00"/>
    <s v="01-2023"/>
    <x v="0"/>
    <x v="9"/>
    <s v="São Paulo"/>
    <s v="São Paulo"/>
    <s v="Non-Profit"/>
    <s v="Direct"/>
    <s v="Direct"/>
    <s v="L. Okafor"/>
    <x v="4"/>
    <x v="6"/>
    <s v="Low"/>
    <s v="PRN-8763"/>
    <s v="C"/>
    <n v="71.62"/>
    <n v="118.37"/>
    <n v="118.37"/>
    <n v="0.156"/>
    <n v="0.156"/>
    <n v="0"/>
    <n v="11"/>
    <n v="1098.9470800000001"/>
    <n v="787.82"/>
    <n v="311.12708000000009"/>
    <n v="0.28311379652603474"/>
    <n v="10921582.851950005"/>
    <n v="0.99779046466247623"/>
  </r>
  <r>
    <s v="ORD-2025-189846"/>
    <d v="2025-08-11T00:00:00"/>
    <d v="2025-08-11T00:00:00"/>
    <d v="2025-08-28T00:00:00"/>
    <d v="2025-08-28T00:00:00"/>
    <n v="17"/>
    <n v="0"/>
    <s v="08-2025"/>
    <s v="Q3-2025"/>
    <d v="2023-01-10T00:00:00"/>
    <s v="01-2023"/>
    <x v="1"/>
    <x v="11"/>
    <s v="Paris"/>
    <s v="Paris"/>
    <s v="Education"/>
    <s v="Online"/>
    <s v="Online"/>
    <s v="F. Müller"/>
    <x v="9"/>
    <x v="1"/>
    <s v="Low"/>
    <s v="NET-6218"/>
    <s v="C"/>
    <n v="416.16"/>
    <n v="571.9"/>
    <n v="571.9"/>
    <n v="7.0999999999999994E-2"/>
    <n v="7.0999999999999994E-2"/>
    <n v="0"/>
    <n v="2"/>
    <n v="1062.5902000000001"/>
    <n v="832.32"/>
    <n v="230.27020000000005"/>
    <n v="0.21670649701079497"/>
    <n v="10922645.442150004"/>
    <n v="0.9978875423831487"/>
  </r>
  <r>
    <s v="ORD-2023-755337"/>
    <d v="2023-09-08T00:00:00"/>
    <d v="2023-09-08T00:00:00"/>
    <d v="2023-09-14T00:00:00"/>
    <d v="2023-09-14T00:00:00"/>
    <n v="6"/>
    <n v="1"/>
    <s v="09-2023"/>
    <s v="Q3-2023"/>
    <d v="2023-01-20T00:00:00"/>
    <s v="01-2023"/>
    <x v="2"/>
    <x v="5"/>
    <s v="Nakuru"/>
    <s v="Nakuru"/>
    <s v="Education"/>
    <s v="Direct"/>
    <s v="Direct"/>
    <s v="I. Johnson"/>
    <x v="12"/>
    <x v="4"/>
    <s v="Low"/>
    <s v="ACC-4766"/>
    <s v="C"/>
    <n v="251.03"/>
    <n v="411.48"/>
    <n v="411.48"/>
    <n v="0.16500000000000001"/>
    <n v="0.16500000000000001"/>
    <n v="0"/>
    <n v="3"/>
    <n v="1030.7574"/>
    <n v="753.09"/>
    <n v="277.66739999999993"/>
    <n v="0.26938191275658069"/>
    <n v="10923676.199550005"/>
    <n v="0.99798171187479134"/>
  </r>
  <r>
    <s v="ORD-2025-828263"/>
    <d v="2025-05-17T00:00:00"/>
    <d v="2025-05-17T00:00:00"/>
    <d v="2025-05-30T00:00:00"/>
    <d v="2025-05-30T00:00:00"/>
    <n v="13"/>
    <n v="0"/>
    <s v="05-2025"/>
    <s v="Q2-2025"/>
    <d v="2023-01-13T00:00:00"/>
    <s v="01-2023"/>
    <x v="2"/>
    <x v="2"/>
    <s v="Lagos"/>
    <s v="Lagos"/>
    <s v="Consumer"/>
    <s v="Distributor"/>
    <s v="Distributor"/>
    <s v="F. Müller"/>
    <x v="9"/>
    <x v="4"/>
    <s v="Low"/>
    <s v="ACC-3349"/>
    <s v="C"/>
    <n v="66.400000000000006"/>
    <n v="141.43"/>
    <n v="141.43"/>
    <n v="0.107"/>
    <n v="0.107"/>
    <n v="0"/>
    <n v="8"/>
    <n v="1010.3759200000001"/>
    <n v="531.20000000000005"/>
    <n v="479.17592000000002"/>
    <n v="0.47425508715607551"/>
    <n v="10924686.575470004"/>
    <n v="0.9980740193243951"/>
  </r>
  <r>
    <s v="ORD-2024-641220"/>
    <d v="2024-05-10T00:00:00"/>
    <d v="2024-05-10T00:00:00"/>
    <d v="2024-05-16T00:00:00"/>
    <d v="2024-05-16T00:00:00"/>
    <n v="6"/>
    <n v="1"/>
    <s v="05-2024"/>
    <s v="Q2-2024"/>
    <d v="2023-01-19T00:00:00"/>
    <s v="01-2023"/>
    <x v="1"/>
    <x v="1"/>
    <s v="Birmingham"/>
    <s v="Birmingham"/>
    <s v="Non-Profit"/>
    <s v="Direct"/>
    <s v="Direct"/>
    <s v="G. Dubois"/>
    <x v="11"/>
    <x v="2"/>
    <s v="Low"/>
    <s v="LAP-1066"/>
    <s v="C"/>
    <n v="210.76"/>
    <n v="221.58"/>
    <n v="221.58"/>
    <n v="8.8999999999999996E-2"/>
    <n v="8.8999999999999996E-2"/>
    <n v="0"/>
    <n v="5"/>
    <n v="1009.2969000000002"/>
    <n v="1053.8"/>
    <n v="44.50309999999979"/>
    <n v="4.4093170205912434E-2"/>
    <n v="10925695.872370005"/>
    <n v="0.99816622819525991"/>
  </r>
  <r>
    <s v="ORD-2023-704111"/>
    <d v="2023-05-17T00:00:00"/>
    <d v="2023-05-17T00:00:00"/>
    <d v="2023-06-15T00:00:00"/>
    <d v="2023-06-15T00:00:00"/>
    <n v="29"/>
    <n v="0"/>
    <s v="05-2023"/>
    <s v="Q2-2023"/>
    <d v="2023-01-07T00:00:00"/>
    <s v="01-2023"/>
    <x v="2"/>
    <x v="8"/>
    <s v="Durban"/>
    <s v="Durban"/>
    <s v="Enterprise"/>
    <s v="Retail"/>
    <s v="Retail"/>
    <s v="K. Singh"/>
    <x v="3"/>
    <x v="4"/>
    <s v="Low"/>
    <s v="ACC-5206"/>
    <s v="C"/>
    <n v="40.89"/>
    <n v="62.82"/>
    <n v="62.82"/>
    <n v="0.129"/>
    <n v="0.129"/>
    <n v="0"/>
    <n v="17"/>
    <n v="930.17574000000002"/>
    <n v="695.13"/>
    <n v="235.04574000000002"/>
    <n v="0.25268960465470752"/>
    <n v="10926626.048110005"/>
    <n v="0.99825120859566641"/>
  </r>
  <r>
    <s v="ORD-2023-271918"/>
    <d v="2023-09-25T00:00:00"/>
    <d v="2023-09-25T00:00:00"/>
    <d v="2023-10-02T00:00:00"/>
    <d v="2023-10-02T00:00:00"/>
    <n v="7"/>
    <n v="1"/>
    <s v="09-2023"/>
    <s v="Q3-2023"/>
    <d v="2023-01-13T00:00:00"/>
    <s v="01-2023"/>
    <x v="0"/>
    <x v="6"/>
    <s v="New York"/>
    <s v="New York"/>
    <s v="Education"/>
    <s v="Marketplace"/>
    <s v="Marketplace"/>
    <s v="I. Johnson"/>
    <x v="12"/>
    <x v="4"/>
    <s v="Low"/>
    <s v="ACC-3551"/>
    <s v="C"/>
    <n v="145.58000000000001"/>
    <n v="228.15"/>
    <n v="228.15"/>
    <n v="0.20399999999999999"/>
    <n v="0.20399999999999999"/>
    <n v="1"/>
    <n v="5"/>
    <n v="908.03700000000003"/>
    <n v="727.90000000000009"/>
    <n v="180.13699999999994"/>
    <n v="0.19838068272548359"/>
    <n v="10927534.085110005"/>
    <n v="0.99833416641162065"/>
  </r>
  <r>
    <s v="ORD-2024-403664"/>
    <d v="2024-05-23T00:00:00"/>
    <d v="2024-05-23T00:00:00"/>
    <d v="2024-06-06T00:00:00"/>
    <d v="2024-06-06T00:00:00"/>
    <n v="14"/>
    <n v="0"/>
    <s v="05-2024"/>
    <s v="Q2-2024"/>
    <d v="2023-01-29T00:00:00"/>
    <s v="01-2023"/>
    <x v="0"/>
    <x v="9"/>
    <s v="Rio de Janeiro"/>
    <s v="Rio de Janeiro"/>
    <s v="Non-Profit"/>
    <s v="Online"/>
    <s v="Online"/>
    <s v="I. Johnson"/>
    <x v="12"/>
    <x v="1"/>
    <s v="Low"/>
    <s v="NET-1166"/>
    <s v="C"/>
    <n v="51.13"/>
    <n v="57.53"/>
    <n v="57.53"/>
    <n v="4.4999999999999998E-2"/>
    <n v="4.4999999999999998E-2"/>
    <n v="0"/>
    <n v="16"/>
    <n v="879.05840000000001"/>
    <n v="818.08"/>
    <n v="60.978399999999965"/>
    <n v="6.9367859973808302E-2"/>
    <n v="10928413.143510005"/>
    <n v="0.99841447675686013"/>
  </r>
  <r>
    <s v="ORD-2023-125739"/>
    <d v="2023-05-01T00:00:00"/>
    <d v="2023-05-01T00:00:00"/>
    <d v="2023-05-18T00:00:00"/>
    <d v="2023-05-18T00:00:00"/>
    <n v="17"/>
    <n v="0"/>
    <s v="05-2023"/>
    <s v="Q2-2023"/>
    <d v="2023-01-13T00:00:00"/>
    <s v="01-2023"/>
    <x v="2"/>
    <x v="2"/>
    <s v="Port Harcourt"/>
    <s v="Port Harcourt"/>
    <s v="Corporate"/>
    <s v="Direct"/>
    <s v="Direct"/>
    <s v="F. Müller"/>
    <x v="9"/>
    <x v="0"/>
    <s v="Low"/>
    <s v="CMP-5633"/>
    <s v="C"/>
    <n v="327.97"/>
    <n v="299.94"/>
    <n v="299.94"/>
    <n v="4.9000000000000002E-2"/>
    <n v="4.9000000000000002E-2"/>
    <n v="0"/>
    <n v="3"/>
    <n v="855.72881999999993"/>
    <n v="983.91000000000008"/>
    <n v="128.18118000000015"/>
    <n v="0.14979182306843442"/>
    <n v="10929268.872330004"/>
    <n v="0.99849265572308754"/>
  </r>
  <r>
    <s v="ORD-2025-537785"/>
    <d v="2025-08-05T00:00:00"/>
    <d v="2025-08-05T00:00:00"/>
    <d v="2025-08-14T00:00:00"/>
    <d v="2025-08-14T00:00:00"/>
    <n v="9"/>
    <n v="0"/>
    <s v="08-2025"/>
    <s v="Q3-2025"/>
    <d v="2023-01-19T00:00:00"/>
    <s v="01-2023"/>
    <x v="1"/>
    <x v="1"/>
    <s v="London"/>
    <s v="London"/>
    <s v="Non-Profit"/>
    <s v="Direct"/>
    <s v="Direct"/>
    <s v="E. Garcia"/>
    <x v="14"/>
    <x v="0"/>
    <s v="Low"/>
    <s v="CMP-6346"/>
    <s v="C"/>
    <n v="41.76"/>
    <n v="45.19"/>
    <n v="45.19"/>
    <n v="0.17899999999999999"/>
    <n v="0.17899999999999999"/>
    <n v="0"/>
    <n v="23"/>
    <n v="853.32276999999988"/>
    <n v="960.4799999999999"/>
    <n v="107.15723000000003"/>
    <n v="0.12557643340514638"/>
    <n v="10930122.195100004"/>
    <n v="0.99857061487376442"/>
  </r>
  <r>
    <s v="ORD-2024-930679"/>
    <d v="2024-12-17T00:00:00"/>
    <d v="2024-12-17T00:00:00"/>
    <d v="2025-01-16T00:00:00"/>
    <d v="2025-01-16T00:00:00"/>
    <n v="30"/>
    <n v="0"/>
    <s v="12-2024"/>
    <s v="Q4-2024"/>
    <d v="2023-01-19T00:00:00"/>
    <s v="01-2023"/>
    <x v="1"/>
    <x v="1"/>
    <s v="Manchester"/>
    <s v="Manchester"/>
    <s v="Corporate"/>
    <s v="Retail"/>
    <s v="Retail"/>
    <s v="D. Smith"/>
    <x v="10"/>
    <x v="3"/>
    <s v="Low"/>
    <s v="MON-4215"/>
    <s v="C"/>
    <n v="722.87"/>
    <n v="-33.659999999999997"/>
    <n v="33.659999999999997"/>
    <n v="0.10199999999999999"/>
    <n v="0.10199999999999999"/>
    <n v="0"/>
    <n v="28"/>
    <n v="846.34703999999988"/>
    <n v="20240.36"/>
    <n v="19394.01296"/>
    <n v="22.914965189693348"/>
    <n v="10930968.542140003"/>
    <n v="0.99864793672516217"/>
  </r>
  <r>
    <s v="ORD-2025-177994"/>
    <d v="2025-03-24T00:00:00"/>
    <d v="2025-03-24T00:00:00"/>
    <d v="2025-04-04T00:00:00"/>
    <d v="2025-04-04T00:00:00"/>
    <n v="11"/>
    <n v="0"/>
    <s v="03-2025"/>
    <s v="Q1-2025"/>
    <d v="2023-01-29T00:00:00"/>
    <s v="01-2023"/>
    <x v="3"/>
    <x v="3"/>
    <s v="Mumbai"/>
    <s v="Mumbai"/>
    <s v="Education"/>
    <s v="Marketplace"/>
    <s v="Marketplace"/>
    <s v="J. Njeri"/>
    <x v="8"/>
    <x v="5"/>
    <s v="Low"/>
    <s v="PHN-4395"/>
    <s v="C"/>
    <n v="23.83"/>
    <n v="47.29"/>
    <n v="47.29"/>
    <n v="6.4000000000000001E-2"/>
    <n v="6.4000000000000001E-2"/>
    <n v="0"/>
    <n v="19"/>
    <n v="841.00536"/>
    <n v="452.77"/>
    <n v="388.23536000000001"/>
    <n v="0.46163244429262618"/>
    <n v="10931809.547500003"/>
    <n v="0.99872477056328923"/>
  </r>
  <r>
    <s v="ORD-2025-698069"/>
    <d v="2025-06-03T00:00:00"/>
    <d v="2025-06-03T00:00:00"/>
    <d v="2025-06-10T00:00:00"/>
    <d v="2025-06-10T00:00:00"/>
    <n v="7"/>
    <n v="1"/>
    <s v="06-2025"/>
    <s v="Q2-2025"/>
    <d v="2023-01-02T00:00:00"/>
    <s v="01-2023"/>
    <x v="0"/>
    <x v="0"/>
    <s v="Toronto"/>
    <s v="Toronto"/>
    <s v="Consumer"/>
    <s v="Distributor"/>
    <s v="Distributor"/>
    <s v="O. Wang"/>
    <x v="7"/>
    <x v="6"/>
    <s v="Low"/>
    <s v="PRN-6429"/>
    <s v="C"/>
    <n v="75.180000000000007"/>
    <n v="53.45"/>
    <n v="53.45"/>
    <n v="0.157"/>
    <n v="0.157"/>
    <n v="0"/>
    <n v="17"/>
    <n v="765.99195000000009"/>
    <n v="1278.0600000000002"/>
    <n v="512.06805000000008"/>
    <n v="0.66850317421743144"/>
    <n v="10932575.539450003"/>
    <n v="0.99879475121298789"/>
  </r>
  <r>
    <s v="ORD-2024-866535"/>
    <d v="2024-12-04T00:00:00"/>
    <d v="2024-12-04T00:00:00"/>
    <d v="2024-12-12T00:00:00"/>
    <d v="2024-12-12T00:00:00"/>
    <n v="8"/>
    <n v="0"/>
    <s v="12-2024"/>
    <s v="Q4-2024"/>
    <d v="2023-01-21T00:00:00"/>
    <s v="01-2023"/>
    <x v="1"/>
    <x v="4"/>
    <s v="Frankfurt"/>
    <s v="Frankfurt"/>
    <s v="Enterprise"/>
    <s v="Marketplace"/>
    <s v="Marketplace"/>
    <s v="B. Chen"/>
    <x v="1"/>
    <x v="6"/>
    <s v="Low"/>
    <s v="PRN-5492"/>
    <s v="C"/>
    <n v="72.06"/>
    <n v="122.74"/>
    <n v="122.74"/>
    <n v="0.23799999999999999"/>
    <n v="0.23799999999999999"/>
    <n v="1"/>
    <n v="8"/>
    <n v="748.22303999999997"/>
    <n v="576.48"/>
    <n v="171.74303999999995"/>
    <n v="0.22953455162246802"/>
    <n v="10933323.762490002"/>
    <n v="0.99886310850376459"/>
  </r>
  <r>
    <s v="ORD-2025-222035"/>
    <d v="2025-03-14T00:00:00"/>
    <d v="2025-03-14T00:00:00"/>
    <d v="2025-04-08T00:00:00"/>
    <d v="2025-04-08T00:00:00"/>
    <n v="25"/>
    <n v="0"/>
    <s v="03-2025"/>
    <s v="Q1-2025"/>
    <d v="2023-01-12T00:00:00"/>
    <s v="01-2023"/>
    <x v="3"/>
    <x v="10"/>
    <m/>
    <s v="Beijing"/>
    <s v="Corporate"/>
    <s v="Distributor"/>
    <s v="Distributor"/>
    <s v="D. Smith"/>
    <x v="10"/>
    <x v="6"/>
    <s v="Low"/>
    <s v="PRN-5815"/>
    <s v="C"/>
    <n v="80.59"/>
    <n v="157.82"/>
    <n v="157.82"/>
    <n v="0.217"/>
    <n v="0.217"/>
    <n v="1"/>
    <n v="6"/>
    <n v="741.43835999999999"/>
    <n v="483.54"/>
    <n v="257.89835999999997"/>
    <n v="0.34783519967863541"/>
    <n v="10934065.200850002"/>
    <n v="0.99893084594949677"/>
  </r>
  <r>
    <s v="ORD-2024-206121"/>
    <d v="2024-02-18T00:00:00"/>
    <d v="2024-02-18T00:00:00"/>
    <d v="2024-03-11T00:00:00"/>
    <d v="2024-03-11T00:00:00"/>
    <n v="22"/>
    <n v="0"/>
    <s v="02-2024"/>
    <s v="Q1-2024"/>
    <d v="2023-01-29T00:00:00"/>
    <s v="01-2023"/>
    <x v="0"/>
    <x v="9"/>
    <s v="São Paulo"/>
    <s v="São Paulo"/>
    <s v="Consumer"/>
    <s v="Online"/>
    <s v="Online"/>
    <s v="A. Patel"/>
    <x v="2"/>
    <x v="0"/>
    <s v="Low"/>
    <s v="CMP-9801"/>
    <s v="C"/>
    <n v="80.48"/>
    <n v="65.650000000000006"/>
    <n v="65.650000000000006"/>
    <n v="0.17599999999999999"/>
    <n v="0.17599999999999999"/>
    <n v="0"/>
    <n v="13"/>
    <n v="703.2428000000001"/>
    <n v="1046.24"/>
    <n v="342.99719999999991"/>
    <n v="0.48773652570634191"/>
    <n v="10934768.443650002"/>
    <n v="0.99899509386755891"/>
  </r>
  <r>
    <s v="ORD-2023-112666"/>
    <d v="2023-01-15T00:00:00"/>
    <d v="2023-01-13T00:00:00"/>
    <d v="2023-01-13T00:00:00"/>
    <d v="2023-01-15T00:00:00"/>
    <n v="2"/>
    <n v="1"/>
    <s v="01-2023"/>
    <s v="Q1-2023"/>
    <d v="2023-01-13T00:00:00"/>
    <s v="01-2023"/>
    <x v="2"/>
    <x v="2"/>
    <s v="Abuja"/>
    <s v="Abuja"/>
    <s v="Education"/>
    <s v="Online"/>
    <s v="Online"/>
    <s v="O. Wang"/>
    <x v="7"/>
    <x v="6"/>
    <s v="Low"/>
    <s v="PRN-6276"/>
    <s v="C"/>
    <n v="28.38"/>
    <n v="47.22"/>
    <n v="47.22"/>
    <n v="0.19400000000000001"/>
    <n v="0.19400000000000001"/>
    <n v="0"/>
    <n v="18"/>
    <n v="685.06776000000002"/>
    <n v="510.84"/>
    <n v="174.22776000000005"/>
    <n v="0.25432193743871417"/>
    <n v="10935453.511410002"/>
    <n v="0.9990576813228611"/>
  </r>
  <r>
    <s v="ORD-2023-274037"/>
    <d v="2023-08-15T00:00:00"/>
    <d v="2023-08-15T00:00:00"/>
    <d v="2023-08-25T00:00:00"/>
    <d v="2023-08-25T00:00:00"/>
    <n v="10"/>
    <n v="0"/>
    <s v="08-2023"/>
    <s v="Q3-2023"/>
    <d v="2023-01-20T00:00:00"/>
    <s v="01-2023"/>
    <x v="2"/>
    <x v="5"/>
    <s v="Nairobi"/>
    <s v="Nairobi"/>
    <s v="Small Business"/>
    <s v="Retail"/>
    <s v="Retail"/>
    <s v="N. Brown"/>
    <x v="13"/>
    <x v="5"/>
    <s v="Low"/>
    <s v="PHN-1234"/>
    <s v="C"/>
    <n v="91.85"/>
    <n v="111.29"/>
    <n v="111.29"/>
    <n v="0"/>
    <n v="0"/>
    <n v="0"/>
    <n v="6"/>
    <n v="667.74"/>
    <n v="551.09999999999991"/>
    <n v="116.6400000000001"/>
    <n v="0.17467876718483258"/>
    <n v="10936121.251410002"/>
    <n v="0.99911868572248941"/>
  </r>
  <r>
    <s v="ORD-2023-603650"/>
    <d v="2023-05-23T00:00:00"/>
    <d v="2023-05-23T00:00:00"/>
    <d v="2023-06-10T00:00:00"/>
    <d v="2023-06-10T00:00:00"/>
    <n v="18"/>
    <n v="0"/>
    <s v="05-2023"/>
    <s v="Q2-2023"/>
    <d v="2023-01-12T00:00:00"/>
    <s v="01-2023"/>
    <x v="3"/>
    <x v="10"/>
    <s v="Shanghai"/>
    <s v="Shanghai"/>
    <s v="Corporate"/>
    <s v="Distributor"/>
    <s v="Distributor"/>
    <s v="E. Garcia"/>
    <x v="14"/>
    <x v="0"/>
    <s v="Low"/>
    <s v="CMP-6925"/>
    <s v="C"/>
    <n v="54.62"/>
    <n v="48.94"/>
    <n v="48.94"/>
    <n v="0.14799999999999999"/>
    <n v="0.14799999999999999"/>
    <n v="0"/>
    <n v="16"/>
    <n v="667.15008"/>
    <n v="873.92"/>
    <n v="206.76991999999996"/>
    <n v="0.3099301434543783"/>
    <n v="10936788.401490001"/>
    <n v="0.99917963622731509"/>
  </r>
  <r>
    <s v="ORD-2023-258768"/>
    <d v="2023-06-29T00:00:00"/>
    <d v="2023-06-29T00:00:00"/>
    <d v="2023-07-02T00:00:00"/>
    <d v="2023-07-02T00:00:00"/>
    <n v="3"/>
    <n v="1"/>
    <s v="06-2023"/>
    <s v="Q2-2023"/>
    <d v="2023-03-03T00:00:00"/>
    <s v="03-2023"/>
    <x v="3"/>
    <x v="7"/>
    <s v="Nagoya"/>
    <s v="Nagoya"/>
    <s v="Education"/>
    <s v="Marketplace"/>
    <s v="Marketplace"/>
    <s v="F. Müller"/>
    <x v="9"/>
    <x v="3"/>
    <s v="Low"/>
    <s v="MON-2990"/>
    <s v="C"/>
    <n v="55.65"/>
    <n v="83.57"/>
    <n v="83.57"/>
    <n v="6.6000000000000003E-2"/>
    <n v="6.6000000000000003E-2"/>
    <n v="0"/>
    <n v="8"/>
    <n v="624.43503999999996"/>
    <n v="445.2"/>
    <n v="179.23503999999997"/>
    <n v="0.2870355257449998"/>
    <n v="10937412.836530002"/>
    <n v="0.99923668430698998"/>
  </r>
  <r>
    <s v="ORD-2025-926547"/>
    <d v="2025-03-11T00:00:00"/>
    <d v="2025-03-11T00:00:00"/>
    <d v="2025-03-26T00:00:00"/>
    <d v="2025-03-26T00:00:00"/>
    <n v="15"/>
    <n v="0"/>
    <s v="03-2025"/>
    <s v="Q1-2025"/>
    <d v="2023-01-21T00:00:00"/>
    <s v="01-2023"/>
    <x v="1"/>
    <x v="4"/>
    <s v="Berlin"/>
    <s v="Berlin"/>
    <s v="Small Business"/>
    <s v="Online"/>
    <s v="Online"/>
    <s v="I. Johnson"/>
    <x v="12"/>
    <x v="5"/>
    <s v="Low"/>
    <s v="PHN-3007"/>
    <s v="C"/>
    <n v="116.97"/>
    <n v="140.82"/>
    <n v="140.82"/>
    <n v="0.122"/>
    <n v="0.122"/>
    <n v="0"/>
    <n v="5"/>
    <n v="618.19979999999987"/>
    <n v="584.85"/>
    <n v="33.349799999999846"/>
    <n v="5.3946636669891926E-2"/>
    <n v="10938031.036330001"/>
    <n v="0.99929316273818969"/>
  </r>
  <r>
    <s v="ORD-2025-946490"/>
    <d v="2025-04-22T00:00:00"/>
    <d v="2025-04-22T00:00:00"/>
    <d v="2025-05-02T00:00:00"/>
    <d v="2025-05-02T00:00:00"/>
    <n v="10"/>
    <n v="0"/>
    <s v="04-2025"/>
    <s v="Q2-2025"/>
    <d v="2023-01-21T00:00:00"/>
    <s v="01-2023"/>
    <x v="1"/>
    <x v="4"/>
    <s v="Berlin"/>
    <s v="Berlin"/>
    <s v="Corporate"/>
    <s v="Marketplace"/>
    <s v="Marketplace"/>
    <s v="C. Otieno"/>
    <x v="5"/>
    <x v="3"/>
    <s v="Low"/>
    <s v="MON-2842"/>
    <s v="C"/>
    <n v="20.149999999999999"/>
    <n v="39.74"/>
    <n v="39.74"/>
    <n v="0.151"/>
    <n v="0.151"/>
    <n v="0"/>
    <n v="18"/>
    <n v="607.30668000000003"/>
    <n v="362.7"/>
    <n v="244.60668000000004"/>
    <n v="0.4027729120318585"/>
    <n v="10938638.343010001"/>
    <n v="0.99934864597927697"/>
  </r>
  <r>
    <s v="ORD-2024-260775"/>
    <d v="2024-10-17T00:00:00"/>
    <d v="2024-10-17T00:00:00"/>
    <d v="2024-11-06T00:00:00"/>
    <d v="2024-11-06T00:00:00"/>
    <n v="20"/>
    <n v="0"/>
    <s v="10-2024"/>
    <s v="Q4-2024"/>
    <d v="2023-01-29T00:00:00"/>
    <s v="01-2023"/>
    <x v="3"/>
    <x v="3"/>
    <s v="Bengaluru"/>
    <s v="Bengaluru"/>
    <s v="Enterprise"/>
    <s v="Distributor"/>
    <s v="Distributor"/>
    <s v="O. Wang"/>
    <x v="7"/>
    <x v="3"/>
    <s v="Low"/>
    <s v="MON-4330"/>
    <s v="C"/>
    <n v="72.94"/>
    <n v="106.3"/>
    <n v="106.3"/>
    <n v="0.29499999999999998"/>
    <n v="0.29499999999999998"/>
    <n v="1"/>
    <n v="8"/>
    <n v="599.53200000000004"/>
    <n v="583.52"/>
    <n v="16.012000000000057"/>
    <n v="2.6707498515508857E-2"/>
    <n v="10939237.875010001"/>
    <n v="0.99940341892940421"/>
  </r>
  <r>
    <s v="ORD-2025-956101"/>
    <d v="2025-07-09T00:00:00"/>
    <d v="2025-07-09T00:00:00"/>
    <d v="2025-07-18T00:00:00"/>
    <d v="2025-07-18T00:00:00"/>
    <n v="9"/>
    <n v="0"/>
    <s v="07-2025"/>
    <s v="Q3-2025"/>
    <d v="2023-01-02T00:00:00"/>
    <s v="01-2023"/>
    <x v="0"/>
    <x v="0"/>
    <s v="Vancouver"/>
    <s v="Vancouver"/>
    <s v="Education"/>
    <s v="Distributor"/>
    <s v="Distributor"/>
    <s v="I. Johnson"/>
    <x v="12"/>
    <x v="2"/>
    <s v="Low"/>
    <s v="LAP-2218"/>
    <s v="C"/>
    <n v="57.96"/>
    <n v="88.51"/>
    <n v="88.51"/>
    <n v="4.2999999999999997E-2"/>
    <n v="4.2999999999999997E-2"/>
    <n v="0"/>
    <n v="7"/>
    <n v="592.92849000000001"/>
    <n v="405.72"/>
    <n v="187.20848999999998"/>
    <n v="0.3157353595877978"/>
    <n v="10939830.8035"/>
    <n v="0.99945758858608935"/>
  </r>
  <r>
    <s v="ORD-2025-908258"/>
    <d v="2025-06-21T00:00:00"/>
    <d v="2025-06-21T00:00:00"/>
    <d v="2025-06-27T00:00:00"/>
    <d v="2025-06-27T00:00:00"/>
    <n v="6"/>
    <n v="1"/>
    <s v="06-2025"/>
    <s v="Q2-2025"/>
    <d v="2023-01-07T00:00:00"/>
    <s v="01-2023"/>
    <x v="2"/>
    <x v="8"/>
    <s v="Durban"/>
    <s v="Durban"/>
    <s v="Enterprise"/>
    <s v="Distributor"/>
    <s v="Distributor"/>
    <s v="N. Brown"/>
    <x v="13"/>
    <x v="5"/>
    <s v="Low"/>
    <s v="PHN-3819"/>
    <s v="C"/>
    <n v="93.91"/>
    <n v="99.04"/>
    <n v="99.04"/>
    <n v="5.7000000000000002E-2"/>
    <n v="5.7000000000000002E-2"/>
    <n v="0"/>
    <n v="6"/>
    <n v="560.36831999999993"/>
    <n v="563.46"/>
    <n v="3.0916800000001103"/>
    <n v="5.5172283829323376E-3"/>
    <n v="10940391.17182"/>
    <n v="0.99950878356157724"/>
  </r>
  <r>
    <s v="ORD-2024-166150"/>
    <d v="2024-06-02T00:00:00"/>
    <d v="2024-06-02T00:00:00"/>
    <d v="2024-06-08T00:00:00"/>
    <d v="2024-06-08T00:00:00"/>
    <n v="6"/>
    <n v="1"/>
    <s v="06-2024"/>
    <s v="Q2-2024"/>
    <d v="2023-01-20T00:00:00"/>
    <s v="01-2023"/>
    <x v="2"/>
    <x v="5"/>
    <s v="Kisumu"/>
    <s v="Kisumu"/>
    <s v="Consumer"/>
    <s v="Marketplace"/>
    <s v="Marketplace"/>
    <s v="A. Patel"/>
    <x v="2"/>
    <x v="4"/>
    <s v="Low"/>
    <s v="ACC-9820"/>
    <s v="C"/>
    <n v="292.94"/>
    <n v="356.55"/>
    <n v="356.55"/>
    <n v="0.22900000000000001"/>
    <n v="0.22900000000000001"/>
    <n v="1"/>
    <n v="2"/>
    <n v="549.80010000000004"/>
    <n v="585.88"/>
    <n v="36.079899999999952"/>
    <n v="6.5623669402751925E-2"/>
    <n v="10940940.97192"/>
    <n v="0.99955901302965777"/>
  </r>
  <r>
    <s v="ORD-2025-778145"/>
    <d v="2025-04-22T00:00:00"/>
    <d v="2025-04-22T00:00:00"/>
    <d v="2025-05-12T00:00:00"/>
    <d v="2025-05-12T00:00:00"/>
    <n v="20"/>
    <n v="0"/>
    <s v="04-2025"/>
    <s v="Q2-2025"/>
    <d v="2023-01-10T00:00:00"/>
    <s v="01-2023"/>
    <x v="1"/>
    <x v="11"/>
    <s v="Lyon"/>
    <s v="Lyon"/>
    <s v="Enterprise"/>
    <s v="Marketplace"/>
    <s v="Marketplace"/>
    <s v="K. Singh"/>
    <x v="3"/>
    <x v="3"/>
    <s v="Low"/>
    <s v="MON-9216"/>
    <s v="C"/>
    <n v="59.51"/>
    <n v="67.040000000000006"/>
    <n v="67.040000000000006"/>
    <n v="0.114"/>
    <n v="0.114"/>
    <n v="0"/>
    <n v="9"/>
    <n v="534.57695999999999"/>
    <n v="535.59"/>
    <n v="1.0130400000000463"/>
    <n v="1.8950311663264469E-3"/>
    <n v="10941475.54888"/>
    <n v="0.99960785171911748"/>
  </r>
  <r>
    <s v="ORD-2025-488349"/>
    <d v="2025-04-23T00:00:00"/>
    <d v="2025-04-22T00:00:00"/>
    <d v="2025-04-22T00:00:00"/>
    <d v="2025-04-23T00:00:00"/>
    <n v="1"/>
    <n v="1"/>
    <s v="04-2025"/>
    <s v="Q2-2025"/>
    <d v="2023-01-13T00:00:00"/>
    <s v="01-2023"/>
    <x v="0"/>
    <x v="6"/>
    <s v="San Francisco"/>
    <s v="San Francisco"/>
    <s v="Non-Profit"/>
    <s v="Distributor"/>
    <s v="Distributor"/>
    <s v="D. Smith"/>
    <x v="10"/>
    <x v="3"/>
    <s v="Low"/>
    <s v="MON-3371"/>
    <s v="C"/>
    <n v="23.24"/>
    <n v="44.57"/>
    <n v="44.57"/>
    <n v="0.215"/>
    <n v="0.215"/>
    <n v="1"/>
    <n v="15"/>
    <n v="524.81174999999996"/>
    <n v="348.59999999999997"/>
    <n v="176.21174999999999"/>
    <n v="0.33576182316802167"/>
    <n v="10942000.36063"/>
    <n v="0.9996557982637706"/>
  </r>
  <r>
    <s v="ORD-2023-251563"/>
    <d v="2023-05-11T00:00:00"/>
    <d v="2023-05-11T00:00:00"/>
    <d v="2023-06-07T00:00:00"/>
    <d v="2023-06-07T00:00:00"/>
    <n v="27"/>
    <n v="0"/>
    <s v="05-2023"/>
    <s v="Q2-2023"/>
    <d v="2023-01-20T00:00:00"/>
    <s v="01-2023"/>
    <x v="2"/>
    <x v="5"/>
    <s v="Mombasa"/>
    <s v="Mombasa"/>
    <s v="Corporate"/>
    <s v="Online"/>
    <s v="Online"/>
    <s v="J. Njeri"/>
    <x v="8"/>
    <x v="5"/>
    <s v="Low"/>
    <s v="PHN-8970"/>
    <s v="C"/>
    <n v="12.85"/>
    <n v="15.41"/>
    <n v="15.41"/>
    <n v="0.13700000000000001"/>
    <n v="0.13700000000000001"/>
    <n v="0"/>
    <n v="39"/>
    <n v="518.65436999999997"/>
    <n v="501.15"/>
    <n v="17.504369999999994"/>
    <n v="3.3749585489851353E-2"/>
    <n v="10942519.015000001"/>
    <n v="0.9997031822732001"/>
  </r>
  <r>
    <s v="ORD-2023-340056"/>
    <d v="2023-04-26T00:00:00"/>
    <d v="2023-04-26T00:00:00"/>
    <d v="2023-04-26T00:00:00"/>
    <d v="2023-04-26T00:00:00"/>
    <n v="0"/>
    <n v="1"/>
    <s v="04-2023"/>
    <s v="Q2-2023"/>
    <d v="2023-01-10T00:00:00"/>
    <s v="01-2023"/>
    <x v="1"/>
    <x v="11"/>
    <s v="Marseille"/>
    <s v="Marseille"/>
    <s v="Consumer"/>
    <s v="Direct"/>
    <s v="Direct"/>
    <s v="M. Rossi"/>
    <x v="6"/>
    <x v="0"/>
    <s v="Low"/>
    <s v="CMP-4945"/>
    <s v="C"/>
    <n v="81.489999999999995"/>
    <n v="113.08"/>
    <n v="113.08"/>
    <n v="0.121"/>
    <n v="0.121"/>
    <n v="0"/>
    <n v="5"/>
    <n v="496.98660000000001"/>
    <n v="407.45"/>
    <n v="89.536600000000021"/>
    <n v="0.18015898215364362"/>
    <n v="10943016.001600001"/>
    <n v="0.99974858672576594"/>
  </r>
  <r>
    <s v="ORD-2023-835226"/>
    <d v="2023-10-26T00:00:00"/>
    <d v="2023-10-26T00:00:00"/>
    <d v="2023-11-05T00:00:00"/>
    <d v="2023-11-05T00:00:00"/>
    <n v="10"/>
    <n v="0"/>
    <s v="10-2023"/>
    <s v="Q4-2023"/>
    <d v="2023-01-07T00:00:00"/>
    <s v="01-2023"/>
    <x v="2"/>
    <x v="8"/>
    <s v="Cape Town"/>
    <s v="Cape Town"/>
    <s v="Non-Profit"/>
    <s v="Online"/>
    <s v="Online"/>
    <s v="I. Johnson"/>
    <x v="12"/>
    <x v="2"/>
    <s v="Low"/>
    <s v="LAP-7320"/>
    <s v="C"/>
    <n v="20.38"/>
    <n v="42.56"/>
    <n v="42.56"/>
    <n v="7.1999999999999995E-2"/>
    <n v="7.1999999999999995E-2"/>
    <n v="0"/>
    <n v="11"/>
    <n v="434.45248000000004"/>
    <n v="224.17999999999998"/>
    <n v="210.27248000000006"/>
    <n v="0.48399419885921713"/>
    <n v="10943450.454080001"/>
    <n v="0.99978827809173088"/>
  </r>
  <r>
    <s v="ORD-2023-378676"/>
    <d v="2023-05-03T00:00:00"/>
    <d v="2023-05-03T00:00:00"/>
    <d v="2023-05-16T00:00:00"/>
    <d v="2023-05-16T00:00:00"/>
    <n v="13"/>
    <n v="0"/>
    <s v="05-2023"/>
    <s v="Q2-2023"/>
    <d v="2023-01-13T00:00:00"/>
    <s v="01-2023"/>
    <x v="0"/>
    <x v="6"/>
    <s v="New York"/>
    <s v="New York"/>
    <s v="Corporate"/>
    <s v="Marketplace"/>
    <s v="Marketplace"/>
    <s v="L. Okafor"/>
    <x v="4"/>
    <x v="5"/>
    <s v="Low"/>
    <s v="PHN-5366"/>
    <s v="C"/>
    <n v="64.5"/>
    <n v="123.62"/>
    <n v="123.62"/>
    <n v="0"/>
    <n v="0"/>
    <n v="0"/>
    <n v="3"/>
    <n v="370.86"/>
    <n v="193.5"/>
    <n v="177.36"/>
    <n v="0.47823976702798904"/>
    <n v="10943821.31408"/>
    <n v="0.99982215967984311"/>
  </r>
  <r>
    <s v="ORD-2024-960952"/>
    <d v="2024-02-03T00:00:00"/>
    <d v="2024-02-03T00:00:00"/>
    <d v="2024-02-21T00:00:00"/>
    <d v="2024-02-21T00:00:00"/>
    <n v="18"/>
    <n v="0"/>
    <s v="02-2024"/>
    <s v="Q1-2024"/>
    <d v="2023-01-21T00:00:00"/>
    <s v="01-2023"/>
    <x v="1"/>
    <x v="4"/>
    <s v="Frankfurt"/>
    <s v="Frankfurt"/>
    <s v="Corporate"/>
    <s v="Retail"/>
    <s v="Retail"/>
    <s v="H. Kim"/>
    <x v="0"/>
    <x v="0"/>
    <s v="Low"/>
    <s v="CMP-9264"/>
    <s v="C"/>
    <n v="39.229999999999997"/>
    <n v="30.09"/>
    <n v="30.09"/>
    <n v="0.17699999999999999"/>
    <n v="0.17699999999999999"/>
    <n v="0"/>
    <n v="13"/>
    <n v="321.93290999999999"/>
    <n v="509.98999999999995"/>
    <n v="188.05708999999996"/>
    <n v="0.58414993981199359"/>
    <n v="10944143.246990001"/>
    <n v="0.99985157131295666"/>
  </r>
  <r>
    <s v="ORD-2023-373538"/>
    <d v="2023-02-28T00:00:00"/>
    <d v="2023-02-28T00:00:00"/>
    <d v="2023-03-25T00:00:00"/>
    <d v="2023-03-25T00:00:00"/>
    <n v="25"/>
    <n v="0"/>
    <s v="02-2023"/>
    <s v="Q1-2023"/>
    <d v="2023-01-20T00:00:00"/>
    <s v="01-2023"/>
    <x v="2"/>
    <x v="5"/>
    <s v="Nairobi"/>
    <s v="Nairobi"/>
    <s v="Corporate"/>
    <s v="Retail"/>
    <s v="Retail"/>
    <s v="I. Johnson"/>
    <x v="12"/>
    <x v="1"/>
    <s v="Low"/>
    <s v="NET-9666"/>
    <s v="C"/>
    <n v="1460.76"/>
    <n v="-30.66"/>
    <n v="30.66"/>
    <n v="0.13100000000000001"/>
    <n v="0.13100000000000001"/>
    <n v="0"/>
    <n v="12"/>
    <n v="319.72248000000002"/>
    <n v="17529.12"/>
    <n v="17209.397519999999"/>
    <n v="53.826047890032626"/>
    <n v="10944462.969470002"/>
    <n v="0.99988078100226696"/>
  </r>
  <r>
    <s v="ORD-2025-639542"/>
    <d v="2025-06-09T00:00:00"/>
    <d v="2025-06-09T00:00:00"/>
    <d v="2025-06-18T00:00:00"/>
    <d v="2025-06-18T00:00:00"/>
    <n v="9"/>
    <n v="0"/>
    <s v="06-2025"/>
    <s v="Q2-2025"/>
    <d v="2023-01-10T00:00:00"/>
    <s v="01-2023"/>
    <x v="1"/>
    <x v="11"/>
    <s v="Marseille"/>
    <s v="Marseille"/>
    <s v="Small Business"/>
    <s v="Marketplace"/>
    <s v="Marketplace"/>
    <s v="H. Kim"/>
    <x v="0"/>
    <x v="4"/>
    <s v="Low"/>
    <s v="ACC-1770"/>
    <s v="C"/>
    <n v="1225.5"/>
    <n v="-5.27"/>
    <n v="5.27"/>
    <n v="7.4999999999999997E-2"/>
    <n v="7.4999999999999997E-2"/>
    <n v="0"/>
    <n v="56"/>
    <n v="272.98599999999999"/>
    <n v="68628"/>
    <n v="68355.013999999996"/>
    <n v="250.39750756449047"/>
    <n v="10944735.955470001"/>
    <n v="0.99990572086963592"/>
  </r>
  <r>
    <s v="ORD-2025-728935"/>
    <d v="2025-02-28T00:00:00"/>
    <d v="2025-02-28T00:00:00"/>
    <d v="2025-03-10T00:00:00"/>
    <d v="2025-03-10T00:00:00"/>
    <n v="10"/>
    <n v="0"/>
    <s v="02-2025"/>
    <s v="Q1-2025"/>
    <d v="2023-03-03T00:00:00"/>
    <s v="03-2023"/>
    <x v="3"/>
    <x v="7"/>
    <s v="Osaka"/>
    <s v="Osaka"/>
    <s v="Education"/>
    <s v="Distributor"/>
    <s v="Distributor"/>
    <s v="N. Brown"/>
    <x v="13"/>
    <x v="2"/>
    <s v="Low"/>
    <s v="LAP-3017"/>
    <s v="C"/>
    <n v="51.86"/>
    <n v="45.98"/>
    <n v="45.98"/>
    <n v="0.17299999999999999"/>
    <n v="0.17299999999999999"/>
    <n v="0"/>
    <n v="7"/>
    <n v="266.17821999999995"/>
    <n v="363.02"/>
    <n v="96.841780000000028"/>
    <n v="0.3638230806412337"/>
    <n v="10945002.133690001"/>
    <n v="0.99993003878155551"/>
  </r>
  <r>
    <s v="ORD-2023-235230"/>
    <d v="2023-08-30T00:00:00"/>
    <d v="2023-08-30T00:00:00"/>
    <d v="2023-09-01T00:00:00"/>
    <d v="2023-09-01T00:00:00"/>
    <n v="2"/>
    <n v="1"/>
    <s v="08-2023"/>
    <s v="Q3-2023"/>
    <d v="2023-01-21T00:00:00"/>
    <s v="01-2023"/>
    <x v="1"/>
    <x v="4"/>
    <s v="Munich"/>
    <s v="Munich"/>
    <s v="Corporate"/>
    <s v="Direct"/>
    <s v="Direct"/>
    <s v="N. Brown"/>
    <x v="13"/>
    <x v="1"/>
    <s v="Low"/>
    <s v="NET-9989"/>
    <s v="C"/>
    <n v="44.42"/>
    <n v="41.9"/>
    <n v="41.9"/>
    <n v="0.14399999999999999"/>
    <n v="0.14399999999999999"/>
    <n v="0"/>
    <n v="6"/>
    <n v="215.19839999999996"/>
    <n v="266.52"/>
    <n v="51.321600000000018"/>
    <n v="0.23848504449847224"/>
    <n v="10945217.332090002"/>
    <n v="0.999949699202068"/>
  </r>
  <r>
    <s v="ORD-2025-262491"/>
    <d v="2025-08-01T00:00:00"/>
    <d v="2025-08-01T00:00:00"/>
    <d v="2025-08-16T00:00:00"/>
    <d v="2025-08-16T00:00:00"/>
    <n v="15"/>
    <n v="0"/>
    <s v="08-2025"/>
    <s v="Q3-2025"/>
    <d v="2023-01-29T00:00:00"/>
    <s v="01-2023"/>
    <x v="3"/>
    <x v="3"/>
    <m/>
    <s v="Delhi"/>
    <s v="Enterprise"/>
    <s v="Direct"/>
    <s v="Direct"/>
    <s v="O. Wang"/>
    <x v="7"/>
    <x v="3"/>
    <s v="Low"/>
    <s v="MON-1822"/>
    <s v="C"/>
    <n v="24.44"/>
    <n v="28.69"/>
    <n v="28.69"/>
    <n v="0.14599999999999999"/>
    <n v="0.14599999999999999"/>
    <n v="0"/>
    <n v="6"/>
    <n v="147.00756000000001"/>
    <n v="146.64000000000001"/>
    <n v="0.36755999999999744"/>
    <n v="2.5002795774584476E-3"/>
    <n v="10945364.339650001"/>
    <n v="0.99996312974080848"/>
  </r>
  <r>
    <s v="ORD-2024-516704"/>
    <d v="2024-03-01T00:00:00"/>
    <d v="2024-02-29T00:00:00"/>
    <d v="2024-02-29T00:00:00"/>
    <d v="2024-03-01T00:00:00"/>
    <n v="1"/>
    <n v="1"/>
    <s v="02-2024"/>
    <s v="Q1-2024"/>
    <d v="2023-01-29T00:00:00"/>
    <s v="01-2023"/>
    <x v="0"/>
    <x v="9"/>
    <s v="São Paulo"/>
    <s v="São Paulo"/>
    <s v="Non-Profit"/>
    <s v="Direct"/>
    <s v="Direct"/>
    <s v="I. Johnson"/>
    <x v="12"/>
    <x v="5"/>
    <s v="Low"/>
    <s v="PHN-7852"/>
    <s v="C"/>
    <n v="5.34"/>
    <n v="12.69"/>
    <n v="12.69"/>
    <n v="0.13200000000000001"/>
    <n v="0.13200000000000001"/>
    <n v="0"/>
    <n v="10"/>
    <n v="110.14919999999999"/>
    <n v="53.4"/>
    <n v="56.749199999999995"/>
    <n v="0.51520301554618642"/>
    <n v="10945474.488850001"/>
    <n v="0.99997319291781683"/>
  </r>
  <r>
    <s v="ORD-2023-286994"/>
    <d v="2023-02-24T00:00:00"/>
    <d v="2023-02-24T00:00:00"/>
    <d v="2023-03-09T00:00:00"/>
    <d v="2023-03-09T00:00:00"/>
    <n v="13"/>
    <n v="0"/>
    <s v="02-2023"/>
    <s v="Q1-2023"/>
    <d v="2023-01-13T00:00:00"/>
    <s v="01-2023"/>
    <x v="0"/>
    <x v="6"/>
    <s v="New York"/>
    <s v="New York"/>
    <s v="Enterprise"/>
    <s v="Online"/>
    <s v="Online"/>
    <s v="M. Rossi"/>
    <x v="6"/>
    <x v="0"/>
    <s v="Low"/>
    <s v="CMP-1632"/>
    <s v="C"/>
    <n v="6.85"/>
    <n v="10.18"/>
    <n v="10.18"/>
    <n v="4.7E-2"/>
    <n v="4.7E-2"/>
    <n v="0"/>
    <n v="10"/>
    <n v="97.0154"/>
    <n v="68.5"/>
    <n v="28.5154"/>
    <n v="0.2939265312517394"/>
    <n v="10945571.504250001"/>
    <n v="0.99998205619728442"/>
  </r>
  <r>
    <s v="ORD-2025-541048"/>
    <d v="2025-04-04T00:00:00"/>
    <d v="2025-04-04T00:00:00"/>
    <d v="2025-04-13T00:00:00"/>
    <d v="2025-04-13T00:00:00"/>
    <n v="9"/>
    <n v="0"/>
    <s v="04-2025"/>
    <s v="Q2-2025"/>
    <d v="2023-01-21T00:00:00"/>
    <s v="01-2023"/>
    <x v="1"/>
    <x v="4"/>
    <s v="Munich"/>
    <s v="Munich"/>
    <s v="Consumer"/>
    <s v="Marketplace"/>
    <s v="Marketplace"/>
    <s v="F. Müller"/>
    <x v="9"/>
    <x v="5"/>
    <s v="Low"/>
    <s v="PHN-3803"/>
    <s v="C"/>
    <n v="7.02"/>
    <n v="6.28"/>
    <n v="6.28"/>
    <n v="0.13400000000000001"/>
    <n v="0.13400000000000001"/>
    <n v="0"/>
    <n v="14"/>
    <n v="76.138720000000006"/>
    <n v="98.28"/>
    <n v="22.141279999999995"/>
    <n v="0.29080184169106066"/>
    <n v="10945647.642970001"/>
    <n v="0.99998901219348368"/>
  </r>
  <r>
    <s v="ORD-2024-207096"/>
    <d v="2024-03-26T00:00:00"/>
    <d v="2024-03-26T00:00:00"/>
    <d v="2024-04-05T00:00:00"/>
    <d v="2024-04-05T00:00:00"/>
    <n v="10"/>
    <n v="0"/>
    <s v="03-2024"/>
    <s v="Q1-2024"/>
    <d v="2023-01-13T00:00:00"/>
    <s v="01-2023"/>
    <x v="0"/>
    <x v="6"/>
    <s v="Austin"/>
    <s v="Austin"/>
    <s v="Consumer"/>
    <s v="Direct"/>
    <s v="Direct"/>
    <s v="J. Njeri"/>
    <x v="8"/>
    <x v="3"/>
    <s v="Low"/>
    <s v="MON-5444"/>
    <s v="C"/>
    <n v="5.66"/>
    <n v="4.22"/>
    <n v="4.22"/>
    <n v="0.11899999999999999"/>
    <n v="0.11899999999999999"/>
    <n v="0"/>
    <n v="18"/>
    <n v="66.920760000000001"/>
    <n v="101.88"/>
    <n v="34.959239999999994"/>
    <n v="0.52239753403876454"/>
    <n v="10945714.563730001"/>
    <n v="0.99999512604136831"/>
  </r>
  <r>
    <s v="ORD-2024-919471"/>
    <d v="2024-06-29T00:00:00"/>
    <d v="2024-06-29T00:00:00"/>
    <d v="2024-07-26T00:00:00"/>
    <d v="2024-07-26T00:00:00"/>
    <n v="27"/>
    <n v="0"/>
    <s v="06-2024"/>
    <s v="Q2-2024"/>
    <d v="2023-01-07T00:00:00"/>
    <s v="01-2023"/>
    <x v="2"/>
    <x v="8"/>
    <s v="Durban"/>
    <s v="Durban"/>
    <s v="Enterprise"/>
    <s v="Distributor"/>
    <s v="Distributor"/>
    <s v="B. Chen"/>
    <x v="1"/>
    <x v="1"/>
    <s v="Low"/>
    <s v="NET-4241"/>
    <s v="C"/>
    <n v="5.36"/>
    <n v="4.37"/>
    <n v="4.37"/>
    <n v="0.11799999999999999"/>
    <n v="0.11799999999999999"/>
    <n v="0"/>
    <n v="9"/>
    <n v="34.689059999999998"/>
    <n v="48.24"/>
    <n v="13.550940000000004"/>
    <n v="0.39064016148030545"/>
    <n v="10945749.252790002"/>
    <n v="0.99999829521691419"/>
  </r>
  <r>
    <s v="ORD-2025-667201"/>
    <d v="2025-09-15T00:00:00"/>
    <d v="2025-09-15T00:00:00"/>
    <d v="2025-09-18T00:00:00"/>
    <d v="2025-09-18T00:00:00"/>
    <n v="3"/>
    <n v="1"/>
    <s v="09-2025"/>
    <s v="Q3-2025"/>
    <d v="2023-01-29T00:00:00"/>
    <s v="01-2023"/>
    <x v="0"/>
    <x v="9"/>
    <s v="Rio de Janeiro"/>
    <s v="Rio de Janeiro"/>
    <s v="Non-Profit"/>
    <s v="Direct"/>
    <s v="Direct"/>
    <s v="L. Okafor"/>
    <x v="4"/>
    <x v="4"/>
    <s v="Low"/>
    <s v="ACC-6777"/>
    <s v="C"/>
    <n v="5.5"/>
    <n v="5.92"/>
    <n v="5.92"/>
    <n v="0.21199999999999999"/>
    <n v="0.21199999999999999"/>
    <n v="1"/>
    <n v="4"/>
    <n v="18.659839999999999"/>
    <n v="22"/>
    <n v="3.3401600000000009"/>
    <n v="0.17900260666758133"/>
    <n v="10945767.912630003"/>
    <n v="0.9999999999707650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5-132174"/>
    <d v="2025-07-17T00:00:00"/>
    <d v="2025-07-17T00:00:00"/>
    <d v="2025-07-23T00:00:00"/>
    <d v="2025-07-23T00:00:00"/>
    <n v="6"/>
    <n v="1"/>
    <s v="07-2025"/>
    <s v="Q3-2025"/>
    <d v="2023-01-02T00:00:00"/>
    <s v="01-2023"/>
    <s v="Americas"/>
    <s v="Canada"/>
    <s v="Vancouver"/>
    <s v="Vancouver"/>
    <s v="Consumer"/>
    <s v="Online"/>
    <s v="Online"/>
    <s v="H. Kim"/>
    <s v="H. Kim"/>
    <x v="0"/>
    <s v="High"/>
    <s v="CMP-8851"/>
    <s v="A"/>
    <n v="1364.89"/>
    <n v="2757.54"/>
    <n v="2757.54"/>
    <n v="0.17199999999999999"/>
    <n v="0.17199999999999999"/>
    <n v="0"/>
    <n v="61"/>
    <n v="139277.83032000001"/>
    <n v="83258.290000000008"/>
    <n v="56019.54032"/>
    <n v="0.4022143379983118"/>
    <n v="139277.82999999999"/>
    <n v="1.2724354390450708E-2"/>
    <n v="0.17199999999999999"/>
    <n v="79.3"/>
    <n v="1501.3790000000001"/>
    <n v="181061.179416"/>
  </r>
  <r>
    <s v="ORD-2025-639542"/>
    <d v="2025-06-09T00:00:00"/>
    <d v="2025-06-09T00:00:00"/>
    <d v="2025-06-18T00:00:00"/>
    <d v="2025-06-18T00:00:00"/>
    <n v="9"/>
    <n v="1"/>
    <s v="06-2025"/>
    <s v="Q2-2025"/>
    <d v="2023-01-10T00:00:00"/>
    <s v="01-2023"/>
    <s v="Europe"/>
    <s v="France"/>
    <s v="Marseille"/>
    <s v="Marseille"/>
    <s v="Small Business"/>
    <s v="Marketplace"/>
    <s v="Marketplace"/>
    <s v="H. Kim"/>
    <s v="H. Kim"/>
    <x v="1"/>
    <s v="Low"/>
    <s v="ACC-1770"/>
    <s v="A"/>
    <n v="1225.5"/>
    <n v="-5.27"/>
    <n v="5.27"/>
    <n v="7.4999999999999997E-2"/>
    <n v="7.4999999999999997E-2"/>
    <n v="0"/>
    <n v="56"/>
    <n v="272.98599999999999"/>
    <n v="68628"/>
    <n v="68355.013999999996"/>
    <n v="250.39750756449047"/>
    <n v="139550.81599999999"/>
    <n v="1.2749294257819633E-2"/>
    <n v="7.4999999999999997E-2"/>
    <n v="72.8"/>
    <n v="1348.0500000000002"/>
    <n v="354.88179999999994"/>
  </r>
  <r>
    <s v="ORD-2023-906481"/>
    <d v="2023-05-02T00:00:00"/>
    <d v="2023-05-02T00:00:00"/>
    <d v="2023-05-18T00:00:00"/>
    <d v="2023-05-18T00:00:00"/>
    <n v="16"/>
    <n v="1"/>
    <s v="05-2023"/>
    <s v="Q2-2023"/>
    <d v="2023-01-29T00:00:00"/>
    <s v="01-2023"/>
    <s v="Asia"/>
    <s v="India"/>
    <s v="Delhi"/>
    <s v="Delhi"/>
    <s v="Small Business"/>
    <s v="Marketplace"/>
    <s v="Marketplace"/>
    <s v="K. Singh"/>
    <s v="K. Singh"/>
    <x v="2"/>
    <s v="High"/>
    <s v="MON-2266"/>
    <s v="A"/>
    <n v="1463.92"/>
    <n v="2252.2399999999998"/>
    <n v="2252.2399999999998"/>
    <n v="0.11799999999999999"/>
    <n v="0.11799999999999999"/>
    <n v="0"/>
    <n v="44"/>
    <n v="87404.929919999995"/>
    <n v="64412.480000000003"/>
    <n v="22992.449919999992"/>
    <n v="0.26305667130040061"/>
    <n v="226955.74591999999"/>
    <n v="2.0734565881986872E-2"/>
    <n v="0.11799999999999999"/>
    <n v="57.2"/>
    <n v="1610.3120000000001"/>
    <n v="113626.40889599999"/>
  </r>
  <r>
    <s v="ORD-2024-247979"/>
    <d v="2024-11-02T00:00:00"/>
    <d v="2024-11-02T00:00:00"/>
    <d v="2024-11-18T00:00:00"/>
    <d v="2024-11-18T00:00:00"/>
    <n v="16"/>
    <n v="0"/>
    <s v="11-2024"/>
    <s v="Q4-2024"/>
    <d v="2023-01-29T00:00:00"/>
    <s v="01-2023"/>
    <s v="Asia"/>
    <s v="India"/>
    <s v="Mumbai"/>
    <s v="Mumbai"/>
    <s v="Small Business"/>
    <s v="Distributor"/>
    <s v="Distributor"/>
    <s v="O. Wang"/>
    <s v="O. Wang"/>
    <x v="2"/>
    <s v="High"/>
    <s v="MON-5188"/>
    <s v="A"/>
    <n v="1233.58"/>
    <n v="1912.51"/>
    <n v="1912.51"/>
    <n v="0.255"/>
    <n v="0.255"/>
    <n v="1"/>
    <n v="51"/>
    <n v="72665.817450000002"/>
    <n v="62912.579999999994"/>
    <n v="9753.2374500000078"/>
    <n v="0.134220432553601"/>
    <n v="299621.56336999999"/>
    <n v="2.7373279403769896E-2"/>
    <n v="0.2"/>
    <n v="66.3"/>
    <n v="1356.9380000000001"/>
    <n v="101439.5304"/>
  </r>
  <r>
    <s v="ORD-2025-650841"/>
    <d v="2025-07-03T00:00:00"/>
    <d v="2025-07-03T00:00:00"/>
    <d v="2025-07-06T00:00:00"/>
    <d v="2025-07-06T00:00:00"/>
    <n v="3"/>
    <n v="0"/>
    <s v="07-2025"/>
    <s v="Q3-2025"/>
    <d v="2023-01-13T00:00:00"/>
    <s v="01-2023"/>
    <s v="Africa"/>
    <s v="Nigeria"/>
    <s v="Lagos"/>
    <s v="Lagos"/>
    <s v="Consumer"/>
    <s v="Online"/>
    <s v="Online"/>
    <m/>
    <s v="A. Patel"/>
    <x v="3"/>
    <s v="High"/>
    <s v="LAP-8910"/>
    <s v="A"/>
    <n v="1313.3"/>
    <n v="2884.34"/>
    <n v="2884.34"/>
    <n v="0.157"/>
    <n v="0.157"/>
    <n v="0"/>
    <n v="42"/>
    <n v="102122.94203999999"/>
    <n v="55158.6"/>
    <n v="46964.342039999996"/>
    <n v="0.45988042551305253"/>
    <n v="401744.50540999998"/>
    <n v="3.6703181412671225E-2"/>
    <n v="0.157"/>
    <n v="54.6"/>
    <n v="1444.63"/>
    <n v="132759.82465200001"/>
  </r>
  <r>
    <s v="ORD-2023-884625"/>
    <d v="2023-02-19T00:00:00"/>
    <d v="2023-02-19T00:00:00"/>
    <d v="2023-03-12T00:00:00"/>
    <d v="2023-03-12T00:00:00"/>
    <n v="21"/>
    <n v="0"/>
    <s v="02-2023"/>
    <s v="Q1-2023"/>
    <d v="2023-01-21T00:00:00"/>
    <s v="01-2023"/>
    <s v="Europe"/>
    <s v="Germany"/>
    <s v="Berlin"/>
    <s v="Berlin"/>
    <s v="Small Business"/>
    <s v="Direct"/>
    <s v="Direct"/>
    <s v="L. Okafor"/>
    <s v="L. Okafor"/>
    <x v="2"/>
    <s v="High"/>
    <s v="MON-6699"/>
    <s v="A"/>
    <n v="1234.81"/>
    <n v="2055.2399999999998"/>
    <n v="2055.2399999999998"/>
    <n v="5.2999999999999999E-2"/>
    <n v="5.2999999999999999E-2"/>
    <n v="0"/>
    <n v="44"/>
    <n v="85637.740319999997"/>
    <n v="54331.64"/>
    <n v="31306.100319999998"/>
    <n v="0.36556429680441616"/>
    <n v="487382.24572999997"/>
    <n v="4.4527003459791499E-2"/>
    <n v="5.2999999999999999E-2"/>
    <n v="57.2"/>
    <n v="1358.2909999999999"/>
    <n v="111329.06241599999"/>
  </r>
  <r>
    <s v="ORD-2025-845715"/>
    <d v="2025-04-14T00:00:00"/>
    <d v="2025-04-14T00:00:00"/>
    <d v="2025-05-04T00:00:00"/>
    <d v="2025-05-04T00:00:00"/>
    <n v="20"/>
    <n v="0"/>
    <s v="04-2025"/>
    <s v="Q2-2025"/>
    <d v="2023-01-19T00:00:00"/>
    <s v="01-2023"/>
    <s v="Europe"/>
    <s v="United Kingdom"/>
    <s v="Birmingham"/>
    <s v="Birmingham"/>
    <s v="Enterprise"/>
    <s v="Marketplace"/>
    <s v="Marketplace"/>
    <s v="K. Singh"/>
    <s v="K. Singh"/>
    <x v="2"/>
    <s v="High"/>
    <s v="MON-6962"/>
    <s v="A"/>
    <n v="1413.87"/>
    <n v="3275"/>
    <n v="3275"/>
    <n v="0.255"/>
    <n v="0.255"/>
    <n v="1"/>
    <n v="38"/>
    <n v="92715.25"/>
    <n v="53727.06"/>
    <n v="38988.19"/>
    <n v="0.42051539525590453"/>
    <n v="580097.49572999997"/>
    <n v="5.2997423327757816E-2"/>
    <n v="0.2"/>
    <n v="49.4"/>
    <n v="1555.2570000000001"/>
    <n v="129428"/>
  </r>
  <r>
    <s v="ORD-2024-948800"/>
    <d v="2024-03-27T00:00:00"/>
    <d v="2024-03-27T00:00:00"/>
    <d v="2024-04-11T00:00:00"/>
    <d v="2024-04-11T00:00:00"/>
    <n v="15"/>
    <n v="0"/>
    <s v="03-2024"/>
    <s v="Q1-2024"/>
    <d v="2023-01-13T00:00:00"/>
    <s v="01-2023"/>
    <s v="Americas"/>
    <s v="USA"/>
    <s v="San Francisco"/>
    <s v="San Francisco"/>
    <s v="Small Business"/>
    <s v="Direct"/>
    <s v="Direct"/>
    <s v="O. Wang"/>
    <s v="O. Wang"/>
    <x v="4"/>
    <s v="High"/>
    <s v="NET-5523"/>
    <s v="A"/>
    <n v="1338.35"/>
    <n v="2247.14"/>
    <n v="2247.14"/>
    <n v="0.115"/>
    <n v="0.115"/>
    <n v="0"/>
    <n v="40"/>
    <n v="79548.755999999994"/>
    <n v="53534"/>
    <n v="26014.755999999994"/>
    <n v="0.32702907384246205"/>
    <n v="659646.2517299999"/>
    <n v="6.0264958747167287E-2"/>
    <n v="0.115"/>
    <n v="52"/>
    <n v="1472.1849999999999"/>
    <n v="103413.38280000001"/>
  </r>
  <r>
    <s v="ORD-2024-508213"/>
    <d v="2024-11-22T00:00:00"/>
    <d v="2024-11-22T00:00:00"/>
    <d v="2024-12-15T00:00:00"/>
    <d v="2024-12-15T00:00:00"/>
    <n v="23"/>
    <n v="0"/>
    <s v="11-2024"/>
    <s v="Q4-2024"/>
    <d v="2023-01-20T00:00:00"/>
    <s v="01-2023"/>
    <s v="Africa"/>
    <s v="Kenya"/>
    <s v="Mombasa"/>
    <s v="Mombasa"/>
    <s v="Non-Profit"/>
    <s v="Distributor"/>
    <s v="Distributor"/>
    <s v="C. Otieno"/>
    <s v="C. Otieno"/>
    <x v="0"/>
    <s v="High"/>
    <s v="CMP-3938"/>
    <s v="A"/>
    <n v="1335.76"/>
    <n v="2665.91"/>
    <n v="2665.91"/>
    <n v="0.21099999999999999"/>
    <n v="0.21099999999999999"/>
    <n v="1"/>
    <n v="40"/>
    <n v="84136.119600000005"/>
    <n v="53430.400000000001"/>
    <n v="30705.719600000004"/>
    <n v="0.36495288522909253"/>
    <n v="743782.37132999988"/>
    <n v="6.7951593460156043E-2"/>
    <n v="0.2"/>
    <n v="52"/>
    <n v="1469.336"/>
    <n v="110901.85600000001"/>
  </r>
  <r>
    <s v="ORD-2024-713332"/>
    <d v="2024-06-05T00:00:00"/>
    <d v="2024-06-05T00:00:00"/>
    <d v="2024-06-23T00:00:00"/>
    <d v="2024-06-23T00:00:00"/>
    <n v="18"/>
    <n v="1"/>
    <s v="06-2024"/>
    <s v="Q2-2024"/>
    <d v="2023-01-20T00:00:00"/>
    <s v="01-2023"/>
    <s v="Africa"/>
    <s v="Kenya"/>
    <s v="Nairobi"/>
    <s v="Nairobi"/>
    <s v="Consumer"/>
    <s v="Distributor"/>
    <s v="Distributor"/>
    <s v="D. Smith"/>
    <s v="D. Smith"/>
    <x v="3"/>
    <s v="Medium"/>
    <s v="LAP-1739"/>
    <s v="A"/>
    <n v="1208.74"/>
    <n v="1594.78"/>
    <n v="1594.78"/>
    <n v="5.8999999999999997E-2"/>
    <n v="5.8999999999999997E-2"/>
    <n v="0"/>
    <n v="39"/>
    <n v="58526.83122"/>
    <n v="47140.86"/>
    <n v="11385.971219999999"/>
    <n v="0.1945427589817838"/>
    <n v="802309.20254999993"/>
    <n v="7.329857611915766E-2"/>
    <n v="5.8999999999999997E-2"/>
    <n v="50.7"/>
    <n v="1329.614"/>
    <n v="76084.880586000014"/>
  </r>
  <r>
    <s v="ORD-2023-594955"/>
    <d v="2023-06-20T00:00:00"/>
    <d v="2023-06-20T00:00:00"/>
    <d v="2023-07-08T00:00:00"/>
    <d v="2023-07-08T00:00:00"/>
    <n v="18"/>
    <n v="0"/>
    <s v="06-2023"/>
    <s v="Q2-2023"/>
    <d v="2023-01-13T00:00:00"/>
    <s v="01-2023"/>
    <s v="Americas"/>
    <s v="USA"/>
    <s v="New York"/>
    <s v="New York"/>
    <s v="Consumer"/>
    <s v="Marketplace"/>
    <s v="Marketplace"/>
    <s v="O. Wang"/>
    <s v="O. Wang"/>
    <x v="4"/>
    <s v="Medium"/>
    <s v="NET-3828"/>
    <s v="A"/>
    <n v="1145.53"/>
    <n v="1278.3"/>
    <n v="1278.3"/>
    <n v="0.09"/>
    <n v="0.09"/>
    <n v="0"/>
    <n v="41"/>
    <n v="47693.373"/>
    <n v="46966.729999999996"/>
    <n v="726.64300000000367"/>
    <n v="1.5235722581416158E-2"/>
    <n v="850002.57554999995"/>
    <n v="7.7655819336746229E-2"/>
    <n v="0.09"/>
    <n v="53.300000000000004"/>
    <n v="1260.0830000000001"/>
    <n v="62001.384900000005"/>
  </r>
  <r>
    <s v="ORD-2023-835010"/>
    <d v="2023-03-23T00:00:00"/>
    <d v="2023-03-23T00:00:00"/>
    <d v="2023-04-15T00:00:00"/>
    <d v="2023-04-15T00:00:00"/>
    <n v="23"/>
    <n v="0"/>
    <s v="03-2023"/>
    <s v="Q1-2023"/>
    <d v="2023-01-20T00:00:00"/>
    <s v="01-2023"/>
    <s v="Africa"/>
    <s v="Kenya"/>
    <s v="Mombasa"/>
    <s v="Mombasa"/>
    <s v="Small Business"/>
    <s v="Retail"/>
    <s v="Retail"/>
    <s v="C. Otieno"/>
    <s v="C. Otieno"/>
    <x v="1"/>
    <s v="Medium"/>
    <s v="ACC-2988"/>
    <s v="A"/>
    <n v="875.36"/>
    <n v="1178.6199999999999"/>
    <n v="1178.6199999999999"/>
    <n v="0.151"/>
    <n v="0.151"/>
    <n v="0"/>
    <n v="53"/>
    <n v="53034.364139999991"/>
    <n v="46394.080000000002"/>
    <n v="6640.2841399999888"/>
    <n v="0.12520719815685888"/>
    <n v="903036.93968999991"/>
    <n v="8.2501012891165973E-2"/>
    <n v="0.151"/>
    <n v="68.900000000000006"/>
    <n v="962.89600000000007"/>
    <n v="68944.673382000008"/>
  </r>
  <r>
    <s v="ORD-2024-964950"/>
    <d v="2024-10-10T00:00:00"/>
    <d v="2024-10-10T00:00:00"/>
    <d v="2024-10-11T00:00:00"/>
    <d v="2024-10-11T00:00:00"/>
    <n v="1"/>
    <n v="0"/>
    <s v="10-2024"/>
    <s v="Q4-2024"/>
    <d v="2023-01-19T00:00:00"/>
    <s v="01-2023"/>
    <s v="Europe"/>
    <s v="United Kingdom"/>
    <s v="Manchester"/>
    <s v="Manchester"/>
    <s v="Non-Profit"/>
    <s v="Distributor"/>
    <s v="Distributor"/>
    <s v="L. Okafor"/>
    <s v="L. Okafor"/>
    <x v="0"/>
    <s v="High"/>
    <s v="CMP-8127"/>
    <s v="A"/>
    <n v="1389.46"/>
    <n v="1784.7"/>
    <n v="1784.7"/>
    <n v="0.14599999999999999"/>
    <n v="0.14599999999999999"/>
    <n v="0"/>
    <n v="33"/>
    <n v="50296.415399999998"/>
    <n v="45852.18"/>
    <n v="4444.2353999999978"/>
    <n v="8.8360877503011831E-2"/>
    <n v="953333.35508999997"/>
    <n v="8.7096068788568487E-2"/>
    <n v="0.14599999999999999"/>
    <n v="42.9"/>
    <n v="1528.4060000000002"/>
    <n v="65385.340020000003"/>
  </r>
  <r>
    <s v="ORD-2024-548345"/>
    <d v="2024-05-14T00:00:00"/>
    <d v="2024-05-14T00:00:00"/>
    <d v="2024-05-28T00:00:00"/>
    <d v="2024-05-28T00:00:00"/>
    <n v="14"/>
    <n v="0"/>
    <s v="05-2024"/>
    <s v="Q2-2024"/>
    <d v="2023-01-19T00:00:00"/>
    <s v="01-2023"/>
    <s v="Europe"/>
    <s v="United Kingdom"/>
    <s v="Birmingham"/>
    <s v="Birmingham"/>
    <s v="Consumer"/>
    <s v="Retail"/>
    <s v="Retail"/>
    <s v="B. Chen"/>
    <s v="B. Chen"/>
    <x v="4"/>
    <s v="High"/>
    <s v="NET-2365"/>
    <s v="A"/>
    <n v="1421.14"/>
    <n v="3524"/>
    <n v="3524"/>
    <n v="0"/>
    <n v="0"/>
    <n v="0"/>
    <n v="31"/>
    <n v="109244"/>
    <n v="44055.340000000004"/>
    <n v="65188.659999999996"/>
    <n v="0.59672531214528945"/>
    <n v="1062577.35509"/>
    <n v="9.7076547167865443E-2"/>
    <n v="0"/>
    <n v="40.300000000000004"/>
    <n v="1563.2540000000001"/>
    <n v="142017.20000000001"/>
  </r>
  <r>
    <s v="ORD-2024-901115"/>
    <d v="2024-07-25T00:00:00"/>
    <d v="2024-07-25T00:00:00"/>
    <d v="2024-08-02T00:00:00"/>
    <d v="2024-08-02T00:00:00"/>
    <n v="8"/>
    <n v="0"/>
    <s v="07-2024"/>
    <s v="Q3-2024"/>
    <d v="2023-01-02T00:00:00"/>
    <s v="01-2023"/>
    <s v="Americas"/>
    <s v="Canada"/>
    <s v="Montreal"/>
    <s v="Montreal"/>
    <s v="Consumer"/>
    <s v="Direct"/>
    <s v="Direct"/>
    <s v="J. Njeri"/>
    <s v="J. Njeri"/>
    <x v="1"/>
    <s v="High"/>
    <s v="ACC-6626"/>
    <s v="A"/>
    <n v="986.81"/>
    <n v="2050.31"/>
    <n v="2050.31"/>
    <n v="0.10299999999999999"/>
    <n v="0.10299999999999999"/>
    <n v="0"/>
    <n v="43"/>
    <n v="79082.507010000001"/>
    <n v="42432.829999999994"/>
    <n v="36649.677010000007"/>
    <n v="0.46343595310358138"/>
    <n v="1141659.8621"/>
    <n v="0.10430148630771666"/>
    <n v="0.10299999999999999"/>
    <n v="55.9"/>
    <n v="1085.491"/>
    <n v="102807.25911300001"/>
  </r>
  <r>
    <s v="ORD-2025-997421"/>
    <d v="2025-05-21T00:00:00"/>
    <d v="2025-05-21T00:00:00"/>
    <d v="2025-06-09T00:00:00"/>
    <d v="2025-06-09T00:00:00"/>
    <n v="19"/>
    <n v="1"/>
    <s v="05-2025"/>
    <s v="Q2-2025"/>
    <d v="2023-01-29T00:00:00"/>
    <s v="01-2023"/>
    <s v="Americas"/>
    <s v="Brazil"/>
    <s v="São Paulo"/>
    <s v="São Paulo"/>
    <s v="Non-Profit"/>
    <s v="Online"/>
    <s v="Online"/>
    <s v="A. Patel"/>
    <s v="A. Patel"/>
    <x v="0"/>
    <s v="High"/>
    <s v="CMP-3731"/>
    <s v="A"/>
    <n v="1331.38"/>
    <n v="2309.56"/>
    <n v="2309.56"/>
    <n v="0.14899999999999999"/>
    <n v="0.14899999999999999"/>
    <n v="0"/>
    <n v="31"/>
    <n v="60928.502359999999"/>
    <n v="41272.780000000006"/>
    <n v="19655.722359999992"/>
    <n v="0.32260307735553528"/>
    <n v="1202588.3644600001"/>
    <n v="0.1098678844667636"/>
    <n v="0.14899999999999999"/>
    <n v="40.300000000000004"/>
    <n v="1464.5180000000003"/>
    <n v="79207.053068000008"/>
  </r>
  <r>
    <s v="ORD-2024-584090"/>
    <d v="2024-06-07T00:00:00"/>
    <d v="2024-06-07T00:00:00"/>
    <d v="2024-06-26T00:00:00"/>
    <d v="2024-06-26T00:00:00"/>
    <n v="19"/>
    <n v="0"/>
    <s v="06-2024"/>
    <s v="Q2-2024"/>
    <d v="2023-01-21T00:00:00"/>
    <s v="01-2023"/>
    <s v="Europe"/>
    <s v="Germany"/>
    <s v="Berlin"/>
    <s v="Berlin"/>
    <s v="Non-Profit"/>
    <s v="Marketplace"/>
    <s v="Marketplace"/>
    <s v="M. Rossi"/>
    <s v="M. Rossi"/>
    <x v="0"/>
    <s v="High"/>
    <s v="CMP-2040"/>
    <s v="A"/>
    <n v="1064.32"/>
    <n v="1848.39"/>
    <n v="1848.39"/>
    <n v="7.2999999999999995E-2"/>
    <n v="7.2999999999999995E-2"/>
    <n v="0"/>
    <n v="38"/>
    <n v="65111.38614000001"/>
    <n v="40444.159999999996"/>
    <n v="24667.226140000013"/>
    <n v="0.3788465827921631"/>
    <n v="1267699.7506000001"/>
    <n v="0.11581642884097477"/>
    <n v="7.2999999999999995E-2"/>
    <n v="49.4"/>
    <n v="1170.752"/>
    <n v="84644.801982000005"/>
  </r>
  <r>
    <s v="ORD-2023-368449"/>
    <d v="2023-10-09T00:00:00"/>
    <d v="2023-10-09T00:00:00"/>
    <d v="2023-10-26T00:00:00"/>
    <d v="2023-10-26T00:00:00"/>
    <n v="17"/>
    <n v="1"/>
    <s v="10-2023"/>
    <s v="Q4-2023"/>
    <d v="2023-01-12T00:00:00"/>
    <s v="01-2023"/>
    <s v="Asia"/>
    <s v="China"/>
    <s v="Shanghai"/>
    <s v="Shanghai"/>
    <s v="Consumer"/>
    <s v="Marketplace"/>
    <s v="Marketplace"/>
    <s v="C. Otieno"/>
    <s v="C. Otieno"/>
    <x v="0"/>
    <s v="High"/>
    <s v="CMP-2096"/>
    <s v="A"/>
    <n v="1132.03"/>
    <n v="2137.21"/>
    <n v="2137.21"/>
    <n v="0.35699999999999998"/>
    <n v="0.3"/>
    <n v="1"/>
    <n v="35"/>
    <n v="52361.645000000004"/>
    <n v="39621.049999999996"/>
    <n v="12740.595000000008"/>
    <n v="0.24331922727026639"/>
    <n v="1320061.3956000002"/>
    <n v="0.12060016310397249"/>
    <n v="0.2"/>
    <n v="45.5"/>
    <n v="1245.2330000000002"/>
    <n v="77794.444000000003"/>
  </r>
  <r>
    <s v="ORD-2023-159821"/>
    <d v="2023-07-01T00:00:00"/>
    <d v="2023-07-01T00:00:00"/>
    <d v="2023-07-08T00:00:00"/>
    <d v="2023-07-08T00:00:00"/>
    <n v="7"/>
    <n v="0"/>
    <s v="07-2023"/>
    <s v="Q3-2023"/>
    <d v="2023-01-13T00:00:00"/>
    <s v="01-2023"/>
    <s v="Africa"/>
    <s v="Nigeria"/>
    <s v="Port Harcourt"/>
    <s v="Port Harcourt"/>
    <s v="Corporate"/>
    <s v="Retail"/>
    <s v="Retail"/>
    <s v="A. Patel"/>
    <s v="A. Patel"/>
    <x v="3"/>
    <s v="High"/>
    <s v="LAP-3904"/>
    <s v="A"/>
    <n v="834.26"/>
    <n v="1780.56"/>
    <n v="1780.56"/>
    <n v="1.4E-2"/>
    <n v="1.4E-2"/>
    <n v="0"/>
    <n v="47"/>
    <n v="82514.711519999997"/>
    <n v="39210.22"/>
    <n v="43304.491519999996"/>
    <n v="0.5248093427497933"/>
    <n v="1402576.1071200001"/>
    <n v="0.12813866676824043"/>
    <n v="1.4E-2"/>
    <n v="61.1"/>
    <n v="917.68600000000004"/>
    <n v="107269.12497599999"/>
  </r>
  <r>
    <s v="ORD-2023-159379"/>
    <d v="2023-02-08T00:00:00"/>
    <d v="2023-02-08T00:00:00"/>
    <d v="2023-02-11T00:00:00"/>
    <d v="2023-02-11T00:00:00"/>
    <n v="3"/>
    <n v="1"/>
    <s v="02-2023"/>
    <s v="Q1-2023"/>
    <d v="2023-01-07T00:00:00"/>
    <s v="01-2023"/>
    <s v="Africa"/>
    <s v="South Africa"/>
    <s v="Cape Town"/>
    <s v="Cape Town"/>
    <s v="Corporate"/>
    <s v="Direct"/>
    <s v="Direct"/>
    <s v="M. Rossi"/>
    <s v="M. Rossi"/>
    <x v="4"/>
    <s v="High"/>
    <s v="NET-5018"/>
    <s v="A"/>
    <n v="1410.05"/>
    <n v="2763.95"/>
    <n v="2763.95"/>
    <n v="0.161"/>
    <n v="0.161"/>
    <n v="0"/>
    <n v="26"/>
    <n v="60292.805299999993"/>
    <n v="36661.299999999996"/>
    <n v="23631.505299999997"/>
    <n v="0.39194569206750779"/>
    <n v="1462868.9124199999"/>
    <n v="0.13364698795497662"/>
    <n v="0.161"/>
    <n v="33.800000000000004"/>
    <n v="1551.0550000000001"/>
    <n v="78380.646890000004"/>
  </r>
  <r>
    <s v="ORD-2023-974506"/>
    <d v="2023-12-28T00:00:00"/>
    <d v="2023-12-28T00:00:00"/>
    <d v="2024-01-01T00:00:00"/>
    <d v="2024-01-01T00:00:00"/>
    <n v="4"/>
    <n v="0"/>
    <s v="12-2023"/>
    <s v="Q4-2023"/>
    <d v="2023-01-07T00:00:00"/>
    <s v="01-2023"/>
    <s v="Africa"/>
    <s v="South Africa"/>
    <s v="Cape Town"/>
    <s v="Cape Town"/>
    <s v="Education"/>
    <s v="Distributor"/>
    <s v="Distributor"/>
    <s v="A. Patel"/>
    <s v="A. Patel"/>
    <x v="5"/>
    <s v="High"/>
    <s v="PRN-1654"/>
    <s v="A"/>
    <n v="1141.8"/>
    <n v="2318.7399999999998"/>
    <n v="2318.7399999999998"/>
    <n v="0.107"/>
    <n v="0.107"/>
    <n v="0"/>
    <n v="32"/>
    <n v="66260.314239999992"/>
    <n v="36537.599999999999"/>
    <n v="29722.714239999994"/>
    <n v="0.44857490612468304"/>
    <n v="1529129.2266599999"/>
    <n v="0.13970049783815319"/>
    <n v="0.107"/>
    <n v="41.6"/>
    <n v="1255.98"/>
    <n v="86138.408511999995"/>
  </r>
  <r>
    <s v="ORD-2023-586275"/>
    <d v="2023-01-20T00:00:00"/>
    <d v="2023-01-20T00:00:00"/>
    <d v="2023-02-03T00:00:00"/>
    <d v="2023-02-03T00:00:00"/>
    <n v="14"/>
    <n v="0"/>
    <s v="01-2023"/>
    <s v="Q1-2023"/>
    <d v="2023-01-20T00:00:00"/>
    <s v="01-2023"/>
    <s v="Africa"/>
    <s v="Kenya"/>
    <s v="Kisumu"/>
    <s v="Kisumu"/>
    <s v="Corporate"/>
    <s v="Retail"/>
    <s v="Retail"/>
    <s v="M. Rossi"/>
    <s v="M. Rossi"/>
    <x v="4"/>
    <s v="Medium"/>
    <s v="NET-6036"/>
    <s v="A"/>
    <n v="884.36"/>
    <n v="1545.34"/>
    <n v="1545.34"/>
    <n v="0.24299999999999999"/>
    <n v="0.24299999999999999"/>
    <n v="1"/>
    <n v="41"/>
    <n v="47962.717579999997"/>
    <n v="36258.76"/>
    <n v="11703.957579999995"/>
    <n v="0.24402198562827965"/>
    <n v="1577091.9442399999"/>
    <n v="0.14408234824476149"/>
    <n v="0.2"/>
    <n v="53.300000000000004"/>
    <n v="972.79600000000005"/>
    <n v="65893.297600000005"/>
  </r>
  <r>
    <s v="ORD-2023-676553"/>
    <d v="2023-05-20T00:00:00"/>
    <d v="2023-05-20T00:00:00"/>
    <d v="2023-06-19T00:00:00"/>
    <d v="2023-06-19T00:00:00"/>
    <n v="30"/>
    <n v="0"/>
    <s v="05-2023"/>
    <s v="Q2-2023"/>
    <d v="2023-01-29T00:00:00"/>
    <s v="01-2023"/>
    <s v="Asia"/>
    <s v="India"/>
    <s v="Delhi"/>
    <s v="Delhi"/>
    <s v="Non-Profit"/>
    <s v="Marketplace"/>
    <s v="Marketplace"/>
    <s v="H. Kim"/>
    <s v="H. Kim"/>
    <x v="3"/>
    <s v="Medium"/>
    <s v="LAP-2806"/>
    <s v="A"/>
    <n v="1161.2"/>
    <n v="878.73"/>
    <n v="878.73"/>
    <n v="0.19"/>
    <n v="0.19"/>
    <n v="0"/>
    <n v="31"/>
    <n v="22064.910300000003"/>
    <n v="35997.200000000004"/>
    <n v="13932.289700000001"/>
    <n v="0.63142290227212028"/>
    <n v="1599156.85454"/>
    <n v="0.14609818765187105"/>
    <n v="0.19"/>
    <n v="40.300000000000004"/>
    <n v="1277.3200000000002"/>
    <n v="28684.383390000003"/>
  </r>
  <r>
    <s v="ORD-2025-831576"/>
    <d v="2025-09-15T00:00:00"/>
    <d v="2025-09-15T00:00:00"/>
    <d v="2025-09-25T00:00:00"/>
    <d v="2025-09-25T00:00:00"/>
    <n v="10"/>
    <n v="0"/>
    <s v="09-2025"/>
    <s v="Q3-2025"/>
    <d v="2023-01-29T00:00:00"/>
    <s v="01-2023"/>
    <s v="Asia"/>
    <s v="India"/>
    <s v="Delhi"/>
    <s v="Delhi"/>
    <s v="Consumer"/>
    <s v="Retail"/>
    <s v="Retail"/>
    <s v="A. Patel"/>
    <s v="A. Patel"/>
    <x v="6"/>
    <s v="Medium"/>
    <s v="PHN-2859"/>
    <s v="A"/>
    <n v="1488.91"/>
    <n v="1483.74"/>
    <n v="1483.74"/>
    <n v="0.16800000000000001"/>
    <n v="0.16800000000000001"/>
    <n v="0"/>
    <n v="24"/>
    <n v="29627.320319999999"/>
    <n v="35733.840000000004"/>
    <n v="6106.5196800000049"/>
    <n v="0.20611110333450519"/>
    <n v="1628784.1748599999"/>
    <n v="0.14880492513759352"/>
    <n v="0.16800000000000001"/>
    <n v="31.200000000000003"/>
    <n v="1637.8010000000002"/>
    <n v="38515.516415999999"/>
  </r>
  <r>
    <s v="ORD-2024-468655"/>
    <d v="2024-02-19T00:00:00"/>
    <d v="2024-02-19T00:00:00"/>
    <d v="2024-03-06T00:00:00"/>
    <d v="2024-03-06T00:00:00"/>
    <n v="16"/>
    <n v="0"/>
    <s v="02-2024"/>
    <s v="Q1-2024"/>
    <d v="2023-01-12T00:00:00"/>
    <s v="01-2023"/>
    <s v="Asia"/>
    <s v="China"/>
    <s v="Beijing"/>
    <s v="Beijing"/>
    <s v="Education"/>
    <s v="Marketplace"/>
    <s v="Marketplace"/>
    <s v="O. Wang"/>
    <s v="O. Wang"/>
    <x v="5"/>
    <s v="High"/>
    <s v="PRN-6308"/>
    <s v="A"/>
    <n v="1477.84"/>
    <n v="3197.47"/>
    <n v="3197.47"/>
    <n v="0.24299999999999999"/>
    <n v="0.24299999999999999"/>
    <n v="1"/>
    <n v="24"/>
    <n v="58091.634960000003"/>
    <n v="35468.159999999996"/>
    <n v="22623.474960000007"/>
    <n v="0.38944462443823091"/>
    <n v="1686875.8098199998"/>
    <n v="0.15411214847925339"/>
    <n v="0.2"/>
    <n v="31.200000000000003"/>
    <n v="1625.624"/>
    <n v="79808.851200000005"/>
  </r>
  <r>
    <s v="ORD-2024-756884"/>
    <d v="2024-10-13T00:00:00"/>
    <d v="2024-10-13T00:00:00"/>
    <d v="2024-10-24T00:00:00"/>
    <d v="2024-10-24T00:00:00"/>
    <n v="11"/>
    <n v="0"/>
    <s v="10-2024"/>
    <s v="Q4-2024"/>
    <d v="2023-01-10T00:00:00"/>
    <s v="01-2023"/>
    <s v="Europe"/>
    <s v="France"/>
    <s v="Paris"/>
    <s v="Paris"/>
    <s v="Education"/>
    <s v="Distributor"/>
    <s v="Distributor"/>
    <s v="F. Müller"/>
    <s v="F. Müller"/>
    <x v="0"/>
    <s v="Medium"/>
    <s v="CMP-5006"/>
    <s v="A"/>
    <n v="816.7"/>
    <n v="1010.75"/>
    <n v="1010.75"/>
    <n v="4.7E-2"/>
    <n v="4.7E-2"/>
    <n v="0"/>
    <n v="43"/>
    <n v="41419.524249999995"/>
    <n v="35118.1"/>
    <n v="6301.4242499999964"/>
    <n v="0.15213656757537472"/>
    <n v="1728295.3340699999"/>
    <n v="0.15789621594527342"/>
    <n v="4.7E-2"/>
    <n v="55.9"/>
    <n v="898.37000000000012"/>
    <n v="53845.381524999997"/>
  </r>
  <r>
    <s v="ORD-2025-944081"/>
    <d v="2025-03-25T00:00:00"/>
    <d v="2025-03-25T00:00:00"/>
    <d v="2025-03-26T00:00:00"/>
    <d v="2025-03-26T00:00:00"/>
    <n v="1"/>
    <n v="0"/>
    <s v="03-2025"/>
    <s v="Q1-2025"/>
    <d v="2023-01-13T00:00:00"/>
    <s v="01-2023"/>
    <s v="Africa"/>
    <s v="Nigeria"/>
    <s v="Lagos"/>
    <s v="Lagos"/>
    <s v="Education"/>
    <s v="Distributor"/>
    <s v="Distributor"/>
    <s v="G. Dubois"/>
    <s v="G. Dubois"/>
    <x v="1"/>
    <s v="High"/>
    <s v="ACC-9533"/>
    <s v="A"/>
    <n v="1450.43"/>
    <n v="1994.67"/>
    <n v="1994.67"/>
    <n v="0.1"/>
    <n v="0.1"/>
    <n v="0"/>
    <n v="24"/>
    <n v="43084.872000000003"/>
    <n v="34810.32"/>
    <n v="8274.5520000000033"/>
    <n v="0.19205237513529116"/>
    <n v="1771380.2060699998"/>
    <n v="0.16183242876676271"/>
    <n v="0.1"/>
    <n v="31.200000000000003"/>
    <n v="1595.4730000000002"/>
    <n v="56010.333600000005"/>
  </r>
  <r>
    <s v="ORD-2024-341535"/>
    <d v="2024-06-25T00:00:00"/>
    <d v="2024-06-25T00:00:00"/>
    <d v="2024-06-30T00:00:00"/>
    <d v="2024-06-30T00:00:00"/>
    <n v="5"/>
    <n v="0"/>
    <s v="06-2024"/>
    <s v="Q2-2024"/>
    <d v="2023-01-20T00:00:00"/>
    <s v="01-2023"/>
    <s v="Africa"/>
    <s v="Kenya"/>
    <s v="Kisumu"/>
    <s v="Kisumu"/>
    <s v="Education"/>
    <s v="Direct"/>
    <s v="Direct"/>
    <s v="M. Rossi"/>
    <s v="M. Rossi"/>
    <x v="4"/>
    <s v="High"/>
    <s v="NET-5987"/>
    <s v="A"/>
    <n v="1323.55"/>
    <n v="3230.35"/>
    <n v="3230.35"/>
    <n v="2.1999999999999999E-2"/>
    <n v="2.1999999999999999E-2"/>
    <n v="0"/>
    <n v="26"/>
    <n v="82141.339799999987"/>
    <n v="34412.299999999996"/>
    <n v="47729.039799999991"/>
    <n v="0.58105991351263542"/>
    <n v="1853521.5458699998"/>
    <n v="0.16933682137340825"/>
    <n v="2.1999999999999999E-2"/>
    <n v="33.800000000000004"/>
    <n v="1455.905"/>
    <n v="106783.74174000001"/>
  </r>
  <r>
    <s v="ORD-2024-572312"/>
    <d v="2024-06-16T00:00:00"/>
    <d v="2024-06-16T00:00:00"/>
    <d v="2024-06-21T00:00:00"/>
    <d v="2024-06-21T00:00:00"/>
    <n v="5"/>
    <n v="1"/>
    <s v="06-2024"/>
    <s v="Q2-2024"/>
    <d v="2023-03-03T00:00:00"/>
    <s v="03-2023"/>
    <s v="Asia"/>
    <s v="Japan"/>
    <s v="Tokyo"/>
    <s v="Tokyo"/>
    <s v="Small Business"/>
    <s v="Distributor"/>
    <s v="Distributor"/>
    <s v="F. Müller"/>
    <s v="F. Müller"/>
    <x v="6"/>
    <s v="High"/>
    <s v="PHN-9677"/>
    <s v="A"/>
    <n v="1367.13"/>
    <n v="3062.01"/>
    <n v="3062.01"/>
    <n v="0.10299999999999999"/>
    <n v="0.10299999999999999"/>
    <n v="0"/>
    <n v="25"/>
    <n v="68665.574250000005"/>
    <n v="34178.25"/>
    <n v="34487.324250000005"/>
    <n v="0.50225057645971705"/>
    <n v="1922187.1201199999"/>
    <n v="0.17561007463403708"/>
    <n v="0.10299999999999999"/>
    <n v="32.5"/>
    <n v="1503.8430000000003"/>
    <n v="89265.24652500001"/>
  </r>
  <r>
    <s v="ORD-2024-868223"/>
    <d v="2024-03-03T00:00:00"/>
    <d v="2024-03-03T00:00:00"/>
    <d v="2024-03-19T00:00:00"/>
    <d v="2024-03-19T00:00:00"/>
    <n v="16"/>
    <n v="0"/>
    <s v="03-2024"/>
    <s v="Q1-2024"/>
    <d v="2023-01-12T00:00:00"/>
    <s v="01-2023"/>
    <s v="Asia"/>
    <s v="China"/>
    <s v="Beijing"/>
    <s v="Beijing"/>
    <s v="Consumer"/>
    <s v="Distributor"/>
    <s v="Distributor"/>
    <s v="G. Dubois"/>
    <s v="G. Dubois"/>
    <x v="6"/>
    <s v="Medium"/>
    <s v="PHN-4915"/>
    <s v="A"/>
    <n v="988.83"/>
    <n v="1206.04"/>
    <n v="1206.04"/>
    <n v="6.3E-2"/>
    <n v="6.3E-2"/>
    <n v="0"/>
    <n v="34"/>
    <n v="38422.022320000004"/>
    <n v="33620.22"/>
    <n v="4801.8023200000025"/>
    <n v="0.12497526236406606"/>
    <n v="1960609.1424399999"/>
    <n v="0.17912029179061889"/>
    <n v="6.3E-2"/>
    <n v="44.2"/>
    <n v="1087.7130000000002"/>
    <n v="49948.629016000006"/>
  </r>
  <r>
    <s v="ORD-2024-358795"/>
    <d v="2024-10-23T00:00:00"/>
    <d v="2024-10-22T00:00:00"/>
    <d v="2024-10-22T00:00:00"/>
    <d v="2024-10-23T00:00:00"/>
    <n v="1"/>
    <n v="0"/>
    <s v="10-2024"/>
    <s v="Q4-2024"/>
    <d v="2023-01-13T00:00:00"/>
    <s v="01-2023"/>
    <s v="Africa"/>
    <s v="Nigeria"/>
    <s v="Port Harcourt"/>
    <s v="Port Harcourt"/>
    <s v="Education"/>
    <s v="Online"/>
    <s v="Online"/>
    <s v="J. Njeri"/>
    <s v="J. Njeri"/>
    <x v="5"/>
    <s v="Low"/>
    <s v="PRN-9322"/>
    <s v="A"/>
    <n v="1084.3900000000001"/>
    <n v="759.33"/>
    <n v="759.33"/>
    <n v="0.23699999999999999"/>
    <n v="0.23699999999999999"/>
    <n v="1"/>
    <n v="31"/>
    <n v="17960.432489999999"/>
    <n v="33616.090000000004"/>
    <n v="15655.657510000005"/>
    <n v="0.87167486187856302"/>
    <n v="1978569.5749299999"/>
    <n v="0.18076114811361391"/>
    <n v="0.2"/>
    <n v="40.300000000000004"/>
    <n v="1192.8290000000002"/>
    <n v="24480.799200000005"/>
  </r>
  <r>
    <s v="ORD-2025-440093"/>
    <d v="2025-04-16T00:00:00"/>
    <d v="2025-04-16T00:00:00"/>
    <d v="2025-04-26T00:00:00"/>
    <d v="2025-04-26T00:00:00"/>
    <n v="10"/>
    <n v="1"/>
    <s v="04-2025"/>
    <s v="Q2-2025"/>
    <d v="2023-01-13T00:00:00"/>
    <s v="01-2023"/>
    <s v="Africa"/>
    <s v="Nigeria"/>
    <s v="Port Harcourt"/>
    <s v="Port Harcourt"/>
    <s v="Enterprise"/>
    <s v="Marketplace"/>
    <s v="Marketplace"/>
    <s v="F. Müller"/>
    <s v="F. Müller"/>
    <x v="3"/>
    <s v="High"/>
    <s v="LAP-3490"/>
    <s v="A"/>
    <n v="1457.44"/>
    <n v="1996.81"/>
    <n v="1996.81"/>
    <n v="0.126"/>
    <n v="0.126"/>
    <n v="0"/>
    <n v="23"/>
    <n v="40139.874619999995"/>
    <n v="33521.120000000003"/>
    <n v="6618.7546199999924"/>
    <n v="0.16489225944672353"/>
    <n v="2018709.4495499998"/>
    <n v="0.18442830741565888"/>
    <n v="0.126"/>
    <n v="29.900000000000002"/>
    <n v="1603.1840000000002"/>
    <n v="52181.837006000009"/>
  </r>
  <r>
    <s v="ORD-2023-701153"/>
    <d v="2023-04-14T00:00:00"/>
    <d v="2023-04-14T00:00:00"/>
    <d v="2023-05-13T00:00:00"/>
    <d v="2023-05-13T00:00:00"/>
    <n v="29"/>
    <n v="0"/>
    <s v="04-2023"/>
    <s v="Q2-2023"/>
    <d v="2023-01-21T00:00:00"/>
    <s v="01-2023"/>
    <s v="Europe"/>
    <s v="Germany"/>
    <s v="Frankfurt"/>
    <s v="Frankfurt"/>
    <s v="Consumer"/>
    <s v="Direct"/>
    <s v="Direct"/>
    <s v="J. Njeri"/>
    <s v="J. Njeri"/>
    <x v="5"/>
    <s v="High"/>
    <s v="PRN-7019"/>
    <s v="A"/>
    <n v="1320.33"/>
    <n v="2645.23"/>
    <n v="2645.23"/>
    <n v="0.155"/>
    <n v="0.155"/>
    <n v="0"/>
    <n v="25"/>
    <n v="55880.483749999999"/>
    <n v="33008.25"/>
    <n v="22872.233749999999"/>
    <n v="0.40930629470436536"/>
    <n v="2074589.9332999997"/>
    <n v="0.18953352106484353"/>
    <n v="0.155"/>
    <n v="32.5"/>
    <n v="1452.3630000000001"/>
    <n v="72644.628875000009"/>
  </r>
  <r>
    <s v="ORD-2025-765220"/>
    <d v="2025-04-06T00:00:00"/>
    <d v="2025-04-06T00:00:00"/>
    <d v="2025-04-30T00:00:00"/>
    <d v="2025-04-30T00:00:00"/>
    <n v="24"/>
    <n v="0"/>
    <s v="04-2025"/>
    <s v="Q2-2025"/>
    <d v="2023-01-29T00:00:00"/>
    <s v="01-2023"/>
    <s v="Americas"/>
    <s v="Brazil"/>
    <s v="Brasília"/>
    <s v="Brasília"/>
    <s v="Education"/>
    <s v="Online"/>
    <s v="Online"/>
    <s v="K. Singh"/>
    <s v="K. Singh"/>
    <x v="2"/>
    <s v="Medium"/>
    <s v="MON-4925"/>
    <s v="A"/>
    <n v="855.78"/>
    <n v="977.38"/>
    <n v="977.38"/>
    <n v="0.14699999999999999"/>
    <n v="0.14699999999999999"/>
    <n v="0"/>
    <n v="38"/>
    <n v="31680.795320000001"/>
    <n v="32519.64"/>
    <n v="838.84467999999833"/>
    <n v="2.6478018355506307E-2"/>
    <n v="2106270.7286199997"/>
    <n v="0.19242786302165757"/>
    <n v="0.14699999999999999"/>
    <n v="49.4"/>
    <n v="941.35800000000006"/>
    <n v="41185.033916"/>
  </r>
  <r>
    <s v="ORD-2024-817997"/>
    <d v="2024-07-28T00:00:00"/>
    <d v="2024-07-28T00:00:00"/>
    <d v="2024-08-23T00:00:00"/>
    <d v="2024-08-23T00:00:00"/>
    <n v="26"/>
    <n v="0"/>
    <s v="07-2024"/>
    <s v="Q3-2024"/>
    <d v="2023-01-29T00:00:00"/>
    <s v="01-2023"/>
    <s v="Asia"/>
    <s v="India"/>
    <s v="Hyderabad"/>
    <s v="Hyderabad"/>
    <s v="Corporate"/>
    <s v="Retail"/>
    <s v="Retail"/>
    <s v="J. Njeri"/>
    <s v="J. Njeri"/>
    <x v="4"/>
    <s v="Medium"/>
    <s v="NET-4675"/>
    <s v="A"/>
    <n v="1339.24"/>
    <n v="1558.89"/>
    <n v="1558.89"/>
    <n v="0.192"/>
    <n v="0.192"/>
    <n v="0"/>
    <n v="24"/>
    <n v="30229.994880000002"/>
    <n v="32141.760000000002"/>
    <n v="1911.76512"/>
    <n v="6.3240669659021781E-2"/>
    <n v="2136500.7234999998"/>
    <n v="0.19518966056025097"/>
    <n v="0.192"/>
    <n v="31.200000000000003"/>
    <n v="1473.1640000000002"/>
    <n v="39298.99334400001"/>
  </r>
  <r>
    <s v="ORD-2024-805860"/>
    <d v="2024-09-13T00:00:00"/>
    <d v="2024-09-13T00:00:00"/>
    <d v="2024-10-02T00:00:00"/>
    <d v="2024-10-02T00:00:00"/>
    <n v="19"/>
    <n v="0"/>
    <s v="09-2024"/>
    <s v="Q3-2024"/>
    <d v="2023-01-20T00:00:00"/>
    <s v="01-2023"/>
    <s v="Africa"/>
    <s v="Kenya"/>
    <s v="Mombasa"/>
    <s v="Mombasa"/>
    <s v="Small Business"/>
    <s v="Retail"/>
    <s v="Retail"/>
    <s v="M. Rossi"/>
    <s v="M. Rossi"/>
    <x v="6"/>
    <s v="High"/>
    <s v="PHN-8804"/>
    <s v="A"/>
    <n v="1338.99"/>
    <n v="1765.76"/>
    <n v="1765.76"/>
    <n v="0.126"/>
    <n v="0.126"/>
    <n v="0"/>
    <n v="24"/>
    <n v="37038.581760000001"/>
    <n v="32135.760000000002"/>
    <n v="4902.8217599999989"/>
    <n v="0.1323706666677725"/>
    <n v="2173539.3052599998"/>
    <n v="0.19857348726428509"/>
    <n v="0.126"/>
    <n v="31.200000000000003"/>
    <n v="1472.8890000000001"/>
    <n v="48150.156288000006"/>
  </r>
  <r>
    <s v="ORD-2024-474999"/>
    <d v="2024-12-27T00:00:00"/>
    <d v="2024-12-27T00:00:00"/>
    <d v="2025-01-02T00:00:00"/>
    <d v="2025-01-02T00:00:00"/>
    <n v="6"/>
    <n v="0"/>
    <s v="12-2024"/>
    <s v="Q4-2024"/>
    <d v="2023-01-21T00:00:00"/>
    <s v="01-2023"/>
    <s v="Europe"/>
    <s v="Germany"/>
    <s v="Frankfurt"/>
    <s v="Frankfurt"/>
    <s v="Education"/>
    <s v="Direct"/>
    <s v="Direct"/>
    <s v="F. Müller"/>
    <s v="F. Müller"/>
    <x v="3"/>
    <s v="High"/>
    <s v="LAP-8214"/>
    <s v="A"/>
    <n v="1391.99"/>
    <n v="3469.7"/>
    <n v="3469.7"/>
    <n v="0.184"/>
    <n v="0.184"/>
    <n v="0"/>
    <n v="23"/>
    <n v="65119.329599999997"/>
    <n v="32015.77"/>
    <n v="33103.559599999993"/>
    <n v="0.50835227886006973"/>
    <n v="2238658.6348599996"/>
    <n v="0.20452275734911457"/>
    <n v="0.184"/>
    <n v="29.900000000000002"/>
    <n v="1531.1890000000001"/>
    <n v="84655.128479999999"/>
  </r>
  <r>
    <s v="ORD-2025-789245"/>
    <d v="2025-07-23T00:00:00"/>
    <d v="2025-07-23T00:00:00"/>
    <d v="2025-08-17T00:00:00"/>
    <d v="2025-08-17T00:00:00"/>
    <n v="25"/>
    <n v="1"/>
    <s v="07-2025"/>
    <s v="Q3-2025"/>
    <d v="2023-01-19T00:00:00"/>
    <s v="01-2023"/>
    <s v="Europe"/>
    <s v="United Kingdom"/>
    <s v="Birmingham"/>
    <s v="Birmingham"/>
    <s v="Education"/>
    <s v="Online"/>
    <s v="Online"/>
    <s v="I. Johnson"/>
    <s v="I. Johnson"/>
    <x v="5"/>
    <s v="Medium"/>
    <s v="PRN-5876"/>
    <s v="A"/>
    <n v="1142.06"/>
    <n v="1455"/>
    <n v="1455"/>
    <n v="7.8E-2"/>
    <n v="7.8E-2"/>
    <n v="0"/>
    <n v="28"/>
    <n v="37562.28"/>
    <n v="31977.68"/>
    <n v="5584.5999999999985"/>
    <n v="0.1486757459877302"/>
    <n v="2276220.9148599994"/>
    <n v="0.207954428868073"/>
    <n v="7.8E-2"/>
    <n v="36.4"/>
    <n v="1256.2660000000001"/>
    <n v="48830.964"/>
  </r>
  <r>
    <s v="ORD-2024-510591"/>
    <d v="2024-04-03T00:00:00"/>
    <d v="2024-04-03T00:00:00"/>
    <d v="2024-04-21T00:00:00"/>
    <d v="2024-04-21T00:00:00"/>
    <n v="18"/>
    <n v="0"/>
    <s v="04-2024"/>
    <s v="Q2-2024"/>
    <d v="2023-01-29T00:00:00"/>
    <s v="01-2023"/>
    <s v="Americas"/>
    <s v="Brazil"/>
    <s v="Brasília"/>
    <s v="Brasília"/>
    <s v="Small Business"/>
    <s v="Distributor"/>
    <s v="Distributor"/>
    <s v="B. Chen"/>
    <s v="B. Chen"/>
    <x v="4"/>
    <s v="High"/>
    <s v="NET-3850"/>
    <s v="A"/>
    <n v="1176.69"/>
    <n v="2201.54"/>
    <n v="2201.54"/>
    <n v="0.17"/>
    <n v="0.17"/>
    <n v="0"/>
    <n v="27"/>
    <n v="49336.511399999996"/>
    <n v="31770.63"/>
    <n v="17565.881399999995"/>
    <n v="0.35604222717701106"/>
    <n v="2325557.4262599996"/>
    <n v="0.21246178840578345"/>
    <n v="0.17"/>
    <n v="35.1"/>
    <n v="1294.3590000000002"/>
    <n v="64137.464820000001"/>
  </r>
  <r>
    <s v="ORD-2023-521818"/>
    <d v="2023-01-29T00:00:00"/>
    <d v="2023-01-29T00:00:00"/>
    <d v="2023-02-28T00:00:00"/>
    <d v="2023-02-28T00:00:00"/>
    <n v="30"/>
    <n v="0"/>
    <s v="01-2023"/>
    <s v="Q1-2023"/>
    <d v="2023-01-29T00:00:00"/>
    <s v="01-2023"/>
    <s v="Asia"/>
    <s v="India"/>
    <s v="Bengaluru"/>
    <s v="Bengaluru"/>
    <s v="Non-Profit"/>
    <s v="Retail"/>
    <s v="Retail"/>
    <s v="B. Chen"/>
    <s v="B. Chen"/>
    <x v="1"/>
    <s v="Medium"/>
    <s v="ACC-4631"/>
    <s v="A"/>
    <n v="1262.0999999999999"/>
    <n v="1395.53"/>
    <n v="1395.53"/>
    <n v="0.23300000000000001"/>
    <n v="0.23300000000000001"/>
    <n v="1"/>
    <n v="25"/>
    <n v="26759.28775"/>
    <n v="31552.499999999996"/>
    <n v="4793.2122499999969"/>
    <n v="0.17912331205452198"/>
    <n v="2352316.7140099998"/>
    <n v="0.21490650383943896"/>
    <n v="0.2"/>
    <n v="32.5"/>
    <n v="1388.31"/>
    <n v="36283.78"/>
  </r>
  <r>
    <s v="ORD-2024-728474"/>
    <d v="2024-09-09T00:00:00"/>
    <d v="2024-09-09T00:00:00"/>
    <d v="2024-09-13T00:00:00"/>
    <d v="2024-09-13T00:00:00"/>
    <n v="4"/>
    <n v="1"/>
    <s v="09-2024"/>
    <s v="Q3-2024"/>
    <d v="2023-01-19T00:00:00"/>
    <s v="01-2023"/>
    <s v="Europe"/>
    <s v="United Kingdom"/>
    <s v="London"/>
    <s v="London"/>
    <s v="Consumer"/>
    <s v="Marketplace"/>
    <s v="Marketplace"/>
    <s v="F. Müller"/>
    <s v="F. Müller"/>
    <x v="4"/>
    <s v="Medium"/>
    <s v="NET-1145"/>
    <s v="A"/>
    <n v="1133.08"/>
    <n v="976.17"/>
    <n v="976.17"/>
    <n v="4.2000000000000003E-2"/>
    <n v="4.2000000000000003E-2"/>
    <n v="0"/>
    <n v="27"/>
    <n v="25249.613219999999"/>
    <n v="30593.159999999996"/>
    <n v="5343.5467799999969"/>
    <n v="0.21162885678452373"/>
    <n v="2377566.3272299999"/>
    <n v="0.21721329614682264"/>
    <n v="4.2000000000000003E-2"/>
    <n v="35.1"/>
    <n v="1246.3879999999999"/>
    <n v="32824.497186000001"/>
  </r>
  <r>
    <s v="ORD-2023-472050"/>
    <d v="2023-05-10T00:00:00"/>
    <d v="2023-05-10T00:00:00"/>
    <d v="2023-05-27T00:00:00"/>
    <d v="2023-05-27T00:00:00"/>
    <n v="17"/>
    <n v="0"/>
    <s v="05-2023"/>
    <s v="Q2-2023"/>
    <d v="2023-01-29T00:00:00"/>
    <s v="01-2023"/>
    <s v="Asia"/>
    <s v="India"/>
    <s v="Mumbai"/>
    <s v="Mumbai"/>
    <s v="Consumer"/>
    <s v="Retail"/>
    <s v="Retail"/>
    <s v="M. Rossi"/>
    <s v="M. Rossi"/>
    <x v="3"/>
    <s v="High"/>
    <s v="LAP-6499"/>
    <s v="A"/>
    <n v="1286.1600000000001"/>
    <n v="3101.11"/>
    <n v="3101.11"/>
    <n v="0.1"/>
    <n v="0.1"/>
    <n v="0"/>
    <n v="23"/>
    <n v="64192.976999999999"/>
    <n v="29581.68"/>
    <n v="34611.296999999999"/>
    <n v="0.53917575749758417"/>
    <n v="2441759.3042299999"/>
    <n v="0.22307793511144502"/>
    <n v="0.1"/>
    <n v="29.900000000000002"/>
    <n v="1414.7760000000003"/>
    <n v="83450.870100000015"/>
  </r>
  <r>
    <s v="ORD-2023-912395"/>
    <d v="2023-07-26T00:00:00"/>
    <d v="2023-07-26T00:00:00"/>
    <d v="2023-08-25T00:00:00"/>
    <d v="2023-08-25T00:00:00"/>
    <n v="30"/>
    <n v="0"/>
    <s v="07-2023"/>
    <s v="Q3-2023"/>
    <d v="2023-01-13T00:00:00"/>
    <s v="01-2023"/>
    <s v="Americas"/>
    <s v="USA"/>
    <s v="New York"/>
    <s v="New York"/>
    <s v="Consumer"/>
    <s v="Retail"/>
    <s v="Retail"/>
    <s v="M. Rossi"/>
    <s v="M. Rossi"/>
    <x v="1"/>
    <s v="High"/>
    <s v="ACC-7078"/>
    <s v="A"/>
    <n v="1261.48"/>
    <n v="1643.18"/>
    <n v="1643.18"/>
    <n v="0.151"/>
    <n v="0.151"/>
    <n v="0"/>
    <n v="23"/>
    <n v="32086.37586"/>
    <n v="29014.04"/>
    <n v="3072.3358599999992"/>
    <n v="9.5752037357079045E-2"/>
    <n v="2473845.6800899999"/>
    <n v="0.22600933070791462"/>
    <n v="0.151"/>
    <n v="29.900000000000002"/>
    <n v="1387.6280000000002"/>
    <n v="41712.288617999999"/>
  </r>
  <r>
    <s v="ORD-2025-678688"/>
    <d v="2025-07-16T00:00:00"/>
    <d v="2025-07-16T00:00:00"/>
    <d v="2025-07-17T00:00:00"/>
    <d v="2025-07-17T00:00:00"/>
    <n v="1"/>
    <n v="0"/>
    <s v="07-2025"/>
    <s v="Q3-2025"/>
    <d v="2023-01-07T00:00:00"/>
    <s v="01-2023"/>
    <s v="Africa"/>
    <s v="South Africa"/>
    <s v="Durban"/>
    <s v="Durban"/>
    <s v="Small Business"/>
    <s v="Distributor"/>
    <s v="Distributor"/>
    <s v="B. Chen"/>
    <s v="B. Chen"/>
    <x v="4"/>
    <s v="High"/>
    <s v="NET-1612"/>
    <s v="A"/>
    <n v="1198.9000000000001"/>
    <n v="2941.2"/>
    <n v="2941.2"/>
    <n v="5.0999999999999997E-2"/>
    <n v="5.0999999999999997E-2"/>
    <n v="0"/>
    <n v="24"/>
    <n v="66988.771199999988"/>
    <n v="28773.600000000002"/>
    <n v="38215.171199999982"/>
    <n v="0.57047129713583977"/>
    <n v="2540834.4512899998"/>
    <n v="0.23212939206247205"/>
    <n v="5.0999999999999997E-2"/>
    <n v="31.200000000000003"/>
    <n v="1318.7900000000002"/>
    <n v="87085.402560000002"/>
  </r>
  <r>
    <s v="ORD-2024-594527"/>
    <d v="2024-09-06T00:00:00"/>
    <d v="2024-09-04T00:00:00"/>
    <d v="2024-09-04T00:00:00"/>
    <d v="2024-09-06T00:00:00"/>
    <n v="2"/>
    <n v="0"/>
    <s v="09-2024"/>
    <s v="Q3-2024"/>
    <d v="2023-03-03T00:00:00"/>
    <s v="03-2023"/>
    <s v="Asia"/>
    <s v="Japan"/>
    <s v="Osaka"/>
    <s v="Osaka"/>
    <s v="Corporate"/>
    <s v="Direct"/>
    <s v="Direct"/>
    <s v="A. Patel"/>
    <s v="A. Patel"/>
    <x v="3"/>
    <s v="High"/>
    <s v="LAP-4483"/>
    <s v="A"/>
    <n v="1368.17"/>
    <n v="2307.75"/>
    <n v="2307.75"/>
    <n v="0.16300000000000001"/>
    <n v="0.16300000000000001"/>
    <n v="0"/>
    <n v="21"/>
    <n v="40563.321749999996"/>
    <n v="28731.57"/>
    <n v="11831.751749999996"/>
    <n v="0.29168596750831921"/>
    <n v="2581397.7730399999"/>
    <n v="0.23583523728709163"/>
    <n v="0.16300000000000001"/>
    <n v="27.3"/>
    <n v="1504.9870000000003"/>
    <n v="52732.318275000005"/>
  </r>
  <r>
    <s v="ORD-2024-212990"/>
    <d v="2024-08-12T00:00:00"/>
    <d v="2024-08-12T00:00:00"/>
    <d v="2024-09-03T00:00:00"/>
    <d v="2024-09-03T00:00:00"/>
    <n v="22"/>
    <n v="1"/>
    <s v="08-2024"/>
    <s v="Q3-2024"/>
    <d v="2023-01-13T00:00:00"/>
    <s v="01-2023"/>
    <s v="Americas"/>
    <s v="USA"/>
    <s v="Austin"/>
    <s v="Austin"/>
    <s v="Consumer"/>
    <s v="Distributor"/>
    <s v="Distributor"/>
    <s v="I. Johnson"/>
    <s v="I. Johnson"/>
    <x v="3"/>
    <s v="Medium"/>
    <s v="LAP-7979"/>
    <s v="A"/>
    <n v="797.8"/>
    <n v="886.22"/>
    <n v="886.22"/>
    <n v="0.23599999999999999"/>
    <n v="0.23599999999999999"/>
    <n v="1"/>
    <n v="36"/>
    <n v="24374.594880000001"/>
    <n v="28720.799999999999"/>
    <n v="4346.2051199999987"/>
    <n v="0.17830881462428633"/>
    <n v="2605772.3679200001"/>
    <n v="0.23806208834714035"/>
    <n v="0.2"/>
    <n v="46.800000000000004"/>
    <n v="877.58"/>
    <n v="33180.076800000003"/>
  </r>
  <r>
    <s v="ORD-2024-745822"/>
    <d v="2024-03-31T00:00:00"/>
    <d v="2024-03-31T00:00:00"/>
    <d v="2024-04-17T00:00:00"/>
    <d v="2024-04-17T00:00:00"/>
    <n v="17"/>
    <n v="0"/>
    <s v="03-2024"/>
    <s v="Q1-2024"/>
    <d v="2023-01-21T00:00:00"/>
    <s v="01-2023"/>
    <s v="Europe"/>
    <s v="Germany"/>
    <s v="Frankfurt"/>
    <s v="Frankfurt"/>
    <s v="Education"/>
    <s v="Direct"/>
    <s v="Direct"/>
    <s v="H. Kim"/>
    <s v="H. Kim"/>
    <x v="2"/>
    <s v="Medium"/>
    <s v="MON-8651"/>
    <s v="A"/>
    <n v="1025.51"/>
    <n v="1436.54"/>
    <n v="1436.54"/>
    <n v="0.13900000000000001"/>
    <n v="0.13900000000000001"/>
    <n v="0"/>
    <n v="28"/>
    <n v="34632.106319999999"/>
    <n v="28714.28"/>
    <n v="5917.8263200000001"/>
    <n v="0.17087688127656453"/>
    <n v="2640404.4742399999"/>
    <n v="0.24122606063263222"/>
    <n v="0.13900000000000001"/>
    <n v="36.4"/>
    <n v="1128.0610000000001"/>
    <n v="45021.738215999998"/>
  </r>
  <r>
    <s v="ORD-2023-292714"/>
    <d v="2023-07-10T00:00:00"/>
    <d v="2023-07-10T00:00:00"/>
    <d v="2023-08-01T00:00:00"/>
    <d v="2023-08-01T00:00:00"/>
    <n v="22"/>
    <n v="0"/>
    <s v="07-2023"/>
    <s v="Q3-2023"/>
    <d v="2023-01-10T00:00:00"/>
    <s v="01-2023"/>
    <s v="Europe"/>
    <s v="France"/>
    <s v="Marseille"/>
    <s v="Marseille"/>
    <s v="Consumer"/>
    <s v="Marketplace"/>
    <s v="Marketplace"/>
    <s v="B. Chen"/>
    <s v="B. Chen"/>
    <x v="5"/>
    <s v="High"/>
    <s v="PRN-1504"/>
    <s v="A"/>
    <n v="1303.56"/>
    <n v="1791.37"/>
    <n v="1791.37"/>
    <n v="0.126"/>
    <n v="0.126"/>
    <n v="0"/>
    <n v="22"/>
    <n v="34444.462359999998"/>
    <n v="28678.32"/>
    <n v="5766.142359999998"/>
    <n v="0.16740404596055358"/>
    <n v="2674848.9365999997"/>
    <n v="0.24437288985776573"/>
    <n v="0.126"/>
    <n v="28.6"/>
    <n v="1433.9160000000002"/>
    <n v="44777.801068000001"/>
  </r>
  <r>
    <s v="ORD-2025-677880"/>
    <d v="2025-08-21T00:00:00"/>
    <d v="2025-08-21T00:00:00"/>
    <d v="2025-09-14T00:00:00"/>
    <d v="2025-09-14T00:00:00"/>
    <n v="24"/>
    <n v="0"/>
    <s v="08-2025"/>
    <s v="Q3-2025"/>
    <d v="2023-01-21T00:00:00"/>
    <s v="01-2023"/>
    <s v="Europe"/>
    <s v="Germany"/>
    <s v="Berlin"/>
    <s v="Berlin"/>
    <s v="Non-Profit"/>
    <s v="Online"/>
    <s v="Online"/>
    <s v="A. Patel"/>
    <s v="A. Patel"/>
    <x v="2"/>
    <s v="High"/>
    <s v="MON-9662"/>
    <s v="A"/>
    <n v="1397.67"/>
    <n v="3131.37"/>
    <n v="3131.37"/>
    <n v="0.10299999999999999"/>
    <n v="0.10299999999999999"/>
    <n v="0"/>
    <n v="20"/>
    <n v="56176.777799999996"/>
    <n v="27953.4"/>
    <n v="28223.377799999995"/>
    <n v="0.50240293062874808"/>
    <n v="2731025.7143999995"/>
    <n v="0.24950517278636106"/>
    <n v="0.10299999999999999"/>
    <n v="26"/>
    <n v="1537.4370000000001"/>
    <n v="73029.811139999991"/>
  </r>
  <r>
    <s v="ORD-2023-594700"/>
    <d v="2023-07-18T00:00:00"/>
    <d v="2023-07-18T00:00:00"/>
    <d v="2023-07-22T00:00:00"/>
    <d v="2023-07-22T00:00:00"/>
    <n v="4"/>
    <n v="0"/>
    <s v="07-2023"/>
    <s v="Q3-2023"/>
    <d v="2023-01-29T00:00:00"/>
    <s v="01-2023"/>
    <s v="Americas"/>
    <s v="Brazil"/>
    <s v="São Paulo"/>
    <s v="São Paulo"/>
    <s v="Consumer"/>
    <s v="Direct"/>
    <s v="Direct"/>
    <s v="F. Müller"/>
    <s v="F. Müller"/>
    <x v="4"/>
    <s v="High"/>
    <s v="NET-1699"/>
    <s v="A"/>
    <n v="1269.55"/>
    <n v="2071.1"/>
    <n v="2071.1"/>
    <n v="0.129"/>
    <n v="0.129"/>
    <n v="0"/>
    <n v="22"/>
    <n v="39686.4182"/>
    <n v="27930.1"/>
    <n v="11756.318200000002"/>
    <n v="0.29623026549672354"/>
    <n v="2770712.1325999997"/>
    <n v="0.25313090453178266"/>
    <n v="0.129"/>
    <n v="28.6"/>
    <n v="1396.5050000000001"/>
    <n v="51592.343659999999"/>
  </r>
  <r>
    <s v="ORD-2024-886939"/>
    <d v="2024-06-03T00:00:00"/>
    <d v="2024-06-03T00:00:00"/>
    <d v="2024-06-24T00:00:00"/>
    <d v="2024-06-24T00:00:00"/>
    <n v="21"/>
    <n v="0"/>
    <s v="06-2024"/>
    <s v="Q2-2024"/>
    <d v="2023-01-02T00:00:00"/>
    <s v="01-2023"/>
    <s v="Americas"/>
    <s v="Canada"/>
    <s v="Toronto"/>
    <s v="Toronto"/>
    <s v="Small Business"/>
    <s v="Direct"/>
    <s v="Direct"/>
    <s v="G. Dubois"/>
    <s v="G. Dubois"/>
    <x v="2"/>
    <s v="High"/>
    <s v="MON-5386"/>
    <s v="A"/>
    <n v="1205.5"/>
    <n v="2210.17"/>
    <n v="2210.17"/>
    <n v="0.104"/>
    <n v="0.104"/>
    <n v="0"/>
    <n v="23"/>
    <n v="45547.183360000003"/>
    <n v="27726.5"/>
    <n v="17820.683360000003"/>
    <n v="0.39125763758314652"/>
    <n v="2816259.3159599998"/>
    <n v="0.25729207291414102"/>
    <n v="0.104"/>
    <n v="29.900000000000002"/>
    <n v="1326.0500000000002"/>
    <n v="59211.338368000012"/>
  </r>
  <r>
    <s v="ORD-2024-635626"/>
    <d v="2024-08-27T00:00:00"/>
    <d v="2024-08-27T00:00:00"/>
    <d v="2024-09-19T00:00:00"/>
    <d v="2024-09-19T00:00:00"/>
    <n v="23"/>
    <n v="1"/>
    <s v="08-2024"/>
    <s v="Q3-2024"/>
    <d v="2023-01-21T00:00:00"/>
    <s v="01-2023"/>
    <s v="Europe"/>
    <s v="Germany"/>
    <s v="Berlin"/>
    <s v="Berlin"/>
    <s v="Small Business"/>
    <s v="Direct"/>
    <s v="Direct"/>
    <s v="D. Smith"/>
    <s v="D. Smith"/>
    <x v="2"/>
    <s v="Medium"/>
    <s v="MON-9967"/>
    <s v="A"/>
    <n v="1024.01"/>
    <n v="1580.97"/>
    <n v="1580.97"/>
    <n v="3.6999999999999998E-2"/>
    <n v="3.6999999999999998E-2"/>
    <n v="0"/>
    <n v="27"/>
    <n v="41106.800970000004"/>
    <n v="27648.27"/>
    <n v="13458.530970000003"/>
    <n v="0.3274039976942531"/>
    <n v="2857366.11693"/>
    <n v="0.26104757013433755"/>
    <n v="3.6999999999999998E-2"/>
    <n v="35.1"/>
    <n v="1126.4110000000001"/>
    <n v="53438.841261000001"/>
  </r>
  <r>
    <s v="ORD-2024-353078"/>
    <d v="2024-08-16T00:00:00"/>
    <d v="2024-08-16T00:00:00"/>
    <d v="2024-08-26T00:00:00"/>
    <d v="2024-08-26T00:00:00"/>
    <n v="10"/>
    <n v="0"/>
    <s v="08-2024"/>
    <s v="Q3-2024"/>
    <d v="2023-01-13T00:00:00"/>
    <s v="01-2023"/>
    <s v="Americas"/>
    <s v="USA"/>
    <s v="Chicago"/>
    <s v="Chicago"/>
    <s v="Corporate"/>
    <s v="Distributor"/>
    <s v="Distributor"/>
    <s v="L. Okafor"/>
    <s v="L. Okafor"/>
    <x v="3"/>
    <s v="High"/>
    <s v="LAP-5763"/>
    <s v="A"/>
    <n v="1291.7"/>
    <n v="2657.84"/>
    <n v="2657.84"/>
    <n v="8.6999999999999994E-2"/>
    <n v="8.6999999999999994E-2"/>
    <n v="0"/>
    <n v="21"/>
    <n v="50958.766320000002"/>
    <n v="27125.7"/>
    <n v="23833.066320000002"/>
    <n v="0.46769315745083367"/>
    <n v="2908324.88325"/>
    <n v="0.26570313808765678"/>
    <n v="8.6999999999999994E-2"/>
    <n v="27.3"/>
    <n v="1420.8700000000001"/>
    <n v="66246.396216000008"/>
  </r>
  <r>
    <s v="ORD-2025-188059"/>
    <d v="2025-06-27T00:00:00"/>
    <d v="2025-06-27T00:00:00"/>
    <d v="2025-07-11T00:00:00"/>
    <d v="2025-07-11T00:00:00"/>
    <n v="14"/>
    <n v="1"/>
    <s v="06-2025"/>
    <s v="Q2-2025"/>
    <d v="2023-01-12T00:00:00"/>
    <s v="01-2023"/>
    <s v="Asia"/>
    <s v="China"/>
    <s v="Shanghai"/>
    <s v="Shanghai"/>
    <s v="Small Business"/>
    <s v="Marketplace"/>
    <s v="Marketplace"/>
    <s v="L. Okafor"/>
    <s v="L. Okafor"/>
    <x v="4"/>
    <s v="High"/>
    <s v="NET-3535"/>
    <s v="A"/>
    <n v="1227.7"/>
    <n v="2197.23"/>
    <n v="2197.23"/>
    <n v="9.9000000000000005E-2"/>
    <n v="9.9000000000000005E-2"/>
    <n v="0"/>
    <n v="22"/>
    <n v="43553.493060000001"/>
    <n v="27009.4"/>
    <n v="16544.093059999999"/>
    <n v="0.37985685871873898"/>
    <n v="2951878.3763099997"/>
    <n v="0.26968216389985872"/>
    <n v="9.9000000000000005E-2"/>
    <n v="28.6"/>
    <n v="1350.4700000000003"/>
    <n v="56619.540978000005"/>
  </r>
  <r>
    <s v="ORD-2025-646342"/>
    <d v="2025-08-02T00:00:00"/>
    <d v="2025-08-02T00:00:00"/>
    <d v="2025-08-08T00:00:00"/>
    <d v="2025-08-08T00:00:00"/>
    <n v="6"/>
    <n v="1"/>
    <s v="08-2025"/>
    <s v="Q3-2025"/>
    <d v="2023-03-03T00:00:00"/>
    <s v="03-2023"/>
    <s v="Asia"/>
    <s v="Japan"/>
    <s v="Osaka"/>
    <s v="Osaka"/>
    <s v="Consumer"/>
    <s v="Direct"/>
    <s v="Direct"/>
    <s v="N. Brown"/>
    <s v="N. Brown"/>
    <x v="3"/>
    <s v="High"/>
    <s v="LAP-4828"/>
    <s v="A"/>
    <n v="1225.94"/>
    <n v="1793.08"/>
    <n v="1793.08"/>
    <n v="0.13600000000000001"/>
    <n v="0.13600000000000001"/>
    <n v="0"/>
    <n v="22"/>
    <n v="34082.864639999993"/>
    <n v="26970.68"/>
    <n v="7112.1846399999922"/>
    <n v="0.20867332353434462"/>
    <n v="2985961.2409499995"/>
    <n v="0.27279595773424797"/>
    <n v="0.13600000000000001"/>
    <n v="28.6"/>
    <n v="1348.5340000000001"/>
    <n v="44307.724032000006"/>
  </r>
  <r>
    <s v="ORD-2025-929414"/>
    <d v="2025-06-26T00:00:00"/>
    <d v="2025-06-26T00:00:00"/>
    <d v="2025-07-11T00:00:00"/>
    <d v="2025-07-11T00:00:00"/>
    <n v="15"/>
    <n v="0"/>
    <s v="06-2025"/>
    <s v="Q2-2025"/>
    <d v="2023-01-13T00:00:00"/>
    <s v="01-2023"/>
    <s v="Africa"/>
    <s v="Nigeria"/>
    <s v="Port Harcourt"/>
    <s v="Port Harcourt"/>
    <s v="Small Business"/>
    <s v="Online"/>
    <s v="Online"/>
    <s v="A. Patel"/>
    <s v="A. Patel"/>
    <x v="3"/>
    <s v="High"/>
    <s v="LAP-7523"/>
    <s v="A"/>
    <n v="1170.1500000000001"/>
    <n v="2115.19"/>
    <n v="2115.19"/>
    <n v="9.1999999999999998E-2"/>
    <n v="9.1999999999999998E-2"/>
    <n v="0"/>
    <n v="23"/>
    <n v="44173.627960000005"/>
    <n v="26913.45"/>
    <n v="17260.177960000005"/>
    <n v="0.39073489674946776"/>
    <n v="3030134.8689099997"/>
    <n v="0.27683163876743871"/>
    <n v="9.1999999999999998E-2"/>
    <n v="29.900000000000002"/>
    <n v="1287.1650000000002"/>
    <n v="57425.716348000009"/>
  </r>
  <r>
    <s v="ORD-2025-803803"/>
    <d v="2025-08-28T00:00:00"/>
    <d v="2025-08-28T00:00:00"/>
    <d v="2025-09-05T00:00:00"/>
    <d v="2025-09-05T00:00:00"/>
    <n v="8"/>
    <n v="0"/>
    <s v="08-2025"/>
    <s v="Q3-2025"/>
    <d v="2023-01-13T00:00:00"/>
    <s v="01-2023"/>
    <s v="Africa"/>
    <s v="Nigeria"/>
    <s v="Port Harcourt"/>
    <s v="Port Harcourt"/>
    <s v="Small Business"/>
    <s v="Marketplace"/>
    <s v="Marketplace"/>
    <s v="E. Garcia"/>
    <s v="E. Garcia"/>
    <x v="3"/>
    <s v="High"/>
    <s v="LAP-7553"/>
    <s v="A"/>
    <n v="1271.0999999999999"/>
    <n v="1932.42"/>
    <n v="1932.42"/>
    <n v="0.25"/>
    <n v="0.25"/>
    <n v="1"/>
    <n v="21"/>
    <n v="30435.614999999998"/>
    <n v="26693.1"/>
    <n v="3742.5149999999994"/>
    <n v="0.12296498690760807"/>
    <n v="3060570.48391"/>
    <n v="0.27961222165957111"/>
    <n v="0.2"/>
    <n v="27.3"/>
    <n v="1398.21"/>
    <n v="42204.052800000005"/>
  </r>
  <r>
    <s v="ORD-2023-885216"/>
    <d v="2023-08-03T00:00:00"/>
    <d v="2023-08-02T00:00:00"/>
    <d v="2023-08-02T00:00:00"/>
    <d v="2023-08-03T00:00:00"/>
    <n v="1"/>
    <n v="0"/>
    <s v="08-2023"/>
    <s v="Q3-2023"/>
    <d v="2023-01-12T00:00:00"/>
    <s v="01-2023"/>
    <s v="Asia"/>
    <s v="China"/>
    <s v="Shanghai"/>
    <s v="Shanghai"/>
    <s v="Non-Profit"/>
    <s v="Direct"/>
    <s v="Direct"/>
    <s v="J. Njeri"/>
    <s v="J. Njeri"/>
    <x v="4"/>
    <s v="High"/>
    <s v="NET-4735"/>
    <s v="A"/>
    <n v="1021.97"/>
    <n v="2296.25"/>
    <n v="2296.25"/>
    <n v="0.161"/>
    <n v="0.161"/>
    <n v="0"/>
    <n v="26"/>
    <n v="50090.397499999999"/>
    <n v="26571.22"/>
    <n v="23519.177499999998"/>
    <n v="0.46953465482081669"/>
    <n v="3110660.8814099999"/>
    <n v="0.28418845586244851"/>
    <n v="0.161"/>
    <n v="33.800000000000004"/>
    <n v="1124.1670000000001"/>
    <n v="65117.51675000001"/>
  </r>
  <r>
    <s v="ORD-2024-783321"/>
    <d v="2024-11-20T00:00:00"/>
    <d v="2024-11-20T00:00:00"/>
    <d v="2024-12-15T00:00:00"/>
    <d v="2024-12-15T00:00:00"/>
    <n v="25"/>
    <n v="0"/>
    <s v="11-2024"/>
    <s v="Q4-2024"/>
    <d v="2023-01-10T00:00:00"/>
    <s v="01-2023"/>
    <s v="Europe"/>
    <s v="France"/>
    <s v="Paris"/>
    <s v="Paris"/>
    <s v="Corporate"/>
    <s v="Online"/>
    <s v="Online"/>
    <s v="G. Dubois"/>
    <s v="G. Dubois"/>
    <x v="5"/>
    <s v="High"/>
    <s v="PRN-4911"/>
    <s v="A"/>
    <n v="1203.58"/>
    <n v="1856.16"/>
    <n v="1856.16"/>
    <n v="0.129"/>
    <n v="0.129"/>
    <n v="0"/>
    <n v="22"/>
    <n v="35567.737920000007"/>
    <n v="26478.76"/>
    <n v="9088.9779200000085"/>
    <n v="0.25553994860295032"/>
    <n v="3146228.6193300001"/>
    <n v="0.28743790699304667"/>
    <n v="0.129"/>
    <n v="28.6"/>
    <n v="1323.9380000000001"/>
    <n v="46238.059296000007"/>
  </r>
  <r>
    <s v="ORD-2023-619493"/>
    <d v="2023-02-27T00:00:00"/>
    <d v="2023-02-26T00:00:00"/>
    <d v="2023-02-26T00:00:00"/>
    <d v="2023-02-27T00:00:00"/>
    <n v="1"/>
    <n v="1"/>
    <s v="02-2023"/>
    <s v="Q1-2023"/>
    <d v="2023-01-13T00:00:00"/>
    <s v="01-2023"/>
    <s v="Americas"/>
    <s v="USA"/>
    <s v="San Francisco"/>
    <s v="San Francisco"/>
    <s v="Non-Profit"/>
    <s v="Online"/>
    <s v="Online"/>
    <s v="L. Okafor"/>
    <s v="L. Okafor"/>
    <x v="4"/>
    <s v="High"/>
    <s v="NET-1282"/>
    <s v="A"/>
    <n v="1015.91"/>
    <n v="2331.48"/>
    <n v="2331.48"/>
    <n v="0.14599999999999999"/>
    <n v="0.14599999999999999"/>
    <n v="0"/>
    <n v="26"/>
    <n v="51768.181920000003"/>
    <n v="26413.66"/>
    <n v="25354.521920000003"/>
    <n v="0.48977037592669626"/>
    <n v="3197996.80125"/>
    <n v="0.29216742275947838"/>
    <n v="0.14599999999999999"/>
    <n v="33.800000000000004"/>
    <n v="1117.501"/>
    <n v="67298.636496000006"/>
  </r>
  <r>
    <s v="ORD-2024-444710"/>
    <d v="2024-09-22T00:00:00"/>
    <d v="2024-09-22T00:00:00"/>
    <d v="2024-10-01T00:00:00"/>
    <d v="2024-10-01T00:00:00"/>
    <n v="9"/>
    <n v="0"/>
    <s v="09-2024"/>
    <s v="Q3-2024"/>
    <d v="2023-01-29T00:00:00"/>
    <s v="01-2023"/>
    <s v="Americas"/>
    <s v="Brazil"/>
    <s v="São Paulo"/>
    <s v="São Paulo"/>
    <s v="Non-Profit"/>
    <s v="Online"/>
    <s v="Online"/>
    <s v="K. Singh"/>
    <s v="K. Singh"/>
    <x v="2"/>
    <s v="High"/>
    <s v="MON-6341"/>
    <s v="A"/>
    <n v="1378.8"/>
    <n v="1952.04"/>
    <n v="1952.04"/>
    <n v="0.159"/>
    <n v="0.159"/>
    <n v="0"/>
    <n v="19"/>
    <n v="31191.64716"/>
    <n v="26197.200000000001"/>
    <n v="4994.4471599999997"/>
    <n v="0.16012130216723058"/>
    <n v="3229188.4484100002"/>
    <n v="0.29501707637976915"/>
    <n v="0.159"/>
    <n v="24.7"/>
    <n v="1516.68"/>
    <n v="40549.141307999998"/>
  </r>
  <r>
    <s v="ORD-2025-474368"/>
    <d v="2025-04-27T00:00:00"/>
    <d v="2025-04-27T00:00:00"/>
    <d v="2025-05-17T00:00:00"/>
    <d v="2025-05-17T00:00:00"/>
    <n v="20"/>
    <n v="1"/>
    <s v="04-2025"/>
    <s v="Q2-2025"/>
    <d v="2023-01-13T00:00:00"/>
    <s v="01-2023"/>
    <s v="Americas"/>
    <s v="USA"/>
    <s v="Austin"/>
    <s v="Austin"/>
    <s v="Corporate"/>
    <s v="Direct"/>
    <s v="Direct"/>
    <s v="N. Brown"/>
    <s v="N. Brown"/>
    <x v="6"/>
    <s v="Medium"/>
    <s v="PHN-8776"/>
    <s v="A"/>
    <n v="932.26"/>
    <n v="1624.67"/>
    <n v="1624.67"/>
    <n v="0.23499999999999999"/>
    <n v="0.23499999999999999"/>
    <n v="1"/>
    <n v="28"/>
    <n v="34800.431400000001"/>
    <n v="26103.279999999999"/>
    <n v="8697.1514000000025"/>
    <n v="0.24991504559337163"/>
    <n v="3263988.8798100003"/>
    <n v="0.2981964267621966"/>
    <n v="0.2"/>
    <n v="36.4"/>
    <n v="1025.4860000000001"/>
    <n v="47310.390400000004"/>
  </r>
  <r>
    <s v="ORD-2023-957692"/>
    <d v="2023-05-07T00:00:00"/>
    <d v="2023-05-07T00:00:00"/>
    <d v="2023-05-20T00:00:00"/>
    <d v="2023-05-20T00:00:00"/>
    <n v="13"/>
    <n v="1"/>
    <s v="05-2023"/>
    <s v="Q2-2023"/>
    <d v="2023-01-29T00:00:00"/>
    <s v="01-2023"/>
    <s v="Asia"/>
    <s v="India"/>
    <s v="Mumbai"/>
    <s v="Mumbai"/>
    <s v="Enterprise"/>
    <s v="Retail"/>
    <s v="Retail"/>
    <s v="D. Smith"/>
    <s v="D. Smith"/>
    <x v="1"/>
    <s v="High"/>
    <s v="ACC-9283"/>
    <s v="A"/>
    <n v="1443.28"/>
    <n v="2580.5700000000002"/>
    <n v="2580.5700000000002"/>
    <n v="0"/>
    <n v="0"/>
    <n v="0"/>
    <n v="18"/>
    <n v="46450.26"/>
    <n v="25979.040000000001"/>
    <n v="20471.22"/>
    <n v="0.4407127107577008"/>
    <n v="3310439.1398100001"/>
    <n v="0.30244009978444703"/>
    <n v="0"/>
    <n v="23.400000000000002"/>
    <n v="1587.6080000000002"/>
    <n v="60385.338000000011"/>
  </r>
  <r>
    <s v="ORD-2025-881624"/>
    <d v="2025-02-21T00:00:00"/>
    <d v="2025-02-21T00:00:00"/>
    <d v="2025-03-21T00:00:00"/>
    <d v="2025-03-21T00:00:00"/>
    <n v="28"/>
    <n v="1"/>
    <s v="02-2025"/>
    <s v="Q1-2025"/>
    <d v="2023-01-13T00:00:00"/>
    <s v="01-2023"/>
    <s v="Africa"/>
    <s v="Nigeria"/>
    <s v="Abuja"/>
    <s v="Abuja"/>
    <s v="Enterprise"/>
    <s v="Marketplace"/>
    <s v="Marketplace"/>
    <s v="I. Johnson"/>
    <s v="I. Johnson"/>
    <x v="6"/>
    <s v="Medium"/>
    <s v="PHN-5887"/>
    <s v="A"/>
    <n v="1437.39"/>
    <n v="1388.31"/>
    <n v="1388.31"/>
    <n v="0.13800000000000001"/>
    <n v="0.13800000000000001"/>
    <n v="0"/>
    <n v="18"/>
    <n v="21541.017959999997"/>
    <n v="25873.02"/>
    <n v="4332.002040000003"/>
    <n v="0.20110479681341872"/>
    <n v="3331980.1577699999"/>
    <n v="0.30440807664375119"/>
    <n v="0.13800000000000001"/>
    <n v="23.400000000000002"/>
    <n v="1581.1290000000001"/>
    <n v="28003.323348000002"/>
  </r>
  <r>
    <s v="ORD-2023-472078"/>
    <d v="2023-02-28T00:00:00"/>
    <d v="2023-02-28T00:00:00"/>
    <d v="2023-03-06T00:00:00"/>
    <d v="2023-03-06T00:00:00"/>
    <n v="6"/>
    <n v="0"/>
    <s v="02-2023"/>
    <s v="Q1-2023"/>
    <d v="2023-01-21T00:00:00"/>
    <s v="01-2023"/>
    <s v="Europe"/>
    <s v="Germany"/>
    <s v="Frankfurt"/>
    <s v="Frankfurt"/>
    <s v="Small Business"/>
    <s v="Marketplace"/>
    <s v="Marketplace"/>
    <s v="D. Smith"/>
    <s v="D. Smith"/>
    <x v="5"/>
    <s v="Medium"/>
    <s v="PRN-9624"/>
    <s v="A"/>
    <n v="880.02"/>
    <n v="1251.21"/>
    <n v="1251.21"/>
    <n v="0.123"/>
    <n v="0.123"/>
    <n v="0"/>
    <n v="29"/>
    <n v="31822.023930000003"/>
    <n v="25520.579999999998"/>
    <n v="6301.4439300000049"/>
    <n v="0.19802146915172672"/>
    <n v="3363802.1817000001"/>
    <n v="0.30731532117726185"/>
    <n v="0.123"/>
    <n v="37.700000000000003"/>
    <n v="968.02200000000005"/>
    <n v="41368.631109000002"/>
  </r>
  <r>
    <s v="ORD-2024-651852"/>
    <d v="2024-12-28T00:00:00"/>
    <d v="2024-12-28T00:00:00"/>
    <d v="2025-01-08T00:00:00"/>
    <d v="2025-01-08T00:00:00"/>
    <n v="11"/>
    <n v="0"/>
    <s v="12-2024"/>
    <s v="Q4-2024"/>
    <d v="2023-01-12T00:00:00"/>
    <s v="01-2023"/>
    <s v="Asia"/>
    <s v="China"/>
    <s v="Shenzhen"/>
    <s v="Shenzhen"/>
    <s v="Enterprise"/>
    <s v="Online"/>
    <s v="Online"/>
    <s v="K. Singh"/>
    <s v="K. Singh"/>
    <x v="3"/>
    <s v="High"/>
    <s v="LAP-8825"/>
    <s v="A"/>
    <n v="1201.31"/>
    <n v="2764.65"/>
    <n v="2764.65"/>
    <n v="0"/>
    <n v="0"/>
    <n v="0"/>
    <n v="21"/>
    <n v="58057.65"/>
    <n v="25227.51"/>
    <n v="32830.14"/>
    <n v="0.56547483406579491"/>
    <n v="3421859.8317"/>
    <n v="0.31261943966960731"/>
    <n v="0"/>
    <n v="27.3"/>
    <n v="1321.441"/>
    <n v="75474.945000000007"/>
  </r>
  <r>
    <s v="ORD-2024-206081"/>
    <d v="2024-12-10T00:00:00"/>
    <d v="2024-12-10T00:00:00"/>
    <d v="2025-01-08T00:00:00"/>
    <d v="2025-01-08T00:00:00"/>
    <n v="29"/>
    <n v="0"/>
    <s v="12-2024"/>
    <s v="Q4-2024"/>
    <d v="2023-01-10T00:00:00"/>
    <s v="01-2023"/>
    <s v="Europe"/>
    <s v="France"/>
    <s v="Marseille"/>
    <s v="Marseille"/>
    <s v="Small Business"/>
    <s v="Retail"/>
    <s v="Retail"/>
    <s v="K. Singh"/>
    <s v="K. Singh"/>
    <x v="5"/>
    <s v="Medium"/>
    <s v="PRN-6791"/>
    <s v="A"/>
    <n v="891.08"/>
    <n v="1040.0999999999999"/>
    <n v="1040.0999999999999"/>
    <n v="0.109"/>
    <n v="0.109"/>
    <n v="0"/>
    <n v="28"/>
    <n v="25948.414799999995"/>
    <n v="24950.240000000002"/>
    <n v="998.17479999999341"/>
    <n v="3.8467660074556598E-2"/>
    <n v="3447808.2464999999"/>
    <n v="0.31499007414736746"/>
    <n v="0.109"/>
    <n v="36.4"/>
    <n v="980.1880000000001"/>
    <n v="33732.939239999992"/>
  </r>
  <r>
    <s v="ORD-2024-915495"/>
    <d v="2024-08-08T00:00:00"/>
    <d v="2024-08-08T00:00:00"/>
    <d v="2024-08-20T00:00:00"/>
    <d v="2024-08-20T00:00:00"/>
    <n v="12"/>
    <n v="0"/>
    <s v="08-2024"/>
    <s v="Q3-2024"/>
    <d v="2023-03-03T00:00:00"/>
    <s v="03-2023"/>
    <s v="Asia"/>
    <s v="Japan"/>
    <s v="Osaka"/>
    <s v="Osaka"/>
    <s v="Small Business"/>
    <s v="Retail"/>
    <s v="Retail"/>
    <s v="H. Kim"/>
    <s v="H. Kim"/>
    <x v="4"/>
    <s v="High"/>
    <s v="NET-8957"/>
    <s v="A"/>
    <n v="1233.3599999999999"/>
    <n v="2120.4"/>
    <n v="2120.4"/>
    <n v="0.17899999999999999"/>
    <n v="0.17899999999999999"/>
    <n v="0"/>
    <n v="20"/>
    <n v="34816.968000000001"/>
    <n v="24667.199999999997"/>
    <n v="10149.768000000004"/>
    <n v="0.29151785991244278"/>
    <n v="3482625.2144999998"/>
    <n v="0.31817093530547841"/>
    <n v="0.17899999999999999"/>
    <n v="26"/>
    <n v="1356.6959999999999"/>
    <n v="45262.058400000002"/>
  </r>
  <r>
    <s v="ORD-2025-150713"/>
    <d v="2025-07-11T00:00:00"/>
    <d v="2025-07-11T00:00:00"/>
    <d v="2025-07-16T00:00:00"/>
    <d v="2025-07-16T00:00:00"/>
    <n v="5"/>
    <n v="0"/>
    <s v="07-2025"/>
    <s v="Q3-2025"/>
    <d v="2023-01-19T00:00:00"/>
    <s v="01-2023"/>
    <s v="Europe"/>
    <s v="United Kingdom"/>
    <s v="London"/>
    <s v="London"/>
    <s v="Enterprise"/>
    <s v="Online"/>
    <s v="Online"/>
    <s v="K. Singh"/>
    <s v="K. Singh"/>
    <x v="5"/>
    <s v="Medium"/>
    <s v="PRN-5753"/>
    <s v="A"/>
    <n v="930.03"/>
    <n v="1086.68"/>
    <n v="1086.68"/>
    <n v="0.109"/>
    <n v="0.109"/>
    <n v="0"/>
    <n v="26"/>
    <n v="25174.028880000002"/>
    <n v="24180.78"/>
    <n v="993.24888000000283"/>
    <n v="3.9455300728168656E-2"/>
    <n v="3507799.2433799999"/>
    <n v="0.32047082226454837"/>
    <n v="0.109"/>
    <n v="33.800000000000004"/>
    <n v="1023.033"/>
    <n v="32726.237544000007"/>
  </r>
  <r>
    <s v="ORD-2024-668926"/>
    <d v="2024-10-23T00:00:00"/>
    <d v="2024-10-23T00:00:00"/>
    <d v="2024-11-14T00:00:00"/>
    <d v="2024-11-14T00:00:00"/>
    <n v="22"/>
    <n v="1"/>
    <s v="10-2024"/>
    <s v="Q4-2024"/>
    <d v="2023-03-03T00:00:00"/>
    <s v="03-2023"/>
    <s v="Asia"/>
    <s v="Japan"/>
    <s v="Osaka"/>
    <s v="Osaka"/>
    <s v="Non-Profit"/>
    <s v="Direct"/>
    <s v="Direct"/>
    <s v="B. Chen"/>
    <s v="B. Chen"/>
    <x v="6"/>
    <s v="Medium"/>
    <s v="PHN-9789"/>
    <s v="A"/>
    <n v="1406.4"/>
    <n v="1564.76"/>
    <n v="1564.76"/>
    <n v="0.185"/>
    <n v="0.185"/>
    <n v="0"/>
    <n v="17"/>
    <n v="21679.749799999998"/>
    <n v="23908.800000000003"/>
    <n v="2229.0502000000051"/>
    <n v="0.10281715520536151"/>
    <n v="3529478.9931799998"/>
    <n v="0.32245147359686377"/>
    <n v="0.185"/>
    <n v="22.1"/>
    <n v="1547.0400000000002"/>
    <n v="28183.674740000002"/>
  </r>
  <r>
    <s v="ORD-2025-874124"/>
    <d v="2025-05-14T00:00:00"/>
    <d v="2025-05-12T00:00:00"/>
    <d v="2025-05-12T00:00:00"/>
    <d v="2025-05-14T00:00:00"/>
    <n v="2"/>
    <n v="1"/>
    <s v="05-2025"/>
    <s v="Q2-2025"/>
    <d v="2023-01-02T00:00:00"/>
    <s v="01-2023"/>
    <s v="Americas"/>
    <s v="Canada"/>
    <s v="Vancouver"/>
    <s v="Vancouver"/>
    <s v="Non-Profit"/>
    <s v="Distributor"/>
    <s v="Distributor"/>
    <s v="F. Müller"/>
    <s v="F. Müller"/>
    <x v="5"/>
    <s v="High"/>
    <s v="PRN-2407"/>
    <s v="A"/>
    <n v="883.5"/>
    <n v="1978.91"/>
    <n v="1978.91"/>
    <n v="5.3999999999999999E-2"/>
    <n v="5.3999999999999999E-2"/>
    <n v="0"/>
    <n v="27"/>
    <n v="50545.319219999998"/>
    <n v="23854.5"/>
    <n v="26690.819219999998"/>
    <n v="0.52805718970390547"/>
    <n v="3580024.3123999997"/>
    <n v="0.32706926922545548"/>
    <n v="5.3999999999999999E-2"/>
    <n v="35.1"/>
    <n v="971.85"/>
    <n v="65708.914986000003"/>
  </r>
  <r>
    <s v="ORD-2024-906395"/>
    <d v="2024-03-10T00:00:00"/>
    <d v="2024-03-10T00:00:00"/>
    <d v="2024-04-09T00:00:00"/>
    <d v="2024-04-09T00:00:00"/>
    <n v="30"/>
    <n v="1"/>
    <s v="03-2024"/>
    <s v="Q1-2024"/>
    <d v="2023-01-10T00:00:00"/>
    <s v="01-2023"/>
    <s v="Europe"/>
    <s v="France"/>
    <s v="Lyon"/>
    <s v="Lyon"/>
    <s v="Corporate"/>
    <s v="Direct"/>
    <s v="Direct"/>
    <s v="I. Johnson"/>
    <s v="I. Johnson"/>
    <x v="0"/>
    <s v="High"/>
    <s v="CMP-8002"/>
    <s v="A"/>
    <n v="1176.56"/>
    <n v="1911.89"/>
    <n v="1911.89"/>
    <n v="0.11899999999999999"/>
    <n v="0.11899999999999999"/>
    <n v="0"/>
    <n v="20"/>
    <n v="33687.501800000005"/>
    <n v="23531.199999999997"/>
    <n v="10156.301800000008"/>
    <n v="0.30148575160892477"/>
    <n v="3613711.8141999999"/>
    <n v="0.330146942904261"/>
    <n v="0.11899999999999999"/>
    <n v="26"/>
    <n v="1294.2160000000001"/>
    <n v="43793.752339999999"/>
  </r>
  <r>
    <s v="ORD-2024-640340"/>
    <d v="2024-10-22T00:00:00"/>
    <d v="2024-10-22T00:00:00"/>
    <d v="2024-10-29T00:00:00"/>
    <d v="2024-10-29T00:00:00"/>
    <n v="7"/>
    <n v="0"/>
    <s v="10-2024"/>
    <s v="Q4-2024"/>
    <d v="2023-01-13T00:00:00"/>
    <s v="01-2023"/>
    <s v="Africa"/>
    <s v="Nigeria"/>
    <s v="Port Harcourt"/>
    <s v="Port Harcourt"/>
    <s v="Enterprise"/>
    <s v="Distributor"/>
    <s v="Distributor"/>
    <s v="M. Rossi"/>
    <s v="M. Rossi"/>
    <x v="2"/>
    <s v="Medium"/>
    <s v="MON-8758"/>
    <s v="A"/>
    <n v="1023.06"/>
    <n v="1355.61"/>
    <n v="1355.61"/>
    <n v="0.153"/>
    <n v="0.153"/>
    <n v="0"/>
    <n v="23"/>
    <n v="26408.63841"/>
    <n v="23530.379999999997"/>
    <n v="2878.2584100000022"/>
    <n v="0.10898927711888809"/>
    <n v="3640120.45261"/>
    <n v="0.33255962318581128"/>
    <n v="0.153"/>
    <n v="29.900000000000002"/>
    <n v="1125.366"/>
    <n v="34331.229933000002"/>
  </r>
  <r>
    <s v="ORD-2024-939873"/>
    <d v="2024-04-12T00:00:00"/>
    <d v="2024-04-12T00:00:00"/>
    <d v="2024-05-07T00:00:00"/>
    <d v="2024-05-07T00:00:00"/>
    <n v="25"/>
    <n v="0"/>
    <s v="04-2024"/>
    <s v="Q2-2024"/>
    <d v="2023-01-07T00:00:00"/>
    <s v="01-2023"/>
    <s v="Africa"/>
    <s v="South Africa"/>
    <s v="Johannesburg"/>
    <s v="Johannesburg"/>
    <s v="Education"/>
    <s v="Distributor"/>
    <s v="Distributor"/>
    <s v="A. Patel"/>
    <s v="A. Patel"/>
    <x v="3"/>
    <s v="Medium"/>
    <s v="LAP-8489"/>
    <s v="A"/>
    <n v="1376.51"/>
    <n v="1455.91"/>
    <n v="1455.91"/>
    <n v="0.185"/>
    <n v="0.185"/>
    <n v="0"/>
    <n v="17"/>
    <n v="20171.63305"/>
    <n v="23400.67"/>
    <n v="3229.0369499999979"/>
    <n v="0.1600781127634085"/>
    <n v="3660292.0856599999"/>
    <n v="0.33440249370987329"/>
    <n v="0.185"/>
    <n v="22.1"/>
    <n v="1514.1610000000001"/>
    <n v="26223.122965000002"/>
  </r>
  <r>
    <s v="ORD-2024-438404"/>
    <d v="2024-09-23T00:00:00"/>
    <d v="2024-09-23T00:00:00"/>
    <d v="2024-10-18T00:00:00"/>
    <d v="2024-10-18T00:00:00"/>
    <n v="25"/>
    <n v="1"/>
    <s v="09-2024"/>
    <s v="Q3-2024"/>
    <d v="2023-01-02T00:00:00"/>
    <s v="01-2023"/>
    <s v="Americas"/>
    <s v="Canada"/>
    <s v="Vancouver"/>
    <s v="Vancouver"/>
    <s v="Small Business"/>
    <s v="Online"/>
    <s v="Online"/>
    <s v="N. Brown"/>
    <s v="N. Brown"/>
    <x v="6"/>
    <s v="High"/>
    <s v="PHN-4568"/>
    <s v="A"/>
    <n v="1297"/>
    <n v="2411.52"/>
    <n v="2411.52"/>
    <n v="2.1000000000000001E-2"/>
    <n v="2.1000000000000001E-2"/>
    <n v="0"/>
    <n v="18"/>
    <n v="42495.805439999996"/>
    <n v="23346"/>
    <n v="19149.805439999996"/>
    <n v="0.45062813239385913"/>
    <n v="3702787.8910999997"/>
    <n v="0.33828488969871234"/>
    <n v="2.1000000000000001E-2"/>
    <n v="23.400000000000002"/>
    <n v="1426.7"/>
    <n v="55244.547072000008"/>
  </r>
  <r>
    <s v="ORD-2023-378104"/>
    <d v="2023-10-18T00:00:00"/>
    <d v="2023-10-18T00:00:00"/>
    <d v="2023-10-20T00:00:00"/>
    <d v="2023-10-20T00:00:00"/>
    <n v="2"/>
    <n v="1"/>
    <s v="10-2023"/>
    <s v="Q4-2023"/>
    <d v="2023-01-20T00:00:00"/>
    <s v="01-2023"/>
    <s v="Africa"/>
    <s v="Kenya"/>
    <s v="Kisumu"/>
    <s v="Kisumu"/>
    <s v="Consumer"/>
    <s v="Retail"/>
    <s v="Retail"/>
    <s v="J. Njeri"/>
    <s v="J. Njeri"/>
    <x v="6"/>
    <s v="Medium"/>
    <s v="PHN-8891"/>
    <s v="A"/>
    <n v="774.12"/>
    <n v="908.3"/>
    <n v="908.3"/>
    <n v="0"/>
    <n v="0"/>
    <n v="0"/>
    <n v="30"/>
    <n v="27249"/>
    <n v="23223.599999999999"/>
    <n v="4025.4000000000015"/>
    <n v="0.14772652207420461"/>
    <n v="3730036.8910999997"/>
    <n v="0.34077434500387749"/>
    <n v="0"/>
    <n v="39"/>
    <n v="851.53200000000004"/>
    <n v="35423.699999999997"/>
  </r>
  <r>
    <s v="ORD-2023-308124"/>
    <d v="2023-04-19T00:00:00"/>
    <d v="2023-04-19T00:00:00"/>
    <d v="2023-04-30T00:00:00"/>
    <d v="2023-04-30T00:00:00"/>
    <n v="11"/>
    <n v="0"/>
    <s v="04-2023"/>
    <s v="Q2-2023"/>
    <d v="2023-01-29T00:00:00"/>
    <s v="01-2023"/>
    <s v="Asia"/>
    <s v="India"/>
    <s v="Delhi"/>
    <s v="Delhi"/>
    <s v="Small Business"/>
    <s v="Retail"/>
    <s v="Retail"/>
    <s v="A. Patel"/>
    <s v="A. Patel"/>
    <x v="4"/>
    <s v="Medium"/>
    <s v="NET-2062"/>
    <s v="A"/>
    <n v="826.55"/>
    <n v="1397.05"/>
    <n v="1397.05"/>
    <n v="0.16900000000000001"/>
    <n v="0.16900000000000001"/>
    <n v="0"/>
    <n v="28"/>
    <n v="32506.559399999998"/>
    <n v="23143.399999999998"/>
    <n v="9363.1594000000005"/>
    <n v="0.28803907804527601"/>
    <n v="3762543.4504999998"/>
    <n v="0.34374412836293639"/>
    <n v="0.16900000000000001"/>
    <n v="36.4"/>
    <n v="909.20500000000004"/>
    <n v="42258.527219999996"/>
  </r>
  <r>
    <s v="ORD-2024-129345"/>
    <d v="2024-02-18T00:00:00"/>
    <d v="2024-02-18T00:00:00"/>
    <d v="2024-03-03T00:00:00"/>
    <d v="2024-03-03T00:00:00"/>
    <n v="14"/>
    <n v="0"/>
    <s v="02-2024"/>
    <s v="Q1-2024"/>
    <d v="2023-01-29T00:00:00"/>
    <s v="01-2023"/>
    <s v="Americas"/>
    <s v="Brazil"/>
    <m/>
    <s v="São Paulo"/>
    <s v="Enterprise"/>
    <s v="Distributor"/>
    <s v="Distributor"/>
    <s v="A. Patel"/>
    <s v="A. Patel"/>
    <x v="5"/>
    <s v="Medium"/>
    <s v="PRN-5384"/>
    <s v="A"/>
    <n v="624.23"/>
    <n v="1318.37"/>
    <n v="1318.37"/>
    <n v="0.21"/>
    <n v="0.21"/>
    <n v="1"/>
    <n v="37"/>
    <n v="38535.955099999999"/>
    <n v="23096.510000000002"/>
    <n v="15439.445099999997"/>
    <n v="0.40065038118128793"/>
    <n v="3801079.4055999997"/>
    <n v="0.34726475436254378"/>
    <n v="0.2"/>
    <n v="48.1"/>
    <n v="686.65300000000002"/>
    <n v="50730.8776"/>
  </r>
  <r>
    <s v="ORD-2025-312803"/>
    <d v="2025-06-24T00:00:00"/>
    <d v="2025-06-24T00:00:00"/>
    <d v="2025-07-14T00:00:00"/>
    <d v="2025-07-14T00:00:00"/>
    <n v="20"/>
    <n v="1"/>
    <s v="06-2025"/>
    <s v="Q2-2025"/>
    <d v="2023-01-07T00:00:00"/>
    <s v="01-2023"/>
    <s v="Africa"/>
    <s v="South Africa"/>
    <s v="Johannesburg"/>
    <s v="Johannesburg"/>
    <s v="Enterprise"/>
    <s v="Marketplace"/>
    <s v="Marketplace"/>
    <s v="J. Njeri"/>
    <s v="J. Njeri"/>
    <x v="3"/>
    <s v="High"/>
    <s v="LAP-1308"/>
    <s v="A"/>
    <n v="1151.06"/>
    <n v="2821.36"/>
    <n v="2821.36"/>
    <n v="0.248"/>
    <n v="0.248"/>
    <n v="1"/>
    <n v="20"/>
    <n v="42433.254400000005"/>
    <n v="23021.199999999997"/>
    <n v="19412.054400000008"/>
    <n v="0.45747267501594235"/>
    <n v="3843512.6599999997"/>
    <n v="0.35114143571897899"/>
    <n v="0.2"/>
    <n v="26"/>
    <n v="1266.1659999999999"/>
    <n v="58684.288"/>
  </r>
  <r>
    <s v="ORD-2023-249805"/>
    <d v="2023-12-22T00:00:00"/>
    <d v="2023-12-22T00:00:00"/>
    <d v="2024-01-16T00:00:00"/>
    <d v="2024-01-16T00:00:00"/>
    <n v="25"/>
    <n v="0"/>
    <s v="12-2023"/>
    <s v="Q4-2023"/>
    <d v="2023-01-29T00:00:00"/>
    <s v="01-2023"/>
    <s v="Asia"/>
    <s v="India"/>
    <s v="Hyderabad"/>
    <s v="Hyderabad"/>
    <s v="Small Business"/>
    <s v="Retail"/>
    <s v="Retail"/>
    <s v="A. Patel"/>
    <s v="A. Patel"/>
    <x v="0"/>
    <s v="Medium"/>
    <s v="CMP-1555"/>
    <s v="A"/>
    <n v="1346.81"/>
    <n v="978.09"/>
    <n v="978.09"/>
    <n v="0.159"/>
    <n v="0.159"/>
    <n v="0"/>
    <n v="17"/>
    <n v="13983.752729999998"/>
    <n v="22895.77"/>
    <n v="8912.0172700000021"/>
    <n v="0.6373122753293996"/>
    <n v="3857496.4127299995"/>
    <n v="0.35241898452516696"/>
    <n v="0.159"/>
    <n v="22.1"/>
    <n v="1481.491"/>
    <n v="18178.878549000001"/>
  </r>
  <r>
    <s v="ORD-2024-704056"/>
    <d v="2024-06-23T00:00:00"/>
    <d v="2024-06-23T00:00:00"/>
    <d v="2024-06-25T00:00:00"/>
    <d v="2024-06-25T00:00:00"/>
    <n v="2"/>
    <n v="1"/>
    <s v="06-2024"/>
    <s v="Q2-2024"/>
    <d v="2023-01-19T00:00:00"/>
    <s v="01-2023"/>
    <s v="Europe"/>
    <s v="United Kingdom"/>
    <s v="Birmingham"/>
    <s v="Birmingham"/>
    <s v="Small Business"/>
    <s v="Marketplace"/>
    <s v="Marketplace"/>
    <s v="L. Okafor"/>
    <s v="L. Okafor"/>
    <x v="1"/>
    <s v="High"/>
    <s v="ACC-7838"/>
    <s v="A"/>
    <n v="951.44"/>
    <n v="1646.43"/>
    <n v="1646.43"/>
    <n v="0.11"/>
    <n v="0.11"/>
    <n v="0"/>
    <n v="24"/>
    <n v="35167.7448"/>
    <n v="22834.560000000001"/>
    <n v="12333.184799999999"/>
    <n v="0.35069592520473475"/>
    <n v="3892664.1575299995"/>
    <n v="0.35563189248006638"/>
    <n v="0.11"/>
    <n v="31.200000000000003"/>
    <n v="1046.5840000000001"/>
    <n v="45718.068240000008"/>
  </r>
  <r>
    <s v="ORD-2024-331226"/>
    <d v="2024-11-30T00:00:00"/>
    <d v="2024-11-30T00:00:00"/>
    <d v="2024-12-19T00:00:00"/>
    <d v="2024-12-19T00:00:00"/>
    <n v="19"/>
    <n v="0"/>
    <s v="11-2024"/>
    <s v="Q4-2024"/>
    <d v="2023-01-20T00:00:00"/>
    <s v="01-2023"/>
    <s v="Africa"/>
    <s v="Kenya"/>
    <s v="Kisumu"/>
    <s v="Kisumu"/>
    <s v="Corporate"/>
    <s v="Online"/>
    <s v="Online"/>
    <s v="L. Okafor"/>
    <s v="L. Okafor"/>
    <x v="6"/>
    <s v="High"/>
    <s v="PHN-1919"/>
    <s v="A"/>
    <n v="1195.98"/>
    <n v="1841.9"/>
    <n v="1841.9"/>
    <n v="5.5E-2"/>
    <n v="5.5E-2"/>
    <n v="0"/>
    <n v="19"/>
    <n v="33071.3145"/>
    <n v="22723.62"/>
    <n v="10347.694500000001"/>
    <n v="0.31289032977506842"/>
    <n v="3925735.4720299994"/>
    <n v="0.35865327158868726"/>
    <n v="5.5E-2"/>
    <n v="24.7"/>
    <n v="1315.5780000000002"/>
    <n v="42992.708849999995"/>
  </r>
  <r>
    <s v="ORD-2024-925626"/>
    <d v="2024-11-04T00:00:00"/>
    <d v="2024-11-04T00:00:00"/>
    <d v="2024-11-05T00:00:00"/>
    <d v="2024-11-05T00:00:00"/>
    <n v="1"/>
    <n v="0"/>
    <s v="11-2024"/>
    <s v="Q4-2024"/>
    <d v="2023-01-19T00:00:00"/>
    <s v="01-2023"/>
    <s v="Europe"/>
    <s v="United Kingdom"/>
    <s v="London"/>
    <s v="London"/>
    <s v="Corporate"/>
    <s v="Retail"/>
    <s v="Retail"/>
    <s v="M. Rossi"/>
    <s v="M. Rossi"/>
    <x v="5"/>
    <s v="Medium"/>
    <s v="PRN-2293"/>
    <s v="A"/>
    <n v="840.68"/>
    <n v="1493.53"/>
    <n v="1493.53"/>
    <n v="0"/>
    <n v="0"/>
    <n v="0"/>
    <n v="27"/>
    <n v="40325.31"/>
    <n v="22698.359999999997"/>
    <n v="17626.95"/>
    <n v="0.43711877230454027"/>
    <n v="3966060.7820299994"/>
    <n v="0.36233737217630257"/>
    <n v="0"/>
    <n v="35.1"/>
    <n v="924.74800000000005"/>
    <n v="52422.902999999998"/>
  </r>
  <r>
    <s v="ORD-2024-237478"/>
    <d v="2024-10-03T00:00:00"/>
    <d v="2024-10-03T00:00:00"/>
    <d v="2024-10-11T00:00:00"/>
    <d v="2024-10-11T00:00:00"/>
    <n v="8"/>
    <n v="0"/>
    <s v="10-2024"/>
    <s v="Q4-2024"/>
    <d v="2023-01-12T00:00:00"/>
    <s v="01-2023"/>
    <s v="Asia"/>
    <s v="China"/>
    <s v="Beijing"/>
    <s v="Beijing"/>
    <s v="Enterprise"/>
    <s v="Direct"/>
    <s v="Direct"/>
    <s v="B. Chen"/>
    <s v="B. Chen"/>
    <x v="6"/>
    <s v="High"/>
    <s v="PHN-7488"/>
    <s v="A"/>
    <n v="1132.6099999999999"/>
    <n v="2206.63"/>
    <n v="2206.63"/>
    <n v="6.3E-2"/>
    <n v="6.3E-2"/>
    <n v="0"/>
    <n v="20"/>
    <n v="41352.246200000009"/>
    <n v="22652.199999999997"/>
    <n v="18700.046200000012"/>
    <n v="0.45221355351671338"/>
    <n v="4007413.0282299994"/>
    <n v="0.36611529315259844"/>
    <n v="6.3E-2"/>
    <n v="26"/>
    <n v="1245.8710000000001"/>
    <n v="53757.920060000004"/>
  </r>
  <r>
    <s v="ORD-2025-673091"/>
    <d v="2025-05-07T00:00:00"/>
    <d v="2025-05-07T00:00:00"/>
    <d v="2025-05-13T00:00:00"/>
    <d v="2025-05-13T00:00:00"/>
    <n v="6"/>
    <n v="0"/>
    <s v="05-2025"/>
    <s v="Q2-2025"/>
    <d v="2023-01-29T00:00:00"/>
    <s v="01-2023"/>
    <s v="Asia"/>
    <s v="India"/>
    <s v="Bengaluru"/>
    <s v="Bengaluru"/>
    <s v="Enterprise"/>
    <s v="Direct"/>
    <s v="Direct"/>
    <s v="J. Njeri"/>
    <s v="J. Njeri"/>
    <x v="6"/>
    <s v="High"/>
    <s v="PHN-5683"/>
    <s v="A"/>
    <n v="935.98"/>
    <n v="2077.69"/>
    <n v="2077.69"/>
    <n v="0.17499999999999999"/>
    <n v="0.17499999999999999"/>
    <n v="0"/>
    <n v="24"/>
    <n v="41138.261999999995"/>
    <n v="22463.52"/>
    <n v="18674.741999999995"/>
    <n v="0.45395067978321491"/>
    <n v="4048551.2902299995"/>
    <n v="0.3698736646370997"/>
    <n v="0.17499999999999999"/>
    <n v="31.200000000000003"/>
    <n v="1029.5780000000002"/>
    <n v="53479.740600000005"/>
  </r>
  <r>
    <s v="ORD-2024-638884"/>
    <d v="2024-05-28T00:00:00"/>
    <d v="2024-05-26T00:00:00"/>
    <d v="2024-05-26T00:00:00"/>
    <d v="2024-05-28T00:00:00"/>
    <n v="2"/>
    <n v="0"/>
    <s v="05-2024"/>
    <s v="Q2-2024"/>
    <d v="2023-01-13T00:00:00"/>
    <s v="01-2023"/>
    <s v="Africa"/>
    <s v="Nigeria"/>
    <s v="Abuja"/>
    <s v="Abuja"/>
    <s v="Enterprise"/>
    <s v="Online"/>
    <s v="Online"/>
    <s v="F. Müller"/>
    <s v="F. Müller"/>
    <x v="1"/>
    <s v="High"/>
    <s v="ACC-5177"/>
    <s v="A"/>
    <n v="1227.08"/>
    <n v="1896.62"/>
    <n v="1896.62"/>
    <n v="0"/>
    <n v="0"/>
    <n v="0"/>
    <n v="18"/>
    <n v="34139.159999999996"/>
    <n v="22087.439999999999"/>
    <n v="12051.719999999998"/>
    <n v="0.353017473189147"/>
    <n v="4082690.4502299996"/>
    <n v="0.37299260158802933"/>
    <n v="0"/>
    <n v="23.400000000000002"/>
    <n v="1349.788"/>
    <n v="44380.908000000003"/>
  </r>
  <r>
    <s v="ORD-2024-626925"/>
    <d v="2024-06-07T00:00:00"/>
    <d v="2024-06-07T00:00:00"/>
    <d v="2024-06-09T00:00:00"/>
    <d v="2024-06-09T00:00:00"/>
    <n v="2"/>
    <n v="0"/>
    <s v="06-2024"/>
    <s v="Q2-2024"/>
    <d v="2023-01-12T00:00:00"/>
    <s v="01-2023"/>
    <s v="Asia"/>
    <s v="China"/>
    <s v="Shanghai"/>
    <s v="Shanghai"/>
    <s v="Corporate"/>
    <s v="Retail"/>
    <s v="Retail"/>
    <s v="O. Wang"/>
    <s v="O. Wang"/>
    <x v="2"/>
    <s v="High"/>
    <s v="MON-8688"/>
    <s v="A"/>
    <n v="1370.28"/>
    <n v="2209.66"/>
    <n v="2209.66"/>
    <n v="0.13300000000000001"/>
    <n v="0.13300000000000001"/>
    <n v="0"/>
    <n v="16"/>
    <n v="30652.403519999996"/>
    <n v="21924.48"/>
    <n v="8727.9235199999966"/>
    <n v="0.28473863442079589"/>
    <n v="4113342.8537499998"/>
    <n v="0.37579299017325918"/>
    <n v="0.13300000000000001"/>
    <n v="20.8"/>
    <n v="1507.308"/>
    <n v="39848.124576000002"/>
  </r>
  <r>
    <s v="ORD-2023-569862"/>
    <d v="2023-07-16T00:00:00"/>
    <d v="2023-07-16T00:00:00"/>
    <d v="2023-08-13T00:00:00"/>
    <d v="2023-08-13T00:00:00"/>
    <n v="28"/>
    <n v="0"/>
    <s v="07-2023"/>
    <s v="Q3-2023"/>
    <d v="2023-01-19T00:00:00"/>
    <s v="01-2023"/>
    <s v="Europe"/>
    <s v="United Kingdom"/>
    <s v="Manchester"/>
    <s v="Manchester"/>
    <s v="Non-Profit"/>
    <s v="Online"/>
    <s v="Online"/>
    <s v="J. Njeri"/>
    <s v="J. Njeri"/>
    <x v="3"/>
    <s v="High"/>
    <s v="LAP-1178"/>
    <s v="A"/>
    <n v="1039.03"/>
    <n v="2545.81"/>
    <n v="2545.81"/>
    <n v="0.216"/>
    <n v="0.216"/>
    <n v="1"/>
    <n v="21"/>
    <n v="41914.215840000004"/>
    <n v="21819.63"/>
    <n v="20094.585840000003"/>
    <n v="0.47942172929364774"/>
    <n v="4155257.06959"/>
    <n v="0.37962225242085457"/>
    <n v="0.2"/>
    <n v="27.3"/>
    <n v="1142.933"/>
    <n v="55600.490400000002"/>
  </r>
  <r>
    <s v="ORD-2025-949776"/>
    <d v="2025-08-14T00:00:00"/>
    <d v="2025-08-14T00:00:00"/>
    <d v="2025-09-11T00:00:00"/>
    <d v="2025-09-11T00:00:00"/>
    <n v="28"/>
    <n v="0"/>
    <s v="08-2025"/>
    <s v="Q3-2025"/>
    <d v="2023-01-29T00:00:00"/>
    <s v="01-2023"/>
    <s v="Americas"/>
    <s v="Brazil"/>
    <s v="São Paulo"/>
    <s v="São Paulo"/>
    <s v="Non-Profit"/>
    <s v="Direct"/>
    <s v="Direct"/>
    <s v="F. Müller"/>
    <s v="F. Müller"/>
    <x v="5"/>
    <s v="High"/>
    <s v="PRN-9490"/>
    <s v="A"/>
    <n v="1203.02"/>
    <n v="2439.33"/>
    <n v="2439.33"/>
    <n v="0"/>
    <n v="0"/>
    <n v="0"/>
    <n v="18"/>
    <n v="43907.94"/>
    <n v="21654.36"/>
    <n v="22253.58"/>
    <n v="0.50682359500354612"/>
    <n v="4199165.0095899999"/>
    <n v="0.38363366033203927"/>
    <n v="0"/>
    <n v="23.400000000000002"/>
    <n v="1323.3220000000001"/>
    <n v="57080.322"/>
  </r>
  <r>
    <s v="ORD-2023-369160"/>
    <d v="2023-07-24T00:00:00"/>
    <d v="2023-07-24T00:00:00"/>
    <d v="2023-08-13T00:00:00"/>
    <d v="2023-08-13T00:00:00"/>
    <n v="20"/>
    <n v="0"/>
    <s v="07-2023"/>
    <s v="Q3-2023"/>
    <d v="2023-01-02T00:00:00"/>
    <s v="01-2023"/>
    <s v="Americas"/>
    <s v="Canada"/>
    <s v="Montreal"/>
    <s v="Montreal"/>
    <s v="Education"/>
    <s v="Direct"/>
    <s v="Direct"/>
    <s v="C. Otieno"/>
    <s v="C. Otieno"/>
    <x v="2"/>
    <s v="High"/>
    <s v="MON-3307"/>
    <s v="A"/>
    <n v="1082.3800000000001"/>
    <n v="1766.55"/>
    <n v="1766.55"/>
    <n v="0.16400000000000001"/>
    <n v="0.16400000000000001"/>
    <n v="0"/>
    <n v="20"/>
    <n v="29536.716"/>
    <n v="21647.600000000002"/>
    <n v="7889.1159999999982"/>
    <n v="0.26709523157550752"/>
    <n v="4228701.7255899999"/>
    <n v="0.3863321202514256"/>
    <n v="0.16400000000000001"/>
    <n v="26"/>
    <n v="1190.6180000000002"/>
    <n v="38397.730799999998"/>
  </r>
  <r>
    <s v="ORD-2023-422918"/>
    <d v="2023-02-28T00:00:00"/>
    <d v="2023-02-28T00:00:00"/>
    <d v="2023-03-20T00:00:00"/>
    <d v="2023-03-20T00:00:00"/>
    <n v="20"/>
    <n v="0"/>
    <s v="02-2023"/>
    <s v="Q1-2023"/>
    <d v="2023-01-21T00:00:00"/>
    <s v="01-2023"/>
    <s v="Europe"/>
    <s v="Germany"/>
    <s v="Berlin"/>
    <s v="Berlin"/>
    <s v="Small Business"/>
    <s v="Direct"/>
    <s v="Direct"/>
    <s v="H. Kim"/>
    <s v="H. Kim"/>
    <x v="3"/>
    <s v="High"/>
    <s v="LAP-3679"/>
    <s v="A"/>
    <n v="1200.78"/>
    <n v="2001.17"/>
    <n v="2001.17"/>
    <n v="0.29199999999999998"/>
    <n v="0.29199999999999998"/>
    <n v="1"/>
    <n v="18"/>
    <n v="25502.910479999999"/>
    <n v="21614.04"/>
    <n v="3888.8704799999978"/>
    <n v="0.15248732034132906"/>
    <n v="4254204.63607"/>
    <n v="0.38866205367252682"/>
    <n v="0.2"/>
    <n v="23.400000000000002"/>
    <n v="1320.8580000000002"/>
    <n v="37461.902400000006"/>
  </r>
  <r>
    <s v="ORD-2025-328504"/>
    <d v="2025-01-27T00:00:00"/>
    <d v="2025-01-27T00:00:00"/>
    <d v="2025-02-15T00:00:00"/>
    <d v="2025-02-15T00:00:00"/>
    <n v="19"/>
    <n v="1"/>
    <s v="01-2025"/>
    <s v="Q1-2025"/>
    <d v="2023-01-12T00:00:00"/>
    <s v="01-2023"/>
    <s v="Asia"/>
    <s v="China"/>
    <s v="Shenzhen"/>
    <s v="Shenzhen"/>
    <s v="Non-Profit"/>
    <s v="Direct"/>
    <s v="Direct"/>
    <s v="L. Okafor"/>
    <s v="L. Okafor"/>
    <x v="6"/>
    <s v="High"/>
    <s v="PHN-8368"/>
    <s v="A"/>
    <n v="1253.22"/>
    <n v="3104.71"/>
    <n v="3104.71"/>
    <n v="0"/>
    <n v="0"/>
    <n v="0"/>
    <n v="17"/>
    <n v="52780.07"/>
    <n v="21304.74"/>
    <n v="31475.329999999998"/>
    <n v="0.59634877331538205"/>
    <n v="4306984.7060700003"/>
    <n v="0.39348401503876007"/>
    <n v="0"/>
    <n v="22.1"/>
    <n v="1378.5420000000001"/>
    <n v="68614.091"/>
  </r>
  <r>
    <s v="ORD-2024-500511"/>
    <d v="2024-10-08T00:00:00"/>
    <d v="2024-10-08T00:00:00"/>
    <d v="2024-10-08T00:00:00"/>
    <d v="2024-10-08T00:00:00"/>
    <n v="0"/>
    <n v="0"/>
    <s v="10-2024"/>
    <s v="Q4-2024"/>
    <d v="2023-01-19T00:00:00"/>
    <s v="01-2023"/>
    <s v="Europe"/>
    <s v="United Kingdom"/>
    <s v="London"/>
    <s v="London"/>
    <s v="Corporate"/>
    <s v="Online"/>
    <s v="Online"/>
    <s v="E. Garcia"/>
    <s v="E. Garcia"/>
    <x v="2"/>
    <s v="High"/>
    <s v="MON-9733"/>
    <s v="A"/>
    <n v="1108.1099999999999"/>
    <n v="2503.79"/>
    <n v="2503.79"/>
    <n v="0.184"/>
    <n v="0.184"/>
    <n v="0"/>
    <n v="19"/>
    <n v="38818.760160000005"/>
    <n v="21054.089999999997"/>
    <n v="17764.670160000009"/>
    <n v="0.45763105485025896"/>
    <n v="4345803.4662300004"/>
    <n v="0.39703047797025282"/>
    <n v="0.184"/>
    <n v="24.7"/>
    <n v="1218.921"/>
    <n v="50464.388208000004"/>
  </r>
  <r>
    <s v="ORD-2024-993481"/>
    <d v="2024-08-18T00:00:00"/>
    <d v="2024-08-18T00:00:00"/>
    <d v="2024-09-12T00:00:00"/>
    <d v="2024-09-12T00:00:00"/>
    <n v="25"/>
    <n v="0"/>
    <s v="08-2024"/>
    <s v="Q3-2024"/>
    <d v="2023-01-29T00:00:00"/>
    <s v="01-2023"/>
    <s v="Asia"/>
    <s v="India"/>
    <s v="Mumbai"/>
    <s v="Mumbai"/>
    <s v="Consumer"/>
    <s v="Marketplace"/>
    <s v="Marketplace"/>
    <s v="C. Otieno"/>
    <s v="C. Otieno"/>
    <x v="6"/>
    <s v="Medium"/>
    <s v="PHN-3077"/>
    <s v="A"/>
    <n v="1154.03"/>
    <n v="1590.36"/>
    <n v="1590.36"/>
    <n v="0.314"/>
    <n v="0.3"/>
    <n v="1"/>
    <n v="18"/>
    <n v="20038.536"/>
    <n v="20772.54"/>
    <n v="734.00400000000081"/>
    <n v="3.6629622044245191E-2"/>
    <n v="4365842.0022300007"/>
    <n v="0.39886118881296062"/>
    <n v="0.2"/>
    <n v="23.400000000000002"/>
    <n v="1269.433"/>
    <n v="29771.539199999999"/>
  </r>
  <r>
    <s v="ORD-2023-808024"/>
    <d v="2023-12-30T00:00:00"/>
    <d v="2023-12-30T00:00:00"/>
    <d v="2024-01-08T00:00:00"/>
    <d v="2024-01-08T00:00:00"/>
    <n v="9"/>
    <n v="0"/>
    <s v="12-2023"/>
    <s v="Q4-2023"/>
    <d v="2023-01-10T00:00:00"/>
    <s v="01-2023"/>
    <s v="Europe"/>
    <s v="France"/>
    <s v="Marseille"/>
    <s v="Marseille"/>
    <s v="Consumer"/>
    <s v="Marketplace"/>
    <s v="Marketplace"/>
    <s v="L. Okafor"/>
    <s v="L. Okafor"/>
    <x v="1"/>
    <s v="Medium"/>
    <s v="ACC-6594"/>
    <s v="A"/>
    <n v="861.1"/>
    <n v="1224.72"/>
    <n v="1224.72"/>
    <n v="0.17399999999999999"/>
    <n v="0.17399999999999999"/>
    <n v="0"/>
    <n v="24"/>
    <n v="24278.849280000002"/>
    <n v="20666.400000000001"/>
    <n v="3612.4492800000007"/>
    <n v="0.14878997098827909"/>
    <n v="4390120.8515100004"/>
    <n v="0.40107929260184827"/>
    <n v="0.17399999999999999"/>
    <n v="31.200000000000003"/>
    <n v="947.21000000000015"/>
    <n v="31562.504064000004"/>
  </r>
  <r>
    <s v="ORD-2024-966651"/>
    <d v="2024-10-14T00:00:00"/>
    <d v="2024-10-14T00:00:00"/>
    <d v="2024-11-08T00:00:00"/>
    <d v="2024-11-08T00:00:00"/>
    <n v="25"/>
    <n v="1"/>
    <s v="10-2024"/>
    <s v="Q4-2024"/>
    <d v="2023-01-13T00:00:00"/>
    <s v="01-2023"/>
    <s v="Africa"/>
    <s v="Nigeria"/>
    <s v="Lagos"/>
    <s v="Lagos"/>
    <s v="Enterprise"/>
    <s v="Online"/>
    <s v="Online"/>
    <s v="O. Wang"/>
    <s v="O. Wang"/>
    <x v="4"/>
    <s v="High"/>
    <s v="NET-5268"/>
    <s v="A"/>
    <n v="859.35"/>
    <n v="1825.61"/>
    <n v="1825.61"/>
    <n v="0.187"/>
    <n v="0.187"/>
    <n v="0"/>
    <n v="24"/>
    <n v="35621.302319999995"/>
    <n v="20624.400000000001"/>
    <n v="14996.902319999994"/>
    <n v="0.42100937762681989"/>
    <n v="4425742.1538300002"/>
    <n v="0.40433363734981759"/>
    <n v="0.187"/>
    <n v="31.200000000000003"/>
    <n v="945.28500000000008"/>
    <n v="46307.693015999997"/>
  </r>
  <r>
    <s v="ORD-2025-898022"/>
    <d v="2025-09-02T00:00:00"/>
    <d v="2025-09-02T00:00:00"/>
    <d v="2025-09-11T00:00:00"/>
    <d v="2025-09-11T00:00:00"/>
    <n v="9"/>
    <n v="0"/>
    <s v="09-2025"/>
    <s v="Q3-2025"/>
    <d v="2023-01-02T00:00:00"/>
    <s v="01-2023"/>
    <s v="Americas"/>
    <s v="Canada"/>
    <s v="Toronto"/>
    <s v="Toronto"/>
    <s v="Corporate"/>
    <s v="Distributor"/>
    <s v="Distributor"/>
    <s v="M. Rossi"/>
    <s v="M. Rossi"/>
    <x v="5"/>
    <s v="Medium"/>
    <s v="PRN-1276"/>
    <s v="A"/>
    <n v="1207.6300000000001"/>
    <n v="921.68"/>
    <n v="921.68"/>
    <n v="0.19600000000000001"/>
    <n v="0.19600000000000001"/>
    <n v="0"/>
    <n v="17"/>
    <n v="12597.52224"/>
    <n v="20529.710000000003"/>
    <n v="7932.1877600000025"/>
    <n v="0.62966253274897988"/>
    <n v="4438339.67607"/>
    <n v="0.40548454081681834"/>
    <n v="0.19600000000000001"/>
    <n v="22.1"/>
    <n v="1328.3930000000003"/>
    <n v="16376.778912000002"/>
  </r>
  <r>
    <s v="ORD-2024-102866"/>
    <d v="2024-12-12T00:00:00"/>
    <d v="2024-12-12T00:00:00"/>
    <d v="2024-12-20T00:00:00"/>
    <d v="2024-12-20T00:00:00"/>
    <n v="8"/>
    <n v="0"/>
    <s v="12-2024"/>
    <s v="Q4-2024"/>
    <d v="2023-03-03T00:00:00"/>
    <s v="03-2023"/>
    <s v="Asia"/>
    <s v="Japan"/>
    <s v="Tokyo"/>
    <s v="Tokyo"/>
    <s v="Corporate"/>
    <s v="Retail"/>
    <s v="Retail"/>
    <s v="B. Chen"/>
    <s v="B. Chen"/>
    <x v="3"/>
    <s v="Medium"/>
    <s v="LAP-8347"/>
    <s v="A"/>
    <n v="1202.47"/>
    <n v="1444.72"/>
    <n v="1444.72"/>
    <n v="0.24099999999999999"/>
    <n v="0.24099999999999999"/>
    <n v="1"/>
    <n v="17"/>
    <n v="18641.222160000001"/>
    <n v="20441.990000000002"/>
    <n v="1800.7678400000004"/>
    <n v="9.6601382921343834E-2"/>
    <n v="4456980.8982300004"/>
    <n v="0.40718759375090674"/>
    <n v="0.2"/>
    <n v="22.1"/>
    <n v="1322.7170000000001"/>
    <n v="25542.649600000004"/>
  </r>
  <r>
    <s v="ORD-2024-930679"/>
    <d v="2024-12-17T00:00:00"/>
    <d v="2024-12-17T00:00:00"/>
    <d v="2025-01-16T00:00:00"/>
    <d v="2025-01-16T00:00:00"/>
    <n v="30"/>
    <n v="1"/>
    <s v="12-2024"/>
    <s v="Q4-2024"/>
    <d v="2023-01-19T00:00:00"/>
    <s v="01-2023"/>
    <s v="Europe"/>
    <s v="United Kingdom"/>
    <s v="Manchester"/>
    <s v="Manchester"/>
    <s v="Corporate"/>
    <s v="Retail"/>
    <s v="Retail"/>
    <s v="D. Smith"/>
    <s v="D. Smith"/>
    <x v="2"/>
    <s v="Low"/>
    <s v="MON-4215"/>
    <s v="A"/>
    <n v="722.87"/>
    <n v="-33.659999999999997"/>
    <n v="33.659999999999997"/>
    <n v="0.10199999999999999"/>
    <n v="0.10199999999999999"/>
    <n v="0"/>
    <n v="28"/>
    <n v="846.34703999999988"/>
    <n v="20240.36"/>
    <n v="19394.01296"/>
    <n v="22.914965189693348"/>
    <n v="4457827.2452700008"/>
    <n v="0.4072649156023046"/>
    <n v="0.10199999999999999"/>
    <n v="36.4"/>
    <n v="795.15700000000004"/>
    <n v="1100.251152"/>
  </r>
  <r>
    <s v="ORD-2024-223618"/>
    <d v="2024-06-10T00:00:00"/>
    <d v="2024-06-10T00:00:00"/>
    <d v="2024-06-11T00:00:00"/>
    <d v="2024-06-11T00:00:00"/>
    <n v="1"/>
    <n v="1"/>
    <s v="06-2024"/>
    <s v="Q2-2024"/>
    <d v="2023-01-19T00:00:00"/>
    <s v="01-2023"/>
    <s v="Europe"/>
    <s v="United Kingdom"/>
    <s v="Birmingham"/>
    <s v="Birmingham"/>
    <s v="Small Business"/>
    <s v="Marketplace"/>
    <s v="Marketplace"/>
    <s v="M. Rossi"/>
    <s v="M. Rossi"/>
    <x v="3"/>
    <s v="High"/>
    <s v="LAP-9230"/>
    <s v="A"/>
    <n v="1187.1300000000001"/>
    <n v="1795.17"/>
    <n v="1795.17"/>
    <n v="1.2E-2"/>
    <n v="1.2E-2"/>
    <n v="0"/>
    <n v="17"/>
    <n v="30151.675319999998"/>
    <n v="20181.210000000003"/>
    <n v="9970.4653199999957"/>
    <n v="0.33067699271046663"/>
    <n v="4487978.9205900012"/>
    <n v="0.41001955790422367"/>
    <n v="1.2E-2"/>
    <n v="22.1"/>
    <n v="1305.8430000000003"/>
    <n v="39197.177916000008"/>
  </r>
  <r>
    <s v="ORD-2024-872291"/>
    <d v="2024-01-08T00:00:00"/>
    <d v="2024-01-08T00:00:00"/>
    <d v="2024-01-12T00:00:00"/>
    <d v="2024-01-12T00:00:00"/>
    <n v="4"/>
    <n v="0"/>
    <s v="01-2024"/>
    <s v="Q1-2024"/>
    <d v="2023-01-29T00:00:00"/>
    <s v="01-2023"/>
    <s v="Asia"/>
    <s v="India"/>
    <s v="Bengaluru"/>
    <s v="Bengaluru"/>
    <s v="Corporate"/>
    <s v="Direct"/>
    <s v="Direct"/>
    <s v="E. Garcia"/>
    <s v="E. Garcia"/>
    <x v="5"/>
    <s v="Low"/>
    <s v="PRN-6585"/>
    <s v="A"/>
    <n v="802.32"/>
    <n v="602.34"/>
    <n v="602.34"/>
    <n v="0.12"/>
    <n v="0.12"/>
    <n v="0"/>
    <n v="25"/>
    <n v="13251.48"/>
    <n v="20058"/>
    <n v="6806.52"/>
    <n v="0.51364224977134632"/>
    <n v="4501230.4005900016"/>
    <n v="0.41123020663215099"/>
    <n v="0.12"/>
    <n v="32.5"/>
    <n v="882.55200000000013"/>
    <n v="17226.923999999999"/>
  </r>
  <r>
    <s v="ORD-2024-580808"/>
    <d v="2024-06-16T00:00:00"/>
    <d v="2024-06-16T00:00:00"/>
    <d v="2024-07-03T00:00:00"/>
    <d v="2024-07-03T00:00:00"/>
    <n v="17"/>
    <n v="0"/>
    <s v="06-2024"/>
    <s v="Q2-2024"/>
    <d v="2023-01-07T00:00:00"/>
    <s v="01-2023"/>
    <s v="Africa"/>
    <s v="South Africa"/>
    <s v="Johannesburg"/>
    <s v="Johannesburg"/>
    <s v="Enterprise"/>
    <s v="Marketplace"/>
    <s v="Marketplace"/>
    <s v="F. Müller"/>
    <s v="F. Müller"/>
    <x v="6"/>
    <s v="High"/>
    <s v="PHN-6832"/>
    <s v="A"/>
    <n v="1173.83"/>
    <n v="2328.9"/>
    <n v="2328.9"/>
    <n v="0.12"/>
    <n v="0.12"/>
    <n v="0"/>
    <n v="17"/>
    <n v="34840.344000000005"/>
    <n v="19955.11"/>
    <n v="14885.234000000004"/>
    <n v="0.42724130393201637"/>
    <n v="4536070.7445900012"/>
    <n v="0.4144132034101824"/>
    <n v="0.12"/>
    <n v="22.1"/>
    <n v="1291.213"/>
    <n v="45292.447200000002"/>
  </r>
  <r>
    <s v="ORD-2023-480975"/>
    <d v="2023-02-15T00:00:00"/>
    <d v="2023-02-15T00:00:00"/>
    <d v="2023-02-26T00:00:00"/>
    <d v="2023-02-26T00:00:00"/>
    <n v="11"/>
    <n v="0"/>
    <s v="02-2023"/>
    <s v="Q1-2023"/>
    <d v="2023-01-07T00:00:00"/>
    <s v="01-2023"/>
    <s v="Africa"/>
    <s v="South Africa"/>
    <s v="Johannesburg"/>
    <s v="Johannesburg"/>
    <s v="Non-Profit"/>
    <s v="Retail"/>
    <s v="Retail"/>
    <s v="K. Singh"/>
    <s v="K. Singh"/>
    <x v="3"/>
    <s v="Low"/>
    <s v="LAP-3393"/>
    <s v="A"/>
    <n v="498.5"/>
    <n v="755.87"/>
    <n v="755.87"/>
    <n v="0.13"/>
    <n v="0.13"/>
    <n v="0"/>
    <n v="40"/>
    <n v="26304.275999999998"/>
    <n v="19940"/>
    <n v="6364.275999999998"/>
    <n v="0.24194834330357537"/>
    <n v="4562375.0205900008"/>
    <n v="0.41681634919302679"/>
    <n v="0.13"/>
    <n v="52"/>
    <n v="548.35"/>
    <n v="34195.558799999999"/>
  </r>
  <r>
    <s v="ORD-2023-562894"/>
    <d v="2023-02-23T00:00:00"/>
    <d v="2023-02-23T00:00:00"/>
    <d v="2023-03-25T00:00:00"/>
    <d v="2023-03-25T00:00:00"/>
    <n v="30"/>
    <n v="0"/>
    <s v="02-2023"/>
    <s v="Q1-2023"/>
    <d v="2023-01-02T00:00:00"/>
    <s v="01-2023"/>
    <s v="Americas"/>
    <s v="Canada"/>
    <s v="Montreal"/>
    <s v="Montreal"/>
    <s v="Enterprise"/>
    <s v="Online"/>
    <s v="Online"/>
    <s v="D. Smith"/>
    <s v="D. Smith"/>
    <x v="6"/>
    <s v="High"/>
    <s v="PHN-4854"/>
    <s v="A"/>
    <n v="1242.6600000000001"/>
    <n v="1794.07"/>
    <n v="1794.07"/>
    <n v="8.8999999999999996E-2"/>
    <n v="8.8999999999999996E-2"/>
    <n v="0"/>
    <n v="16"/>
    <n v="26150.364320000001"/>
    <n v="19882.560000000001"/>
    <n v="6267.8043199999993"/>
    <n v="0.23968325042440553"/>
    <n v="4588525.3849100005"/>
    <n v="0.41920543368010615"/>
    <n v="8.8999999999999996E-2"/>
    <n v="20.8"/>
    <n v="1366.9260000000002"/>
    <n v="33995.473616000003"/>
  </r>
  <r>
    <s v="ORD-2024-243988"/>
    <d v="2024-03-13T00:00:00"/>
    <d v="2024-03-13T00:00:00"/>
    <d v="2024-04-06T00:00:00"/>
    <d v="2024-04-06T00:00:00"/>
    <n v="24"/>
    <n v="0"/>
    <s v="03-2024"/>
    <s v="Q1-2024"/>
    <d v="2023-01-13T00:00:00"/>
    <s v="01-2023"/>
    <s v="Africa"/>
    <s v="Nigeria"/>
    <s v="Abuja"/>
    <s v="Abuja"/>
    <s v="Consumer"/>
    <s v="Distributor"/>
    <s v="Distributor"/>
    <s v="L. Okafor"/>
    <s v="L. Okafor"/>
    <x v="0"/>
    <s v="High"/>
    <s v="CMP-9001"/>
    <s v="A"/>
    <n v="1232.78"/>
    <n v="1731.75"/>
    <n v="1731.75"/>
    <n v="9.2999999999999999E-2"/>
    <n v="9.2999999999999999E-2"/>
    <n v="0"/>
    <n v="16"/>
    <n v="25131.155999999999"/>
    <n v="19724.48"/>
    <n v="5406.6759999999995"/>
    <n v="0.21513837246484005"/>
    <n v="4613656.5409100009"/>
    <n v="0.42150140379384005"/>
    <n v="9.2999999999999999E-2"/>
    <n v="20.8"/>
    <n v="1356.058"/>
    <n v="32670.502800000002"/>
  </r>
  <r>
    <s v="ORD-2025-233883"/>
    <d v="2025-09-08T00:00:00"/>
    <d v="2025-09-08T00:00:00"/>
    <d v="2025-09-16T00:00:00"/>
    <d v="2025-09-16T00:00:00"/>
    <n v="8"/>
    <n v="0"/>
    <s v="09-2025"/>
    <s v="Q3-2025"/>
    <d v="2023-03-03T00:00:00"/>
    <s v="03-2023"/>
    <s v="Asia"/>
    <s v="Japan"/>
    <s v="Osaka"/>
    <s v="Osaka"/>
    <s v="Corporate"/>
    <s v="Distributor"/>
    <s v="Distributor"/>
    <s v="C. Otieno"/>
    <s v="C. Otieno"/>
    <x v="6"/>
    <s v="High"/>
    <s v="PHN-1197"/>
    <s v="A"/>
    <n v="1225.57"/>
    <n v="2705.57"/>
    <n v="2705.57"/>
    <n v="0.183"/>
    <n v="0.183"/>
    <n v="0"/>
    <n v="16"/>
    <n v="35367.211040000002"/>
    <n v="19609.12"/>
    <n v="15758.091040000003"/>
    <n v="0.44555650775453404"/>
    <n v="4649023.7519500013"/>
    <n v="0.42473253488681317"/>
    <n v="0.183"/>
    <n v="20.8"/>
    <n v="1348.127"/>
    <n v="45977.374352000006"/>
  </r>
  <r>
    <s v="ORD-2024-998320"/>
    <d v="2024-10-25T00:00:00"/>
    <d v="2024-10-25T00:00:00"/>
    <d v="2024-11-14T00:00:00"/>
    <d v="2024-11-14T00:00:00"/>
    <n v="20"/>
    <n v="1"/>
    <s v="10-2024"/>
    <s v="Q4-2024"/>
    <d v="2023-01-20T00:00:00"/>
    <s v="01-2023"/>
    <s v="Africa"/>
    <s v="Kenya"/>
    <s v="Mombasa"/>
    <s v="Mombasa"/>
    <s v="Corporate"/>
    <s v="Direct"/>
    <s v="Direct"/>
    <s v="H. Kim"/>
    <s v="H. Kim"/>
    <x v="5"/>
    <s v="High"/>
    <s v="PRN-3143"/>
    <s v="A"/>
    <n v="1396.48"/>
    <n v="3204.5"/>
    <n v="3204.5"/>
    <n v="0.318"/>
    <n v="0.3"/>
    <n v="1"/>
    <n v="14"/>
    <n v="31404.1"/>
    <n v="19550.72"/>
    <n v="11853.379999999997"/>
    <n v="0.3774468938769141"/>
    <n v="4680427.851950001"/>
    <n v="0.42760159809459825"/>
    <n v="0.2"/>
    <n v="18.2"/>
    <n v="1536.1280000000002"/>
    <n v="46657.52"/>
  </r>
  <r>
    <s v="ORD-2023-868734"/>
    <d v="2023-04-06T00:00:00"/>
    <d v="2023-04-06T00:00:00"/>
    <d v="2023-04-27T00:00:00"/>
    <d v="2023-04-27T00:00:00"/>
    <n v="21"/>
    <n v="0"/>
    <s v="04-2023"/>
    <s v="Q2-2023"/>
    <d v="2023-01-19T00:00:00"/>
    <s v="01-2023"/>
    <s v="Europe"/>
    <s v="United Kingdom"/>
    <s v="Manchester"/>
    <s v="Manchester"/>
    <s v="Enterprise"/>
    <s v="Distributor"/>
    <s v="Distributor"/>
    <s v="I. Johnson"/>
    <s v="I. Johnson"/>
    <x v="5"/>
    <s v="High"/>
    <s v="PRN-8970"/>
    <s v="A"/>
    <n v="1084.79"/>
    <n v="2484.9899999999998"/>
    <n v="2484.9899999999998"/>
    <n v="3.4000000000000002E-2"/>
    <n v="3.4000000000000002E-2"/>
    <n v="0"/>
    <n v="18"/>
    <n v="43209.006119999991"/>
    <n v="19526.22"/>
    <n v="23682.78611999999"/>
    <n v="0.54809837685755114"/>
    <n v="4723636.858070001"/>
    <n v="0.4315491517485433"/>
    <n v="3.4000000000000002E-2"/>
    <n v="23.400000000000002"/>
    <n v="1193.269"/>
    <n v="56171.707955999998"/>
  </r>
  <r>
    <s v="ORD-2024-105586"/>
    <d v="2024-01-02T00:00:00"/>
    <d v="2024-01-02T00:00:00"/>
    <d v="2024-01-15T00:00:00"/>
    <d v="2024-01-15T00:00:00"/>
    <n v="13"/>
    <n v="0"/>
    <s v="01-2024"/>
    <s v="Q1-2024"/>
    <d v="2023-03-03T00:00:00"/>
    <s v="03-2023"/>
    <s v="Asia"/>
    <s v="Japan"/>
    <s v="Nagoya"/>
    <s v="Nagoya"/>
    <s v="Small Business"/>
    <s v="Marketplace"/>
    <s v="Marketplace"/>
    <s v="G. Dubois"/>
    <s v="G. Dubois"/>
    <x v="4"/>
    <s v="High"/>
    <s v="NET-1893"/>
    <s v="A"/>
    <n v="1219.06"/>
    <n v="2738.69"/>
    <n v="2738.69"/>
    <n v="7.5999999999999998E-2"/>
    <n v="7.5999999999999998E-2"/>
    <n v="0"/>
    <n v="16"/>
    <n v="40488.792960000006"/>
    <n v="19504.96"/>
    <n v="20983.832960000007"/>
    <n v="0.51826274447673737"/>
    <n v="4764125.6510300012"/>
    <n v="0.43524818805938059"/>
    <n v="7.5999999999999998E-2"/>
    <n v="20.8"/>
    <n v="1340.9660000000001"/>
    <n v="52635.430848000004"/>
  </r>
  <r>
    <s v="ORD-2025-752192"/>
    <d v="2025-05-16T00:00:00"/>
    <d v="2025-05-16T00:00:00"/>
    <d v="2025-05-18T00:00:00"/>
    <d v="2025-05-18T00:00:00"/>
    <n v="2"/>
    <n v="0"/>
    <s v="05-2025"/>
    <s v="Q2-2025"/>
    <d v="2023-03-03T00:00:00"/>
    <s v="03-2023"/>
    <s v="Asia"/>
    <s v="Japan"/>
    <s v="Tokyo"/>
    <s v="Tokyo"/>
    <s v="Enterprise"/>
    <s v="Retail"/>
    <s v="Retail"/>
    <s v="J. Njeri"/>
    <s v="J. Njeri"/>
    <x v="5"/>
    <s v="High"/>
    <s v="PRN-6131"/>
    <s v="A"/>
    <n v="1144.3800000000001"/>
    <n v="2755.04"/>
    <n v="2755.04"/>
    <n v="0.15"/>
    <n v="0.15"/>
    <n v="0"/>
    <n v="17"/>
    <n v="39810.328000000001"/>
    <n v="19454.460000000003"/>
    <n v="20355.867999999999"/>
    <n v="0.51132128326096682"/>
    <n v="4803935.979030001"/>
    <n v="0.43888524014349251"/>
    <n v="0.15"/>
    <n v="22.1"/>
    <n v="1258.8180000000002"/>
    <n v="51753.426400000004"/>
  </r>
  <r>
    <s v="ORD-2025-417336"/>
    <d v="2025-08-30T00:00:00"/>
    <d v="2025-08-30T00:00:00"/>
    <d v="2025-09-03T00:00:00"/>
    <d v="2025-09-03T00:00:00"/>
    <n v="4"/>
    <n v="0"/>
    <s v="08-2025"/>
    <s v="Q3-2025"/>
    <d v="2023-01-10T00:00:00"/>
    <s v="01-2023"/>
    <s v="Europe"/>
    <s v="France"/>
    <s v="Marseille"/>
    <s v="Marseille"/>
    <s v="Small Business"/>
    <s v="Marketplace"/>
    <s v="Marketplace"/>
    <s v="J. Njeri"/>
    <s v="J. Njeri"/>
    <x v="3"/>
    <s v="High"/>
    <s v="LAP-3220"/>
    <s v="A"/>
    <n v="1286.56"/>
    <n v="2777.35"/>
    <n v="2777.35"/>
    <n v="0.13200000000000001"/>
    <n v="0.13200000000000001"/>
    <n v="0"/>
    <n v="15"/>
    <n v="36161.097000000002"/>
    <n v="19298.399999999998"/>
    <n v="16862.697000000004"/>
    <n v="0.46632150014696744"/>
    <n v="4840097.076030001"/>
    <n v="0.44218890026926744"/>
    <n v="0.13200000000000001"/>
    <n v="19.5"/>
    <n v="1415.2160000000001"/>
    <n v="47009.426099999997"/>
  </r>
  <r>
    <s v="ORD-2023-961864"/>
    <d v="2023-12-07T00:00:00"/>
    <d v="2023-12-07T00:00:00"/>
    <d v="2024-01-02T00:00:00"/>
    <d v="2024-01-02T00:00:00"/>
    <n v="26"/>
    <n v="0"/>
    <s v="12-2023"/>
    <s v="Q4-2023"/>
    <d v="2023-01-21T00:00:00"/>
    <s v="01-2023"/>
    <s v="Europe"/>
    <s v="Germany"/>
    <s v="Frankfurt"/>
    <s v="Frankfurt"/>
    <s v="Enterprise"/>
    <s v="Distributor"/>
    <s v="Distributor"/>
    <s v="E. Garcia"/>
    <s v="E. Garcia"/>
    <x v="0"/>
    <s v="High"/>
    <s v="CMP-1940"/>
    <s v="A"/>
    <n v="1071.99"/>
    <n v="2397.3000000000002"/>
    <n v="2397.3000000000002"/>
    <n v="6.2E-2"/>
    <n v="6.2E-2"/>
    <n v="0"/>
    <n v="18"/>
    <n v="40476.013200000001"/>
    <n v="19295.82"/>
    <n v="21180.193200000002"/>
    <n v="0.52327765324476183"/>
    <n v="4880573.089230001"/>
    <n v="0.4458867690274852"/>
    <n v="6.2E-2"/>
    <n v="23.400000000000002"/>
    <n v="1179.1890000000001"/>
    <n v="52618.817160000006"/>
  </r>
  <r>
    <s v="ORD-2025-745263"/>
    <d v="2025-05-21T00:00:00"/>
    <d v="2025-05-19T00:00:00"/>
    <d v="2025-05-19T00:00:00"/>
    <d v="2025-05-21T00:00:00"/>
    <n v="2"/>
    <n v="1"/>
    <s v="05-2025"/>
    <s v="Q2-2025"/>
    <d v="2023-01-19T00:00:00"/>
    <s v="01-2023"/>
    <s v="Europe"/>
    <s v="United Kingdom"/>
    <s v="Birmingham"/>
    <s v="Birmingham"/>
    <s v="Enterprise"/>
    <s v="Online"/>
    <s v="Online"/>
    <s v="M. Rossi"/>
    <s v="M. Rossi"/>
    <x v="3"/>
    <s v="High"/>
    <s v="LAP-3385"/>
    <s v="A"/>
    <n v="1015.16"/>
    <n v="2148.14"/>
    <n v="2148.14"/>
    <n v="3.7999999999999999E-2"/>
    <n v="3.7999999999999999E-2"/>
    <n v="0"/>
    <n v="19"/>
    <n v="39263.702919999996"/>
    <n v="19288.04"/>
    <n v="19975.662919999995"/>
    <n v="0.50875647059322227"/>
    <n v="4919836.792150001"/>
    <n v="0.44947388171179004"/>
    <n v="3.7999999999999999E-2"/>
    <n v="24.7"/>
    <n v="1116.6760000000002"/>
    <n v="51042.813795999995"/>
  </r>
  <r>
    <s v="ORD-2024-692673"/>
    <d v="2024-03-07T00:00:00"/>
    <d v="2024-03-07T00:00:00"/>
    <d v="2024-03-25T00:00:00"/>
    <d v="2024-03-25T00:00:00"/>
    <n v="18"/>
    <n v="0"/>
    <s v="03-2024"/>
    <s v="Q1-2024"/>
    <d v="2023-01-21T00:00:00"/>
    <s v="01-2023"/>
    <s v="Europe"/>
    <s v="Germany"/>
    <s v="Munich"/>
    <s v="Munich"/>
    <s v="Corporate"/>
    <s v="Online"/>
    <s v="Online"/>
    <s v="B. Chen"/>
    <s v="B. Chen"/>
    <x v="0"/>
    <s v="Medium"/>
    <s v="CMP-7617"/>
    <s v="A"/>
    <n v="712.84"/>
    <n v="927.51"/>
    <n v="927.51"/>
    <n v="0.24299999999999999"/>
    <n v="0.24299999999999999"/>
    <n v="1"/>
    <n v="27"/>
    <n v="18957.37689"/>
    <n v="19246.68"/>
    <n v="289.30311000000074"/>
    <n v="1.5260714163076427E-2"/>
    <n v="4938794.169040001"/>
    <n v="0.45120581838729468"/>
    <n v="0.2"/>
    <n v="35.1"/>
    <n v="784.12400000000014"/>
    <n v="26044.480800000005"/>
  </r>
  <r>
    <s v="ORD-2025-843974"/>
    <d v="2025-07-20T00:00:00"/>
    <d v="2025-07-20T00:00:00"/>
    <d v="2025-08-05T00:00:00"/>
    <d v="2025-08-05T00:00:00"/>
    <n v="16"/>
    <n v="0"/>
    <s v="07-2025"/>
    <s v="Q3-2025"/>
    <d v="2023-01-29T00:00:00"/>
    <s v="01-2023"/>
    <s v="Americas"/>
    <s v="Brazil"/>
    <s v="Brasília"/>
    <s v="Brasília"/>
    <s v="Enterprise"/>
    <s v="Marketplace"/>
    <s v="Marketplace"/>
    <s v="G. Dubois"/>
    <s v="G. Dubois"/>
    <x v="1"/>
    <s v="High"/>
    <s v="ACC-8098"/>
    <s v="A"/>
    <n v="1068.17"/>
    <n v="2375.37"/>
    <n v="2375.37"/>
    <n v="0.109"/>
    <n v="0.109"/>
    <n v="0"/>
    <n v="18"/>
    <n v="38096.18406"/>
    <n v="19227.060000000001"/>
    <n v="18869.124059999998"/>
    <n v="0.49530220744108822"/>
    <n v="4976890.3531000009"/>
    <n v="0.45468626711989829"/>
    <n v="0.109"/>
    <n v="23.400000000000002"/>
    <n v="1174.9870000000001"/>
    <n v="49525.039278000004"/>
  </r>
  <r>
    <s v="ORD-2024-390951"/>
    <d v="2024-12-20T00:00:00"/>
    <d v="2024-12-20T00:00:00"/>
    <d v="2025-01-14T00:00:00"/>
    <d v="2025-01-14T00:00:00"/>
    <n v="25"/>
    <n v="0"/>
    <s v="12-2024"/>
    <s v="Q4-2024"/>
    <d v="2023-01-29T00:00:00"/>
    <s v="01-2023"/>
    <s v="Asia"/>
    <s v="India"/>
    <s v="Delhi"/>
    <s v="Delhi"/>
    <s v="Small Business"/>
    <s v="Retail"/>
    <s v="Retail"/>
    <s v="M. Rossi"/>
    <s v="M. Rossi"/>
    <x v="5"/>
    <s v="High"/>
    <s v="PRN-9378"/>
    <s v="A"/>
    <n v="1361.34"/>
    <n v="1737.9"/>
    <n v="1737.9"/>
    <n v="7.6999999999999999E-2"/>
    <n v="7.6999999999999999E-2"/>
    <n v="0"/>
    <n v="14"/>
    <n v="22457.143800000002"/>
    <n v="19058.759999999998"/>
    <n v="3398.3838000000032"/>
    <n v="0.15132751654731813"/>
    <n v="4999347.4969000006"/>
    <n v="0.45673794078762059"/>
    <n v="7.6999999999999999E-2"/>
    <n v="18.2"/>
    <n v="1497.4739999999999"/>
    <n v="29194.286940000002"/>
  </r>
  <r>
    <s v="ORD-2025-125517"/>
    <d v="2025-03-21T00:00:00"/>
    <d v="2025-03-21T00:00:00"/>
    <d v="2025-04-09T00:00:00"/>
    <d v="2025-04-09T00:00:00"/>
    <n v="19"/>
    <n v="1"/>
    <s v="03-2025"/>
    <s v="Q1-2025"/>
    <d v="2023-03-03T00:00:00"/>
    <s v="03-2023"/>
    <s v="Asia"/>
    <s v="Japan"/>
    <s v="Tokyo"/>
    <s v="Tokyo"/>
    <s v="Small Business"/>
    <s v="Distributor"/>
    <s v="Distributor"/>
    <s v="E. Garcia"/>
    <s v="E. Garcia"/>
    <x v="0"/>
    <s v="Medium"/>
    <s v="CMP-7055"/>
    <s v="A"/>
    <n v="1055.45"/>
    <n v="1210.04"/>
    <n v="1210.04"/>
    <n v="8.9999999999999993E-3"/>
    <n v="8.9999999999999993E-3"/>
    <n v="0"/>
    <n v="18"/>
    <n v="21584.693520000001"/>
    <n v="18998.100000000002"/>
    <n v="2586.5935199999985"/>
    <n v="0.1198346188053727"/>
    <n v="5020932.1904200008"/>
    <n v="0.45870990782471294"/>
    <n v="8.9999999999999993E-3"/>
    <n v="23.400000000000002"/>
    <n v="1160.9950000000001"/>
    <n v="28060.101576000001"/>
  </r>
  <r>
    <s v="ORD-2025-700847"/>
    <d v="2025-05-21T00:00:00"/>
    <d v="2025-05-19T00:00:00"/>
    <d v="2025-05-19T00:00:00"/>
    <d v="2025-05-21T00:00:00"/>
    <n v="2"/>
    <n v="0"/>
    <s v="05-2025"/>
    <s v="Q2-2025"/>
    <d v="2023-01-07T00:00:00"/>
    <s v="01-2023"/>
    <s v="Africa"/>
    <s v="South Africa"/>
    <s v="Johannesburg"/>
    <s v="Johannesburg"/>
    <s v="Non-Profit"/>
    <s v="Distributor"/>
    <s v="Distributor"/>
    <s v="O. Wang"/>
    <s v="O. Wang"/>
    <x v="3"/>
    <s v="High"/>
    <s v="LAP-7099"/>
    <s v="A"/>
    <n v="1263.8399999999999"/>
    <n v="2281.7199999999998"/>
    <n v="2281.7199999999998"/>
    <n v="7.8E-2"/>
    <n v="7.8E-2"/>
    <n v="0"/>
    <n v="15"/>
    <n v="31556.187599999997"/>
    <n v="18957.599999999999"/>
    <n v="12598.587599999999"/>
    <n v="0.39924301882398494"/>
    <n v="5052488.3780200006"/>
    <n v="0.461592865681207"/>
    <n v="7.8E-2"/>
    <n v="19.5"/>
    <n v="1390.2239999999999"/>
    <n v="41023.043879999997"/>
  </r>
  <r>
    <s v="ORD-2023-343322"/>
    <d v="2023-08-19T00:00:00"/>
    <d v="2023-08-19T00:00:00"/>
    <d v="2023-09-12T00:00:00"/>
    <d v="2023-09-12T00:00:00"/>
    <n v="24"/>
    <n v="0"/>
    <s v="08-2023"/>
    <s v="Q3-2023"/>
    <d v="2023-01-02T00:00:00"/>
    <s v="01-2023"/>
    <s v="Americas"/>
    <s v="Canada"/>
    <s v="Vancouver"/>
    <s v="Vancouver"/>
    <s v="Enterprise"/>
    <s v="Retail"/>
    <s v="Retail"/>
    <s v="I. Johnson"/>
    <s v="I. Johnson"/>
    <x v="5"/>
    <s v="Medium"/>
    <s v="PRN-9669"/>
    <s v="A"/>
    <n v="1183.95"/>
    <n v="1503.53"/>
    <n v="1503.53"/>
    <n v="0.24099999999999999"/>
    <n v="0.24099999999999999"/>
    <n v="1"/>
    <n v="16"/>
    <n v="18258.868320000001"/>
    <n v="18943.2"/>
    <n v="684.33167999999932"/>
    <n v="3.7479413729623705E-2"/>
    <n v="5070747.246340001"/>
    <n v="0.46326098695558537"/>
    <n v="0.2"/>
    <n v="20.8"/>
    <n v="1302.3450000000003"/>
    <n v="25018.7392"/>
  </r>
  <r>
    <s v="ORD-2024-451005"/>
    <d v="2024-06-30T00:00:00"/>
    <d v="2024-06-28T00:00:00"/>
    <d v="2024-06-28T00:00:00"/>
    <d v="2024-06-30T00:00:00"/>
    <n v="2"/>
    <n v="0"/>
    <s v="06-2024"/>
    <s v="Q2-2024"/>
    <d v="2023-01-29T00:00:00"/>
    <s v="01-2023"/>
    <s v="Americas"/>
    <s v="Brazil"/>
    <s v="Rio de Janeiro"/>
    <s v="Rio de Janeiro"/>
    <s v="Small Business"/>
    <s v="Direct"/>
    <s v="Direct"/>
    <s v="L. Okafor"/>
    <s v="L. Okafor"/>
    <x v="1"/>
    <s v="High"/>
    <s v="ACC-9162"/>
    <s v="A"/>
    <n v="1112.98"/>
    <n v="2095.73"/>
    <n v="2095.73"/>
    <n v="7.1999999999999995E-2"/>
    <n v="7.1999999999999995E-2"/>
    <n v="0"/>
    <n v="17"/>
    <n v="33062.236480000007"/>
    <n v="18920.66"/>
    <n v="14141.576480000007"/>
    <n v="0.42772594916724777"/>
    <n v="5103809.4828200014"/>
    <n v="0.46628153670074163"/>
    <n v="7.1999999999999995E-2"/>
    <n v="22.1"/>
    <n v="1224.278"/>
    <n v="42980.907424000005"/>
  </r>
  <r>
    <s v="ORD-2023-561823"/>
    <d v="2023-11-19T00:00:00"/>
    <d v="2023-11-19T00:00:00"/>
    <d v="2023-12-12T00:00:00"/>
    <d v="2023-12-12T00:00:00"/>
    <n v="23"/>
    <n v="0"/>
    <s v="11-2023"/>
    <s v="Q4-2023"/>
    <d v="2023-01-29T00:00:00"/>
    <s v="01-2023"/>
    <s v="Asia"/>
    <s v="India"/>
    <s v="Delhi"/>
    <s v="Delhi"/>
    <s v="Small Business"/>
    <s v="Direct"/>
    <s v="Direct"/>
    <s v="C. Otieno"/>
    <s v="C. Otieno"/>
    <x v="4"/>
    <s v="High"/>
    <s v="NET-2460"/>
    <s v="A"/>
    <n v="1349.04"/>
    <n v="2636.6"/>
    <n v="2636.6"/>
    <n v="0.114"/>
    <n v="0.114"/>
    <n v="0"/>
    <n v="14"/>
    <n v="32704.386400000003"/>
    <n v="18886.559999999998"/>
    <n v="13817.826400000005"/>
    <n v="0.42250682312143928"/>
    <n v="5136513.8692200016"/>
    <n v="0.46926939343771001"/>
    <n v="0.114"/>
    <n v="18.2"/>
    <n v="1483.9440000000002"/>
    <n v="42515.702319999997"/>
  </r>
  <r>
    <s v="ORD-2024-760799"/>
    <d v="2024-02-03T00:00:00"/>
    <d v="2024-02-03T00:00:00"/>
    <d v="2024-02-19T00:00:00"/>
    <d v="2024-02-19T00:00:00"/>
    <n v="16"/>
    <n v="0"/>
    <s v="02-2024"/>
    <s v="Q1-2024"/>
    <d v="2023-01-12T00:00:00"/>
    <s v="01-2023"/>
    <s v="Asia"/>
    <s v="China"/>
    <s v="Shenzhen"/>
    <s v="Shenzhen"/>
    <s v="Small Business"/>
    <s v="Online"/>
    <s v="Online"/>
    <s v="H. Kim"/>
    <s v="H. Kim"/>
    <x v="3"/>
    <s v="Medium"/>
    <s v="LAP-5531"/>
    <s v="A"/>
    <n v="993.75"/>
    <n v="1310.29"/>
    <n v="1310.29"/>
    <n v="0.215"/>
    <n v="0.215"/>
    <n v="1"/>
    <n v="19"/>
    <n v="19542.975350000001"/>
    <n v="18881.25"/>
    <n v="661.72535000000062"/>
    <n v="3.3860010471742245E-2"/>
    <n v="5156056.8445700016"/>
    <n v="0.4710548301019461"/>
    <n v="0.2"/>
    <n v="24.7"/>
    <n v="1093.125"/>
    <n v="25891.330399999999"/>
  </r>
  <r>
    <s v="ORD-2024-907733"/>
    <d v="2024-03-09T00:00:00"/>
    <d v="2024-03-09T00:00:00"/>
    <d v="2024-03-22T00:00:00"/>
    <d v="2024-03-22T00:00:00"/>
    <n v="13"/>
    <n v="0"/>
    <s v="03-2024"/>
    <s v="Q1-2024"/>
    <d v="2023-01-19T00:00:00"/>
    <s v="01-2023"/>
    <s v="Europe"/>
    <s v="United Kingdom"/>
    <s v="Manchester"/>
    <s v="Manchester"/>
    <s v="Consumer"/>
    <s v="Online"/>
    <s v="Online"/>
    <s v="E. Garcia"/>
    <s v="E. Garcia"/>
    <x v="3"/>
    <s v="High"/>
    <s v="LAP-8633"/>
    <s v="A"/>
    <n v="985.45"/>
    <n v="1802.44"/>
    <n v="1802.44"/>
    <n v="8.9999999999999993E-3"/>
    <n v="8.9999999999999993E-3"/>
    <n v="0"/>
    <n v="19"/>
    <n v="33938.142760000002"/>
    <n v="18723.55"/>
    <n v="15214.592760000003"/>
    <n v="0.44830363486867486"/>
    <n v="5189994.9873300018"/>
    <n v="0.47415540221620112"/>
    <n v="8.9999999999999993E-3"/>
    <n v="24.7"/>
    <n v="1083.9950000000001"/>
    <n v="44119.585588000002"/>
  </r>
  <r>
    <s v="ORD-2023-825836"/>
    <d v="2023-07-19T00:00:00"/>
    <d v="2023-07-19T00:00:00"/>
    <d v="2023-07-31T00:00:00"/>
    <d v="2023-07-31T00:00:00"/>
    <n v="12"/>
    <n v="0"/>
    <s v="07-2023"/>
    <s v="Q3-2023"/>
    <d v="2023-01-29T00:00:00"/>
    <s v="01-2023"/>
    <s v="Americas"/>
    <s v="Brazil"/>
    <s v="Rio de Janeiro"/>
    <s v="Rio de Janeiro"/>
    <s v="Corporate"/>
    <s v="Retail"/>
    <s v="Retail"/>
    <s v="C. Otieno"/>
    <s v="C. Otieno"/>
    <x v="2"/>
    <s v="High"/>
    <s v="MON-7869"/>
    <s v="A"/>
    <n v="1334.64"/>
    <n v="2273.42"/>
    <n v="2273.42"/>
    <n v="0.11799999999999999"/>
    <n v="0.11799999999999999"/>
    <n v="0"/>
    <n v="14"/>
    <n v="28072.190160000002"/>
    <n v="18684.960000000003"/>
    <n v="9387.2301599999992"/>
    <n v="0.33439607335575267"/>
    <n v="5218067.1774900015"/>
    <n v="0.47672006377153958"/>
    <n v="0.11799999999999999"/>
    <n v="18.2"/>
    <n v="1468.1040000000003"/>
    <n v="36493.847207999999"/>
  </r>
  <r>
    <s v="ORD-2023-921939"/>
    <d v="2023-06-23T00:00:00"/>
    <d v="2023-06-23T00:00:00"/>
    <d v="2023-07-18T00:00:00"/>
    <d v="2023-07-18T00:00:00"/>
    <n v="25"/>
    <n v="0"/>
    <s v="06-2023"/>
    <s v="Q2-2023"/>
    <d v="2023-01-02T00:00:00"/>
    <s v="01-2023"/>
    <s v="Americas"/>
    <s v="Canada"/>
    <s v="Vancouver"/>
    <s v="Vancouver"/>
    <s v="Enterprise"/>
    <s v="Online"/>
    <s v="Online"/>
    <s v="N. Brown"/>
    <s v="N. Brown"/>
    <x v="6"/>
    <s v="Medium"/>
    <s v="PHN-4677"/>
    <s v="A"/>
    <n v="807.02"/>
    <n v="1435.54"/>
    <n v="1435.54"/>
    <n v="0"/>
    <n v="0"/>
    <n v="0"/>
    <n v="23"/>
    <n v="33017.42"/>
    <n v="18561.46"/>
    <n v="14455.96"/>
    <n v="0.43782827368098415"/>
    <n v="5251084.5974900015"/>
    <n v="0.47973651910501475"/>
    <n v="0"/>
    <n v="29.900000000000002"/>
    <n v="887.72200000000009"/>
    <n v="42922.646000000001"/>
  </r>
  <r>
    <s v="ORD-2025-330203"/>
    <d v="2025-03-25T00:00:00"/>
    <d v="2025-03-25T00:00:00"/>
    <d v="2025-04-17T00:00:00"/>
    <d v="2025-04-17T00:00:00"/>
    <n v="23"/>
    <n v="1"/>
    <s v="03-2025"/>
    <s v="Q1-2025"/>
    <d v="2023-01-19T00:00:00"/>
    <s v="01-2023"/>
    <s v="Europe"/>
    <s v="United Kingdom"/>
    <s v="London"/>
    <s v="London"/>
    <s v="Consumer"/>
    <s v="Retail"/>
    <s v="Retail"/>
    <s v="H. Kim"/>
    <s v="H. Kim"/>
    <x v="4"/>
    <s v="High"/>
    <s v="NET-7166"/>
    <s v="A"/>
    <n v="1421.19"/>
    <n v="1808.26"/>
    <n v="1808.26"/>
    <n v="0.104"/>
    <n v="0.104"/>
    <n v="0"/>
    <n v="13"/>
    <n v="21062.61248"/>
    <n v="18475.47"/>
    <n v="2587.1424799999986"/>
    <n v="0.12283103449093123"/>
    <n v="5272147.2099700011"/>
    <n v="0.48166078907378329"/>
    <n v="0.104"/>
    <n v="16.900000000000002"/>
    <n v="1563.3090000000002"/>
    <n v="27381.396224000004"/>
  </r>
  <r>
    <s v="ORD-2025-184082"/>
    <d v="2025-06-19T00:00:00"/>
    <d v="2025-06-19T00:00:00"/>
    <d v="2025-07-12T00:00:00"/>
    <d v="2025-07-12T00:00:00"/>
    <n v="23"/>
    <n v="0"/>
    <s v="06-2025"/>
    <s v="Q2-2025"/>
    <d v="2023-01-19T00:00:00"/>
    <s v="01-2023"/>
    <s v="Europe"/>
    <s v="United Kingdom"/>
    <m/>
    <s v="Birmingham"/>
    <s v="Non-Profit"/>
    <s v="Direct"/>
    <s v="Direct"/>
    <m/>
    <s v="H. Kim"/>
    <x v="4"/>
    <s v="High"/>
    <s v="NET-6370"/>
    <s v="A"/>
    <n v="801.24"/>
    <n v="1959.09"/>
    <n v="1959.09"/>
    <n v="0.123"/>
    <n v="0.123"/>
    <n v="0"/>
    <n v="23"/>
    <n v="39516.804389999998"/>
    <n v="18428.52"/>
    <n v="21088.284389999997"/>
    <n v="0.53365358650651762"/>
    <n v="5311664.0143600013"/>
    <n v="0.48527102498452718"/>
    <n v="0.123"/>
    <n v="29.900000000000002"/>
    <n v="881.36400000000003"/>
    <n v="51371.845707000008"/>
  </r>
  <r>
    <s v="ORD-2023-609394"/>
    <d v="2023-04-16T00:00:00"/>
    <d v="2023-04-16T00:00:00"/>
    <d v="2023-04-19T00:00:00"/>
    <d v="2023-04-19T00:00:00"/>
    <n v="3"/>
    <n v="0"/>
    <s v="04-2023"/>
    <s v="Q2-2023"/>
    <d v="2023-01-21T00:00:00"/>
    <s v="01-2023"/>
    <s v="Europe"/>
    <s v="Germany"/>
    <s v="Munich"/>
    <s v="Munich"/>
    <s v="Corporate"/>
    <s v="Direct"/>
    <s v="Direct"/>
    <s v="B. Chen"/>
    <s v="B. Chen"/>
    <x v="1"/>
    <s v="Low"/>
    <s v="ACC-1731"/>
    <s v="A"/>
    <n v="553.61"/>
    <n v="699.47"/>
    <n v="699.47"/>
    <n v="0.02"/>
    <n v="0.02"/>
    <n v="0"/>
    <n v="33"/>
    <n v="22620.859800000002"/>
    <n v="18269.13"/>
    <n v="4351.729800000001"/>
    <n v="0.19237685209472014"/>
    <n v="5334284.8741600011"/>
    <n v="0.48733765566589188"/>
    <n v="0.02"/>
    <n v="42.9"/>
    <n v="608.97100000000012"/>
    <n v="29407.117739999998"/>
  </r>
  <r>
    <s v="ORD-2023-888245"/>
    <d v="2023-02-28T00:00:00"/>
    <d v="2023-02-27T00:00:00"/>
    <d v="2023-02-27T00:00:00"/>
    <d v="2023-02-28T00:00:00"/>
    <n v="1"/>
    <n v="1"/>
    <s v="02-2023"/>
    <s v="Q1-2023"/>
    <d v="2023-01-10T00:00:00"/>
    <s v="01-2023"/>
    <s v="Europe"/>
    <s v="France"/>
    <s v="Marseille"/>
    <s v="Marseille"/>
    <s v="Corporate"/>
    <s v="Retail"/>
    <s v="Retail"/>
    <s v="K. Singh"/>
    <s v="K. Singh"/>
    <x v="4"/>
    <s v="High"/>
    <s v="NET-5195"/>
    <s v="A"/>
    <n v="1299.81"/>
    <n v="3149.13"/>
    <n v="3149.13"/>
    <n v="0.10299999999999999"/>
    <n v="0.10299999999999999"/>
    <n v="0"/>
    <n v="14"/>
    <n v="39546.774539999999"/>
    <n v="18197.34"/>
    <n v="21349.434539999998"/>
    <n v="0.53985273864511729"/>
    <n v="5373831.6487000007"/>
    <n v="0.49095062963487318"/>
    <n v="0.10299999999999999"/>
    <n v="18.2"/>
    <n v="1429.7910000000002"/>
    <n v="51410.806901999997"/>
  </r>
  <r>
    <s v="ORD-2024-164288"/>
    <d v="2024-12-21T00:00:00"/>
    <d v="2024-12-21T00:00:00"/>
    <d v="2024-12-26T00:00:00"/>
    <d v="2024-12-26T00:00:00"/>
    <n v="5"/>
    <n v="0"/>
    <s v="12-2024"/>
    <s v="Q4-2024"/>
    <d v="2023-01-13T00:00:00"/>
    <s v="01-2023"/>
    <s v="Americas"/>
    <s v="USA"/>
    <s v="San Francisco"/>
    <s v="San Francisco"/>
    <s v="Consumer"/>
    <s v="Marketplace"/>
    <s v="Marketplace"/>
    <s v="M. Rossi"/>
    <s v="M. Rossi"/>
    <x v="5"/>
    <s v="Low"/>
    <s v="PRN-4788"/>
    <s v="A"/>
    <n v="699.57"/>
    <n v="572.71"/>
    <n v="572.71"/>
    <n v="0.192"/>
    <n v="0.192"/>
    <n v="0"/>
    <n v="26"/>
    <n v="12031.491680000001"/>
    <n v="18188.82"/>
    <n v="6157.3283199999987"/>
    <n v="0.51176765805651114"/>
    <n v="5385863.1403800007"/>
    <n v="0.49204982082691057"/>
    <n v="0.192"/>
    <n v="33.800000000000004"/>
    <n v="769.52700000000016"/>
    <n v="15640.939184000006"/>
  </r>
  <r>
    <s v="ORD-2025-515515"/>
    <d v="2025-01-03T00:00:00"/>
    <d v="2025-01-03T00:00:00"/>
    <d v="2025-01-23T00:00:00"/>
    <d v="2025-01-23T00:00:00"/>
    <n v="20"/>
    <n v="0"/>
    <s v="01-2025"/>
    <s v="Q1-2025"/>
    <d v="2023-03-03T00:00:00"/>
    <s v="03-2023"/>
    <s v="Asia"/>
    <s v="Japan"/>
    <s v="Osaka"/>
    <s v="Osaka"/>
    <s v="Corporate"/>
    <s v="Distributor"/>
    <s v="Distributor"/>
    <s v="F. Müller"/>
    <s v="F. Müller"/>
    <x v="6"/>
    <s v="Low"/>
    <s v="PHN-7019"/>
    <s v="A"/>
    <n v="908.6"/>
    <n v="691.37"/>
    <n v="691.37"/>
    <n v="0.25"/>
    <n v="0.25"/>
    <n v="1"/>
    <n v="20"/>
    <n v="10370.549999999999"/>
    <n v="18172"/>
    <n v="7801.4500000000007"/>
    <n v="0.75226964818645115"/>
    <n v="5396233.6903800005"/>
    <n v="0.49299726919987763"/>
    <n v="0.2"/>
    <n v="26"/>
    <n v="999.46000000000015"/>
    <n v="14380.495999999999"/>
  </r>
  <r>
    <s v="ORD-2023-479747"/>
    <d v="2023-07-14T00:00:00"/>
    <d v="2023-07-14T00:00:00"/>
    <d v="2023-07-14T00:00:00"/>
    <d v="2023-07-14T00:00:00"/>
    <n v="0"/>
    <n v="0"/>
    <s v="07-2023"/>
    <s v="Q3-2023"/>
    <d v="2023-01-13T00:00:00"/>
    <s v="01-2023"/>
    <s v="Africa"/>
    <s v="Nigeria"/>
    <s v="Lagos"/>
    <s v="Lagos"/>
    <s v="Education"/>
    <s v="Retail"/>
    <s v="Retail"/>
    <s v="I. Johnson"/>
    <s v="I. Johnson"/>
    <x v="1"/>
    <s v="Medium"/>
    <s v="ACC-5334"/>
    <s v="A"/>
    <n v="956.38"/>
    <n v="1454.22"/>
    <n v="1454.22"/>
    <n v="3.9E-2"/>
    <n v="3.9E-2"/>
    <n v="0"/>
    <n v="19"/>
    <n v="26552.60298"/>
    <n v="18171.22"/>
    <n v="8381.3829799999985"/>
    <n v="0.31565202802576603"/>
    <n v="5422786.2933600005"/>
    <n v="0.49542310201409123"/>
    <n v="3.9E-2"/>
    <n v="24.7"/>
    <n v="1052.018"/>
    <n v="34518.383873999999"/>
  </r>
  <r>
    <s v="ORD-2024-220234"/>
    <d v="2024-03-15T00:00:00"/>
    <d v="2024-03-15T00:00:00"/>
    <d v="2024-04-09T00:00:00"/>
    <d v="2024-04-09T00:00:00"/>
    <n v="25"/>
    <n v="0"/>
    <s v="03-2024"/>
    <s v="Q1-2024"/>
    <d v="2023-01-02T00:00:00"/>
    <s v="01-2023"/>
    <s v="Americas"/>
    <s v="Canada"/>
    <s v="Vancouver"/>
    <s v="Vancouver"/>
    <s v="Consumer"/>
    <s v="Online"/>
    <s v="Online"/>
    <s v="F. Müller"/>
    <s v="F. Müller"/>
    <x v="2"/>
    <s v="Medium"/>
    <s v="MON-4361"/>
    <s v="A"/>
    <n v="648.64"/>
    <n v="815.19"/>
    <n v="815.19"/>
    <n v="0.22500000000000001"/>
    <n v="0.22500000000000001"/>
    <n v="1"/>
    <n v="28"/>
    <n v="17689.623"/>
    <n v="18161.919999999998"/>
    <n v="472.29699999999866"/>
    <n v="2.6699099240272032E-2"/>
    <n v="5440475.9163600001"/>
    <n v="0.49703921731460576"/>
    <n v="0.2"/>
    <n v="36.4"/>
    <n v="713.50400000000002"/>
    <n v="23738.332800000004"/>
  </r>
  <r>
    <s v="ORD-2024-446699"/>
    <d v="2024-08-28T00:00:00"/>
    <d v="2024-08-28T00:00:00"/>
    <d v="2024-09-25T00:00:00"/>
    <d v="2024-09-25T00:00:00"/>
    <n v="28"/>
    <n v="1"/>
    <s v="08-2024"/>
    <s v="Q3-2024"/>
    <d v="2023-01-29T00:00:00"/>
    <s v="01-2023"/>
    <s v="Americas"/>
    <s v="Brazil"/>
    <s v="Rio de Janeiro"/>
    <s v="Rio de Janeiro"/>
    <s v="Non-Profit"/>
    <s v="Online"/>
    <s v="Online"/>
    <m/>
    <s v="H. Kim"/>
    <x v="1"/>
    <s v="High"/>
    <s v="ACC-4490"/>
    <s v="A"/>
    <n v="1394.65"/>
    <n v="3144.1"/>
    <n v="3144.1"/>
    <n v="0.13400000000000001"/>
    <n v="0.13400000000000001"/>
    <n v="0"/>
    <n v="13"/>
    <n v="35396.277799999996"/>
    <n v="18130.45"/>
    <n v="17265.827799999995"/>
    <n v="0.4877865378263021"/>
    <n v="5475872.1941600004"/>
    <n v="0.50027300393254803"/>
    <n v="0.13400000000000001"/>
    <n v="16.900000000000002"/>
    <n v="1534.1150000000002"/>
    <n v="46015.161140000004"/>
  </r>
  <r>
    <s v="ORD-2023-243704"/>
    <d v="2023-08-29T00:00:00"/>
    <d v="2023-08-29T00:00:00"/>
    <d v="2023-09-19T00:00:00"/>
    <d v="2023-09-19T00:00:00"/>
    <n v="21"/>
    <n v="0"/>
    <s v="08-2023"/>
    <s v="Q3-2023"/>
    <d v="2023-01-10T00:00:00"/>
    <s v="01-2023"/>
    <s v="Europe"/>
    <s v="France"/>
    <s v="Lyon"/>
    <s v="Lyon"/>
    <s v="Small Business"/>
    <s v="Direct"/>
    <s v="Direct"/>
    <s v="B. Chen"/>
    <s v="B. Chen"/>
    <x v="5"/>
    <s v="High"/>
    <s v="PRN-7079"/>
    <s v="A"/>
    <n v="784.46"/>
    <n v="1843.51"/>
    <n v="1843.51"/>
    <n v="0.13800000000000001"/>
    <n v="0.13800000000000001"/>
    <n v="0"/>
    <n v="23"/>
    <n v="36549.429260000004"/>
    <n v="18042.580000000002"/>
    <n v="18506.849260000003"/>
    <n v="0.50635125184441798"/>
    <n v="5512421.6234200001"/>
    <n v="0.50361214190355863"/>
    <n v="0.13800000000000001"/>
    <n v="29.900000000000002"/>
    <n v="862.90600000000006"/>
    <n v="47514.258038"/>
  </r>
  <r>
    <s v="ORD-2023-497686"/>
    <d v="2023-07-03T00:00:00"/>
    <d v="2023-07-03T00:00:00"/>
    <d v="2023-07-23T00:00:00"/>
    <d v="2023-07-23T00:00:00"/>
    <n v="20"/>
    <n v="0"/>
    <s v="07-2023"/>
    <s v="Q3-2023"/>
    <d v="2023-01-07T00:00:00"/>
    <s v="01-2023"/>
    <s v="Africa"/>
    <s v="South Africa"/>
    <s v="Johannesburg"/>
    <s v="Johannesburg"/>
    <s v="Small Business"/>
    <s v="Distributor"/>
    <s v="Distributor"/>
    <s v="F. Müller"/>
    <s v="F. Müller"/>
    <x v="3"/>
    <s v="Medium"/>
    <s v="LAP-6342"/>
    <s v="A"/>
    <n v="1001.96"/>
    <n v="1254.95"/>
    <n v="1254.95"/>
    <n v="4.4999999999999998E-2"/>
    <n v="4.4999999999999998E-2"/>
    <n v="0"/>
    <n v="18"/>
    <n v="21572.590500000002"/>
    <n v="18035.28"/>
    <n v="3537.3105000000032"/>
    <n v="0.16397244920585699"/>
    <n v="5533994.21392"/>
    <n v="0.50558300321466654"/>
    <n v="4.4999999999999998E-2"/>
    <n v="23.400000000000002"/>
    <n v="1102.1560000000002"/>
    <n v="28044.367650000004"/>
  </r>
  <r>
    <s v="ORD-2024-690270"/>
    <d v="2024-05-17T00:00:00"/>
    <d v="2024-05-17T00:00:00"/>
    <d v="2024-05-27T00:00:00"/>
    <d v="2024-05-27T00:00:00"/>
    <n v="10"/>
    <n v="0"/>
    <s v="05-2024"/>
    <s v="Q2-2024"/>
    <d v="2023-01-13T00:00:00"/>
    <s v="01-2023"/>
    <s v="Americas"/>
    <s v="USA"/>
    <s v="Austin"/>
    <s v="Austin"/>
    <s v="Non-Profit"/>
    <s v="Online"/>
    <s v="Online"/>
    <s v="C. Otieno"/>
    <s v="C. Otieno"/>
    <x v="6"/>
    <s v="High"/>
    <s v="PHN-7974"/>
    <s v="A"/>
    <n v="1484.23"/>
    <n v="3472.81"/>
    <n v="3472.81"/>
    <n v="0.25600000000000001"/>
    <n v="0.25600000000000001"/>
    <n v="1"/>
    <n v="12"/>
    <n v="31005.24768"/>
    <n v="17810.760000000002"/>
    <n v="13194.487679999998"/>
    <n v="0.42555659661803413"/>
    <n v="5564999.4616"/>
    <n v="0.50841562746968272"/>
    <n v="0.2"/>
    <n v="15.600000000000001"/>
    <n v="1632.6530000000002"/>
    <n v="43340.668800000007"/>
  </r>
  <r>
    <s v="ORD-2025-779574"/>
    <d v="2025-09-10T00:00:00"/>
    <d v="2025-09-10T00:00:00"/>
    <d v="2025-09-12T00:00:00"/>
    <d v="2025-09-12T00:00:00"/>
    <n v="2"/>
    <n v="0"/>
    <s v="09-2025"/>
    <s v="Q3-2025"/>
    <d v="2023-03-03T00:00:00"/>
    <s v="03-2023"/>
    <s v="Asia"/>
    <s v="Japan"/>
    <s v="Tokyo"/>
    <s v="Tokyo"/>
    <s v="Consumer"/>
    <s v="Online"/>
    <s v="Online"/>
    <s v="O. Wang"/>
    <s v="O. Wang"/>
    <x v="0"/>
    <s v="High"/>
    <s v="CMP-6971"/>
    <s v="A"/>
    <n v="1470.15"/>
    <n v="2593.7800000000002"/>
    <n v="2593.7800000000002"/>
    <n v="0.11"/>
    <n v="0.11"/>
    <n v="0"/>
    <n v="12"/>
    <n v="27701.570400000001"/>
    <n v="17641.800000000003"/>
    <n v="10059.770399999998"/>
    <n v="0.36314801849645306"/>
    <n v="5592701.0319999997"/>
    <n v="0.51094642938511758"/>
    <n v="0.11"/>
    <n v="15.600000000000001"/>
    <n v="1617.1650000000002"/>
    <n v="36012.041520000006"/>
  </r>
  <r>
    <s v="ORD-2023-290237"/>
    <d v="2023-07-30T00:00:00"/>
    <d v="2023-07-30T00:00:00"/>
    <d v="2023-08-07T00:00:00"/>
    <d v="2023-08-07T00:00:00"/>
    <n v="8"/>
    <n v="0"/>
    <s v="07-2023"/>
    <s v="Q3-2023"/>
    <d v="2023-03-03T00:00:00"/>
    <s v="03-2023"/>
    <s v="Asia"/>
    <s v="Japan"/>
    <s v="Nagoya"/>
    <s v="Nagoya"/>
    <s v="Education"/>
    <s v="Marketplace"/>
    <s v="Marketplace"/>
    <s v="A. Patel"/>
    <s v="A. Patel"/>
    <x v="4"/>
    <s v="High"/>
    <s v="NET-1645"/>
    <s v="A"/>
    <n v="1352.44"/>
    <n v="2698.01"/>
    <n v="2698.01"/>
    <n v="0.13100000000000001"/>
    <n v="0.13100000000000001"/>
    <n v="0"/>
    <n v="13"/>
    <n v="30479.418970000002"/>
    <n v="17581.72"/>
    <n v="12897.698970000001"/>
    <n v="0.42316091992090887"/>
    <n v="5623180.4509699997"/>
    <n v="0.51373101418651279"/>
    <n v="0.13100000000000001"/>
    <n v="16.900000000000002"/>
    <n v="1487.6840000000002"/>
    <n v="39623.244661000004"/>
  </r>
  <r>
    <s v="ORD-2025-795385"/>
    <d v="2025-06-01T00:00:00"/>
    <d v="2025-06-01T00:00:00"/>
    <d v="2025-06-05T00:00:00"/>
    <d v="2025-06-05T00:00:00"/>
    <n v="4"/>
    <n v="1"/>
    <s v="06-2025"/>
    <s v="Q2-2025"/>
    <d v="2023-01-21T00:00:00"/>
    <s v="01-2023"/>
    <s v="Europe"/>
    <s v="Germany"/>
    <s v="Munich"/>
    <s v="Munich"/>
    <s v="Enterprise"/>
    <s v="Direct"/>
    <s v="Direct"/>
    <s v="M. Rossi"/>
    <s v="M. Rossi"/>
    <x v="0"/>
    <s v="High"/>
    <s v="CMP-4159"/>
    <s v="A"/>
    <n v="1171.42"/>
    <n v="2187.8000000000002"/>
    <n v="2187.8000000000002"/>
    <n v="0.23"/>
    <n v="0.23"/>
    <n v="1"/>
    <n v="15"/>
    <n v="25269.09"/>
    <n v="17571.300000000003"/>
    <n v="7697.7899999999972"/>
    <n v="0.30463265594447592"/>
    <n v="5648449.5409699995"/>
    <n v="0.51603958588298593"/>
    <n v="0.2"/>
    <n v="19.5"/>
    <n v="1288.5620000000001"/>
    <n v="34129.680000000008"/>
  </r>
  <r>
    <s v="ORD-2023-373538"/>
    <d v="2023-02-28T00:00:00"/>
    <d v="2023-02-28T00:00:00"/>
    <d v="2023-03-25T00:00:00"/>
    <d v="2023-03-25T00:00:00"/>
    <n v="25"/>
    <n v="1"/>
    <s v="02-2023"/>
    <s v="Q1-2023"/>
    <d v="2023-01-20T00:00:00"/>
    <s v="01-2023"/>
    <s v="Africa"/>
    <s v="Kenya"/>
    <s v="Nairobi"/>
    <s v="Nairobi"/>
    <s v="Corporate"/>
    <s v="Retail"/>
    <s v="Retail"/>
    <s v="I. Johnson"/>
    <s v="I. Johnson"/>
    <x v="4"/>
    <s v="Low"/>
    <s v="NET-9666"/>
    <s v="A"/>
    <n v="1460.76"/>
    <n v="-30.66"/>
    <n v="30.66"/>
    <n v="0.13100000000000001"/>
    <n v="0.13100000000000001"/>
    <n v="0"/>
    <n v="12"/>
    <n v="319.72248000000002"/>
    <n v="17529.12"/>
    <n v="17209.397519999999"/>
    <n v="53.826047890032626"/>
    <n v="5648769.2634499995"/>
    <n v="0.51606879557229624"/>
    <n v="0.13100000000000001"/>
    <n v="15.600000000000001"/>
    <n v="1606.836"/>
    <n v="415.63922400000001"/>
  </r>
  <r>
    <s v="ORD-2023-568013"/>
    <d v="2023-09-30T00:00:00"/>
    <d v="2023-09-30T00:00:00"/>
    <d v="2023-10-30T00:00:00"/>
    <d v="2023-10-30T00:00:00"/>
    <n v="30"/>
    <n v="0"/>
    <s v="09-2023"/>
    <s v="Q3-2023"/>
    <d v="2023-03-03T00:00:00"/>
    <s v="03-2023"/>
    <s v="Asia"/>
    <s v="Japan"/>
    <s v="Tokyo"/>
    <s v="Tokyo"/>
    <s v="Enterprise"/>
    <s v="Online"/>
    <s v="Online"/>
    <s v="D. Smith"/>
    <s v="D. Smith"/>
    <x v="5"/>
    <s v="Medium"/>
    <s v="PRN-1786"/>
    <s v="A"/>
    <n v="649.13"/>
    <n v="975.43"/>
    <n v="975.43"/>
    <n v="0.157"/>
    <n v="0.157"/>
    <n v="0"/>
    <n v="27"/>
    <n v="22201.762229999997"/>
    <n v="17526.509999999998"/>
    <n v="4675.2522299999982"/>
    <n v="0.21058023149543473"/>
    <n v="5670971.02568"/>
    <n v="0.5180971377047594"/>
    <n v="0.157"/>
    <n v="35.1"/>
    <n v="714.04300000000001"/>
    <n v="28862.290899"/>
  </r>
  <r>
    <s v="ORD-2023-825084"/>
    <d v="2023-07-14T00:00:00"/>
    <d v="2023-07-14T00:00:00"/>
    <d v="2023-07-21T00:00:00"/>
    <d v="2023-07-21T00:00:00"/>
    <n v="7"/>
    <n v="0"/>
    <s v="07-2023"/>
    <s v="Q3-2023"/>
    <d v="2023-01-07T00:00:00"/>
    <s v="01-2023"/>
    <s v="Africa"/>
    <s v="South Africa"/>
    <s v="Durban"/>
    <s v="Durban"/>
    <s v="Enterprise"/>
    <s v="Marketplace"/>
    <s v="Marketplace"/>
    <m/>
    <s v="M. Rossi"/>
    <x v="2"/>
    <s v="Medium"/>
    <s v="MON-1018"/>
    <s v="A"/>
    <n v="620.74"/>
    <n v="1330.07"/>
    <n v="1330.07"/>
    <n v="0.29899999999999999"/>
    <n v="0.29899999999999999"/>
    <n v="1"/>
    <n v="28"/>
    <n v="26106.613960000002"/>
    <n v="17380.72"/>
    <n v="8725.8939600000012"/>
    <n v="0.33424073965967516"/>
    <n v="5697077.6396399997"/>
    <n v="0.52048222518035925"/>
    <n v="0.2"/>
    <n v="36.4"/>
    <n v="682.81400000000008"/>
    <n v="38731.638399999996"/>
  </r>
  <r>
    <s v="ORD-2023-619385"/>
    <d v="2023-09-30T00:00:00"/>
    <d v="2023-09-30T00:00:00"/>
    <d v="2023-10-03T00:00:00"/>
    <d v="2023-10-03T00:00:00"/>
    <n v="3"/>
    <n v="1"/>
    <s v="09-2023"/>
    <s v="Q3-2023"/>
    <d v="2023-01-12T00:00:00"/>
    <s v="01-2023"/>
    <s v="Asia"/>
    <s v="China"/>
    <s v="Beijing"/>
    <s v="Beijing"/>
    <s v="Non-Profit"/>
    <s v="Retail"/>
    <s v="Retail"/>
    <s v="J. Njeri"/>
    <s v="J. Njeri"/>
    <x v="3"/>
    <s v="Medium"/>
    <s v="LAP-5763"/>
    <s v="A"/>
    <n v="1019.36"/>
    <n v="972.91"/>
    <n v="972.91"/>
    <n v="0.14699999999999999"/>
    <n v="0.14699999999999999"/>
    <n v="0"/>
    <n v="17"/>
    <n v="14108.16791"/>
    <n v="17329.12"/>
    <n v="3220.9520899999989"/>
    <n v="0.22830406545678819"/>
    <n v="5711185.80755"/>
    <n v="0.52177114049650708"/>
    <n v="0.14699999999999999"/>
    <n v="22.1"/>
    <n v="1121.296"/>
    <n v="18340.618283"/>
  </r>
  <r>
    <s v="ORD-2023-548874"/>
    <d v="2023-03-19T00:00:00"/>
    <d v="2023-03-19T00:00:00"/>
    <d v="2023-04-09T00:00:00"/>
    <d v="2023-04-09T00:00:00"/>
    <n v="21"/>
    <n v="0"/>
    <s v="03-2023"/>
    <s v="Q1-2023"/>
    <d v="2023-01-19T00:00:00"/>
    <s v="01-2023"/>
    <s v="Europe"/>
    <s v="United Kingdom"/>
    <s v="Manchester"/>
    <s v="Manchester"/>
    <s v="Consumer"/>
    <s v="Retail"/>
    <s v="Retail"/>
    <s v="L. Okafor"/>
    <s v="L. Okafor"/>
    <x v="1"/>
    <s v="Medium"/>
    <s v="ACC-9150"/>
    <s v="A"/>
    <n v="1082.17"/>
    <n v="1234.0999999999999"/>
    <n v="1234.0999999999999"/>
    <n v="0.189"/>
    <n v="0.189"/>
    <n v="0"/>
    <n v="16"/>
    <n v="16013.681599999998"/>
    <n v="17314.72"/>
    <n v="1301.0384000000031"/>
    <n v="8.124542703534228E-2"/>
    <n v="5727199.4891499998"/>
    <n v="0.52323414261087253"/>
    <n v="0.189"/>
    <n v="20.8"/>
    <n v="1190.3870000000002"/>
    <n v="20817.786079999998"/>
  </r>
  <r>
    <s v="ORD-2024-468615"/>
    <d v="2024-07-09T00:00:00"/>
    <d v="2024-07-09T00:00:00"/>
    <d v="2024-07-12T00:00:00"/>
    <d v="2024-07-12T00:00:00"/>
    <n v="3"/>
    <n v="1"/>
    <s v="07-2024"/>
    <s v="Q3-2024"/>
    <d v="2023-01-12T00:00:00"/>
    <s v="01-2023"/>
    <s v="Asia"/>
    <s v="China"/>
    <s v="Shanghai"/>
    <s v="Shanghai"/>
    <s v="Small Business"/>
    <s v="Retail"/>
    <s v="Retail"/>
    <s v="D. Smith"/>
    <s v="D. Smith"/>
    <x v="1"/>
    <s v="Medium"/>
    <s v="ACC-3721"/>
    <s v="A"/>
    <n v="748.39"/>
    <n v="979.42"/>
    <n v="979.42"/>
    <n v="0"/>
    <n v="0"/>
    <n v="0"/>
    <n v="23"/>
    <n v="22526.66"/>
    <n v="17212.97"/>
    <n v="5313.6899999999987"/>
    <n v="0.23588450307324738"/>
    <n v="5749726.14915"/>
    <n v="0.52529216724460781"/>
    <n v="0"/>
    <n v="29.900000000000002"/>
    <n v="823.22900000000004"/>
    <n v="29284.657999999999"/>
  </r>
  <r>
    <s v="ORD-2025-418232"/>
    <d v="2025-08-01T00:00:00"/>
    <d v="2025-08-01T00:00:00"/>
    <d v="2025-08-21T00:00:00"/>
    <d v="2025-08-21T00:00:00"/>
    <n v="20"/>
    <n v="0"/>
    <s v="08-2025"/>
    <s v="Q3-2025"/>
    <d v="2023-01-12T00:00:00"/>
    <s v="01-2023"/>
    <s v="Asia"/>
    <s v="China"/>
    <s v="Shanghai"/>
    <s v="Shanghai"/>
    <s v="Corporate"/>
    <s v="Direct"/>
    <s v="Direct"/>
    <s v="I. Johnson"/>
    <s v="I. Johnson"/>
    <x v="6"/>
    <s v="High"/>
    <s v="PHN-9234"/>
    <s v="A"/>
    <n v="1220.4100000000001"/>
    <n v="2552.2199999999998"/>
    <n v="2552.2199999999998"/>
    <n v="0.18099999999999999"/>
    <n v="0.18099999999999999"/>
    <n v="0"/>
    <n v="14"/>
    <n v="29263.754519999995"/>
    <n v="17085.740000000002"/>
    <n v="12178.014519999993"/>
    <n v="0.41614668793360271"/>
    <n v="5778989.9036699999"/>
    <n v="0.52796568953676037"/>
    <n v="0.18099999999999999"/>
    <n v="18.2"/>
    <n v="1342.4510000000002"/>
    <n v="38042.880875999996"/>
  </r>
  <r>
    <s v="ORD-2023-867175"/>
    <d v="2023-08-10T00:00:00"/>
    <d v="2023-08-10T00:00:00"/>
    <d v="2023-08-15T00:00:00"/>
    <d v="2023-08-15T00:00:00"/>
    <n v="5"/>
    <n v="0"/>
    <s v="08-2023"/>
    <s v="Q3-2023"/>
    <d v="2023-01-29T00:00:00"/>
    <s v="01-2023"/>
    <s v="Americas"/>
    <s v="Brazil"/>
    <s v="São Paulo"/>
    <s v="São Paulo"/>
    <s v="Education"/>
    <s v="Direct"/>
    <s v="Direct"/>
    <s v="G. Dubois"/>
    <s v="G. Dubois"/>
    <x v="4"/>
    <s v="High"/>
    <s v="NET-2894"/>
    <s v="A"/>
    <n v="1307.52"/>
    <n v="1921.65"/>
    <n v="1921.65"/>
    <n v="0.123"/>
    <n v="0.123"/>
    <n v="0"/>
    <n v="13"/>
    <n v="21908.731650000002"/>
    <n v="16997.759999999998"/>
    <n v="4910.9716500000031"/>
    <n v="0.22415590863289445"/>
    <n v="5800898.6353200004"/>
    <n v="0.52996726053883503"/>
    <n v="0.123"/>
    <n v="16.900000000000002"/>
    <n v="1438.2720000000002"/>
    <n v="28481.351145000004"/>
  </r>
  <r>
    <s v="ORD-2023-674887"/>
    <d v="2023-12-16T00:00:00"/>
    <d v="2023-12-16T00:00:00"/>
    <d v="2023-12-19T00:00:00"/>
    <d v="2023-12-19T00:00:00"/>
    <n v="3"/>
    <n v="0"/>
    <s v="12-2023"/>
    <s v="Q4-2023"/>
    <d v="2023-01-12T00:00:00"/>
    <s v="01-2023"/>
    <s v="Asia"/>
    <s v="China"/>
    <s v="Beijing"/>
    <s v="Beijing"/>
    <s v="Education"/>
    <s v="Retail"/>
    <s v="Retail"/>
    <s v="A. Patel"/>
    <s v="A. Patel"/>
    <x v="1"/>
    <s v="High"/>
    <s v="ACC-9644"/>
    <s v="A"/>
    <n v="1415.05"/>
    <n v="1972.38"/>
    <n v="1972.38"/>
    <n v="0"/>
    <n v="0"/>
    <n v="0"/>
    <n v="12"/>
    <n v="23668.560000000001"/>
    <n v="16980.599999999999"/>
    <n v="6687.9600000000028"/>
    <n v="0.28256725377462771"/>
    <n v="5824567.1953199999"/>
    <n v="0.53212960859775904"/>
    <n v="0"/>
    <n v="15.600000000000001"/>
    <n v="1556.5550000000001"/>
    <n v="30769.128000000004"/>
  </r>
  <r>
    <s v="ORD-2024-398783"/>
    <d v="2024-07-18T00:00:00"/>
    <d v="2024-07-18T00:00:00"/>
    <d v="2024-08-07T00:00:00"/>
    <d v="2024-08-07T00:00:00"/>
    <n v="20"/>
    <n v="0"/>
    <s v="07-2024"/>
    <s v="Q3-2024"/>
    <d v="2023-01-10T00:00:00"/>
    <s v="01-2023"/>
    <s v="Europe"/>
    <s v="France"/>
    <s v="Marseille"/>
    <s v="Marseille"/>
    <s v="Corporate"/>
    <s v="Retail"/>
    <s v="Retail"/>
    <s v="F. Müller"/>
    <s v="F. Müller"/>
    <x v="2"/>
    <s v="Medium"/>
    <s v="MON-7622"/>
    <s v="A"/>
    <n v="941.35"/>
    <n v="899.83"/>
    <n v="899.83"/>
    <n v="5.8000000000000003E-2"/>
    <n v="5.8000000000000003E-2"/>
    <n v="0"/>
    <n v="18"/>
    <n v="15257.51748"/>
    <n v="16944.3"/>
    <n v="1686.7825199999988"/>
    <n v="0.11055419220139073"/>
    <n v="5839824.7127999999"/>
    <n v="0.53352352792816515"/>
    <n v="5.8000000000000003E-2"/>
    <n v="23.400000000000002"/>
    <n v="1035.4850000000001"/>
    <n v="19834.772724000002"/>
  </r>
  <r>
    <s v="ORD-2023-239789"/>
    <d v="2023-12-03T00:00:00"/>
    <d v="2023-12-03T00:00:00"/>
    <d v="2023-12-26T00:00:00"/>
    <d v="2023-12-26T00:00:00"/>
    <n v="23"/>
    <n v="0"/>
    <s v="12-2023"/>
    <s v="Q4-2023"/>
    <d v="2023-01-29T00:00:00"/>
    <s v="01-2023"/>
    <s v="Americas"/>
    <s v="Brazil"/>
    <s v="Rio de Janeiro"/>
    <s v="Rio de Janeiro"/>
    <s v="Education"/>
    <s v="Retail"/>
    <s v="Retail"/>
    <s v="O. Wang"/>
    <s v="O. Wang"/>
    <x v="6"/>
    <s v="Medium"/>
    <s v="PHN-4644"/>
    <s v="A"/>
    <n v="1303.1099999999999"/>
    <n v="1145.67"/>
    <n v="1145.67"/>
    <n v="0.184"/>
    <n v="0.184"/>
    <n v="0"/>
    <n v="13"/>
    <n v="12153.267360000002"/>
    <n v="16940.43"/>
    <n v="4787.1626399999986"/>
    <n v="0.39389922875851208"/>
    <n v="5851977.9801599998"/>
    <n v="0.53463384448673401"/>
    <n v="0.184"/>
    <n v="16.900000000000002"/>
    <n v="1433.421"/>
    <n v="15799.247568000004"/>
  </r>
  <r>
    <s v="ORD-2024-437164"/>
    <d v="2024-02-20T00:00:00"/>
    <d v="2024-02-20T00:00:00"/>
    <d v="2024-02-20T00:00:00"/>
    <d v="2024-02-20T00:00:00"/>
    <n v="0"/>
    <n v="0"/>
    <s v="02-2024"/>
    <s v="Q1-2024"/>
    <d v="2023-01-13T00:00:00"/>
    <s v="01-2023"/>
    <s v="Americas"/>
    <s v="USA"/>
    <s v="New York"/>
    <s v="New York"/>
    <s v="Enterprise"/>
    <s v="Online"/>
    <s v="Online"/>
    <s v="C. Otieno"/>
    <s v="C. Otieno"/>
    <x v="4"/>
    <s v="High"/>
    <s v="NET-9177"/>
    <s v="A"/>
    <n v="1407.05"/>
    <n v="2858.93"/>
    <n v="2858.93"/>
    <n v="0"/>
    <n v="0"/>
    <n v="0"/>
    <n v="12"/>
    <n v="34307.159999999996"/>
    <n v="16884.599999999999"/>
    <n v="17422.559999999998"/>
    <n v="0.50784034586366222"/>
    <n v="5886285.14016"/>
    <n v="0.53776812983544953"/>
    <n v="0"/>
    <n v="15.600000000000001"/>
    <n v="1547.7550000000001"/>
    <n v="44599.308000000005"/>
  </r>
  <r>
    <s v="ORD-2024-165942"/>
    <d v="2024-12-29T00:00:00"/>
    <d v="2024-12-29T00:00:00"/>
    <d v="2025-01-12T00:00:00"/>
    <d v="2025-01-12T00:00:00"/>
    <n v="14"/>
    <n v="0"/>
    <s v="12-2024"/>
    <s v="Q4-2024"/>
    <d v="2023-01-19T00:00:00"/>
    <s v="01-2023"/>
    <s v="Europe"/>
    <s v="United Kingdom"/>
    <s v="Manchester"/>
    <s v="Manchester"/>
    <s v="Corporate"/>
    <s v="Direct"/>
    <s v="Direct"/>
    <s v="B. Chen"/>
    <s v="B. Chen"/>
    <x v="2"/>
    <s v="High"/>
    <s v="MON-6310"/>
    <s v="A"/>
    <n v="1399.72"/>
    <n v="3149.21"/>
    <n v="3149.21"/>
    <n v="0.185"/>
    <n v="0.185"/>
    <n v="0"/>
    <n v="12"/>
    <n v="30799.273800000003"/>
    <n v="16796.64"/>
    <n v="14002.633800000003"/>
    <n v="0.45464168703873797"/>
    <n v="5917084.4139599996"/>
    <n v="0.54058193641758623"/>
    <n v="0.185"/>
    <n v="15.600000000000001"/>
    <n v="1539.6920000000002"/>
    <n v="40039.055940000006"/>
  </r>
  <r>
    <s v="ORD-2023-178249"/>
    <d v="2023-12-29T00:00:00"/>
    <d v="2023-12-29T00:00:00"/>
    <d v="2024-01-20T00:00:00"/>
    <d v="2024-01-20T00:00:00"/>
    <n v="22"/>
    <n v="1"/>
    <s v="12-2023"/>
    <s v="Q4-2023"/>
    <d v="2023-01-20T00:00:00"/>
    <s v="01-2023"/>
    <s v="Africa"/>
    <s v="Kenya"/>
    <s v="Kisumu"/>
    <s v="Kisumu"/>
    <s v="Corporate"/>
    <s v="Direct"/>
    <s v="Direct"/>
    <s v="L. Okafor"/>
    <s v="L. Okafor"/>
    <x v="6"/>
    <s v="High"/>
    <s v="PHN-7924"/>
    <s v="A"/>
    <n v="1395.49"/>
    <n v="1679.42"/>
    <n v="1679.42"/>
    <n v="0.20300000000000001"/>
    <n v="0.20300000000000001"/>
    <n v="1"/>
    <n v="12"/>
    <n v="16061.972879999999"/>
    <n v="16745.88"/>
    <n v="683.90712000000167"/>
    <n v="4.2579272490964493E-2"/>
    <n v="5933146.3868399998"/>
    <n v="0.54204935039966029"/>
    <n v="0.2"/>
    <n v="15.600000000000001"/>
    <n v="1535.0390000000002"/>
    <n v="20959.161600000007"/>
  </r>
  <r>
    <s v="ORD-2023-545150"/>
    <d v="2023-04-06T00:00:00"/>
    <d v="2023-04-06T00:00:00"/>
    <d v="2023-04-08T00:00:00"/>
    <d v="2023-04-08T00:00:00"/>
    <n v="2"/>
    <n v="0"/>
    <s v="04-2023"/>
    <s v="Q2-2023"/>
    <d v="2023-01-13T00:00:00"/>
    <s v="01-2023"/>
    <s v="Africa"/>
    <s v="Nigeria"/>
    <s v="Abuja"/>
    <s v="Abuja"/>
    <s v="Small Business"/>
    <s v="Marketplace"/>
    <s v="Marketplace"/>
    <s v="K. Singh"/>
    <s v="K. Singh"/>
    <x v="2"/>
    <s v="Medium"/>
    <s v="MON-4373"/>
    <s v="A"/>
    <n v="720.35"/>
    <n v="1571.66"/>
    <n v="1571.66"/>
    <n v="0.107"/>
    <n v="0.107"/>
    <n v="0"/>
    <n v="23"/>
    <n v="32280.32474"/>
    <n v="16568.05"/>
    <n v="15712.274740000001"/>
    <n v="0.4867446305622265"/>
    <n v="5965426.7115799999"/>
    <n v="0.544998465070894"/>
    <n v="0.107"/>
    <n v="29.900000000000002"/>
    <n v="792.3850000000001"/>
    <n v="41964.422162000003"/>
  </r>
  <r>
    <s v="ORD-2023-369150"/>
    <d v="2023-07-18T00:00:00"/>
    <d v="2023-07-18T00:00:00"/>
    <d v="2023-08-10T00:00:00"/>
    <d v="2023-08-10T00:00:00"/>
    <n v="23"/>
    <n v="0"/>
    <s v="07-2023"/>
    <s v="Q3-2023"/>
    <d v="2023-01-07T00:00:00"/>
    <s v="01-2023"/>
    <s v="Africa"/>
    <s v="South Africa"/>
    <s v="Johannesburg"/>
    <s v="Johannesburg"/>
    <s v="Small Business"/>
    <s v="Retail"/>
    <s v="Retail"/>
    <s v="L. Okafor"/>
    <s v="L. Okafor"/>
    <x v="0"/>
    <s v="Medium"/>
    <s v="CMP-8659"/>
    <s v="A"/>
    <n v="1271.56"/>
    <n v="995.47"/>
    <n v="995.47"/>
    <n v="0.192"/>
    <n v="0.192"/>
    <n v="0"/>
    <n v="13"/>
    <n v="10456.416880000001"/>
    <n v="16530.28"/>
    <n v="6073.8631199999982"/>
    <n v="0.58087423155607754"/>
    <n v="5975883.1284600003"/>
    <n v="0.54595375819999725"/>
    <n v="0.192"/>
    <n v="16.900000000000002"/>
    <n v="1398.7160000000001"/>
    <n v="13593.341944000003"/>
  </r>
  <r>
    <s v="ORD-2024-202166"/>
    <d v="2024-05-05T00:00:00"/>
    <d v="2024-05-05T00:00:00"/>
    <d v="2024-05-18T00:00:00"/>
    <d v="2024-05-18T00:00:00"/>
    <n v="13"/>
    <n v="0"/>
    <s v="05-2024"/>
    <s v="Q2-2024"/>
    <d v="2023-01-10T00:00:00"/>
    <s v="01-2023"/>
    <s v="Europe"/>
    <s v="France"/>
    <s v="Marseille"/>
    <s v="Marseille"/>
    <s v="Corporate"/>
    <s v="Marketplace"/>
    <s v="Marketplace"/>
    <s v="A. Patel"/>
    <s v="A. Patel"/>
    <x v="0"/>
    <s v="High"/>
    <s v="CMP-3313"/>
    <s v="A"/>
    <n v="1264.04"/>
    <n v="1870.89"/>
    <n v="1870.89"/>
    <n v="0"/>
    <n v="0"/>
    <n v="0"/>
    <n v="13"/>
    <n v="24321.57"/>
    <n v="16432.52"/>
    <n v="7889.0499999999993"/>
    <n v="0.32436433996653996"/>
    <n v="6000204.6984600006"/>
    <n v="0.54817576493295805"/>
    <n v="0"/>
    <n v="16.900000000000002"/>
    <n v="1390.444"/>
    <n v="31618.041000000005"/>
  </r>
  <r>
    <s v="ORD-2025-191328"/>
    <d v="2025-05-10T00:00:00"/>
    <d v="2025-05-10T00:00:00"/>
    <d v="2025-05-27T00:00:00"/>
    <d v="2025-05-27T00:00:00"/>
    <n v="17"/>
    <n v="1"/>
    <s v="05-2025"/>
    <s v="Q2-2025"/>
    <d v="2023-01-02T00:00:00"/>
    <s v="01-2023"/>
    <s v="Americas"/>
    <s v="Canada"/>
    <s v="Vancouver"/>
    <s v="Vancouver"/>
    <s v="Education"/>
    <s v="Direct"/>
    <s v="Direct"/>
    <s v="C. Otieno"/>
    <s v="C. Otieno"/>
    <x v="0"/>
    <s v="Medium"/>
    <s v="CMP-9307"/>
    <s v="A"/>
    <n v="862.89"/>
    <n v="1426.03"/>
    <n v="1426.03"/>
    <n v="5.6000000000000001E-2"/>
    <n v="5.6000000000000001E-2"/>
    <n v="0"/>
    <n v="19"/>
    <n v="25577.274079999999"/>
    <n v="16394.91"/>
    <n v="9182.3640799999994"/>
    <n v="0.35900479665188778"/>
    <n v="6025781.9725400005"/>
    <n v="0.55051249217616394"/>
    <n v="5.6000000000000001E-2"/>
    <n v="24.7"/>
    <n v="949.17900000000009"/>
    <n v="33250.456303999999"/>
  </r>
  <r>
    <s v="ORD-2025-485946"/>
    <d v="2025-06-15T00:00:00"/>
    <d v="2025-06-15T00:00:00"/>
    <d v="2025-06-30T00:00:00"/>
    <d v="2025-06-30T00:00:00"/>
    <n v="15"/>
    <n v="0"/>
    <s v="06-2025"/>
    <s v="Q2-2025"/>
    <d v="2023-01-07T00:00:00"/>
    <s v="01-2023"/>
    <s v="Africa"/>
    <s v="South Africa"/>
    <s v="Johannesburg"/>
    <s v="Johannesburg"/>
    <s v="Small Business"/>
    <s v="Direct"/>
    <s v="Direct"/>
    <s v="C. Otieno"/>
    <s v="C. Otieno"/>
    <x v="2"/>
    <s v="Medium"/>
    <s v="MON-5891"/>
    <s v="A"/>
    <n v="1487.59"/>
    <n v="1480.83"/>
    <n v="1480.83"/>
    <n v="8.9999999999999993E-3"/>
    <n v="8.9999999999999993E-3"/>
    <n v="0"/>
    <n v="11"/>
    <n v="16142.527829999999"/>
    <n v="16363.49"/>
    <n v="220.9621700000007"/>
    <n v="1.3688201273492908E-2"/>
    <n v="6041924.5003700005"/>
    <n v="0.55198726561904887"/>
    <n v="8.9999999999999993E-3"/>
    <n v="14.3"/>
    <n v="1636.3489999999999"/>
    <n v="20985.286178999999"/>
  </r>
  <r>
    <s v="ORD-2023-501220"/>
    <d v="2023-04-19T00:00:00"/>
    <d v="2023-04-19T00:00:00"/>
    <d v="2023-05-07T00:00:00"/>
    <d v="2023-05-07T00:00:00"/>
    <n v="18"/>
    <n v="1"/>
    <s v="04-2023"/>
    <s v="Q2-2023"/>
    <d v="2023-01-19T00:00:00"/>
    <s v="01-2023"/>
    <s v="Europe"/>
    <s v="United Kingdom"/>
    <s v="Birmingham"/>
    <s v="Birmingham"/>
    <s v="Enterprise"/>
    <s v="Retail"/>
    <s v="Retail"/>
    <s v="N. Brown"/>
    <s v="N. Brown"/>
    <x v="3"/>
    <s v="Medium"/>
    <s v="LAP-9766"/>
    <s v="A"/>
    <n v="1089.1500000000001"/>
    <n v="1088.2"/>
    <n v="1088.2"/>
    <n v="5.0999999999999997E-2"/>
    <n v="5.0999999999999997E-2"/>
    <n v="0"/>
    <n v="15"/>
    <n v="15490.527"/>
    <n v="16337.250000000002"/>
    <n v="846.72300000000178"/>
    <n v="5.4660696824582002E-2"/>
    <n v="6057415.0273700003"/>
    <n v="0.55340247258517428"/>
    <n v="5.0999999999999997E-2"/>
    <n v="19.5"/>
    <n v="1198.0650000000003"/>
    <n v="20137.685099999999"/>
  </r>
  <r>
    <s v="ORD-2024-170021"/>
    <d v="2024-11-05T00:00:00"/>
    <d v="2024-11-05T00:00:00"/>
    <d v="2024-11-08T00:00:00"/>
    <d v="2024-11-08T00:00:00"/>
    <n v="3"/>
    <n v="0"/>
    <s v="11-2024"/>
    <s v="Q4-2024"/>
    <d v="2023-01-02T00:00:00"/>
    <s v="01-2023"/>
    <s v="Americas"/>
    <s v="Canada"/>
    <s v="Toronto"/>
    <s v="Toronto"/>
    <s v="Education"/>
    <s v="Marketplace"/>
    <s v="Marketplace"/>
    <s v="O. Wang"/>
    <s v="O. Wang"/>
    <x v="0"/>
    <s v="Medium"/>
    <s v="CMP-2015"/>
    <s v="A"/>
    <n v="1020.4"/>
    <n v="1184.71"/>
    <n v="1184.71"/>
    <n v="0.106"/>
    <n v="0.106"/>
    <n v="0"/>
    <n v="16"/>
    <n v="16946.091840000001"/>
    <n v="16326.4"/>
    <n v="619.69184000000132"/>
    <n v="3.6568422138328345E-2"/>
    <n v="6074361.1192100001"/>
    <n v="0.55495065924277287"/>
    <n v="0.106"/>
    <n v="20.8"/>
    <n v="1122.44"/>
    <n v="22029.919392"/>
  </r>
  <r>
    <s v="ORD-2024-527858"/>
    <d v="2024-05-07T00:00:00"/>
    <d v="2024-05-07T00:00:00"/>
    <d v="2024-05-12T00:00:00"/>
    <d v="2024-05-12T00:00:00"/>
    <n v="5"/>
    <n v="0"/>
    <s v="05-2024"/>
    <s v="Q2-2024"/>
    <d v="2023-01-13T00:00:00"/>
    <s v="01-2023"/>
    <s v="Africa"/>
    <s v="Nigeria"/>
    <s v="Abuja"/>
    <s v="Abuja"/>
    <s v="Non-Profit"/>
    <s v="Distributor"/>
    <s v="Distributor"/>
    <s v="L. Okafor"/>
    <s v="L. Okafor"/>
    <x v="3"/>
    <s v="Medium"/>
    <s v="LAP-9100"/>
    <s v="A"/>
    <n v="1163.99"/>
    <n v="1617.85"/>
    <n v="1617.85"/>
    <n v="0.127"/>
    <n v="0.127"/>
    <n v="0"/>
    <n v="14"/>
    <n v="19773.362699999998"/>
    <n v="16295.86"/>
    <n v="3477.5026999999973"/>
    <n v="0.17586804797749436"/>
    <n v="6094134.4819100006"/>
    <n v="0.55675714398256049"/>
    <n v="0.127"/>
    <n v="18.2"/>
    <n v="1280.3890000000001"/>
    <n v="25705.371510000001"/>
  </r>
  <r>
    <s v="ORD-2023-747341"/>
    <d v="2023-04-19T00:00:00"/>
    <d v="2023-04-19T00:00:00"/>
    <d v="2023-04-28T00:00:00"/>
    <d v="2023-04-28T00:00:00"/>
    <n v="9"/>
    <n v="1"/>
    <s v="04-2023"/>
    <s v="Q2-2023"/>
    <d v="2023-01-29T00:00:00"/>
    <s v="01-2023"/>
    <s v="Americas"/>
    <s v="Brazil"/>
    <s v="Rio de Janeiro"/>
    <s v="Rio de Janeiro"/>
    <s v="Corporate"/>
    <s v="Distributor"/>
    <s v="Distributor"/>
    <s v="M. Rossi"/>
    <s v="M. Rossi"/>
    <x v="6"/>
    <s v="Medium"/>
    <s v="PHN-7132"/>
    <s v="A"/>
    <n v="1013.54"/>
    <n v="927.93"/>
    <n v="927.93"/>
    <n v="0.17499999999999999"/>
    <n v="0.17499999999999999"/>
    <n v="0"/>
    <n v="16"/>
    <n v="12248.675999999999"/>
    <n v="16216.64"/>
    <n v="3967.9639999999999"/>
    <n v="0.32395044166406234"/>
    <n v="6106383.1579100005"/>
    <n v="0.55787617702778958"/>
    <n v="0.17499999999999999"/>
    <n v="20.8"/>
    <n v="1114.894"/>
    <n v="15923.278799999998"/>
  </r>
  <r>
    <s v="ORD-2023-309373"/>
    <d v="2023-07-05T00:00:00"/>
    <d v="2023-07-05T00:00:00"/>
    <d v="2023-07-14T00:00:00"/>
    <d v="2023-07-14T00:00:00"/>
    <n v="9"/>
    <n v="0"/>
    <s v="07-2023"/>
    <s v="Q3-2023"/>
    <d v="2023-01-29T00:00:00"/>
    <s v="01-2023"/>
    <s v="Americas"/>
    <s v="Brazil"/>
    <s v="Brasília"/>
    <s v="Brasília"/>
    <s v="Enterprise"/>
    <s v="Direct"/>
    <s v="Direct"/>
    <s v="B. Chen"/>
    <s v="B. Chen"/>
    <x v="4"/>
    <s v="Medium"/>
    <s v="NET-2394"/>
    <s v="A"/>
    <n v="578.85"/>
    <n v="998.76"/>
    <n v="998.76"/>
    <n v="8.2000000000000003E-2"/>
    <n v="8.2000000000000003E-2"/>
    <n v="0"/>
    <n v="28"/>
    <n v="25672.127039999999"/>
    <n v="16207.800000000001"/>
    <n v="9464.3270399999983"/>
    <n v="0.36866158480960831"/>
    <n v="6132055.2849500002"/>
    <n v="0.56022156999100303"/>
    <n v="8.2000000000000003E-2"/>
    <n v="36.4"/>
    <n v="636.73500000000013"/>
    <n v="33373.765152"/>
  </r>
  <r>
    <s v="ORD-2024-626750"/>
    <d v="2024-08-12T00:00:00"/>
    <d v="2024-08-12T00:00:00"/>
    <d v="2024-08-15T00:00:00"/>
    <d v="2024-08-15T00:00:00"/>
    <n v="3"/>
    <n v="1"/>
    <s v="08-2024"/>
    <s v="Q3-2024"/>
    <d v="2023-01-13T00:00:00"/>
    <s v="01-2023"/>
    <s v="Americas"/>
    <s v="USA"/>
    <s v="Chicago"/>
    <s v="Chicago"/>
    <s v="Corporate"/>
    <s v="Marketplace"/>
    <s v="Marketplace"/>
    <s v="D. Smith"/>
    <s v="D. Smith"/>
    <x v="5"/>
    <s v="Medium"/>
    <s v="PRN-5591"/>
    <s v="A"/>
    <n v="850.7"/>
    <n v="1118.56"/>
    <n v="1118.56"/>
    <n v="0.18"/>
    <n v="0.18"/>
    <n v="0"/>
    <n v="19"/>
    <n v="17427.164800000002"/>
    <n v="16163.300000000001"/>
    <n v="1263.8648000000012"/>
    <n v="7.2522685962090688E-2"/>
    <n v="6149482.4497500006"/>
    <n v="0.56181370723880464"/>
    <n v="0.18"/>
    <n v="24.7"/>
    <n v="935.7700000000001"/>
    <n v="22655.31424"/>
  </r>
  <r>
    <s v="ORD-2024-281211"/>
    <d v="2024-01-11T00:00:00"/>
    <d v="2024-01-11T00:00:00"/>
    <d v="2024-02-02T00:00:00"/>
    <d v="2024-02-02T00:00:00"/>
    <n v="22"/>
    <n v="1"/>
    <s v="01-2024"/>
    <s v="Q1-2024"/>
    <d v="2023-03-03T00:00:00"/>
    <s v="03-2023"/>
    <s v="Asia"/>
    <s v="Japan"/>
    <s v="Nagoya"/>
    <s v="Nagoya"/>
    <s v="Small Business"/>
    <s v="Online"/>
    <s v="Online"/>
    <m/>
    <s v="K. Singh"/>
    <x v="5"/>
    <s v="Medium"/>
    <s v="PRN-7816"/>
    <s v="A"/>
    <n v="1237.68"/>
    <n v="1432.8"/>
    <n v="1432.8"/>
    <n v="6.8000000000000005E-2"/>
    <n v="6.8000000000000005E-2"/>
    <n v="0"/>
    <n v="13"/>
    <n v="17359.804799999998"/>
    <n v="16089.84"/>
    <n v="1269.9647999999979"/>
    <n v="7.315547695559331E-2"/>
    <n v="6166842.2545500007"/>
    <n v="0.5633996905099703"/>
    <n v="6.8000000000000005E-2"/>
    <n v="16.900000000000002"/>
    <n v="1361.4480000000001"/>
    <n v="22567.74624"/>
  </r>
  <r>
    <s v="ORD-2025-337268"/>
    <d v="2025-02-16T00:00:00"/>
    <d v="2025-02-16T00:00:00"/>
    <d v="2025-03-17T00:00:00"/>
    <d v="2025-03-17T00:00:00"/>
    <n v="29"/>
    <n v="0"/>
    <s v="02-2025"/>
    <s v="Q1-2025"/>
    <d v="2023-01-21T00:00:00"/>
    <s v="01-2023"/>
    <s v="Europe"/>
    <s v="Germany"/>
    <s v="Munich"/>
    <s v="Munich"/>
    <s v="Consumer"/>
    <s v="Retail"/>
    <s v="Retail"/>
    <s v="L. Okafor"/>
    <s v="L. Okafor"/>
    <x v="1"/>
    <s v="Medium"/>
    <s v="ACC-5150"/>
    <s v="A"/>
    <n v="730.42"/>
    <n v="956.7"/>
    <n v="956.7"/>
    <n v="4.2000000000000003E-2"/>
    <n v="4.2000000000000003E-2"/>
    <n v="0"/>
    <n v="22"/>
    <n v="20163.409200000002"/>
    <n v="16069.24"/>
    <n v="4094.1692000000021"/>
    <n v="0.20304945256975698"/>
    <n v="6187005.6637500003"/>
    <n v="0.56524180970712079"/>
    <n v="4.2000000000000003E-2"/>
    <n v="28.6"/>
    <n v="803.46199999999999"/>
    <n v="26212.431960000002"/>
  </r>
  <r>
    <s v="ORD-2024-979401"/>
    <d v="2024-02-08T00:00:00"/>
    <d v="2024-02-08T00:00:00"/>
    <d v="2024-02-09T00:00:00"/>
    <d v="2024-02-09T00:00:00"/>
    <n v="1"/>
    <n v="1"/>
    <s v="02-2024"/>
    <s v="Q1-2024"/>
    <d v="2023-01-20T00:00:00"/>
    <s v="01-2023"/>
    <s v="Africa"/>
    <s v="Kenya"/>
    <s v="Mombasa"/>
    <s v="Mombasa"/>
    <s v="Corporate"/>
    <s v="Direct"/>
    <s v="Direct"/>
    <s v="F. Müller"/>
    <s v="F. Müller"/>
    <x v="0"/>
    <s v="Medium"/>
    <s v="CMP-5911"/>
    <s v="A"/>
    <n v="1233.52"/>
    <n v="1543.76"/>
    <n v="1543.76"/>
    <n v="0.126"/>
    <n v="0.126"/>
    <n v="0"/>
    <n v="13"/>
    <n v="17540.201120000002"/>
    <n v="16035.76"/>
    <n v="1504.4411200000013"/>
    <n v="8.5771030201277493E-2"/>
    <n v="6204545.8648700006"/>
    <n v="0.56684427389780123"/>
    <n v="0.126"/>
    <n v="16.900000000000002"/>
    <n v="1356.8720000000001"/>
    <n v="22802.261456"/>
  </r>
  <r>
    <s v="ORD-2023-667815"/>
    <d v="2023-10-21T00:00:00"/>
    <d v="2023-10-21T00:00:00"/>
    <d v="2023-11-09T00:00:00"/>
    <d v="2023-11-09T00:00:00"/>
    <n v="19"/>
    <n v="1"/>
    <s v="10-2023"/>
    <s v="Q4-2023"/>
    <d v="2023-01-19T00:00:00"/>
    <s v="01-2023"/>
    <s v="Europe"/>
    <s v="United Kingdom"/>
    <s v="London"/>
    <s v="London"/>
    <s v="Non-Profit"/>
    <s v="Direct"/>
    <s v="Direct"/>
    <s v="A. Patel"/>
    <s v="A. Patel"/>
    <x v="1"/>
    <s v="High"/>
    <s v="ACC-8557"/>
    <s v="A"/>
    <n v="1142.48"/>
    <n v="2105.5300000000002"/>
    <n v="2105.5300000000002"/>
    <n v="0.20699999999999999"/>
    <n v="0.20699999999999999"/>
    <n v="1"/>
    <n v="14"/>
    <n v="23375.594060000003"/>
    <n v="15994.720000000001"/>
    <n v="7380.8740600000019"/>
    <n v="0.31575129346680658"/>
    <n v="6227921.4589300007"/>
    <n v="0.56897985673181539"/>
    <n v="0.2"/>
    <n v="18.2"/>
    <n v="1256.7280000000001"/>
    <n v="30656.516800000001"/>
  </r>
  <r>
    <s v="ORD-2023-261081"/>
    <d v="2023-07-24T00:00:00"/>
    <d v="2023-07-24T00:00:00"/>
    <d v="2023-08-19T00:00:00"/>
    <d v="2023-08-19T00:00:00"/>
    <n v="26"/>
    <n v="0"/>
    <s v="07-2023"/>
    <s v="Q3-2023"/>
    <d v="2023-01-20T00:00:00"/>
    <s v="01-2023"/>
    <s v="Africa"/>
    <s v="Kenya"/>
    <s v="Nairobi"/>
    <s v="Nairobi"/>
    <s v="Enterprise"/>
    <s v="Distributor"/>
    <s v="Distributor"/>
    <s v="M. Rossi"/>
    <s v="M. Rossi"/>
    <x v="1"/>
    <s v="Medium"/>
    <s v="ACC-1238"/>
    <s v="A"/>
    <n v="661.45"/>
    <n v="1634.86"/>
    <n v="1634.86"/>
    <n v="0.56499999999999995"/>
    <n v="0.3"/>
    <n v="1"/>
    <n v="24"/>
    <n v="27465.647999999997"/>
    <n v="15874.800000000001"/>
    <n v="11590.847999999996"/>
    <n v="0.42201254454291404"/>
    <n v="6255387.1069300007"/>
    <n v="0.57148910489223959"/>
    <n v="0.2"/>
    <n v="31.200000000000003"/>
    <n v="727.59500000000014"/>
    <n v="40806.10560000001"/>
  </r>
  <r>
    <s v="ORD-2024-777623"/>
    <d v="2024-09-19T00:00:00"/>
    <d v="2024-09-19T00:00:00"/>
    <d v="2024-10-14T00:00:00"/>
    <d v="2024-10-14T00:00:00"/>
    <n v="25"/>
    <n v="0"/>
    <s v="09-2024"/>
    <s v="Q3-2024"/>
    <d v="2023-01-29T00:00:00"/>
    <s v="01-2023"/>
    <s v="Americas"/>
    <s v="Brazil"/>
    <s v="Rio de Janeiro"/>
    <s v="Rio de Janeiro"/>
    <s v="Small Business"/>
    <s v="Retail"/>
    <s v="Retail"/>
    <s v="K. Singh"/>
    <s v="K. Singh"/>
    <x v="5"/>
    <s v="Medium"/>
    <s v="PRN-2749"/>
    <s v="A"/>
    <n v="386.96"/>
    <n v="937.46"/>
    <n v="937.46"/>
    <n v="0.26600000000000001"/>
    <n v="0.26600000000000001"/>
    <n v="1"/>
    <n v="41"/>
    <n v="28211.92124"/>
    <n v="15865.359999999999"/>
    <n v="12346.561240000001"/>
    <n v="0.43763631462626335"/>
    <n v="6283599.0281700008"/>
    <n v="0.57406653221066672"/>
    <n v="0.2"/>
    <n v="53.300000000000004"/>
    <n v="425.65600000000001"/>
    <n v="39973.294400000013"/>
  </r>
  <r>
    <s v="ORD-2025-137394"/>
    <d v="2025-01-04T00:00:00"/>
    <d v="2025-01-04T00:00:00"/>
    <d v="2025-01-05T00:00:00"/>
    <d v="2025-01-05T00:00:00"/>
    <n v="1"/>
    <n v="1"/>
    <s v="01-2025"/>
    <s v="Q1-2025"/>
    <d v="2023-01-29T00:00:00"/>
    <s v="01-2023"/>
    <s v="Asia"/>
    <s v="India"/>
    <s v="Delhi"/>
    <s v="Delhi"/>
    <s v="Education"/>
    <s v="Retail"/>
    <s v="Retail"/>
    <s v="I. Johnson"/>
    <s v="I. Johnson"/>
    <x v="0"/>
    <s v="High"/>
    <s v="CMP-1156"/>
    <s v="A"/>
    <n v="1428.33"/>
    <n v="3028.05"/>
    <n v="3028.05"/>
    <n v="0"/>
    <n v="0"/>
    <n v="0"/>
    <n v="11"/>
    <n v="33308.550000000003"/>
    <n v="15711.63"/>
    <n v="17596.920000000006"/>
    <n v="0.52830039134096207"/>
    <n v="6316907.5781700006"/>
    <n v="0.57710958503847176"/>
    <n v="0"/>
    <n v="14.3"/>
    <n v="1571.163"/>
    <n v="43301.115000000005"/>
  </r>
  <r>
    <s v="ORD-2025-608069"/>
    <d v="2025-04-12T00:00:00"/>
    <d v="2025-04-12T00:00:00"/>
    <d v="2025-04-30T00:00:00"/>
    <d v="2025-04-30T00:00:00"/>
    <n v="18"/>
    <n v="0"/>
    <s v="04-2025"/>
    <s v="Q2-2025"/>
    <d v="2023-01-20T00:00:00"/>
    <s v="01-2023"/>
    <s v="Africa"/>
    <s v="Kenya"/>
    <s v="Kisumu"/>
    <s v="Kisumu"/>
    <s v="Corporate"/>
    <s v="Marketplace"/>
    <s v="Marketplace"/>
    <s v="F. Müller"/>
    <s v="F. Müller"/>
    <x v="4"/>
    <s v="Medium"/>
    <s v="NET-3432"/>
    <s v="A"/>
    <n v="1119.04"/>
    <n v="1299.02"/>
    <n v="1299.02"/>
    <n v="2.5000000000000001E-2"/>
    <n v="2.5000000000000001E-2"/>
    <n v="0"/>
    <n v="14"/>
    <n v="17731.623"/>
    <n v="15666.56"/>
    <n v="2065.0630000000001"/>
    <n v="0.11646215352085933"/>
    <n v="6334639.2011700002"/>
    <n v="0.5787295374384327"/>
    <n v="2.5000000000000001E-2"/>
    <n v="18.2"/>
    <n v="1230.944"/>
    <n v="23051.109899999996"/>
  </r>
  <r>
    <s v="ORD-2024-140633"/>
    <d v="2024-12-07T00:00:00"/>
    <d v="2024-12-07T00:00:00"/>
    <d v="2024-12-26T00:00:00"/>
    <d v="2024-12-26T00:00:00"/>
    <n v="19"/>
    <n v="1"/>
    <s v="12-2024"/>
    <s v="Q4-2024"/>
    <d v="2023-01-19T00:00:00"/>
    <s v="01-2023"/>
    <s v="Europe"/>
    <s v="United Kingdom"/>
    <s v="London"/>
    <s v="London"/>
    <s v="Enterprise"/>
    <s v="Online"/>
    <s v="Online"/>
    <s v="D. Smith"/>
    <s v="D. Smith"/>
    <x v="4"/>
    <s v="High"/>
    <s v="NET-4491"/>
    <s v="A"/>
    <n v="1035.24"/>
    <n v="2383.41"/>
    <n v="2383.41"/>
    <n v="0.17"/>
    <n v="0.17"/>
    <n v="0"/>
    <n v="15"/>
    <n v="29673.454499999993"/>
    <n v="15528.6"/>
    <n v="14144.854499999992"/>
    <n v="0.47668378145860962"/>
    <n v="6364312.6556700002"/>
    <n v="0.5814404897202633"/>
    <n v="0.17"/>
    <n v="19.5"/>
    <n v="1138.7640000000001"/>
    <n v="38575.490849999995"/>
  </r>
  <r>
    <s v="ORD-2023-434071"/>
    <d v="2023-06-20T00:00:00"/>
    <d v="2023-06-20T00:00:00"/>
    <d v="2023-07-04T00:00:00"/>
    <d v="2023-07-04T00:00:00"/>
    <n v="14"/>
    <n v="0"/>
    <s v="06-2023"/>
    <s v="Q2-2023"/>
    <d v="2023-01-29T00:00:00"/>
    <s v="01-2023"/>
    <s v="Americas"/>
    <s v="Brazil"/>
    <s v="Brasília"/>
    <s v="Brasília"/>
    <s v="Non-Profit"/>
    <s v="Direct"/>
    <s v="Direct"/>
    <s v="C. Otieno"/>
    <s v="C. Otieno"/>
    <x v="4"/>
    <s v="High"/>
    <s v="NET-1228"/>
    <s v="A"/>
    <n v="1292.8599999999999"/>
    <n v="2981.01"/>
    <n v="2981.01"/>
    <n v="0.14199999999999999"/>
    <n v="0.14199999999999999"/>
    <n v="0"/>
    <n v="12"/>
    <n v="30692.47896"/>
    <n v="15514.32"/>
    <n v="15178.158960000001"/>
    <n v="0.49452372288927687"/>
    <n v="6395005.1346300002"/>
    <n v="0.58424453957807987"/>
    <n v="0.14199999999999999"/>
    <n v="15.600000000000001"/>
    <n v="1422.146"/>
    <n v="39900.22264800001"/>
  </r>
  <r>
    <s v="ORD-2024-536442"/>
    <d v="2024-08-31T00:00:00"/>
    <d v="2024-08-31T00:00:00"/>
    <d v="2024-09-26T00:00:00"/>
    <d v="2024-09-26T00:00:00"/>
    <n v="26"/>
    <n v="0"/>
    <s v="08-2024"/>
    <s v="Q3-2024"/>
    <d v="2023-03-03T00:00:00"/>
    <s v="03-2023"/>
    <s v="Asia"/>
    <s v="Japan"/>
    <s v="Tokyo"/>
    <s v="Tokyo"/>
    <s v="Education"/>
    <s v="Online"/>
    <s v="Online"/>
    <s v="I. Johnson"/>
    <s v="I. Johnson"/>
    <x v="6"/>
    <s v="High"/>
    <s v="PHN-6111"/>
    <s v="A"/>
    <n v="1189.03"/>
    <n v="2949.62"/>
    <n v="2949.62"/>
    <n v="0.125"/>
    <n v="0.125"/>
    <n v="0"/>
    <n v="13"/>
    <n v="33551.927499999998"/>
    <n v="15457.39"/>
    <n v="18094.537499999999"/>
    <n v="0.53929949330034765"/>
    <n v="6428557.0621300004"/>
    <n v="0.58730982725518333"/>
    <n v="0.125"/>
    <n v="16.900000000000002"/>
    <n v="1307.933"/>
    <n v="43617.505750000004"/>
  </r>
  <r>
    <s v="ORD-2023-133848"/>
    <d v="2023-08-15T00:00:00"/>
    <d v="2023-08-15T00:00:00"/>
    <d v="2023-09-07T00:00:00"/>
    <d v="2023-09-07T00:00:00"/>
    <n v="23"/>
    <n v="0"/>
    <s v="08-2023"/>
    <s v="Q3-2023"/>
    <d v="2023-01-13T00:00:00"/>
    <s v="01-2023"/>
    <s v="Americas"/>
    <s v="USA"/>
    <s v="New York"/>
    <s v="New York"/>
    <s v="Enterprise"/>
    <s v="Online"/>
    <s v="Online"/>
    <s v="K. Singh"/>
    <s v="K. Singh"/>
    <x v="6"/>
    <s v="Medium"/>
    <s v="PHN-2013"/>
    <s v="A"/>
    <n v="590.33000000000004"/>
    <n v="973.04"/>
    <n v="973.04"/>
    <n v="0"/>
    <n v="0"/>
    <n v="0"/>
    <n v="26"/>
    <n v="25299.040000000001"/>
    <n v="15348.580000000002"/>
    <n v="9950.4599999999991"/>
    <n v="0.39331373838691108"/>
    <n v="6453856.1021300005"/>
    <n v="0.58962113516899983"/>
    <n v="0"/>
    <n v="33.800000000000004"/>
    <n v="649.36300000000006"/>
    <n v="32888.752"/>
  </r>
  <r>
    <s v="ORD-2023-619570"/>
    <d v="2023-11-14T00:00:00"/>
    <d v="2023-11-14T00:00:00"/>
    <d v="2023-11-30T00:00:00"/>
    <d v="2023-11-30T00:00:00"/>
    <n v="16"/>
    <n v="0"/>
    <s v="11-2023"/>
    <s v="Q4-2023"/>
    <d v="2023-01-29T00:00:00"/>
    <s v="01-2023"/>
    <s v="Americas"/>
    <s v="Brazil"/>
    <s v="São Paulo"/>
    <s v="São Paulo"/>
    <s v="Enterprise"/>
    <s v="Direct"/>
    <s v="Direct"/>
    <s v="K. Singh"/>
    <s v="K. Singh"/>
    <x v="4"/>
    <s v="Medium"/>
    <s v="NET-4104"/>
    <s v="A"/>
    <n v="1017.92"/>
    <n v="1175.25"/>
    <n v="1175.25"/>
    <n v="7.4999999999999997E-2"/>
    <n v="7.4999999999999997E-2"/>
    <n v="0"/>
    <n v="15"/>
    <n v="16306.59375"/>
    <n v="15268.8"/>
    <n v="1037.7937500000007"/>
    <n v="6.3642583234159542E-2"/>
    <n v="6470162.6958800005"/>
    <n v="0.591110897594047"/>
    <n v="7.4999999999999997E-2"/>
    <n v="19.5"/>
    <n v="1119.712"/>
    <n v="21198.571875000001"/>
  </r>
  <r>
    <s v="ORD-2023-588455"/>
    <d v="2023-05-23T00:00:00"/>
    <d v="2023-05-23T00:00:00"/>
    <d v="2023-05-25T00:00:00"/>
    <d v="2023-05-25T00:00:00"/>
    <n v="2"/>
    <n v="1"/>
    <s v="05-2023"/>
    <s v="Q2-2023"/>
    <d v="2023-01-29T00:00:00"/>
    <s v="01-2023"/>
    <s v="Americas"/>
    <s v="Brazil"/>
    <s v="Rio de Janeiro"/>
    <s v="Rio de Janeiro"/>
    <s v="Enterprise"/>
    <s v="Retail"/>
    <s v="Retail"/>
    <s v="M. Rossi"/>
    <s v="M. Rossi"/>
    <x v="5"/>
    <s v="Medium"/>
    <s v="PRN-1271"/>
    <s v="A"/>
    <n v="690.49"/>
    <n v="1290.29"/>
    <n v="1290.29"/>
    <n v="4.2000000000000003E-2"/>
    <n v="4.2000000000000003E-2"/>
    <n v="0"/>
    <n v="22"/>
    <n v="27194.152039999997"/>
    <n v="15190.78"/>
    <n v="12003.372039999997"/>
    <n v="0.44139534199647718"/>
    <n v="6497356.8479200006"/>
    <n v="0.5935953420164275"/>
    <n v="4.2000000000000003E-2"/>
    <n v="28.6"/>
    <n v="759.5390000000001"/>
    <n v="35352.397652"/>
  </r>
  <r>
    <s v="ORD-2023-157993"/>
    <d v="2023-04-18T00:00:00"/>
    <d v="2023-04-18T00:00:00"/>
    <d v="2023-05-18T00:00:00"/>
    <d v="2023-05-18T00:00:00"/>
    <n v="30"/>
    <n v="0"/>
    <s v="04-2023"/>
    <s v="Q2-2023"/>
    <d v="2023-01-12T00:00:00"/>
    <s v="01-2023"/>
    <s v="Asia"/>
    <s v="China"/>
    <s v="Shenzhen"/>
    <s v="Shenzhen"/>
    <s v="Non-Profit"/>
    <s v="Retail"/>
    <s v="Retail"/>
    <s v="H. Kim"/>
    <s v="H. Kim"/>
    <x v="3"/>
    <s v="Low"/>
    <s v="LAP-1482"/>
    <s v="A"/>
    <n v="329.03"/>
    <n v="391.15"/>
    <n v="391.15"/>
    <n v="0.19700000000000001"/>
    <n v="0.19700000000000001"/>
    <n v="0"/>
    <n v="46"/>
    <n v="14448.298699999998"/>
    <n v="15135.38"/>
    <n v="687.08130000000165"/>
    <n v="4.7554477815440081E-2"/>
    <n v="6511805.1466200007"/>
    <n v="0.59491533151510001"/>
    <n v="0.19700000000000001"/>
    <n v="59.800000000000004"/>
    <n v="361.93299999999999"/>
    <n v="18782.78831"/>
  </r>
  <r>
    <s v="ORD-2024-371409"/>
    <d v="2024-11-17T00:00:00"/>
    <d v="2024-11-17T00:00:00"/>
    <d v="2024-11-28T00:00:00"/>
    <d v="2024-11-28T00:00:00"/>
    <n v="11"/>
    <n v="1"/>
    <s v="11-2024"/>
    <s v="Q4-2024"/>
    <d v="2023-01-02T00:00:00"/>
    <s v="01-2023"/>
    <s v="Americas"/>
    <s v="Canada"/>
    <m/>
    <s v="Vancouver"/>
    <s v="Consumer"/>
    <s v="Distributor"/>
    <s v="Distributor"/>
    <s v="A. Patel"/>
    <s v="A. Patel"/>
    <x v="5"/>
    <s v="High"/>
    <s v="PRN-1371"/>
    <s v="A"/>
    <n v="1008.16"/>
    <n v="2077.5"/>
    <n v="2077.5"/>
    <n v="7.3999999999999996E-2"/>
    <n v="7.3999999999999996E-2"/>
    <n v="0"/>
    <n v="15"/>
    <n v="28856.475000000002"/>
    <n v="15122.4"/>
    <n v="13734.075000000003"/>
    <n v="0.47594430712691005"/>
    <n v="6540661.6216200003"/>
    <n v="0.59755164494961555"/>
    <n v="7.3999999999999996E-2"/>
    <n v="19.5"/>
    <n v="1108.9760000000001"/>
    <n v="37513.417500000003"/>
  </r>
  <r>
    <s v="ORD-2025-246692"/>
    <d v="2025-04-17T00:00:00"/>
    <d v="2025-04-17T00:00:00"/>
    <d v="2025-04-17T00:00:00"/>
    <d v="2025-04-17T00:00:00"/>
    <n v="0"/>
    <n v="0"/>
    <s v="04-2025"/>
    <s v="Q2-2025"/>
    <d v="2023-01-29T00:00:00"/>
    <s v="01-2023"/>
    <s v="Americas"/>
    <s v="Brazil"/>
    <s v="São Paulo"/>
    <s v="São Paulo"/>
    <s v="Corporate"/>
    <s v="Distributor"/>
    <s v="Distributor"/>
    <s v="L. Okafor"/>
    <s v="L. Okafor"/>
    <x v="6"/>
    <s v="Medium"/>
    <s v="PHN-4566"/>
    <s v="A"/>
    <n v="719.41"/>
    <n v="1125.99"/>
    <n v="1125.99"/>
    <n v="4.1000000000000002E-2"/>
    <n v="4.1000000000000002E-2"/>
    <n v="0"/>
    <n v="21"/>
    <n v="22676.312610000001"/>
    <n v="15107.609999999999"/>
    <n v="7568.7026100000021"/>
    <n v="0.33377131194876403"/>
    <n v="6563337.9342300007"/>
    <n v="0.59962334177256493"/>
    <n v="4.1000000000000002E-2"/>
    <n v="27.3"/>
    <n v="791.351"/>
    <n v="29479.206393"/>
  </r>
  <r>
    <s v="ORD-2023-163610"/>
    <d v="2023-10-22T00:00:00"/>
    <d v="2023-10-22T00:00:00"/>
    <d v="2023-11-16T00:00:00"/>
    <d v="2023-11-16T00:00:00"/>
    <n v="25"/>
    <n v="0"/>
    <s v="10-2023"/>
    <s v="Q4-2023"/>
    <d v="2023-01-02T00:00:00"/>
    <s v="01-2023"/>
    <s v="Americas"/>
    <s v="Canada"/>
    <s v="Toronto"/>
    <s v="Toronto"/>
    <s v="Small Business"/>
    <s v="Marketplace"/>
    <s v="Marketplace"/>
    <s v="I. Johnson"/>
    <s v="I. Johnson"/>
    <x v="3"/>
    <s v="High"/>
    <s v="LAP-9024"/>
    <s v="A"/>
    <n v="1373.31"/>
    <n v="3154.14"/>
    <n v="3154.14"/>
    <n v="0.2"/>
    <n v="0.2"/>
    <n v="0"/>
    <n v="11"/>
    <n v="27756.432000000001"/>
    <n v="15106.41"/>
    <n v="12650.022000000001"/>
    <n v="0.45575101295440279"/>
    <n v="6591094.3662300007"/>
    <n v="0.60215915581692825"/>
    <n v="0.2"/>
    <n v="14.3"/>
    <n v="1510.6410000000001"/>
    <n v="36083.361599999997"/>
  </r>
  <r>
    <s v="ORD-2025-915869"/>
    <d v="2025-02-06T00:00:00"/>
    <d v="2025-02-06T00:00:00"/>
    <d v="2025-02-15T00:00:00"/>
    <d v="2025-02-15T00:00:00"/>
    <n v="9"/>
    <n v="1"/>
    <s v="02-2025"/>
    <s v="Q1-2025"/>
    <d v="2023-01-29T00:00:00"/>
    <s v="01-2023"/>
    <s v="Americas"/>
    <s v="Brazil"/>
    <s v="São Paulo"/>
    <s v="São Paulo"/>
    <s v="Non-Profit"/>
    <s v="Distributor"/>
    <s v="Distributor"/>
    <s v="F. Müller"/>
    <s v="F. Müller"/>
    <x v="4"/>
    <s v="High"/>
    <s v="NET-5482"/>
    <s v="A"/>
    <n v="837.39"/>
    <n v="1905.42"/>
    <n v="1905.42"/>
    <n v="3.2000000000000001E-2"/>
    <n v="3.2000000000000001E-2"/>
    <n v="0"/>
    <n v="18"/>
    <n v="33200.038079999998"/>
    <n v="15073.02"/>
    <n v="18127.018079999998"/>
    <n v="0.54599389423350919"/>
    <n v="6624294.4043100011"/>
    <n v="0.60519229504882455"/>
    <n v="3.2000000000000001E-2"/>
    <n v="23.400000000000002"/>
    <n v="921.12900000000002"/>
    <n v="43160.04950400001"/>
  </r>
  <r>
    <s v="ORD-2023-430904"/>
    <d v="2023-01-27T00:00:00"/>
    <d v="2023-01-27T00:00:00"/>
    <d v="2023-01-31T00:00:00"/>
    <d v="2023-01-31T00:00:00"/>
    <n v="4"/>
    <n v="1"/>
    <s v="01-2023"/>
    <s v="Q1-2023"/>
    <d v="2023-01-19T00:00:00"/>
    <s v="01-2023"/>
    <s v="Europe"/>
    <s v="United Kingdom"/>
    <s v="Manchester"/>
    <s v="Manchester"/>
    <s v="Enterprise"/>
    <s v="Online"/>
    <s v="Online"/>
    <s v="N. Brown"/>
    <s v="N. Brown"/>
    <x v="3"/>
    <s v="Low"/>
    <s v="LAP-9782"/>
    <s v="A"/>
    <n v="941.2"/>
    <n v="668.02"/>
    <n v="668.02"/>
    <n v="0.22"/>
    <n v="0.22"/>
    <n v="1"/>
    <n v="16"/>
    <n v="8336.8896000000004"/>
    <n v="15059.2"/>
    <n v="6722.3104000000003"/>
    <n v="0.80633314371825193"/>
    <n v="6632631.2939100014"/>
    <n v="0.6059539492028595"/>
    <n v="0.2"/>
    <n v="20.8"/>
    <n v="1035.3200000000002"/>
    <n v="11115.852800000001"/>
  </r>
  <r>
    <s v="ORD-2024-310809"/>
    <d v="2024-04-05T00:00:00"/>
    <d v="2024-04-05T00:00:00"/>
    <d v="2024-04-09T00:00:00"/>
    <d v="2024-04-09T00:00:00"/>
    <n v="4"/>
    <n v="1"/>
    <s v="04-2024"/>
    <s v="Q2-2024"/>
    <d v="2023-01-13T00:00:00"/>
    <s v="01-2023"/>
    <s v="Africa"/>
    <s v="Nigeria"/>
    <s v="Lagos"/>
    <s v="Lagos"/>
    <s v="Non-Profit"/>
    <s v="Direct"/>
    <s v="Direct"/>
    <s v="K. Singh"/>
    <s v="K. Singh"/>
    <x v="0"/>
    <s v="Medium"/>
    <s v="CMP-6529"/>
    <s v="A"/>
    <n v="395.07"/>
    <n v="970.27"/>
    <n v="970.27"/>
    <n v="0.123"/>
    <n v="0.123"/>
    <n v="0"/>
    <n v="38"/>
    <n v="32335.21802"/>
    <n v="15012.66"/>
    <n v="17322.55802"/>
    <n v="0.53571799049833657"/>
    <n v="6664966.511930001"/>
    <n v="0.60890807889729082"/>
    <n v="0.123"/>
    <n v="49.4"/>
    <n v="434.57700000000006"/>
    <n v="42035.783425999995"/>
  </r>
  <r>
    <s v="ORD-2023-382017"/>
    <d v="2023-01-13T00:00:00"/>
    <d v="2023-01-13T00:00:00"/>
    <d v="2023-01-19T00:00:00"/>
    <d v="2023-01-19T00:00:00"/>
    <n v="6"/>
    <n v="0"/>
    <s v="01-2023"/>
    <s v="Q1-2023"/>
    <d v="2023-01-13T00:00:00"/>
    <s v="01-2023"/>
    <s v="Americas"/>
    <s v="USA"/>
    <s v="Chicago"/>
    <s v="Chicago"/>
    <s v="Corporate"/>
    <s v="Direct"/>
    <s v="Direct"/>
    <s v="H. Kim"/>
    <s v="H. Kim"/>
    <x v="6"/>
    <s v="Medium"/>
    <s v="PHN-3159"/>
    <s v="A"/>
    <n v="833.57"/>
    <n v="881.57"/>
    <n v="881.57"/>
    <n v="5.7000000000000002E-2"/>
    <n v="5.7000000000000002E-2"/>
    <n v="0"/>
    <n v="18"/>
    <n v="14963.769179999999"/>
    <n v="15004.26"/>
    <n v="40.490820000000895"/>
    <n v="2.7059238560107821E-3"/>
    <n v="6679930.2811100008"/>
    <n v="0.61027516152676042"/>
    <n v="5.7000000000000002E-2"/>
    <n v="23.400000000000002"/>
    <n v="916.92700000000013"/>
    <n v="19452.899934000005"/>
  </r>
  <r>
    <s v="ORD-2023-848013"/>
    <d v="2023-02-20T00:00:00"/>
    <d v="2023-02-20T00:00:00"/>
    <d v="2023-03-04T00:00:00"/>
    <d v="2023-03-04T00:00:00"/>
    <n v="12"/>
    <n v="0"/>
    <s v="02-2023"/>
    <s v="Q1-2023"/>
    <d v="2023-01-29T00:00:00"/>
    <s v="01-2023"/>
    <s v="Asia"/>
    <s v="India"/>
    <s v="Delhi"/>
    <s v="Delhi"/>
    <s v="Consumer"/>
    <s v="Distributor"/>
    <s v="Distributor"/>
    <s v="M. Rossi"/>
    <s v="M. Rossi"/>
    <x v="2"/>
    <s v="Low"/>
    <s v="MON-9906"/>
    <s v="A"/>
    <n v="299.75"/>
    <n v="523.01"/>
    <n v="523.01"/>
    <n v="0.157"/>
    <n v="0.157"/>
    <n v="0"/>
    <n v="50"/>
    <n v="22044.871499999997"/>
    <n v="14987.5"/>
    <n v="7057.3714999999975"/>
    <n v="0.32013665854210122"/>
    <n v="6701975.1526100012"/>
    <n v="0.61228917019890838"/>
    <n v="0.157"/>
    <n v="65"/>
    <n v="329.72500000000002"/>
    <n v="28658.33295"/>
  </r>
  <r>
    <s v="ORD-2023-842820"/>
    <d v="2023-09-20T00:00:00"/>
    <d v="2023-09-20T00:00:00"/>
    <d v="2023-09-28T00:00:00"/>
    <d v="2023-09-28T00:00:00"/>
    <n v="8"/>
    <n v="1"/>
    <s v="09-2023"/>
    <s v="Q3-2023"/>
    <d v="2023-01-29T00:00:00"/>
    <s v="01-2023"/>
    <s v="Asia"/>
    <s v="India"/>
    <m/>
    <s v="Delhi"/>
    <s v="Corporate"/>
    <m/>
    <s v="Marketplace"/>
    <s v="B. Chen"/>
    <s v="B. Chen"/>
    <x v="1"/>
    <s v="High"/>
    <s v="ACC-1375"/>
    <s v="A"/>
    <n v="1362.06"/>
    <n v="3398.37"/>
    <n v="3398.37"/>
    <n v="0.157"/>
    <n v="0.157"/>
    <n v="0"/>
    <n v="11"/>
    <n v="31513.085009999999"/>
    <n v="14982.66"/>
    <n v="16530.425009999999"/>
    <n v="0.52455749745714919"/>
    <n v="6733488.2376200007"/>
    <n v="0.61516819022387315"/>
    <n v="0.157"/>
    <n v="14.3"/>
    <n v="1498.2660000000001"/>
    <n v="40967.010513000001"/>
  </r>
  <r>
    <s v="ORD-2023-212701"/>
    <d v="2023-12-02T00:00:00"/>
    <d v="2023-12-02T00:00:00"/>
    <d v="2023-12-16T00:00:00"/>
    <d v="2023-12-16T00:00:00"/>
    <n v="14"/>
    <n v="0"/>
    <s v="12-2023"/>
    <s v="Q4-2023"/>
    <d v="2023-01-21T00:00:00"/>
    <s v="01-2023"/>
    <s v="Europe"/>
    <s v="Germany"/>
    <s v="Frankfurt"/>
    <s v="Frankfurt"/>
    <s v="Education"/>
    <s v="Direct"/>
    <s v="Direct"/>
    <s v="N. Brown"/>
    <s v="N. Brown"/>
    <x v="2"/>
    <s v="Medium"/>
    <s v="MON-4278"/>
    <s v="A"/>
    <n v="879.08"/>
    <n v="1093.3900000000001"/>
    <n v="1093.3900000000001"/>
    <n v="0.113"/>
    <n v="0.113"/>
    <n v="0"/>
    <n v="17"/>
    <n v="16487.22781"/>
    <n v="14944.36"/>
    <n v="1542.8678099999997"/>
    <n v="9.3579577341935186E-2"/>
    <n v="6749975.4654300008"/>
    <n v="0.61667445528824516"/>
    <n v="0.113"/>
    <n v="22.1"/>
    <n v="966.98800000000017"/>
    <n v="21433.396153000005"/>
  </r>
  <r>
    <s v="ORD-2023-208944"/>
    <d v="2023-12-21T00:00:00"/>
    <d v="2023-12-21T00:00:00"/>
    <d v="2024-01-06T00:00:00"/>
    <d v="2024-01-06T00:00:00"/>
    <n v="16"/>
    <n v="0"/>
    <s v="12-2023"/>
    <s v="Q4-2023"/>
    <d v="2023-01-13T00:00:00"/>
    <s v="01-2023"/>
    <s v="Africa"/>
    <s v="Nigeria"/>
    <m/>
    <s v="Lagos"/>
    <s v="Corporate"/>
    <s v="Marketplace"/>
    <s v="Marketplace"/>
    <s v="K. Singh"/>
    <s v="K. Singh"/>
    <x v="0"/>
    <s v="High"/>
    <s v="CMP-4792"/>
    <s v="A"/>
    <n v="932.61"/>
    <n v="1982.98"/>
    <n v="1982.98"/>
    <n v="0.14399999999999999"/>
    <n v="0.14399999999999999"/>
    <n v="0"/>
    <n v="16"/>
    <n v="27158.894079999998"/>
    <n v="14921.76"/>
    <n v="12237.134079999998"/>
    <n v="0.45057556629345635"/>
    <n v="6777134.3595100008"/>
    <n v="0.61915567856065423"/>
    <n v="0.14399999999999999"/>
    <n v="20.8"/>
    <n v="1025.8710000000001"/>
    <n v="35306.562303999999"/>
  </r>
  <r>
    <s v="ORD-2024-389336"/>
    <d v="2024-05-20T00:00:00"/>
    <d v="2024-05-20T00:00:00"/>
    <d v="2024-06-02T00:00:00"/>
    <d v="2024-06-02T00:00:00"/>
    <n v="13"/>
    <n v="1"/>
    <s v="05-2024"/>
    <s v="Q2-2024"/>
    <d v="2023-01-02T00:00:00"/>
    <s v="01-2023"/>
    <s v="Americas"/>
    <s v="Canada"/>
    <s v="Vancouver"/>
    <s v="Vancouver"/>
    <s v="Enterprise"/>
    <s v="Marketplace"/>
    <s v="Marketplace"/>
    <s v="K. Singh"/>
    <s v="K. Singh"/>
    <x v="0"/>
    <s v="Medium"/>
    <s v="CMP-5946"/>
    <s v="A"/>
    <n v="675.43"/>
    <n v="996.36"/>
    <n v="996.36"/>
    <n v="0.182"/>
    <n v="0.182"/>
    <n v="0"/>
    <n v="22"/>
    <n v="17930.494560000003"/>
    <n v="14859.46"/>
    <n v="3071.0345600000037"/>
    <n v="0.17127439233332575"/>
    <n v="6795064.8540700004"/>
    <n v="0.62079379976901505"/>
    <n v="0.182"/>
    <n v="28.6"/>
    <n v="742.97299999999996"/>
    <n v="23309.642928000001"/>
  </r>
  <r>
    <s v="ORD-2024-201376"/>
    <d v="2024-02-18T00:00:00"/>
    <d v="2024-02-18T00:00:00"/>
    <d v="2024-03-04T00:00:00"/>
    <d v="2024-03-04T00:00:00"/>
    <n v="15"/>
    <n v="1"/>
    <s v="02-2024"/>
    <s v="Q1-2024"/>
    <d v="2023-01-20T00:00:00"/>
    <s v="01-2023"/>
    <s v="Africa"/>
    <s v="Kenya"/>
    <s v="Kisumu"/>
    <s v="Kisumu"/>
    <s v="Education"/>
    <s v="Direct"/>
    <s v="Direct"/>
    <s v="K. Singh"/>
    <s v="K. Singh"/>
    <x v="5"/>
    <s v="High"/>
    <s v="PRN-7089"/>
    <s v="A"/>
    <n v="928.68"/>
    <n v="2145.17"/>
    <n v="2145.17"/>
    <n v="0.13600000000000001"/>
    <n v="0.13600000000000001"/>
    <n v="0"/>
    <n v="16"/>
    <n v="29654.83008"/>
    <n v="14858.88"/>
    <n v="14795.950080000001"/>
    <n v="0.49893896003062177"/>
    <n v="6824719.6841500001"/>
    <n v="0.62350305053294863"/>
    <n v="0.13600000000000001"/>
    <n v="20.8"/>
    <n v="1021.548"/>
    <n v="38551.279104000001"/>
  </r>
  <r>
    <s v="ORD-2024-909942"/>
    <d v="2024-06-09T00:00:00"/>
    <d v="2024-06-09T00:00:00"/>
    <d v="2024-07-07T00:00:00"/>
    <d v="2024-07-07T00:00:00"/>
    <n v="28"/>
    <n v="0"/>
    <s v="06-2024"/>
    <s v="Q2-2024"/>
    <d v="2023-01-12T00:00:00"/>
    <s v="01-2023"/>
    <s v="Asia"/>
    <s v="China"/>
    <s v="Shenzhen"/>
    <s v="Shenzhen"/>
    <s v="Corporate"/>
    <s v="Online"/>
    <s v="Online"/>
    <s v="J. Njeri"/>
    <s v="J. Njeri"/>
    <x v="0"/>
    <s v="Medium"/>
    <s v="CMP-6392"/>
    <s v="A"/>
    <n v="550.22"/>
    <n v="1025.05"/>
    <n v="1025.05"/>
    <n v="0"/>
    <n v="0"/>
    <n v="0"/>
    <n v="27"/>
    <n v="27676.35"/>
    <n v="14855.94"/>
    <n v="12820.409999999998"/>
    <n v="0.46322618408858102"/>
    <n v="6852396.0341499997"/>
    <n v="0.62603154832498165"/>
    <n v="0"/>
    <n v="35.1"/>
    <n v="605.24200000000008"/>
    <n v="35979.254999999997"/>
  </r>
  <r>
    <s v="ORD-2024-210687"/>
    <d v="2024-01-28T00:00:00"/>
    <d v="2024-01-28T00:00:00"/>
    <d v="2024-02-09T00:00:00"/>
    <d v="2024-02-09T00:00:00"/>
    <n v="12"/>
    <n v="0"/>
    <s v="01-2024"/>
    <s v="Q1-2024"/>
    <d v="2023-01-21T00:00:00"/>
    <s v="01-2023"/>
    <s v="Europe"/>
    <s v="Germany"/>
    <s v="Berlin"/>
    <s v="Berlin"/>
    <s v="Corporate"/>
    <s v="Online"/>
    <s v="Online"/>
    <s v="G. Dubois"/>
    <s v="G. Dubois"/>
    <x v="1"/>
    <s v="Low"/>
    <s v="ACC-7938"/>
    <s v="A"/>
    <n v="644.16999999999996"/>
    <n v="700.12"/>
    <n v="700.12"/>
    <n v="6.0000000000000001E-3"/>
    <n v="6.0000000000000001E-3"/>
    <n v="0"/>
    <n v="23"/>
    <n v="16006.14344"/>
    <n v="14815.91"/>
    <n v="1190.23344"/>
    <n v="7.436103796405813E-2"/>
    <n v="6868402.1775899995"/>
    <n v="0.62749386175673849"/>
    <n v="6.0000000000000001E-3"/>
    <n v="29.900000000000002"/>
    <n v="708.58699999999999"/>
    <n v="20807.986472000004"/>
  </r>
  <r>
    <s v="ORD-2023-126505"/>
    <d v="2023-12-19T00:00:00"/>
    <d v="2023-12-19T00:00:00"/>
    <d v="2024-01-01T00:00:00"/>
    <d v="2024-01-01T00:00:00"/>
    <n v="13"/>
    <n v="1"/>
    <s v="12-2023"/>
    <s v="Q4-2023"/>
    <d v="2023-01-02T00:00:00"/>
    <s v="01-2023"/>
    <s v="Americas"/>
    <s v="Canada"/>
    <s v="Toronto"/>
    <s v="Toronto"/>
    <s v="Enterprise"/>
    <s v="Retail"/>
    <s v="Retail"/>
    <s v="K. Singh"/>
    <s v="K. Singh"/>
    <x v="2"/>
    <s v="Medium"/>
    <s v="MON-6065"/>
    <s v="A"/>
    <n v="856.1"/>
    <n v="901.48"/>
    <n v="901.48"/>
    <n v="5.6000000000000001E-2"/>
    <n v="5.6000000000000001E-2"/>
    <n v="0"/>
    <n v="17"/>
    <n v="14466.95104"/>
    <n v="14553.7"/>
    <n v="86.748960000000807"/>
    <n v="5.9963540182134192E-3"/>
    <n v="6882869.1286299992"/>
    <n v="0.62881555532406541"/>
    <n v="5.6000000000000001E-2"/>
    <n v="22.1"/>
    <n v="941.71000000000015"/>
    <n v="18807.036352000003"/>
  </r>
  <r>
    <s v="ORD-2024-277241"/>
    <d v="2024-01-28T00:00:00"/>
    <d v="2024-01-28T00:00:00"/>
    <d v="2024-01-30T00:00:00"/>
    <d v="2024-01-30T00:00:00"/>
    <n v="2"/>
    <n v="1"/>
    <s v="01-2024"/>
    <s v="Q1-2024"/>
    <d v="2023-01-07T00:00:00"/>
    <s v="01-2023"/>
    <s v="Africa"/>
    <s v="South Africa"/>
    <s v="Cape Town"/>
    <s v="Cape Town"/>
    <s v="Consumer"/>
    <s v="Direct"/>
    <s v="Direct"/>
    <s v="F. Müller"/>
    <s v="F. Müller"/>
    <x v="1"/>
    <s v="Medium"/>
    <s v="ACC-6223"/>
    <s v="A"/>
    <n v="798.45"/>
    <n v="1592.02"/>
    <n v="1592.02"/>
    <n v="6.6000000000000003E-2"/>
    <n v="6.6000000000000003E-2"/>
    <n v="0"/>
    <n v="18"/>
    <n v="26765.040239999998"/>
    <n v="14372.1"/>
    <n v="12392.940239999998"/>
    <n v="0.46302714768494585"/>
    <n v="6909634.1688699992"/>
    <n v="0.63126079630239229"/>
    <n v="6.6000000000000003E-2"/>
    <n v="23.400000000000002"/>
    <n v="878.29500000000007"/>
    <n v="34794.552312"/>
  </r>
  <r>
    <s v="ORD-2024-571797"/>
    <d v="2024-07-11T00:00:00"/>
    <d v="2024-07-11T00:00:00"/>
    <d v="2024-07-31T00:00:00"/>
    <d v="2024-07-31T00:00:00"/>
    <n v="20"/>
    <n v="1"/>
    <s v="07-2024"/>
    <s v="Q3-2024"/>
    <d v="2023-01-12T00:00:00"/>
    <s v="01-2023"/>
    <s v="Asia"/>
    <s v="China"/>
    <s v="Shenzhen"/>
    <s v="Shenzhen"/>
    <s v="Consumer"/>
    <s v="Online"/>
    <s v="Online"/>
    <s v="G. Dubois"/>
    <s v="G. Dubois"/>
    <x v="6"/>
    <s v="Medium"/>
    <s v="PHN-7815"/>
    <s v="A"/>
    <n v="647.26"/>
    <n v="1374.72"/>
    <n v="1374.72"/>
    <n v="6.6000000000000003E-2"/>
    <n v="6.6000000000000003E-2"/>
    <n v="0"/>
    <n v="22"/>
    <n v="28247.74656"/>
    <n v="14239.72"/>
    <n v="14008.02656"/>
    <n v="0.49589890401508901"/>
    <n v="6937881.9154299991"/>
    <n v="0.63384149660452271"/>
    <n v="6.6000000000000003E-2"/>
    <n v="28.6"/>
    <n v="711.9860000000001"/>
    <n v="36722.070528000004"/>
  </r>
  <r>
    <s v="ORD-2024-355095"/>
    <d v="2024-01-02T00:00:00"/>
    <d v="2024-01-02T00:00:00"/>
    <d v="2024-01-02T00:00:00"/>
    <d v="2024-01-02T00:00:00"/>
    <n v="0"/>
    <n v="0"/>
    <s v="01-2024"/>
    <s v="Q1-2024"/>
    <d v="2023-01-02T00:00:00"/>
    <s v="01-2023"/>
    <s v="Americas"/>
    <s v="Canada"/>
    <s v="Vancouver"/>
    <s v="Vancouver"/>
    <s v="Education"/>
    <s v="Direct"/>
    <s v="Direct"/>
    <s v="A. Patel"/>
    <s v="A. Patel"/>
    <x v="3"/>
    <s v="Low"/>
    <s v="LAP-3581"/>
    <s v="A"/>
    <n v="444.41"/>
    <n v="754.24"/>
    <n v="754.24"/>
    <n v="0.20699999999999999"/>
    <n v="0.20699999999999999"/>
    <n v="1"/>
    <n v="32"/>
    <n v="19139.594240000002"/>
    <n v="14221.12"/>
    <n v="4918.4742400000014"/>
    <n v="0.25697902360546598"/>
    <n v="6957021.5096699987"/>
    <n v="0.63559008056795163"/>
    <n v="0.2"/>
    <n v="41.6"/>
    <n v="488.85100000000006"/>
    <n v="25101.107200000002"/>
  </r>
  <r>
    <s v="ORD-2023-867285"/>
    <d v="2023-04-12T00:00:00"/>
    <d v="2023-04-12T00:00:00"/>
    <d v="2023-04-17T00:00:00"/>
    <d v="2023-04-17T00:00:00"/>
    <n v="5"/>
    <n v="0"/>
    <s v="04-2023"/>
    <s v="Q2-2023"/>
    <d v="2023-01-10T00:00:00"/>
    <s v="01-2023"/>
    <s v="Europe"/>
    <s v="France"/>
    <s v="Lyon"/>
    <s v="Lyon"/>
    <s v="Enterprise"/>
    <s v="Direct"/>
    <s v="Direct"/>
    <s v="E. Garcia"/>
    <s v="E. Garcia"/>
    <x v="2"/>
    <s v="High"/>
    <s v="MON-3043"/>
    <s v="A"/>
    <n v="1087.81"/>
    <n v="2323.87"/>
    <n v="2323.87"/>
    <n v="9.4E-2"/>
    <n v="9.4E-2"/>
    <n v="0"/>
    <n v="13"/>
    <n v="27370.540859999997"/>
    <n v="14141.529999999999"/>
    <n v="13229.010859999999"/>
    <n v="0.48333026839572651"/>
    <n v="6984392.0505299987"/>
    <n v="0.63809063978660796"/>
    <n v="9.4E-2"/>
    <n v="16.900000000000002"/>
    <n v="1196.5910000000001"/>
    <n v="35581.703118000005"/>
  </r>
  <r>
    <s v="ORD-2023-640022"/>
    <d v="2023-08-24T00:00:00"/>
    <d v="2023-08-24T00:00:00"/>
    <d v="2023-09-20T00:00:00"/>
    <d v="2023-09-20T00:00:00"/>
    <n v="27"/>
    <n v="1"/>
    <s v="08-2023"/>
    <s v="Q3-2023"/>
    <d v="2023-01-07T00:00:00"/>
    <s v="01-2023"/>
    <s v="Africa"/>
    <s v="South Africa"/>
    <s v="Durban"/>
    <s v="Durban"/>
    <s v="Small Business"/>
    <s v="Marketplace"/>
    <s v="Marketplace"/>
    <s v="M. Rossi"/>
    <s v="M. Rossi"/>
    <x v="5"/>
    <s v="High"/>
    <s v="PRN-4732"/>
    <s v="A"/>
    <n v="1399.64"/>
    <n v="3342.11"/>
    <n v="3342.11"/>
    <n v="0"/>
    <n v="0"/>
    <n v="0"/>
    <n v="10"/>
    <n v="33421.1"/>
    <n v="13996.400000000001"/>
    <n v="19424.699999999997"/>
    <n v="0.58121067229983447"/>
    <n v="7017813.1505299984"/>
    <n v="0.64114397512733445"/>
    <n v="0"/>
    <n v="13"/>
    <n v="1539.6040000000003"/>
    <n v="43447.43"/>
  </r>
  <r>
    <s v="ORD-2025-332931"/>
    <d v="2025-02-15T00:00:00"/>
    <d v="2025-02-15T00:00:00"/>
    <d v="2025-03-01T00:00:00"/>
    <d v="2025-03-01T00:00:00"/>
    <n v="14"/>
    <n v="0"/>
    <s v="02-2025"/>
    <s v="Q1-2025"/>
    <d v="2023-01-20T00:00:00"/>
    <s v="01-2023"/>
    <s v="Africa"/>
    <s v="Kenya"/>
    <s v="Mombasa"/>
    <s v="Mombasa"/>
    <s v="Education"/>
    <s v="Direct"/>
    <s v="Direct"/>
    <s v="L. Okafor"/>
    <s v="L. Okafor"/>
    <x v="1"/>
    <s v="Medium"/>
    <s v="ACC-5144"/>
    <s v="A"/>
    <n v="1162.8599999999999"/>
    <n v="1447.68"/>
    <n v="1447.68"/>
    <n v="8.6999999999999994E-2"/>
    <n v="8.6999999999999994E-2"/>
    <n v="0"/>
    <n v="12"/>
    <n v="15860.782080000001"/>
    <n v="13954.32"/>
    <n v="1906.4620800000012"/>
    <n v="0.12019975247021369"/>
    <n v="7033673.9326099986"/>
    <n v="0.64259300841637712"/>
    <n v="8.6999999999999994E-2"/>
    <n v="15.600000000000001"/>
    <n v="1279.146"/>
    <n v="20619.016704000005"/>
  </r>
  <r>
    <s v="ORD-2024-155337"/>
    <d v="2024-05-21T00:00:00"/>
    <d v="2024-05-21T00:00:00"/>
    <d v="2024-05-27T00:00:00"/>
    <d v="2024-05-27T00:00:00"/>
    <n v="6"/>
    <n v="1"/>
    <s v="05-2024"/>
    <s v="Q2-2024"/>
    <d v="2023-01-07T00:00:00"/>
    <s v="01-2023"/>
    <s v="Africa"/>
    <s v="South Africa"/>
    <s v="Johannesburg"/>
    <s v="Johannesburg"/>
    <s v="Non-Profit"/>
    <s v="Online"/>
    <s v="Online"/>
    <s v="M. Rossi"/>
    <s v="M. Rossi"/>
    <x v="0"/>
    <s v="Medium"/>
    <s v="CMP-8101"/>
    <s v="A"/>
    <n v="1157.51"/>
    <n v="1394.3"/>
    <n v="1394.3"/>
    <n v="0.27800000000000002"/>
    <n v="0.27800000000000002"/>
    <n v="1"/>
    <n v="12"/>
    <n v="12080.215199999999"/>
    <n v="13890.119999999999"/>
    <n v="1809.9048000000003"/>
    <n v="0.14982388724333326"/>
    <n v="7045754.1478099991"/>
    <n v="0.643696650965358"/>
    <n v="0.2"/>
    <n v="15.600000000000001"/>
    <n v="1273.2610000000002"/>
    <n v="17400.864000000001"/>
  </r>
  <r>
    <s v="ORD-2024-197852"/>
    <d v="2024-02-29T00:00:00"/>
    <d v="2024-02-29T00:00:00"/>
    <d v="2024-03-30T00:00:00"/>
    <d v="2024-03-30T00:00:00"/>
    <n v="30"/>
    <n v="0"/>
    <s v="02-2024"/>
    <s v="Q1-2024"/>
    <d v="2023-03-03T00:00:00"/>
    <s v="03-2023"/>
    <s v="Asia"/>
    <s v="Japan"/>
    <s v="Nagoya"/>
    <s v="Nagoya"/>
    <s v="Small Business"/>
    <s v="Direct"/>
    <s v="Direct"/>
    <s v="I. Johnson"/>
    <s v="I. Johnson"/>
    <x v="4"/>
    <s v="Low"/>
    <s v="NET-7588"/>
    <s v="A"/>
    <n v="231.11"/>
    <n v="318.17"/>
    <n v="318.17"/>
    <n v="0.20100000000000001"/>
    <n v="0.20100000000000001"/>
    <n v="1"/>
    <n v="60"/>
    <n v="15253.069799999999"/>
    <n v="13866.6"/>
    <n v="1386.4697999999989"/>
    <n v="9.0897754889969692E-2"/>
    <n v="7061007.2176099988"/>
    <n v="0.64509016395789576"/>
    <n v="0.2"/>
    <n v="78"/>
    <n v="254.22100000000003"/>
    <n v="19853.808000000005"/>
  </r>
  <r>
    <s v="ORD-2024-921935"/>
    <d v="2024-01-01T00:00:00"/>
    <d v="2024-01-01T00:00:00"/>
    <d v="2024-01-27T00:00:00"/>
    <d v="2024-01-27T00:00:00"/>
    <n v="26"/>
    <n v="0"/>
    <s v="01-2024"/>
    <s v="Q1-2024"/>
    <d v="2023-01-19T00:00:00"/>
    <s v="01-2023"/>
    <s v="Europe"/>
    <s v="United Kingdom"/>
    <s v="Manchester"/>
    <s v="Manchester"/>
    <s v="Education"/>
    <s v="Distributor"/>
    <s v="Distributor"/>
    <s v="D. Smith"/>
    <s v="D. Smith"/>
    <x v="1"/>
    <s v="Medium"/>
    <s v="ACC-3103"/>
    <s v="A"/>
    <n v="657.45"/>
    <n v="1325.96"/>
    <n v="1325.96"/>
    <n v="0.16700000000000001"/>
    <n v="0.16700000000000001"/>
    <n v="0"/>
    <n v="21"/>
    <n v="23195.01828"/>
    <n v="13806.45"/>
    <n v="9388.5682799999995"/>
    <n v="0.40476658249048808"/>
    <n v="7084202.2358899992"/>
    <n v="0.64720924947701763"/>
    <n v="0.16700000000000001"/>
    <n v="27.3"/>
    <n v="723.19500000000016"/>
    <n v="30153.523763999998"/>
  </r>
  <r>
    <s v="ORD-2024-465898"/>
    <d v="2024-06-06T00:00:00"/>
    <d v="2024-06-06T00:00:00"/>
    <d v="2024-06-24T00:00:00"/>
    <d v="2024-06-24T00:00:00"/>
    <n v="18"/>
    <n v="0"/>
    <s v="06-2024"/>
    <s v="Q2-2024"/>
    <d v="2023-01-29T00:00:00"/>
    <s v="01-2023"/>
    <s v="Asia"/>
    <s v="India"/>
    <s v="Bengaluru"/>
    <s v="Bengaluru"/>
    <s v="Small Business"/>
    <s v="Direct"/>
    <s v="Direct"/>
    <s v="H. Kim"/>
    <s v="H. Kim"/>
    <x v="4"/>
    <s v="High"/>
    <s v="NET-6578"/>
    <s v="A"/>
    <n v="1253.25"/>
    <n v="3087.13"/>
    <n v="3087.13"/>
    <n v="7.1999999999999995E-2"/>
    <n v="7.1999999999999995E-2"/>
    <n v="0"/>
    <n v="11"/>
    <n v="31513.423040000001"/>
    <n v="13785.75"/>
    <n v="17727.673040000001"/>
    <n v="0.562543555408064"/>
    <n v="7115715.658929999"/>
    <n v="0.65008830038423771"/>
    <n v="7.1999999999999995E-2"/>
    <n v="14.3"/>
    <n v="1378.575"/>
    <n v="40967.449952000003"/>
  </r>
  <r>
    <s v="ORD-2024-687100"/>
    <d v="2024-09-10T00:00:00"/>
    <d v="2024-09-10T00:00:00"/>
    <d v="2024-10-07T00:00:00"/>
    <d v="2024-10-07T00:00:00"/>
    <n v="27"/>
    <n v="0"/>
    <s v="09-2024"/>
    <s v="Q3-2024"/>
    <d v="2023-01-20T00:00:00"/>
    <s v="01-2023"/>
    <s v="Africa"/>
    <s v="Kenya"/>
    <s v="Kisumu"/>
    <s v="Kisumu"/>
    <s v="Consumer"/>
    <s v="Retail"/>
    <s v="Retail"/>
    <s v="L. Okafor"/>
    <s v="L. Okafor"/>
    <x v="5"/>
    <s v="High"/>
    <s v="PRN-6068"/>
    <s v="A"/>
    <n v="1248.3900000000001"/>
    <n v="1805.11"/>
    <n v="1805.11"/>
    <n v="0.20300000000000001"/>
    <n v="0.20300000000000001"/>
    <n v="1"/>
    <n v="11"/>
    <n v="15825.399369999997"/>
    <n v="13732.29"/>
    <n v="2093.1093699999965"/>
    <n v="0.13226265707820786"/>
    <n v="7131541.0582999988"/>
    <n v="0.65153410112621002"/>
    <n v="0.2"/>
    <n v="14.3"/>
    <n v="1373.2290000000003"/>
    <n v="20650.458400000003"/>
  </r>
  <r>
    <s v="ORD-2024-286833"/>
    <d v="2024-08-14T00:00:00"/>
    <d v="2024-08-14T00:00:00"/>
    <d v="2024-09-04T00:00:00"/>
    <d v="2024-09-04T00:00:00"/>
    <n v="21"/>
    <n v="0"/>
    <s v="08-2024"/>
    <s v="Q3-2024"/>
    <d v="2023-01-19T00:00:00"/>
    <s v="01-2023"/>
    <s v="Europe"/>
    <s v="United Kingdom"/>
    <s v="Manchester"/>
    <s v="Manchester"/>
    <s v="Non-Profit"/>
    <s v="Online"/>
    <s v="Online"/>
    <s v="J. Njeri"/>
    <s v="J. Njeri"/>
    <x v="6"/>
    <s v="High"/>
    <s v="PHN-2341"/>
    <s v="A"/>
    <n v="1138.8"/>
    <n v="2250.81"/>
    <n v="2250.81"/>
    <n v="0.123"/>
    <n v="0.123"/>
    <n v="0"/>
    <n v="12"/>
    <n v="23687.524440000001"/>
    <n v="13665.599999999999"/>
    <n v="10021.924440000003"/>
    <n v="0.42308872188756258"/>
    <n v="7155228.5827399986"/>
    <n v="0.65369818176709182"/>
    <n v="0.123"/>
    <n v="15.600000000000001"/>
    <n v="1252.68"/>
    <n v="30793.781772000006"/>
  </r>
  <r>
    <s v="ORD-2024-594592"/>
    <d v="2024-04-06T00:00:00"/>
    <d v="2024-04-06T00:00:00"/>
    <d v="2024-04-25T00:00:00"/>
    <d v="2024-04-25T00:00:00"/>
    <n v="19"/>
    <n v="0"/>
    <s v="04-2024"/>
    <s v="Q2-2024"/>
    <d v="2023-01-12T00:00:00"/>
    <s v="01-2023"/>
    <s v="Asia"/>
    <s v="China"/>
    <s v="Shanghai"/>
    <s v="Shanghai"/>
    <s v="Corporate"/>
    <s v="Retail"/>
    <s v="Retail"/>
    <s v="K. Singh"/>
    <s v="K. Singh"/>
    <x v="0"/>
    <s v="High"/>
    <s v="CMP-8196"/>
    <s v="A"/>
    <n v="1366.48"/>
    <n v="1678.14"/>
    <n v="1678.14"/>
    <n v="0.154"/>
    <n v="0.154"/>
    <n v="0"/>
    <n v="10"/>
    <n v="14197.064400000001"/>
    <n v="13664.8"/>
    <n v="532.26440000000184"/>
    <n v="3.7491159087790132E-2"/>
    <n v="7169425.6471399982"/>
    <n v="0.65499521862306265"/>
    <n v="0.154"/>
    <n v="13"/>
    <n v="1503.1280000000002"/>
    <n v="18456.183720000001"/>
  </r>
  <r>
    <s v="ORD-2024-655710"/>
    <d v="2024-11-30T00:00:00"/>
    <d v="2024-11-30T00:00:00"/>
    <d v="2024-12-10T00:00:00"/>
    <d v="2024-12-10T00:00:00"/>
    <n v="10"/>
    <n v="1"/>
    <s v="11-2024"/>
    <s v="Q4-2024"/>
    <d v="2023-01-29T00:00:00"/>
    <s v="01-2023"/>
    <s v="Asia"/>
    <s v="India"/>
    <s v="Hyderabad"/>
    <s v="Hyderabad"/>
    <s v="Small Business"/>
    <s v="Retail"/>
    <s v="Retail"/>
    <s v="F. Müller"/>
    <s v="F. Müller"/>
    <x v="1"/>
    <s v="Medium"/>
    <s v="ACC-1075"/>
    <s v="A"/>
    <n v="851.49"/>
    <n v="901.79"/>
    <n v="901.79"/>
    <n v="0.245"/>
    <n v="0.245"/>
    <n v="1"/>
    <n v="16"/>
    <n v="10893.6232"/>
    <n v="13623.84"/>
    <n v="2730.2168000000001"/>
    <n v="0.25062522816100341"/>
    <n v="7180319.2703399984"/>
    <n v="0.65599045470760564"/>
    <n v="0.2"/>
    <n v="20.8"/>
    <n v="936.63900000000012"/>
    <n v="15005.785600000001"/>
  </r>
  <r>
    <s v="ORD-2024-553449"/>
    <d v="2024-08-27T00:00:00"/>
    <d v="2024-08-27T00:00:00"/>
    <d v="2024-09-18T00:00:00"/>
    <d v="2024-09-18T00:00:00"/>
    <n v="22"/>
    <n v="0"/>
    <s v="08-2024"/>
    <s v="Q3-2024"/>
    <d v="2023-01-29T00:00:00"/>
    <s v="01-2023"/>
    <s v="Asia"/>
    <s v="India"/>
    <s v="Delhi"/>
    <s v="Delhi"/>
    <s v="Consumer"/>
    <s v="Direct"/>
    <s v="Direct"/>
    <s v="B. Chen"/>
    <s v="B. Chen"/>
    <x v="0"/>
    <s v="High"/>
    <s v="CMP-3875"/>
    <s v="A"/>
    <n v="896.75"/>
    <n v="1651.14"/>
    <n v="1651.14"/>
    <n v="2.5000000000000001E-2"/>
    <n v="2.5000000000000001E-2"/>
    <n v="0"/>
    <n v="15"/>
    <n v="24147.922500000001"/>
    <n v="13451.25"/>
    <n v="10696.672500000001"/>
    <n v="0.44296450346815552"/>
    <n v="7204467.1928399988"/>
    <n v="0.65819659708994416"/>
    <n v="2.5000000000000001E-2"/>
    <n v="19.5"/>
    <n v="986.42500000000007"/>
    <n v="31392.299250000004"/>
  </r>
  <r>
    <s v="ORD-2023-638181"/>
    <d v="2023-05-20T00:00:00"/>
    <d v="2023-05-20T00:00:00"/>
    <d v="2023-06-07T00:00:00"/>
    <d v="2023-06-07T00:00:00"/>
    <n v="18"/>
    <n v="0"/>
    <s v="05-2023"/>
    <s v="Q2-2023"/>
    <d v="2023-01-13T00:00:00"/>
    <s v="01-2023"/>
    <s v="Africa"/>
    <s v="Nigeria"/>
    <s v="Port Harcourt"/>
    <s v="Port Harcourt"/>
    <s v="Enterprise"/>
    <s v="Distributor"/>
    <s v="Distributor"/>
    <s v="E. Garcia"/>
    <s v="E. Garcia"/>
    <x v="0"/>
    <s v="High"/>
    <s v="CMP-4630"/>
    <s v="A"/>
    <n v="1120.06"/>
    <n v="2068.21"/>
    <n v="2068.21"/>
    <n v="7.8E-2"/>
    <n v="7.8E-2"/>
    <n v="0"/>
    <n v="12"/>
    <n v="22882.675440000003"/>
    <n v="13440.72"/>
    <n v="9441.9554400000034"/>
    <n v="0.41262462795303284"/>
    <n v="7227349.8682799991"/>
    <n v="0.66028714712005465"/>
    <n v="7.8E-2"/>
    <n v="15.600000000000001"/>
    <n v="1232.066"/>
    <n v="29747.478072000005"/>
  </r>
  <r>
    <s v="ORD-2024-566589"/>
    <d v="2024-06-11T00:00:00"/>
    <d v="2024-06-11T00:00:00"/>
    <d v="2024-07-09T00:00:00"/>
    <d v="2024-07-09T00:00:00"/>
    <n v="28"/>
    <n v="0"/>
    <s v="06-2024"/>
    <s v="Q2-2024"/>
    <d v="2023-01-13T00:00:00"/>
    <s v="01-2023"/>
    <s v="Africa"/>
    <s v="Nigeria"/>
    <s v="Port Harcourt"/>
    <s v="Port Harcourt"/>
    <s v="Corporate"/>
    <s v="Marketplace"/>
    <s v="Marketplace"/>
    <s v="I. Johnson"/>
    <s v="I. Johnson"/>
    <x v="6"/>
    <s v="Medium"/>
    <s v="PHN-2436"/>
    <s v="A"/>
    <n v="895.54"/>
    <n v="1045"/>
    <n v="1045"/>
    <n v="0.216"/>
    <n v="0.216"/>
    <n v="1"/>
    <n v="15"/>
    <n v="12289.2"/>
    <n v="13433.099999999999"/>
    <n v="1143.8999999999978"/>
    <n v="9.3081730299775234E-2"/>
    <n v="7239639.0682799993"/>
    <n v="0.66140988241809262"/>
    <n v="0.2"/>
    <n v="19.5"/>
    <n v="985.09400000000005"/>
    <n v="16302"/>
  </r>
  <r>
    <s v="ORD-2025-146850"/>
    <d v="2025-01-21T00:00:00"/>
    <d v="2025-01-21T00:00:00"/>
    <d v="2025-02-14T00:00:00"/>
    <d v="2025-02-14T00:00:00"/>
    <n v="24"/>
    <n v="0"/>
    <s v="01-2025"/>
    <s v="Q1-2025"/>
    <d v="2023-01-20T00:00:00"/>
    <s v="01-2023"/>
    <s v="Africa"/>
    <s v="Kenya"/>
    <s v="Nairobi"/>
    <s v="Nairobi"/>
    <s v="Small Business"/>
    <s v="Retail"/>
    <s v="Retail"/>
    <s v="J. Njeri"/>
    <s v="J. Njeri"/>
    <x v="1"/>
    <s v="High"/>
    <s v="ACC-1659"/>
    <s v="A"/>
    <n v="1030.44"/>
    <n v="2562.84"/>
    <n v="2562.84"/>
    <n v="0.14799999999999999"/>
    <n v="0.14799999999999999"/>
    <n v="0"/>
    <n v="13"/>
    <n v="28386.015839999996"/>
    <n v="13395.720000000001"/>
    <n v="14990.295839999995"/>
    <n v="0.52808734852027039"/>
    <n v="7268025.0841199988"/>
    <n v="0.66400321493397907"/>
    <n v="0.14799999999999999"/>
    <n v="16.900000000000002"/>
    <n v="1133.4840000000002"/>
    <n v="36901.820592000004"/>
  </r>
  <r>
    <s v="ORD-2023-855675"/>
    <d v="2023-02-05T00:00:00"/>
    <d v="2023-02-05T00:00:00"/>
    <d v="2023-02-28T00:00:00"/>
    <d v="2023-02-28T00:00:00"/>
    <n v="23"/>
    <n v="1"/>
    <s v="02-2023"/>
    <s v="Q1-2023"/>
    <d v="2023-01-13T00:00:00"/>
    <s v="01-2023"/>
    <s v="Americas"/>
    <s v="USA"/>
    <s v="Austin"/>
    <s v="Austin"/>
    <s v="Non-Profit"/>
    <s v="Distributor"/>
    <s v="Distributor"/>
    <s v="L. Okafor"/>
    <s v="L. Okafor"/>
    <x v="6"/>
    <s v="Medium"/>
    <s v="PHN-2036"/>
    <s v="A"/>
    <n v="1214.49"/>
    <n v="1533.95"/>
    <n v="1533.95"/>
    <n v="0"/>
    <n v="0"/>
    <n v="0"/>
    <n v="11"/>
    <n v="16873.45"/>
    <n v="13359.39"/>
    <n v="3514.0600000000013"/>
    <n v="0.20825972163369086"/>
    <n v="7284898.534119999"/>
    <n v="0.66554476506862403"/>
    <n v="0"/>
    <n v="14.3"/>
    <n v="1335.9390000000001"/>
    <n v="21935.485000000001"/>
  </r>
  <r>
    <s v="ORD-2024-329104"/>
    <d v="2024-05-23T00:00:00"/>
    <d v="2024-05-23T00:00:00"/>
    <d v="2024-06-14T00:00:00"/>
    <d v="2024-06-14T00:00:00"/>
    <n v="22"/>
    <n v="0"/>
    <s v="05-2024"/>
    <s v="Q2-2024"/>
    <d v="2023-01-10T00:00:00"/>
    <s v="01-2023"/>
    <s v="Europe"/>
    <s v="France"/>
    <s v="Marseille"/>
    <s v="Marseille"/>
    <s v="Small Business"/>
    <s v="Online"/>
    <s v="Online"/>
    <s v="N. Brown"/>
    <s v="N. Brown"/>
    <x v="2"/>
    <s v="High"/>
    <s v="MON-2100"/>
    <s v="A"/>
    <n v="1481.74"/>
    <n v="1848.97"/>
    <n v="1848.97"/>
    <n v="0.254"/>
    <n v="0.254"/>
    <n v="1"/>
    <n v="9"/>
    <n v="12413.98458"/>
    <n v="13335.66"/>
    <n v="921.67541999999958"/>
    <n v="7.4244930309072407E-2"/>
    <n v="7297312.518699999"/>
    <n v="0.66667890062482493"/>
    <n v="0.2"/>
    <n v="11.700000000000001"/>
    <n v="1629.9140000000002"/>
    <n v="17306.359200000003"/>
  </r>
  <r>
    <s v="ORD-2023-883066"/>
    <d v="2023-08-12T00:00:00"/>
    <d v="2023-08-12T00:00:00"/>
    <d v="2023-09-06T00:00:00"/>
    <d v="2023-09-06T00:00:00"/>
    <n v="25"/>
    <n v="0"/>
    <s v="08-2023"/>
    <s v="Q3-2023"/>
    <d v="2023-01-12T00:00:00"/>
    <s v="01-2023"/>
    <s v="Asia"/>
    <s v="China"/>
    <s v="Shanghai"/>
    <s v="Shanghai"/>
    <s v="Small Business"/>
    <s v="Retail"/>
    <s v="Retail"/>
    <s v="B. Chen"/>
    <s v="B. Chen"/>
    <x v="0"/>
    <s v="Low"/>
    <s v="CMP-6352"/>
    <s v="A"/>
    <n v="950.77"/>
    <n v="694.78"/>
    <n v="694.78"/>
    <n v="8.4000000000000005E-2"/>
    <n v="8.4000000000000005E-2"/>
    <n v="0"/>
    <n v="14"/>
    <n v="8909.8587200000002"/>
    <n v="13310.779999999999"/>
    <n v="4400.9212799999987"/>
    <n v="0.49393839097821279"/>
    <n v="7306222.3774199989"/>
    <n v="0.66749290095726932"/>
    <n v="8.4000000000000005E-2"/>
    <n v="18.2"/>
    <n v="1045.847"/>
    <n v="11582.816336"/>
  </r>
  <r>
    <s v="ORD-2023-107265"/>
    <d v="2023-04-22T00:00:00"/>
    <d v="2023-04-22T00:00:00"/>
    <d v="2023-05-14T00:00:00"/>
    <d v="2023-05-14T00:00:00"/>
    <n v="22"/>
    <n v="0"/>
    <s v="04-2023"/>
    <s v="Q2-2023"/>
    <d v="2023-03-03T00:00:00"/>
    <s v="03-2023"/>
    <s v="Asia"/>
    <s v="Japan"/>
    <s v="Nagoya"/>
    <s v="Nagoya"/>
    <s v="Enterprise"/>
    <s v="Retail"/>
    <s v="Retail"/>
    <s v="A. Patel"/>
    <s v="A. Patel"/>
    <x v="1"/>
    <s v="Medium"/>
    <s v="ACC-7713"/>
    <s v="A"/>
    <n v="1209.22"/>
    <n v="1404.33"/>
    <n v="1404.33"/>
    <n v="0.10299999999999999"/>
    <n v="0.10299999999999999"/>
    <n v="0"/>
    <n v="11"/>
    <n v="13856.52411"/>
    <n v="13301.42"/>
    <n v="555.10411000000022"/>
    <n v="4.0060848275751328E-2"/>
    <n v="7320078.9015299985"/>
    <n v="0.66875882621899585"/>
    <n v="0.10299999999999999"/>
    <n v="14.3"/>
    <n v="1330.1420000000001"/>
    <n v="18013.481343000003"/>
  </r>
  <r>
    <s v="ORD-2023-474313"/>
    <d v="2023-10-05T00:00:00"/>
    <d v="2023-10-05T00:00:00"/>
    <d v="2023-10-06T00:00:00"/>
    <d v="2023-10-06T00:00:00"/>
    <n v="1"/>
    <n v="0"/>
    <s v="10-2023"/>
    <s v="Q4-2023"/>
    <d v="2023-01-29T00:00:00"/>
    <s v="01-2023"/>
    <s v="Asia"/>
    <s v="India"/>
    <s v="Bengaluru"/>
    <s v="Bengaluru"/>
    <s v="Non-Profit"/>
    <s v="Online"/>
    <s v="Online"/>
    <s v="I. Johnson"/>
    <s v="I. Johnson"/>
    <x v="0"/>
    <s v="High"/>
    <s v="CMP-4807"/>
    <s v="A"/>
    <n v="1470.26"/>
    <n v="2562.5500000000002"/>
    <n v="2562.5500000000002"/>
    <n v="0.17299999999999999"/>
    <n v="0.17299999999999999"/>
    <n v="0"/>
    <n v="9"/>
    <n v="19073.059649999999"/>
    <n v="13232.34"/>
    <n v="5840.7196499999991"/>
    <n v="0.30622877279157462"/>
    <n v="7339151.9611799987"/>
    <n v="0.67050133161484249"/>
    <n v="0.17299999999999999"/>
    <n v="11.700000000000001"/>
    <n v="1617.2860000000001"/>
    <n v="24794.977545000005"/>
  </r>
  <r>
    <s v="ORD-2025-262434"/>
    <d v="2025-06-19T00:00:00"/>
    <d v="2025-06-19T00:00:00"/>
    <d v="2025-06-21T00:00:00"/>
    <d v="2025-06-21T00:00:00"/>
    <n v="2"/>
    <n v="0"/>
    <s v="06-2025"/>
    <s v="Q2-2025"/>
    <d v="2023-01-07T00:00:00"/>
    <s v="01-2023"/>
    <s v="Africa"/>
    <s v="South Africa"/>
    <s v="Johannesburg"/>
    <s v="Johannesburg"/>
    <s v="Small Business"/>
    <m/>
    <s v="Direct"/>
    <s v="H. Kim"/>
    <s v="H. Kim"/>
    <x v="6"/>
    <s v="High"/>
    <s v="PHN-7379"/>
    <s v="A"/>
    <n v="1466.27"/>
    <n v="3589.89"/>
    <n v="3589.89"/>
    <n v="9.7000000000000003E-2"/>
    <n v="9.7000000000000003E-2"/>
    <n v="0"/>
    <n v="9"/>
    <n v="29175.036029999999"/>
    <n v="13196.43"/>
    <n v="15978.606029999999"/>
    <n v="0.54768076425234147"/>
    <n v="7368326.9972099988"/>
    <n v="0.67316674862916481"/>
    <n v="9.7000000000000003E-2"/>
    <n v="11.700000000000001"/>
    <n v="1612.8970000000002"/>
    <n v="37927.546839000002"/>
  </r>
  <r>
    <s v="ORD-2025-526752"/>
    <d v="2025-06-09T00:00:00"/>
    <d v="2025-06-09T00:00:00"/>
    <d v="2025-06-25T00:00:00"/>
    <d v="2025-06-25T00:00:00"/>
    <n v="16"/>
    <n v="0"/>
    <s v="06-2025"/>
    <s v="Q2-2025"/>
    <d v="2023-01-29T00:00:00"/>
    <s v="01-2023"/>
    <s v="Asia"/>
    <s v="India"/>
    <s v="Hyderabad"/>
    <s v="Hyderabad"/>
    <s v="Enterprise"/>
    <s v="Distributor"/>
    <s v="Distributor"/>
    <s v="M. Rossi"/>
    <s v="M. Rossi"/>
    <x v="6"/>
    <s v="Medium"/>
    <s v="PHN-3482"/>
    <s v="A"/>
    <n v="527.33000000000004"/>
    <n v="911.72"/>
    <n v="911.72"/>
    <n v="0.14399999999999999"/>
    <n v="0.14399999999999999"/>
    <n v="0"/>
    <n v="25"/>
    <n v="19510.808000000001"/>
    <n v="13183.250000000002"/>
    <n v="6327.5579999999991"/>
    <n v="0.32431040272652978"/>
    <n v="7387837.805209999"/>
    <n v="0.67494924650004662"/>
    <n v="0.14399999999999999"/>
    <n v="32.5"/>
    <n v="580.0630000000001"/>
    <n v="25364.0504"/>
  </r>
  <r>
    <s v="ORD-2023-946143"/>
    <d v="2023-03-14T00:00:00"/>
    <d v="2023-03-14T00:00:00"/>
    <d v="2023-03-30T00:00:00"/>
    <d v="2023-03-30T00:00:00"/>
    <n v="16"/>
    <n v="0"/>
    <s v="03-2023"/>
    <s v="Q1-2023"/>
    <d v="2023-01-07T00:00:00"/>
    <s v="01-2023"/>
    <s v="Africa"/>
    <s v="South Africa"/>
    <s v="Cape Town"/>
    <s v="Cape Town"/>
    <s v="Consumer"/>
    <s v="Distributor"/>
    <s v="Distributor"/>
    <s v="K. Singh"/>
    <s v="K. Singh"/>
    <x v="0"/>
    <s v="Medium"/>
    <s v="CMP-8230"/>
    <s v="A"/>
    <n v="1309.77"/>
    <n v="1589.07"/>
    <n v="1589.07"/>
    <n v="0.10199999999999999"/>
    <n v="0.10199999999999999"/>
    <n v="0"/>
    <n v="10"/>
    <n v="14269.848599999999"/>
    <n v="13097.7"/>
    <n v="1172.1485999999986"/>
    <n v="8.2141628328137886E-2"/>
    <n v="7402107.6538099991"/>
    <n v="0.67625293288491117"/>
    <n v="0.10199999999999999"/>
    <n v="13"/>
    <n v="1440.7470000000001"/>
    <n v="18550.803179999999"/>
  </r>
  <r>
    <s v="ORD-2023-841426"/>
    <d v="2023-12-22T00:00:00"/>
    <d v="2023-12-22T00:00:00"/>
    <d v="2023-12-23T00:00:00"/>
    <d v="2023-12-23T00:00:00"/>
    <n v="1"/>
    <n v="0"/>
    <s v="12-2023"/>
    <s v="Q4-2023"/>
    <d v="2023-01-07T00:00:00"/>
    <s v="01-2023"/>
    <s v="Africa"/>
    <s v="South Africa"/>
    <s v="Cape Town"/>
    <s v="Cape Town"/>
    <s v="Non-Profit"/>
    <s v="Marketplace"/>
    <s v="Marketplace"/>
    <s v="D. Smith"/>
    <s v="D. Smith"/>
    <x v="0"/>
    <s v="Medium"/>
    <s v="CMP-4531"/>
    <s v="A"/>
    <n v="1186.18"/>
    <n v="1285.0899999999999"/>
    <n v="1285.0899999999999"/>
    <n v="7.0000000000000007E-2"/>
    <n v="7.0000000000000007E-2"/>
    <n v="0"/>
    <n v="11"/>
    <n v="13146.470699999998"/>
    <n v="13047.980000000001"/>
    <n v="98.49069999999665"/>
    <n v="7.4917977796121861E-3"/>
    <n v="7415254.1245099995"/>
    <n v="0.67745398801457879"/>
    <n v="7.0000000000000007E-2"/>
    <n v="14.3"/>
    <n v="1304.7980000000002"/>
    <n v="17090.411909999999"/>
  </r>
  <r>
    <s v="ORD-2025-939953"/>
    <d v="2025-01-22T00:00:00"/>
    <d v="2025-01-22T00:00:00"/>
    <d v="2025-01-22T00:00:00"/>
    <d v="2025-01-22T00:00:00"/>
    <n v="0"/>
    <n v="1"/>
    <s v="01-2025"/>
    <s v="Q1-2025"/>
    <d v="2023-01-10T00:00:00"/>
    <s v="01-2023"/>
    <s v="Europe"/>
    <s v="France"/>
    <s v="Lyon"/>
    <s v="Lyon"/>
    <s v="Small Business"/>
    <s v="Online"/>
    <s v="Online"/>
    <s v="B. Chen"/>
    <s v="B. Chen"/>
    <x v="1"/>
    <s v="Low"/>
    <s v="ACC-5422"/>
    <s v="A"/>
    <n v="591.72"/>
    <n v="577.24"/>
    <n v="577.24"/>
    <n v="0"/>
    <n v="0"/>
    <n v="0"/>
    <n v="22"/>
    <n v="12699.28"/>
    <n v="13017.84"/>
    <n v="318.55999999999949"/>
    <n v="2.5084886702238195E-2"/>
    <n v="7427953.4045099998"/>
    <n v="0.67861418802073603"/>
    <n v="0"/>
    <n v="28.6"/>
    <n v="650.89200000000005"/>
    <n v="16509.064000000002"/>
  </r>
  <r>
    <s v="ORD-2025-564184"/>
    <d v="2025-01-29T00:00:00"/>
    <d v="2025-01-29T00:00:00"/>
    <d v="2025-02-06T00:00:00"/>
    <d v="2025-02-06T00:00:00"/>
    <n v="8"/>
    <n v="0"/>
    <s v="01-2025"/>
    <s v="Q1-2025"/>
    <d v="2023-01-20T00:00:00"/>
    <s v="01-2023"/>
    <s v="Africa"/>
    <s v="Kenya"/>
    <s v="Kisumu"/>
    <s v="Kisumu"/>
    <s v="Education"/>
    <s v="Retail"/>
    <s v="Retail"/>
    <s v="B. Chen"/>
    <s v="B. Chen"/>
    <x v="6"/>
    <s v="High"/>
    <s v="PHN-1671"/>
    <s v="A"/>
    <n v="1445.27"/>
    <n v="2691.45"/>
    <n v="2691.45"/>
    <n v="0"/>
    <n v="0"/>
    <n v="0"/>
    <n v="9"/>
    <n v="24223.05"/>
    <n v="13007.43"/>
    <n v="11215.619999999999"/>
    <n v="0.46301436028906351"/>
    <n v="7452176.4545099996"/>
    <n v="0.68082719401470948"/>
    <n v="0"/>
    <n v="11.700000000000001"/>
    <n v="1589.797"/>
    <n v="31489.965"/>
  </r>
  <r>
    <s v="ORD-2023-390998"/>
    <d v="2023-04-19T00:00:00"/>
    <d v="2023-04-19T00:00:00"/>
    <d v="2023-04-28T00:00:00"/>
    <d v="2023-04-28T00:00:00"/>
    <n v="9"/>
    <n v="1"/>
    <s v="04-2023"/>
    <s v="Q2-2023"/>
    <d v="2023-01-21T00:00:00"/>
    <s v="01-2023"/>
    <s v="Europe"/>
    <s v="Germany"/>
    <s v="Berlin"/>
    <s v="Berlin"/>
    <s v="Education"/>
    <s v="Online"/>
    <s v="Online"/>
    <s v="E. Garcia"/>
    <s v="E. Garcia"/>
    <x v="2"/>
    <s v="High"/>
    <s v="MON-1663"/>
    <s v="A"/>
    <n v="1178.42"/>
    <n v="2446.56"/>
    <n v="2446.56"/>
    <n v="2.9000000000000001E-2"/>
    <n v="2.9000000000000001E-2"/>
    <n v="0"/>
    <n v="11"/>
    <n v="26131.70736"/>
    <n v="12962.62"/>
    <n v="13169.08736"/>
    <n v="0.5039505141618883"/>
    <n v="7478308.16187"/>
    <n v="0.68321457401105334"/>
    <n v="2.9000000000000001E-2"/>
    <n v="14.3"/>
    <n v="1296.2620000000002"/>
    <n v="33971.219568"/>
  </r>
  <r>
    <s v="ORD-2024-800947"/>
    <d v="2024-12-15T00:00:00"/>
    <d v="2024-12-15T00:00:00"/>
    <d v="2024-12-20T00:00:00"/>
    <d v="2024-12-20T00:00:00"/>
    <n v="5"/>
    <n v="1"/>
    <s v="12-2024"/>
    <s v="Q4-2024"/>
    <d v="2023-01-12T00:00:00"/>
    <s v="01-2023"/>
    <s v="Asia"/>
    <s v="China"/>
    <s v="Shenzhen"/>
    <s v="Shenzhen"/>
    <s v="Small Business"/>
    <s v="Direct"/>
    <s v="Direct"/>
    <s v="J. Njeri"/>
    <s v="J. Njeri"/>
    <x v="4"/>
    <s v="Low"/>
    <s v="NET-1846"/>
    <s v="A"/>
    <n v="717.55"/>
    <n v="546.42999999999995"/>
    <n v="546.42999999999995"/>
    <n v="4.7E-2"/>
    <n v="4.7E-2"/>
    <n v="0"/>
    <n v="18"/>
    <n v="9373.460219999999"/>
    <n v="12915.9"/>
    <n v="3542.4397800000006"/>
    <n v="0.37792231437026369"/>
    <n v="7487681.6220899997"/>
    <n v="0.68407092874966524"/>
    <n v="4.7E-2"/>
    <n v="23.400000000000002"/>
    <n v="789.30500000000006"/>
    <n v="12185.498285999998"/>
  </r>
  <r>
    <s v="ORD-2023-581799"/>
    <d v="2023-12-05T00:00:00"/>
    <d v="2023-12-05T00:00:00"/>
    <d v="2023-12-12T00:00:00"/>
    <d v="2023-12-12T00:00:00"/>
    <n v="7"/>
    <n v="1"/>
    <s v="12-2023"/>
    <s v="Q4-2023"/>
    <d v="2023-01-29T00:00:00"/>
    <s v="01-2023"/>
    <s v="Americas"/>
    <s v="Brazil"/>
    <s v="Brasília"/>
    <s v="Brasília"/>
    <s v="Corporate"/>
    <s v="Direct"/>
    <s v="Direct"/>
    <s v="F. Müller"/>
    <s v="F. Müller"/>
    <x v="6"/>
    <s v="Low"/>
    <s v="PHN-6506"/>
    <s v="A"/>
    <n v="307.43"/>
    <n v="495.19"/>
    <n v="495.19"/>
    <n v="0"/>
    <n v="0"/>
    <n v="0"/>
    <n v="42"/>
    <n v="20797.98"/>
    <n v="12912.06"/>
    <n v="7885.92"/>
    <n v="0.37916759223732305"/>
    <n v="7508479.6020900002"/>
    <n v="0.68597102202456406"/>
    <n v="0"/>
    <n v="54.6"/>
    <n v="338.17300000000006"/>
    <n v="27037.374"/>
  </r>
  <r>
    <s v="ORD-2024-167215"/>
    <d v="2024-08-23T00:00:00"/>
    <d v="2024-08-21T00:00:00"/>
    <d v="2024-08-21T00:00:00"/>
    <d v="2024-08-23T00:00:00"/>
    <n v="2"/>
    <n v="1"/>
    <s v="08-2024"/>
    <s v="Q3-2024"/>
    <d v="2023-01-07T00:00:00"/>
    <s v="01-2023"/>
    <s v="Africa"/>
    <s v="South Africa"/>
    <s v="Johannesburg"/>
    <s v="Johannesburg"/>
    <s v="Education"/>
    <s v="Retail"/>
    <s v="Retail"/>
    <s v="E. Garcia"/>
    <s v="E. Garcia"/>
    <x v="0"/>
    <s v="High"/>
    <s v="CMP-1559"/>
    <s v="A"/>
    <n v="1432.52"/>
    <n v="3036.87"/>
    <n v="3036.87"/>
    <n v="0"/>
    <n v="0"/>
    <n v="0"/>
    <n v="9"/>
    <n v="27331.829999999998"/>
    <n v="12892.68"/>
    <n v="14439.149999999998"/>
    <n v="0.52829064135112791"/>
    <n v="7535811.4320900002"/>
    <n v="0.68846804463799471"/>
    <n v="0"/>
    <n v="11.700000000000001"/>
    <n v="1575.7720000000002"/>
    <n v="35531.379000000001"/>
  </r>
  <r>
    <s v="ORD-2023-139236"/>
    <d v="2023-03-03T00:00:00"/>
    <d v="2023-03-03T00:00:00"/>
    <d v="2023-03-20T00:00:00"/>
    <d v="2023-03-20T00:00:00"/>
    <n v="17"/>
    <n v="0"/>
    <s v="03-2023"/>
    <s v="Q1-2023"/>
    <d v="2023-03-03T00:00:00"/>
    <s v="03-2023"/>
    <s v="Asia"/>
    <s v="Japan"/>
    <s v="Nagoya"/>
    <s v="Nagoya"/>
    <s v="Small Business"/>
    <s v="Online"/>
    <s v="Online"/>
    <s v="D. Smith"/>
    <s v="D. Smith"/>
    <x v="4"/>
    <s v="High"/>
    <s v="NET-7349"/>
    <s v="A"/>
    <n v="1171.17"/>
    <n v="2030.64"/>
    <n v="2030.64"/>
    <n v="0.157"/>
    <n v="0.157"/>
    <n v="0"/>
    <n v="11"/>
    <n v="18830.12472"/>
    <n v="12882.87"/>
    <n v="5947.254719999999"/>
    <n v="0.31583724528830415"/>
    <n v="7554641.55681"/>
    <n v="0.69018835561752157"/>
    <n v="0.157"/>
    <n v="14.3"/>
    <n v="1288.2870000000003"/>
    <n v="24479.162135999999"/>
  </r>
  <r>
    <s v="ORD-2024-605629"/>
    <d v="2024-07-15T00:00:00"/>
    <d v="2024-07-15T00:00:00"/>
    <d v="2024-07-15T00:00:00"/>
    <d v="2024-07-15T00:00:00"/>
    <n v="0"/>
    <n v="1"/>
    <s v="07-2024"/>
    <s v="Q3-2024"/>
    <d v="2023-03-03T00:00:00"/>
    <s v="03-2023"/>
    <s v="Asia"/>
    <s v="Japan"/>
    <s v="Tokyo"/>
    <s v="Tokyo"/>
    <s v="Small Business"/>
    <s v="Marketplace"/>
    <s v="Marketplace"/>
    <s v="G. Dubois"/>
    <s v="G. Dubois"/>
    <x v="1"/>
    <s v="Medium"/>
    <s v="ACC-2735"/>
    <s v="A"/>
    <n v="801.77"/>
    <n v="1218.92"/>
    <n v="1218.92"/>
    <n v="0.254"/>
    <n v="0.254"/>
    <n v="1"/>
    <n v="16"/>
    <n v="14549.029120000001"/>
    <n v="12828.32"/>
    <n v="1720.7091200000013"/>
    <n v="0.11826968698788344"/>
    <n v="7569190.5859300001"/>
    <n v="0.69151754779807084"/>
    <n v="0.2"/>
    <n v="20.8"/>
    <n v="881.947"/>
    <n v="20282.828800000003"/>
  </r>
  <r>
    <s v="ORD-2024-301260"/>
    <d v="2024-07-29T00:00:00"/>
    <d v="2024-07-29T00:00:00"/>
    <d v="2024-07-31T00:00:00"/>
    <d v="2024-07-31T00:00:00"/>
    <n v="2"/>
    <n v="1"/>
    <s v="07-2024"/>
    <s v="Q3-2024"/>
    <d v="2023-01-13T00:00:00"/>
    <s v="01-2023"/>
    <s v="Americas"/>
    <s v="USA"/>
    <s v="New York"/>
    <s v="New York"/>
    <s v="Education"/>
    <s v="Marketplace"/>
    <s v="Marketplace"/>
    <s v="I. Johnson"/>
    <s v="I. Johnson"/>
    <x v="5"/>
    <s v="High"/>
    <s v="PRN-2829"/>
    <s v="A"/>
    <n v="798.97"/>
    <n v="1814.06"/>
    <n v="1814.06"/>
    <n v="0.122"/>
    <n v="0.122"/>
    <n v="0"/>
    <n v="16"/>
    <n v="25483.91488"/>
    <n v="12783.52"/>
    <n v="12700.39488"/>
    <n v="0.49836906691159061"/>
    <n v="7594674.5008100001"/>
    <n v="0.69384574579045188"/>
    <n v="0.122"/>
    <n v="20.8"/>
    <n v="878.86700000000008"/>
    <n v="33129.089344"/>
  </r>
  <r>
    <s v="ORD-2025-931538"/>
    <d v="2025-02-09T00:00:00"/>
    <d v="2025-02-09T00:00:00"/>
    <d v="2025-03-01T00:00:00"/>
    <d v="2025-03-01T00:00:00"/>
    <n v="20"/>
    <n v="0"/>
    <s v="02-2025"/>
    <s v="Q1-2025"/>
    <d v="2023-01-29T00:00:00"/>
    <s v="01-2023"/>
    <s v="Americas"/>
    <s v="Brazil"/>
    <s v="São Paulo"/>
    <s v="São Paulo"/>
    <s v="Corporate"/>
    <s v="Distributor"/>
    <s v="Distributor"/>
    <s v="B. Chen"/>
    <s v="B. Chen"/>
    <x v="3"/>
    <s v="High"/>
    <s v="LAP-6989"/>
    <s v="A"/>
    <n v="1154.6400000000001"/>
    <n v="2794.13"/>
    <n v="2794.13"/>
    <n v="3.5000000000000003E-2"/>
    <n v="3.5000000000000003E-2"/>
    <n v="0"/>
    <n v="11"/>
    <n v="29659.68995"/>
    <n v="12701.04"/>
    <n v="16958.649949999999"/>
    <n v="0.57177435025749479"/>
    <n v="7624334.1907599997"/>
    <n v="0.6965554405497304"/>
    <n v="3.5000000000000003E-2"/>
    <n v="14.3"/>
    <n v="1270.1040000000003"/>
    <n v="38557.596935000001"/>
  </r>
  <r>
    <s v="ORD-2024-766980"/>
    <d v="2024-11-04T00:00:00"/>
    <d v="2024-11-04T00:00:00"/>
    <d v="2024-11-07T00:00:00"/>
    <d v="2024-11-07T00:00:00"/>
    <n v="3"/>
    <n v="1"/>
    <s v="11-2024"/>
    <s v="Q4-2024"/>
    <d v="2023-01-10T00:00:00"/>
    <s v="01-2023"/>
    <s v="Europe"/>
    <s v="France"/>
    <s v="Lyon"/>
    <s v="Lyon"/>
    <s v="Corporate"/>
    <s v="Online"/>
    <s v="Online"/>
    <s v="O. Wang"/>
    <s v="O. Wang"/>
    <x v="2"/>
    <s v="High"/>
    <s v="MON-1118"/>
    <s v="A"/>
    <n v="740.68"/>
    <n v="1837.19"/>
    <n v="1837.19"/>
    <n v="0.19700000000000001"/>
    <n v="0.19700000000000001"/>
    <n v="0"/>
    <n v="17"/>
    <n v="25079.480689999997"/>
    <n v="12591.56"/>
    <n v="12487.920689999997"/>
    <n v="0.4979337827748298"/>
    <n v="7649413.6714499993"/>
    <n v="0.69884668963243102"/>
    <n v="0.19700000000000001"/>
    <n v="22.1"/>
    <n v="814.74800000000005"/>
    <n v="32603.324897000002"/>
  </r>
  <r>
    <s v="ORD-2025-486350"/>
    <d v="2025-05-27T00:00:00"/>
    <d v="2025-05-27T00:00:00"/>
    <d v="2025-06-08T00:00:00"/>
    <d v="2025-06-08T00:00:00"/>
    <n v="12"/>
    <n v="0"/>
    <s v="05-2025"/>
    <s v="Q2-2025"/>
    <d v="2023-03-03T00:00:00"/>
    <s v="03-2023"/>
    <s v="Asia"/>
    <s v="Japan"/>
    <s v="Osaka"/>
    <s v="Osaka"/>
    <s v="Corporate"/>
    <s v="Retail"/>
    <s v="Retail"/>
    <s v="H. Kim"/>
    <s v="H. Kim"/>
    <x v="1"/>
    <s v="Medium"/>
    <s v="ACC-1249"/>
    <s v="A"/>
    <n v="653.6"/>
    <n v="842.09"/>
    <n v="842.09"/>
    <n v="9.8000000000000004E-2"/>
    <n v="9.8000000000000004E-2"/>
    <n v="0"/>
    <n v="19"/>
    <n v="14431.738420000001"/>
    <n v="12418.4"/>
    <n v="2013.3384200000019"/>
    <n v="0.13950768517324622"/>
    <n v="7663845.4098699996"/>
    <n v="0.70016516619202673"/>
    <n v="9.8000000000000004E-2"/>
    <n v="24.7"/>
    <n v="718.96"/>
    <n v="18761.259946000002"/>
  </r>
  <r>
    <s v="ORD-2024-567435"/>
    <d v="2024-04-26T00:00:00"/>
    <d v="2024-04-24T00:00:00"/>
    <d v="2024-04-24T00:00:00"/>
    <d v="2024-04-26T00:00:00"/>
    <n v="2"/>
    <n v="1"/>
    <s v="04-2024"/>
    <s v="Q2-2024"/>
    <d v="2023-01-19T00:00:00"/>
    <s v="01-2023"/>
    <s v="Europe"/>
    <s v="United Kingdom"/>
    <s v="London"/>
    <s v="London"/>
    <s v="Non-Profit"/>
    <s v="Distributor"/>
    <s v="Distributor"/>
    <s v="N. Brown"/>
    <s v="N. Brown"/>
    <x v="6"/>
    <s v="Medium"/>
    <s v="PHN-9107"/>
    <s v="A"/>
    <n v="1232.77"/>
    <n v="891.73"/>
    <n v="891.73"/>
    <n v="0.16700000000000001"/>
    <n v="0.16700000000000001"/>
    <n v="0"/>
    <n v="10"/>
    <n v="7428.1108999999988"/>
    <n v="12327.7"/>
    <n v="4899.589100000002"/>
    <n v="0.65960096260813805"/>
    <n v="7671273.5207699994"/>
    <n v="0.70084379476875835"/>
    <n v="0.16700000000000001"/>
    <n v="13"/>
    <n v="1356.047"/>
    <n v="9656.5441699999992"/>
  </r>
  <r>
    <s v="ORD-2023-281890"/>
    <d v="2023-03-13T00:00:00"/>
    <d v="2023-03-13T00:00:00"/>
    <d v="2023-04-04T00:00:00"/>
    <d v="2023-04-04T00:00:00"/>
    <n v="22"/>
    <n v="0"/>
    <s v="03-2023"/>
    <s v="Q1-2023"/>
    <d v="2023-01-07T00:00:00"/>
    <s v="01-2023"/>
    <s v="Africa"/>
    <s v="South Africa"/>
    <s v="Durban"/>
    <s v="Durban"/>
    <s v="Small Business"/>
    <s v="Retail"/>
    <s v="Retail"/>
    <s v="A. Patel"/>
    <s v="A. Patel"/>
    <x v="0"/>
    <s v="Medium"/>
    <s v="CMP-2574"/>
    <s v="A"/>
    <n v="1113.7"/>
    <n v="1620.6"/>
    <n v="1620.6"/>
    <n v="0.13900000000000001"/>
    <n v="0.13900000000000001"/>
    <n v="0"/>
    <n v="11"/>
    <n v="15348.702599999999"/>
    <n v="12250.7"/>
    <n v="3098.002599999998"/>
    <n v="0.20184133348182787"/>
    <n v="7686622.2233699998"/>
    <n v="0.7022460447271045"/>
    <n v="0.13900000000000001"/>
    <n v="14.3"/>
    <n v="1225.0700000000002"/>
    <n v="19953.31338"/>
  </r>
  <r>
    <s v="ORD-2024-366010"/>
    <d v="2024-01-13T00:00:00"/>
    <d v="2024-01-13T00:00:00"/>
    <d v="2024-02-05T00:00:00"/>
    <d v="2024-02-05T00:00:00"/>
    <n v="23"/>
    <n v="1"/>
    <s v="01-2024"/>
    <s v="Q1-2024"/>
    <d v="2023-01-21T00:00:00"/>
    <s v="01-2023"/>
    <s v="Europe"/>
    <s v="Germany"/>
    <s v="Frankfurt"/>
    <s v="Frankfurt"/>
    <s v="Education"/>
    <s v="Direct"/>
    <s v="Direct"/>
    <s v="B. Chen"/>
    <s v="B. Chen"/>
    <x v="3"/>
    <s v="Medium"/>
    <s v="LAP-9931"/>
    <s v="A"/>
    <n v="1017.93"/>
    <n v="1529.14"/>
    <n v="1529.14"/>
    <n v="0.155"/>
    <n v="0.155"/>
    <n v="0"/>
    <n v="12"/>
    <n v="15505.479600000001"/>
    <n v="12215.16"/>
    <n v="3290.3196000000007"/>
    <n v="0.21220366508366503"/>
    <n v="7702127.70297"/>
    <n v="0.70366261775544869"/>
    <n v="0.155"/>
    <n v="15.600000000000001"/>
    <n v="1119.723"/>
    <n v="20157.123480000002"/>
  </r>
  <r>
    <s v="ORD-2025-246470"/>
    <d v="2025-04-16T00:00:00"/>
    <d v="2025-04-16T00:00:00"/>
    <d v="2025-05-16T00:00:00"/>
    <d v="2025-05-16T00:00:00"/>
    <n v="30"/>
    <n v="0"/>
    <s v="04-2025"/>
    <s v="Q2-2025"/>
    <d v="2023-01-02T00:00:00"/>
    <s v="01-2023"/>
    <s v="Americas"/>
    <s v="Canada"/>
    <s v="Montreal"/>
    <s v="Montreal"/>
    <s v="Enterprise"/>
    <s v="Distributor"/>
    <s v="Distributor"/>
    <s v="K. Singh"/>
    <s v="K. Singh"/>
    <x v="5"/>
    <s v="Low"/>
    <s v="PRN-6178"/>
    <s v="A"/>
    <n v="763.32"/>
    <n v="568.29"/>
    <n v="568.29"/>
    <n v="0.13100000000000001"/>
    <n v="0.13100000000000001"/>
    <n v="0"/>
    <n v="16"/>
    <n v="7901.5041599999995"/>
    <n v="12213.12"/>
    <n v="4311.6158400000013"/>
    <n v="0.54567026134426555"/>
    <n v="7710029.20713"/>
    <n v="0.70438449530874958"/>
    <n v="0.13100000000000001"/>
    <n v="20.8"/>
    <n v="839.65200000000016"/>
    <n v="10271.955408"/>
  </r>
  <r>
    <s v="ORD-2023-172095"/>
    <d v="2023-05-24T00:00:00"/>
    <d v="2023-05-24T00:00:00"/>
    <d v="2023-06-21T00:00:00"/>
    <d v="2023-06-21T00:00:00"/>
    <n v="28"/>
    <n v="0"/>
    <s v="05-2023"/>
    <s v="Q2-2023"/>
    <d v="2023-01-13T00:00:00"/>
    <s v="01-2023"/>
    <s v="Americas"/>
    <s v="USA"/>
    <s v="Austin"/>
    <s v="Austin"/>
    <s v="Small Business"/>
    <s v="Marketplace"/>
    <s v="Marketplace"/>
    <s v="G. Dubois"/>
    <s v="G. Dubois"/>
    <x v="2"/>
    <s v="Medium"/>
    <s v="MON-6882"/>
    <s v="A"/>
    <n v="813.97"/>
    <n v="1568.83"/>
    <n v="1568.83"/>
    <n v="1.7000000000000001E-2"/>
    <n v="1.7000000000000001E-2"/>
    <n v="0"/>
    <n v="15"/>
    <n v="23132.398349999996"/>
    <n v="12209.550000000001"/>
    <n v="10922.848349999995"/>
    <n v="0.4721883215364911"/>
    <n v="7733161.6054800004"/>
    <n v="0.70649785990171088"/>
    <n v="1.7000000000000001E-2"/>
    <n v="19.5"/>
    <n v="895.36700000000008"/>
    <n v="30072.117854999997"/>
  </r>
  <r>
    <s v="ORD-2025-964661"/>
    <d v="2025-02-04T00:00:00"/>
    <d v="2025-02-04T00:00:00"/>
    <d v="2025-02-25T00:00:00"/>
    <d v="2025-02-25T00:00:00"/>
    <n v="21"/>
    <n v="1"/>
    <s v="02-2025"/>
    <s v="Q1-2025"/>
    <d v="2023-01-19T00:00:00"/>
    <s v="01-2023"/>
    <s v="Europe"/>
    <s v="United Kingdom"/>
    <s v="Birmingham"/>
    <s v="Birmingham"/>
    <s v="Corporate"/>
    <s v="Marketplace"/>
    <s v="Marketplace"/>
    <s v="D. Smith"/>
    <s v="D. Smith"/>
    <x v="2"/>
    <s v="High"/>
    <s v="MON-4959"/>
    <s v="A"/>
    <n v="1016.32"/>
    <n v="2253.42"/>
    <n v="2253.42"/>
    <n v="5.5E-2"/>
    <n v="5.5E-2"/>
    <n v="0"/>
    <n v="12"/>
    <n v="25553.782800000001"/>
    <n v="12195.84"/>
    <n v="13357.942800000001"/>
    <n v="0.52273837124419797"/>
    <n v="7758715.3882800005"/>
    <n v="0.70883244099307197"/>
    <n v="5.5E-2"/>
    <n v="15.600000000000001"/>
    <n v="1117.9520000000002"/>
    <n v="33219.917640000007"/>
  </r>
  <r>
    <s v="ORD-2025-289139"/>
    <d v="2025-08-10T00:00:00"/>
    <d v="2025-08-10T00:00:00"/>
    <d v="2025-08-30T00:00:00"/>
    <d v="2025-08-30T00:00:00"/>
    <n v="20"/>
    <n v="0"/>
    <s v="08-2025"/>
    <s v="Q3-2025"/>
    <d v="2023-01-13T00:00:00"/>
    <s v="01-2023"/>
    <s v="Americas"/>
    <s v="USA"/>
    <s v="San Francisco"/>
    <s v="San Francisco"/>
    <s v="Corporate"/>
    <s v="Marketplace"/>
    <s v="Marketplace"/>
    <s v="K. Singh"/>
    <s v="K. Singh"/>
    <x v="5"/>
    <s v="Medium"/>
    <s v="PRN-2098"/>
    <s v="A"/>
    <n v="933.29"/>
    <n v="1456.81"/>
    <n v="1456.81"/>
    <n v="0.123"/>
    <n v="0.123"/>
    <n v="0"/>
    <n v="13"/>
    <n v="16609.090809999998"/>
    <n v="12132.77"/>
    <n v="4476.3208099999974"/>
    <n v="0.26951028573489977"/>
    <n v="7775324.4790900005"/>
    <n v="0.71034983940148788"/>
    <n v="0.123"/>
    <n v="16.900000000000002"/>
    <n v="1026.6190000000001"/>
    <n v="21591.818053000003"/>
  </r>
  <r>
    <s v="ORD-2025-629393"/>
    <d v="2025-07-21T00:00:00"/>
    <d v="2025-07-21T00:00:00"/>
    <d v="2025-08-07T00:00:00"/>
    <d v="2025-08-07T00:00:00"/>
    <n v="17"/>
    <n v="1"/>
    <s v="07-2025"/>
    <s v="Q3-2025"/>
    <d v="2023-01-13T00:00:00"/>
    <s v="01-2023"/>
    <s v="Africa"/>
    <s v="Nigeria"/>
    <s v="Lagos"/>
    <s v="Lagos"/>
    <s v="Enterprise"/>
    <s v="Direct"/>
    <s v="Direct"/>
    <s v="M. Rossi"/>
    <s v="M. Rossi"/>
    <x v="1"/>
    <s v="High"/>
    <s v="ACC-8999"/>
    <s v="A"/>
    <n v="1204.95"/>
    <n v="2065.73"/>
    <n v="2065.73"/>
    <n v="0.13600000000000001"/>
    <n v="0.13600000000000001"/>
    <n v="0"/>
    <n v="10"/>
    <n v="17847.907199999998"/>
    <n v="12049.5"/>
    <n v="5798.4071999999978"/>
    <n v="0.32487882949100039"/>
    <n v="7793172.3862900008"/>
    <n v="0.71198041546905499"/>
    <n v="0.13600000000000001"/>
    <n v="13"/>
    <n v="1325.4450000000002"/>
    <n v="23202.27936"/>
  </r>
  <r>
    <s v="ORD-2023-727290"/>
    <d v="2023-04-03T00:00:00"/>
    <d v="2023-04-03T00:00:00"/>
    <d v="2023-04-16T00:00:00"/>
    <d v="2023-04-16T00:00:00"/>
    <n v="13"/>
    <n v="0"/>
    <s v="04-2023"/>
    <s v="Q2-2023"/>
    <d v="2023-01-10T00:00:00"/>
    <s v="01-2023"/>
    <s v="Europe"/>
    <s v="France"/>
    <s v="Marseille"/>
    <s v="Marseille"/>
    <s v="Non-Profit"/>
    <s v="Marketplace"/>
    <s v="Marketplace"/>
    <s v="M. Rossi"/>
    <s v="M. Rossi"/>
    <x v="1"/>
    <s v="Low"/>
    <s v="ACC-4815"/>
    <s v="A"/>
    <n v="790.54"/>
    <n v="601.49"/>
    <n v="601.49"/>
    <n v="0"/>
    <n v="0"/>
    <n v="0"/>
    <n v="15"/>
    <n v="9022.35"/>
    <n v="11858.099999999999"/>
    <n v="2835.7499999999982"/>
    <n v="0.31430281467688553"/>
    <n v="7802194.7362900004"/>
    <n v="0.71280469294979021"/>
    <n v="0"/>
    <n v="19.5"/>
    <n v="869.59400000000005"/>
    <n v="11729.055"/>
  </r>
  <r>
    <s v="ORD-2023-869884"/>
    <d v="2023-03-02T00:00:00"/>
    <d v="2023-03-02T00:00:00"/>
    <d v="2023-03-05T00:00:00"/>
    <d v="2023-03-05T00:00:00"/>
    <n v="3"/>
    <n v="0"/>
    <s v="03-2023"/>
    <s v="Q1-2023"/>
    <d v="2023-01-29T00:00:00"/>
    <s v="01-2023"/>
    <s v="Americas"/>
    <s v="Brazil"/>
    <s v="Brasília"/>
    <s v="Brasília"/>
    <s v="Enterprise"/>
    <s v="Direct"/>
    <s v="Direct"/>
    <s v="G. Dubois"/>
    <s v="G. Dubois"/>
    <x v="2"/>
    <s v="High"/>
    <s v="MON-2828"/>
    <s v="A"/>
    <n v="1473.58"/>
    <n v="3436.52"/>
    <n v="3436.52"/>
    <n v="0.108"/>
    <n v="0.108"/>
    <n v="0"/>
    <n v="8"/>
    <n v="24523.006720000001"/>
    <n v="11788.64"/>
    <n v="12734.366720000002"/>
    <n v="0.51928243813652564"/>
    <n v="7826717.7430100003"/>
    <n v="0.71504510284291312"/>
    <n v="0.108"/>
    <n v="10.4"/>
    <n v="1620.9380000000001"/>
    <n v="31879.908736000005"/>
  </r>
  <r>
    <s v="ORD-2024-510520"/>
    <d v="2024-09-25T00:00:00"/>
    <d v="2024-09-25T00:00:00"/>
    <d v="2024-10-03T00:00:00"/>
    <d v="2024-10-03T00:00:00"/>
    <n v="8"/>
    <n v="0"/>
    <s v="09-2024"/>
    <s v="Q3-2024"/>
    <d v="2023-01-02T00:00:00"/>
    <s v="01-2023"/>
    <s v="Americas"/>
    <s v="Canada"/>
    <s v="Toronto"/>
    <s v="Toronto"/>
    <s v="Consumer"/>
    <s v="Online"/>
    <s v="Online"/>
    <s v="E. Garcia"/>
    <s v="E. Garcia"/>
    <x v="5"/>
    <s v="Medium"/>
    <s v="PRN-9557"/>
    <s v="A"/>
    <n v="558.19000000000005"/>
    <n v="1031.6400000000001"/>
    <n v="1031.6400000000001"/>
    <n v="0"/>
    <n v="0"/>
    <n v="0"/>
    <n v="21"/>
    <n v="21664.440000000002"/>
    <n v="11721.990000000002"/>
    <n v="9942.4500000000007"/>
    <n v="0.45892947152107322"/>
    <n v="7848382.1830100007"/>
    <n v="0.71702435547939269"/>
    <n v="0"/>
    <n v="27.3"/>
    <n v="614.00900000000013"/>
    <n v="28163.772000000004"/>
  </r>
  <r>
    <s v="ORD-2023-576840"/>
    <d v="2023-11-19T00:00:00"/>
    <d v="2023-11-19T00:00:00"/>
    <d v="2023-12-13T00:00:00"/>
    <d v="2023-12-13T00:00:00"/>
    <n v="24"/>
    <n v="1"/>
    <s v="11-2023"/>
    <s v="Q4-2023"/>
    <d v="2023-01-10T00:00:00"/>
    <s v="01-2023"/>
    <s v="Europe"/>
    <s v="France"/>
    <s v="Lyon"/>
    <s v="Lyon"/>
    <s v="Non-Profit"/>
    <s v="Direct"/>
    <s v="Direct"/>
    <s v="H. Kim"/>
    <s v="H. Kim"/>
    <x v="2"/>
    <s v="High"/>
    <s v="MON-3745"/>
    <s v="A"/>
    <n v="1297.42"/>
    <n v="2742.97"/>
    <n v="2742.97"/>
    <n v="6.9000000000000006E-2"/>
    <n v="6.9000000000000006E-2"/>
    <n v="0"/>
    <n v="9"/>
    <n v="22983.34563"/>
    <n v="11676.78"/>
    <n v="11306.565629999999"/>
    <n v="0.49194602961727291"/>
    <n v="7871365.5286400011"/>
    <n v="0.71912410268879667"/>
    <n v="6.9000000000000006E-2"/>
    <n v="11.700000000000001"/>
    <n v="1427.1620000000003"/>
    <n v="29878.349319000001"/>
  </r>
  <r>
    <s v="ORD-2025-822030"/>
    <d v="2025-08-07T00:00:00"/>
    <d v="2025-08-07T00:00:00"/>
    <d v="2025-09-06T00:00:00"/>
    <d v="2025-09-06T00:00:00"/>
    <n v="30"/>
    <n v="0"/>
    <s v="08-2025"/>
    <s v="Q3-2025"/>
    <d v="2023-01-02T00:00:00"/>
    <s v="01-2023"/>
    <s v="Americas"/>
    <s v="Canada"/>
    <s v="Montreal"/>
    <s v="Montreal"/>
    <s v="Education"/>
    <s v="Direct"/>
    <s v="Direct"/>
    <s v="M. Rossi"/>
    <s v="M. Rossi"/>
    <x v="4"/>
    <s v="Medium"/>
    <s v="NET-1336"/>
    <s v="A"/>
    <n v="833.73"/>
    <n v="1116.5999999999999"/>
    <n v="1116.5999999999999"/>
    <n v="0.17599999999999999"/>
    <n v="0.17599999999999999"/>
    <n v="0"/>
    <n v="14"/>
    <n v="12881.097599999999"/>
    <n v="11672.220000000001"/>
    <n v="1208.877599999998"/>
    <n v="9.3848958958279924E-2"/>
    <n v="7884246.6262400011"/>
    <n v="0.72030091346191394"/>
    <n v="0.17599999999999999"/>
    <n v="18.2"/>
    <n v="917.10300000000007"/>
    <n v="16745.426879999999"/>
  </r>
  <r>
    <s v="ORD-2024-468501"/>
    <d v="2024-11-06T00:00:00"/>
    <d v="2024-11-06T00:00:00"/>
    <d v="2024-11-22T00:00:00"/>
    <d v="2024-11-22T00:00:00"/>
    <n v="16"/>
    <n v="0"/>
    <s v="11-2024"/>
    <s v="Q4-2024"/>
    <d v="2023-01-02T00:00:00"/>
    <s v="01-2023"/>
    <s v="Americas"/>
    <s v="Canada"/>
    <s v="Toronto"/>
    <s v="Toronto"/>
    <s v="Non-Profit"/>
    <s v="Distributor"/>
    <s v="Distributor"/>
    <s v="D. Smith"/>
    <s v="D. Smith"/>
    <x v="1"/>
    <s v="High"/>
    <s v="ACC-6348"/>
    <s v="A"/>
    <n v="1454.11"/>
    <n v="2629.75"/>
    <n v="2629.75"/>
    <n v="0.29199999999999998"/>
    <n v="0.29199999999999998"/>
    <n v="1"/>
    <n v="8"/>
    <n v="14894.903999999999"/>
    <n v="11632.88"/>
    <n v="3262.0239999999994"/>
    <n v="0.21900268709351867"/>
    <n v="7899141.5302400012"/>
    <n v="0.72166170460223922"/>
    <n v="0.2"/>
    <n v="10.4"/>
    <n v="1599.521"/>
    <n v="21879.520000000004"/>
  </r>
  <r>
    <s v="ORD-2023-276806"/>
    <d v="2023-03-04T00:00:00"/>
    <d v="2023-03-04T00:00:00"/>
    <d v="2023-03-24T00:00:00"/>
    <d v="2023-03-24T00:00:00"/>
    <n v="20"/>
    <n v="1"/>
    <s v="03-2023"/>
    <s v="Q1-2023"/>
    <d v="2023-01-02T00:00:00"/>
    <s v="01-2023"/>
    <s v="Americas"/>
    <s v="Canada"/>
    <s v="Montreal"/>
    <s v="Montreal"/>
    <s v="Consumer"/>
    <s v="Distributor"/>
    <s v="Distributor"/>
    <s v="I. Johnson"/>
    <s v="I. Johnson"/>
    <x v="3"/>
    <s v="Medium"/>
    <s v="LAP-6160"/>
    <s v="A"/>
    <n v="481.71"/>
    <n v="912.45"/>
    <n v="912.45"/>
    <n v="0.20300000000000001"/>
    <n v="0.20300000000000001"/>
    <n v="1"/>
    <n v="24"/>
    <n v="17453.3436"/>
    <n v="11561.039999999999"/>
    <n v="5892.3036000000011"/>
    <n v="0.33760313983619739"/>
    <n v="7916594.8738400014"/>
    <n v="0.72325623353239787"/>
    <n v="0.2"/>
    <n v="31.200000000000003"/>
    <n v="529.88099999999997"/>
    <n v="22774.752000000004"/>
  </r>
  <r>
    <s v="ORD-2023-386663"/>
    <d v="2023-06-05T00:00:00"/>
    <d v="2023-06-05T00:00:00"/>
    <d v="2023-06-28T00:00:00"/>
    <d v="2023-06-28T00:00:00"/>
    <n v="23"/>
    <n v="0"/>
    <s v="06-2023"/>
    <s v="Q2-2023"/>
    <d v="2023-01-19T00:00:00"/>
    <s v="01-2023"/>
    <s v="Europe"/>
    <s v="United Kingdom"/>
    <s v="Birmingham"/>
    <s v="Birmingham"/>
    <s v="Corporate"/>
    <s v="Direct"/>
    <s v="Direct"/>
    <s v="K. Singh"/>
    <s v="K. Singh"/>
    <x v="5"/>
    <s v="Low"/>
    <s v="PRN-3690"/>
    <s v="A"/>
    <n v="605.82000000000005"/>
    <n v="771.12"/>
    <n v="771.12"/>
    <n v="0.13200000000000001"/>
    <n v="0.13200000000000001"/>
    <n v="0"/>
    <n v="19"/>
    <n v="12717.311040000001"/>
    <n v="11510.580000000002"/>
    <n v="1206.7310399999988"/>
    <n v="9.4888851597986767E-2"/>
    <n v="7929312.1848800015"/>
    <n v="0.7244180808455456"/>
    <n v="0.13200000000000001"/>
    <n v="24.7"/>
    <n v="666.40200000000016"/>
    <n v="16532.504352"/>
  </r>
  <r>
    <s v="ORD-2023-888140"/>
    <d v="2023-10-11T00:00:00"/>
    <d v="2023-10-11T00:00:00"/>
    <d v="2023-10-13T00:00:00"/>
    <d v="2023-10-13T00:00:00"/>
    <n v="2"/>
    <n v="0"/>
    <s v="10-2023"/>
    <s v="Q4-2023"/>
    <d v="2023-01-29T00:00:00"/>
    <s v="01-2023"/>
    <s v="Americas"/>
    <s v="Brazil"/>
    <s v="Brasília"/>
    <s v="Brasília"/>
    <s v="Consumer"/>
    <s v="Distributor"/>
    <s v="Distributor"/>
    <m/>
    <s v="H. Kim"/>
    <x v="1"/>
    <s v="Low"/>
    <s v="ACC-3567"/>
    <s v="A"/>
    <n v="715.94"/>
    <n v="550.07000000000005"/>
    <n v="550.07000000000005"/>
    <n v="0.14000000000000001"/>
    <n v="0.14000000000000001"/>
    <n v="0"/>
    <n v="16"/>
    <n v="7568.9632000000001"/>
    <n v="11455.04"/>
    <n v="3886.0768000000007"/>
    <n v="0.51342260456491595"/>
    <n v="7936881.1480800016"/>
    <n v="0.72510957761947636"/>
    <n v="0.14000000000000001"/>
    <n v="20.8"/>
    <n v="787.53400000000011"/>
    <n v="9839.6521600000015"/>
  </r>
  <r>
    <s v="ORD-2023-271836"/>
    <d v="2023-02-07T00:00:00"/>
    <d v="2023-02-07T00:00:00"/>
    <d v="2023-02-12T00:00:00"/>
    <d v="2023-02-12T00:00:00"/>
    <n v="5"/>
    <n v="0"/>
    <s v="02-2023"/>
    <s v="Q1-2023"/>
    <d v="2023-01-29T00:00:00"/>
    <s v="01-2023"/>
    <s v="Americas"/>
    <s v="Brazil"/>
    <s v="São Paulo"/>
    <s v="São Paulo"/>
    <s v="Education"/>
    <s v="Online"/>
    <s v="Online"/>
    <s v="N. Brown"/>
    <s v="N. Brown"/>
    <x v="0"/>
    <s v="High"/>
    <s v="CMP-2693"/>
    <s v="A"/>
    <n v="948.55"/>
    <n v="2089.16"/>
    <n v="2089.16"/>
    <n v="7.0000000000000001E-3"/>
    <n v="7.0000000000000001E-3"/>
    <n v="0"/>
    <n v="12"/>
    <n v="24894.430559999997"/>
    <n v="11382.599999999999"/>
    <n v="13511.830559999999"/>
    <n v="0.54276519912492427"/>
    <n v="7961775.5786400018"/>
    <n v="0.72738392061285817"/>
    <n v="7.0000000000000001E-3"/>
    <n v="15.600000000000001"/>
    <n v="1043.405"/>
    <n v="32362.759728000001"/>
  </r>
  <r>
    <s v="ORD-2023-451931"/>
    <d v="2023-07-30T00:00:00"/>
    <d v="2023-07-30T00:00:00"/>
    <d v="2023-08-19T00:00:00"/>
    <d v="2023-08-19T00:00:00"/>
    <n v="20"/>
    <n v="0"/>
    <s v="07-2023"/>
    <s v="Q3-2023"/>
    <d v="2023-01-10T00:00:00"/>
    <s v="01-2023"/>
    <s v="Europe"/>
    <s v="France"/>
    <s v="Paris"/>
    <s v="Paris"/>
    <s v="Enterprise"/>
    <s v="Marketplace"/>
    <s v="Marketplace"/>
    <s v="G. Dubois"/>
    <s v="G. Dubois"/>
    <x v="4"/>
    <s v="High"/>
    <s v="NET-5423"/>
    <s v="A"/>
    <n v="1418.51"/>
    <n v="2789.61"/>
    <n v="2789.61"/>
    <n v="0.17100000000000001"/>
    <n v="0.17100000000000001"/>
    <n v="0"/>
    <n v="8"/>
    <n v="18500.693520000001"/>
    <n v="11348.08"/>
    <n v="7152.6135200000008"/>
    <n v="0.38661326464695689"/>
    <n v="7980276.272160002"/>
    <n v="0.72907413491916662"/>
    <n v="0.17100000000000001"/>
    <n v="10.4"/>
    <n v="1560.3610000000001"/>
    <n v="24050.901576"/>
  </r>
  <r>
    <s v="ORD-2025-947929"/>
    <d v="2025-03-23T00:00:00"/>
    <d v="2025-03-23T00:00:00"/>
    <d v="2025-04-02T00:00:00"/>
    <d v="2025-04-02T00:00:00"/>
    <n v="10"/>
    <n v="0"/>
    <s v="03-2025"/>
    <s v="Q1-2025"/>
    <d v="2023-01-21T00:00:00"/>
    <s v="01-2023"/>
    <s v="Europe"/>
    <s v="Germany"/>
    <s v="Berlin"/>
    <s v="Berlin"/>
    <s v="Enterprise"/>
    <s v="Online"/>
    <s v="Online"/>
    <s v="E. Garcia"/>
    <s v="E. Garcia"/>
    <x v="5"/>
    <s v="Medium"/>
    <s v="PRN-3159"/>
    <s v="A"/>
    <n v="663.61"/>
    <n v="1002.11"/>
    <n v="1002.11"/>
    <n v="4.5999999999999999E-2"/>
    <n v="4.5999999999999999E-2"/>
    <n v="0"/>
    <n v="17"/>
    <n v="16252.219979999998"/>
    <n v="11281.37"/>
    <n v="4970.8499799999972"/>
    <n v="0.30585667595670812"/>
    <n v="7996528.4921400016"/>
    <n v="0.73055892978319537"/>
    <n v="4.5999999999999999E-2"/>
    <n v="22.1"/>
    <n v="729.97100000000012"/>
    <n v="21127.885974000001"/>
  </r>
  <r>
    <s v="ORD-2024-599522"/>
    <d v="2024-04-19T00:00:00"/>
    <d v="2024-04-19T00:00:00"/>
    <d v="2024-05-06T00:00:00"/>
    <d v="2024-05-06T00:00:00"/>
    <n v="17"/>
    <n v="0"/>
    <s v="04-2024"/>
    <s v="Q2-2024"/>
    <d v="2023-01-13T00:00:00"/>
    <s v="01-2023"/>
    <s v="Africa"/>
    <s v="Nigeria"/>
    <s v="Port Harcourt"/>
    <s v="Port Harcourt"/>
    <s v="Non-Profit"/>
    <s v="Online"/>
    <s v="Online"/>
    <s v="A. Patel"/>
    <s v="A. Patel"/>
    <x v="5"/>
    <s v="Medium"/>
    <s v="PRN-7303"/>
    <s v="A"/>
    <n v="865.33"/>
    <n v="1395.64"/>
    <n v="1395.64"/>
    <n v="0.17499999999999999"/>
    <n v="0.17499999999999999"/>
    <n v="0"/>
    <n v="13"/>
    <n v="14968.239"/>
    <n v="11249.29"/>
    <n v="3718.9489999999987"/>
    <n v="0.24845601409758347"/>
    <n v="8011496.7311400017"/>
    <n v="0.73192642077323289"/>
    <n v="0.17499999999999999"/>
    <n v="16.900000000000002"/>
    <n v="951.86300000000017"/>
    <n v="19458.710700000003"/>
  </r>
  <r>
    <s v="ORD-2024-500890"/>
    <d v="2024-09-09T00:00:00"/>
    <d v="2024-09-09T00:00:00"/>
    <d v="2024-10-08T00:00:00"/>
    <d v="2024-10-08T00:00:00"/>
    <n v="29"/>
    <n v="1"/>
    <s v="09-2024"/>
    <s v="Q3-2024"/>
    <d v="2023-01-29T00:00:00"/>
    <s v="01-2023"/>
    <s v="Americas"/>
    <s v="Brazil"/>
    <s v="São Paulo"/>
    <s v="São Paulo"/>
    <s v="Education"/>
    <s v="Direct"/>
    <s v="Direct"/>
    <s v="J. Njeri"/>
    <s v="J. Njeri"/>
    <x v="0"/>
    <s v="High"/>
    <s v="CMP-3093"/>
    <s v="A"/>
    <n v="1010.33"/>
    <n v="2492.14"/>
    <n v="2492.14"/>
    <n v="5.0999999999999997E-2"/>
    <n v="5.0999999999999997E-2"/>
    <n v="0"/>
    <n v="11"/>
    <n v="26015.449459999996"/>
    <n v="11113.630000000001"/>
    <n v="14901.819459999995"/>
    <n v="0.57280653493656752"/>
    <n v="8037512.1806000015"/>
    <n v="0.73430317950472579"/>
    <n v="5.0999999999999997E-2"/>
    <n v="14.3"/>
    <n v="1111.3630000000001"/>
    <n v="33820.084297999994"/>
  </r>
  <r>
    <s v="ORD-2023-623293"/>
    <d v="2023-10-12T00:00:00"/>
    <d v="2023-10-12T00:00:00"/>
    <d v="2023-10-29T00:00:00"/>
    <d v="2023-10-29T00:00:00"/>
    <n v="17"/>
    <n v="0"/>
    <s v="10-2023"/>
    <s v="Q4-2023"/>
    <d v="2023-03-03T00:00:00"/>
    <s v="03-2023"/>
    <s v="Asia"/>
    <s v="Japan"/>
    <s v="Nagoya"/>
    <s v="Nagoya"/>
    <s v="Non-Profit"/>
    <s v="Direct"/>
    <s v="Direct"/>
    <s v="H. Kim"/>
    <s v="H. Kim"/>
    <x v="6"/>
    <s v="High"/>
    <s v="PHN-8478"/>
    <s v="A"/>
    <n v="1102.19"/>
    <n v="1711.16"/>
    <n v="1711.16"/>
    <n v="0.151"/>
    <n v="0.151"/>
    <n v="0"/>
    <n v="10"/>
    <n v="14527.748400000002"/>
    <n v="11021.900000000001"/>
    <n v="3505.8484000000008"/>
    <n v="0.24132083675127525"/>
    <n v="8052039.9290000014"/>
    <n v="0.73563042748911001"/>
    <n v="0.151"/>
    <n v="13"/>
    <n v="1212.4090000000001"/>
    <n v="18886.072920000002"/>
  </r>
  <r>
    <s v="ORD-2024-811752"/>
    <d v="2024-02-25T00:00:00"/>
    <d v="2024-02-25T00:00:00"/>
    <d v="2024-03-09T00:00:00"/>
    <d v="2024-03-09T00:00:00"/>
    <n v="13"/>
    <n v="0"/>
    <s v="02-2024"/>
    <s v="Q1-2024"/>
    <d v="2023-01-10T00:00:00"/>
    <s v="01-2023"/>
    <s v="Europe"/>
    <s v="France"/>
    <s v="Marseille"/>
    <s v="Marseille"/>
    <s v="Small Business"/>
    <s v="Distributor"/>
    <s v="Distributor"/>
    <s v="E. Garcia"/>
    <s v="E. Garcia"/>
    <x v="2"/>
    <s v="Low"/>
    <s v="MON-3350"/>
    <s v="A"/>
    <n v="322.44"/>
    <n v="395.61"/>
    <n v="395.61"/>
    <n v="0"/>
    <n v="0"/>
    <n v="0"/>
    <n v="34"/>
    <n v="13450.74"/>
    <n v="10962.96"/>
    <n v="2487.7800000000007"/>
    <n v="0.18495487980586947"/>
    <n v="8065490.6690000016"/>
    <n v="0.73685928051312544"/>
    <n v="0"/>
    <n v="44.2"/>
    <n v="354.68400000000003"/>
    <n v="17485.962000000003"/>
  </r>
  <r>
    <s v="ORD-2024-588972"/>
    <d v="2024-11-02T00:00:00"/>
    <d v="2024-11-02T00:00:00"/>
    <d v="2024-11-29T00:00:00"/>
    <d v="2024-11-29T00:00:00"/>
    <n v="27"/>
    <n v="1"/>
    <s v="11-2024"/>
    <s v="Q4-2024"/>
    <d v="2023-01-29T00:00:00"/>
    <s v="01-2023"/>
    <s v="Americas"/>
    <s v="Brazil"/>
    <s v="Brasília"/>
    <s v="Brasília"/>
    <s v="Small Business"/>
    <s v="Direct"/>
    <s v="Direct"/>
    <s v="I. Johnson"/>
    <s v="I. Johnson"/>
    <x v="4"/>
    <s v="Medium"/>
    <s v="NET-8561"/>
    <s v="A"/>
    <n v="1363.51"/>
    <n v="1433.9"/>
    <n v="1433.9"/>
    <n v="5.7000000000000002E-2"/>
    <n v="5.7000000000000002E-2"/>
    <n v="0"/>
    <n v="8"/>
    <n v="10817.3416"/>
    <n v="10908.08"/>
    <n v="90.738400000000183"/>
    <n v="8.3882346842037592E-3"/>
    <n v="8076308.0106000016"/>
    <n v="0.73784754754802229"/>
    <n v="5.7000000000000002E-2"/>
    <n v="10.4"/>
    <n v="1499.8610000000001"/>
    <n v="14062.54408"/>
  </r>
  <r>
    <s v="ORD-2025-683043"/>
    <d v="2025-08-13T00:00:00"/>
    <d v="2025-08-13T00:00:00"/>
    <d v="2025-09-03T00:00:00"/>
    <d v="2025-09-03T00:00:00"/>
    <n v="21"/>
    <n v="0"/>
    <s v="08-2025"/>
    <s v="Q3-2025"/>
    <d v="2023-01-10T00:00:00"/>
    <s v="01-2023"/>
    <s v="Europe"/>
    <s v="France"/>
    <s v="Paris"/>
    <s v="Paris"/>
    <s v="Education"/>
    <s v="Retail"/>
    <s v="Retail"/>
    <s v="I. Johnson"/>
    <s v="I. Johnson"/>
    <x v="6"/>
    <s v="Medium"/>
    <s v="PHN-9465"/>
    <s v="A"/>
    <n v="603.47"/>
    <n v="1344.05"/>
    <n v="1344.05"/>
    <n v="0.20499999999999999"/>
    <n v="0.20499999999999999"/>
    <n v="1"/>
    <n v="18"/>
    <n v="19233.355499999998"/>
    <n v="10862.460000000001"/>
    <n v="8370.8954999999969"/>
    <n v="0.43522803392262976"/>
    <n v="8095541.3661000011"/>
    <n v="0.73960469749428093"/>
    <n v="0.2"/>
    <n v="23.400000000000002"/>
    <n v="663.81700000000012"/>
    <n v="25160.616000000002"/>
  </r>
  <r>
    <s v="ORD-2024-851993"/>
    <d v="2024-05-01T00:00:00"/>
    <d v="2024-05-01T00:00:00"/>
    <d v="2024-05-16T00:00:00"/>
    <d v="2024-05-16T00:00:00"/>
    <n v="15"/>
    <n v="1"/>
    <s v="05-2024"/>
    <s v="Q2-2024"/>
    <d v="2023-01-29T00:00:00"/>
    <s v="01-2023"/>
    <s v="Asia"/>
    <s v="India"/>
    <s v="Bengaluru"/>
    <s v="Bengaluru"/>
    <s v="Small Business"/>
    <s v="Retail"/>
    <s v="Retail"/>
    <s v="L. Okafor"/>
    <s v="L. Okafor"/>
    <x v="0"/>
    <s v="High"/>
    <s v="CMP-6811"/>
    <s v="A"/>
    <n v="901.19"/>
    <n v="2125.44"/>
    <n v="2125.44"/>
    <n v="7.0999999999999994E-2"/>
    <n v="7.0999999999999994E-2"/>
    <n v="0"/>
    <n v="12"/>
    <n v="23694.405119999999"/>
    <n v="10814.28"/>
    <n v="12880.125119999999"/>
    <n v="0.54359352154100415"/>
    <n v="8119235.7712200014"/>
    <n v="0.74176940675072034"/>
    <n v="7.0999999999999994E-2"/>
    <n v="15.600000000000001"/>
    <n v="991.3090000000002"/>
    <n v="30802.726656000003"/>
  </r>
  <r>
    <s v="ORD-2023-195665"/>
    <d v="2023-12-19T00:00:00"/>
    <d v="2023-12-19T00:00:00"/>
    <d v="2023-12-20T00:00:00"/>
    <d v="2023-12-20T00:00:00"/>
    <n v="1"/>
    <n v="0"/>
    <s v="12-2023"/>
    <s v="Q4-2023"/>
    <d v="2023-01-29T00:00:00"/>
    <s v="01-2023"/>
    <s v="Americas"/>
    <s v="Brazil"/>
    <s v="Rio de Janeiro"/>
    <s v="Rio de Janeiro"/>
    <s v="Consumer"/>
    <s v="Distributor"/>
    <s v="Distributor"/>
    <s v="J. Njeri"/>
    <s v="J. Njeri"/>
    <x v="6"/>
    <s v="High"/>
    <s v="PHN-7274"/>
    <s v="A"/>
    <n v="1080.43"/>
    <n v="2529.15"/>
    <n v="2529.15"/>
    <n v="0.14699999999999999"/>
    <n v="0.14699999999999999"/>
    <n v="0"/>
    <n v="10"/>
    <n v="21573.6495"/>
    <n v="10804.300000000001"/>
    <n v="10769.349499999998"/>
    <n v="0.49918997247081437"/>
    <n v="8140809.4207200017"/>
    <n v="0.74374036481155004"/>
    <n v="0.14699999999999999"/>
    <n v="13"/>
    <n v="1188.4730000000002"/>
    <n v="28045.744350000004"/>
  </r>
  <r>
    <s v="ORD-2023-184577"/>
    <d v="2023-05-17T00:00:00"/>
    <d v="2023-05-17T00:00:00"/>
    <d v="2023-06-03T00:00:00"/>
    <d v="2023-06-03T00:00:00"/>
    <n v="17"/>
    <n v="0"/>
    <s v="05-2023"/>
    <s v="Q2-2023"/>
    <d v="2023-01-12T00:00:00"/>
    <s v="01-2023"/>
    <s v="Asia"/>
    <s v="China"/>
    <s v="Beijing"/>
    <s v="Beijing"/>
    <s v="Non-Profit"/>
    <s v="Distributor"/>
    <s v="Distributor"/>
    <s v="M. Rossi"/>
    <s v="M. Rossi"/>
    <x v="5"/>
    <s v="High"/>
    <s v="PRN-1923"/>
    <s v="A"/>
    <n v="979.59"/>
    <n v="2210.94"/>
    <n v="2210.94"/>
    <n v="0.15"/>
    <n v="0.15"/>
    <n v="0"/>
    <n v="11"/>
    <n v="20672.289000000001"/>
    <n v="10775.49"/>
    <n v="9896.7990000000009"/>
    <n v="0.47874712858358359"/>
    <n v="8161481.7097200016"/>
    <n v="0.74562897501819825"/>
    <n v="0.15"/>
    <n v="14.3"/>
    <n v="1077.5490000000002"/>
    <n v="26873.975700000003"/>
  </r>
  <r>
    <s v="ORD-2023-867836"/>
    <d v="2023-05-11T00:00:00"/>
    <d v="2023-05-11T00:00:00"/>
    <d v="2023-05-28T00:00:00"/>
    <d v="2023-05-28T00:00:00"/>
    <n v="17"/>
    <n v="1"/>
    <s v="05-2023"/>
    <s v="Q2-2023"/>
    <d v="2023-01-12T00:00:00"/>
    <s v="01-2023"/>
    <s v="Asia"/>
    <s v="China"/>
    <s v="Shenzhen"/>
    <s v="Shenzhen"/>
    <s v="Enterprise"/>
    <s v="Marketplace"/>
    <s v="Marketplace"/>
    <s v="E. Garcia"/>
    <s v="E. Garcia"/>
    <x v="4"/>
    <s v="High"/>
    <s v="NET-3255"/>
    <s v="A"/>
    <n v="1331.19"/>
    <n v="2903.09"/>
    <n v="2903.09"/>
    <n v="0.14299999999999999"/>
    <n v="0.14299999999999999"/>
    <n v="0"/>
    <n v="8"/>
    <n v="19903.585040000002"/>
    <n v="10649.52"/>
    <n v="9254.0650400000013"/>
    <n v="0.46494463290920784"/>
    <n v="8181385.2947600018"/>
    <n v="0.74744735680724139"/>
    <n v="0.14299999999999999"/>
    <n v="10.4"/>
    <n v="1464.3090000000002"/>
    <n v="25874.660552000001"/>
  </r>
  <r>
    <s v="ORD-2024-972999"/>
    <d v="2024-09-06T00:00:00"/>
    <d v="2024-09-06T00:00:00"/>
    <d v="2024-10-04T00:00:00"/>
    <d v="2024-10-04T00:00:00"/>
    <n v="28"/>
    <n v="0"/>
    <s v="09-2024"/>
    <s v="Q3-2024"/>
    <d v="2023-01-07T00:00:00"/>
    <s v="01-2023"/>
    <s v="Africa"/>
    <s v="South Africa"/>
    <s v="Cape Town"/>
    <s v="Cape Town"/>
    <s v="Corporate"/>
    <s v="Marketplace"/>
    <s v="Marketplace"/>
    <s v="D. Smith"/>
    <s v="D. Smith"/>
    <x v="2"/>
    <s v="High"/>
    <s v="MON-3504"/>
    <s v="A"/>
    <n v="1174.17"/>
    <n v="1641.61"/>
    <n v="1641.61"/>
    <n v="0.122"/>
    <n v="0.122"/>
    <n v="0"/>
    <n v="9"/>
    <n v="12972.00222"/>
    <n v="10567.53"/>
    <n v="2404.4722199999997"/>
    <n v="0.18535860380079394"/>
    <n v="8194357.296980002"/>
    <n v="0.74863247258195575"/>
    <n v="0.122"/>
    <n v="11.700000000000001"/>
    <n v="1291.5870000000002"/>
    <n v="16863.602886000001"/>
  </r>
  <r>
    <s v="ORD-2025-548982"/>
    <d v="2025-04-07T00:00:00"/>
    <d v="2025-04-07T00:00:00"/>
    <d v="2025-04-11T00:00:00"/>
    <d v="2025-04-11T00:00:00"/>
    <n v="4"/>
    <n v="0"/>
    <s v="04-2025"/>
    <s v="Q2-2025"/>
    <d v="2023-01-10T00:00:00"/>
    <s v="01-2023"/>
    <s v="Europe"/>
    <s v="France"/>
    <s v="Lyon"/>
    <s v="Lyon"/>
    <s v="Education"/>
    <s v="Retail"/>
    <s v="Retail"/>
    <s v="E. Garcia"/>
    <s v="E. Garcia"/>
    <x v="4"/>
    <s v="High"/>
    <s v="NET-9716"/>
    <s v="A"/>
    <n v="754.77"/>
    <n v="1666.18"/>
    <n v="1666.18"/>
    <n v="0.13900000000000001"/>
    <n v="0.13900000000000001"/>
    <n v="0"/>
    <n v="14"/>
    <n v="20084.133720000002"/>
    <n v="10566.779999999999"/>
    <n v="9517.3537200000028"/>
    <n v="0.47387424584424653"/>
    <n v="8214441.4307000022"/>
    <n v="0.75046734921004865"/>
    <n v="0.13900000000000001"/>
    <n v="18.2"/>
    <n v="830.24700000000007"/>
    <n v="26109.373835999999"/>
  </r>
  <r>
    <s v="ORD-2025-281413"/>
    <d v="2025-08-03T00:00:00"/>
    <d v="2025-08-03T00:00:00"/>
    <d v="2025-08-16T00:00:00"/>
    <d v="2025-08-16T00:00:00"/>
    <n v="13"/>
    <n v="1"/>
    <s v="08-2025"/>
    <s v="Q3-2025"/>
    <d v="2023-01-02T00:00:00"/>
    <s v="01-2023"/>
    <s v="Americas"/>
    <s v="Canada"/>
    <s v="Montreal"/>
    <s v="Montreal"/>
    <s v="Enterprise"/>
    <s v="Distributor"/>
    <s v="Distributor"/>
    <s v="O. Wang"/>
    <s v="O. Wang"/>
    <x v="4"/>
    <s v="Medium"/>
    <s v="NET-3785"/>
    <s v="A"/>
    <n v="698.66"/>
    <n v="868.62"/>
    <n v="868.62"/>
    <n v="7.1999999999999995E-2"/>
    <n v="7.1999999999999995E-2"/>
    <n v="0"/>
    <n v="15"/>
    <n v="12091.190399999999"/>
    <n v="10479.9"/>
    <n v="1611.2903999999999"/>
    <n v="0.13326151906432637"/>
    <n v="8226532.621100002"/>
    <n v="0.75157199444793044"/>
    <n v="7.1999999999999995E-2"/>
    <n v="19.5"/>
    <n v="768.52600000000007"/>
    <n v="15718.54752"/>
  </r>
  <r>
    <s v="ORD-2024-798002"/>
    <d v="2024-07-25T00:00:00"/>
    <d v="2024-07-24T00:00:00"/>
    <d v="2024-07-24T00:00:00"/>
    <d v="2024-07-25T00:00:00"/>
    <n v="1"/>
    <n v="1"/>
    <s v="07-2024"/>
    <s v="Q3-2024"/>
    <d v="2023-01-20T00:00:00"/>
    <s v="01-2023"/>
    <s v="Africa"/>
    <s v="Kenya"/>
    <s v="Mombasa"/>
    <s v="Mombasa"/>
    <s v="Non-Profit"/>
    <s v="Direct"/>
    <s v="Direct"/>
    <s v="J. Njeri"/>
    <s v="J. Njeri"/>
    <x v="3"/>
    <s v="High"/>
    <s v="LAP-9815"/>
    <s v="A"/>
    <n v="1494.4"/>
    <n v="3661.07"/>
    <n v="3661.07"/>
    <n v="7.1999999999999995E-2"/>
    <n v="7.1999999999999995E-2"/>
    <n v="0"/>
    <n v="7"/>
    <n v="23782.310720000001"/>
    <n v="10460.800000000001"/>
    <n v="13321.51072"/>
    <n v="0.56014366630897339"/>
    <n v="8250314.9318200024"/>
    <n v="0.75374473471696746"/>
    <n v="7.1999999999999995E-2"/>
    <n v="9.1"/>
    <n v="1643.8400000000001"/>
    <n v="30917.003936000001"/>
  </r>
  <r>
    <s v="ORD-2023-573656"/>
    <d v="2023-05-02T00:00:00"/>
    <d v="2023-05-02T00:00:00"/>
    <d v="2023-05-16T00:00:00"/>
    <d v="2023-05-16T00:00:00"/>
    <n v="14"/>
    <n v="0"/>
    <s v="05-2023"/>
    <s v="Q2-2023"/>
    <d v="2023-01-29T00:00:00"/>
    <s v="01-2023"/>
    <s v="Asia"/>
    <s v="India"/>
    <s v="Bengaluru"/>
    <s v="Bengaluru"/>
    <s v="Non-Profit"/>
    <s v="Retail"/>
    <s v="Retail"/>
    <s v="L. Okafor"/>
    <s v="L. Okafor"/>
    <x v="2"/>
    <s v="Medium"/>
    <s v="MON-4830"/>
    <s v="A"/>
    <n v="475.37"/>
    <n v="963.73"/>
    <n v="963.73"/>
    <n v="4.1000000000000002E-2"/>
    <n v="4.1000000000000002E-2"/>
    <n v="0"/>
    <n v="22"/>
    <n v="20332.775539999999"/>
    <n v="10458.14"/>
    <n v="9874.6355399999993"/>
    <n v="0.48565113604750881"/>
    <n v="8270647.7073600022"/>
    <n v="0.75560232714005771"/>
    <n v="4.1000000000000002E-2"/>
    <n v="28.6"/>
    <n v="522.90700000000004"/>
    <n v="26432.608202000003"/>
  </r>
  <r>
    <s v="ORD-2025-960931"/>
    <d v="2025-08-20T00:00:00"/>
    <d v="2025-08-20T00:00:00"/>
    <d v="2025-08-26T00:00:00"/>
    <d v="2025-08-26T00:00:00"/>
    <n v="6"/>
    <n v="1"/>
    <s v="08-2025"/>
    <s v="Q3-2025"/>
    <d v="2023-01-13T00:00:00"/>
    <s v="01-2023"/>
    <s v="Americas"/>
    <s v="USA"/>
    <s v="New York"/>
    <s v="New York"/>
    <s v="Corporate"/>
    <s v="Retail"/>
    <s v="Retail"/>
    <s v="M. Rossi"/>
    <s v="M. Rossi"/>
    <x v="4"/>
    <s v="High"/>
    <s v="NET-5196"/>
    <s v="A"/>
    <n v="1304.95"/>
    <n v="1712.03"/>
    <n v="1712.03"/>
    <n v="0.21199999999999999"/>
    <n v="0.21199999999999999"/>
    <n v="1"/>
    <n v="8"/>
    <n v="10792.637119999999"/>
    <n v="10439.6"/>
    <n v="353.03711999999905"/>
    <n v="3.2710922833287949E-2"/>
    <n v="8281440.3444800023"/>
    <n v="0.75658833718575136"/>
    <n v="0.2"/>
    <n v="10.4"/>
    <n v="1435.4450000000002"/>
    <n v="14244.089600000001"/>
  </r>
  <r>
    <s v="ORD-2023-488227"/>
    <d v="2023-09-08T00:00:00"/>
    <d v="2023-09-08T00:00:00"/>
    <d v="2023-10-02T00:00:00"/>
    <d v="2023-10-02T00:00:00"/>
    <n v="24"/>
    <n v="0"/>
    <s v="09-2023"/>
    <s v="Q3-2023"/>
    <d v="2023-01-02T00:00:00"/>
    <s v="01-2023"/>
    <s v="Americas"/>
    <s v="Canada"/>
    <s v="Toronto"/>
    <s v="Toronto"/>
    <s v="Education"/>
    <s v="Direct"/>
    <s v="Direct"/>
    <s v="A. Patel"/>
    <s v="A. Patel"/>
    <x v="1"/>
    <s v="High"/>
    <s v="ACC-3415"/>
    <s v="A"/>
    <n v="1299.03"/>
    <n v="2451.2199999999998"/>
    <n v="2451.2199999999998"/>
    <n v="0.20799999999999999"/>
    <n v="0.20799999999999999"/>
    <n v="1"/>
    <n v="8"/>
    <n v="15530.929919999999"/>
    <n v="10392.24"/>
    <n v="5138.6899199999989"/>
    <n v="0.3308681416032041"/>
    <n v="8296971.2744000023"/>
    <n v="0.75800723534287606"/>
    <n v="0.2"/>
    <n v="10.4"/>
    <n v="1428.933"/>
    <n v="20394.150399999999"/>
  </r>
  <r>
    <s v="ORD-2023-927385"/>
    <d v="2023-05-29T00:00:00"/>
    <d v="2023-05-29T00:00:00"/>
    <d v="2023-06-20T00:00:00"/>
    <d v="2023-06-20T00:00:00"/>
    <n v="22"/>
    <n v="0"/>
    <s v="05-2023"/>
    <s v="Q2-2023"/>
    <d v="2023-01-19T00:00:00"/>
    <s v="01-2023"/>
    <s v="Europe"/>
    <s v="United Kingdom"/>
    <s v="London"/>
    <s v="London"/>
    <s v="Small Business"/>
    <s v="Direct"/>
    <s v="Direct"/>
    <s v="K. Singh"/>
    <s v="K. Singh"/>
    <x v="0"/>
    <s v="High"/>
    <s v="CMP-8545"/>
    <s v="A"/>
    <n v="1295.3900000000001"/>
    <n v="2905.06"/>
    <n v="2905.06"/>
    <n v="0.14799999999999999"/>
    <n v="0.14799999999999999"/>
    <n v="0"/>
    <n v="8"/>
    <n v="19800.88896"/>
    <n v="10363.120000000001"/>
    <n v="9437.7689599999994"/>
    <n v="0.47663359857556614"/>
    <n v="8316772.1633600025"/>
    <n v="0.75981623486830674"/>
    <n v="0.14799999999999999"/>
    <n v="10.4"/>
    <n v="1424.9290000000003"/>
    <n v="25741.155648"/>
  </r>
  <r>
    <s v="ORD-2024-819778"/>
    <d v="2024-06-02T00:00:00"/>
    <d v="2024-06-02T00:00:00"/>
    <d v="2024-06-15T00:00:00"/>
    <d v="2024-06-15T00:00:00"/>
    <n v="13"/>
    <n v="0"/>
    <s v="06-2024"/>
    <s v="Q2-2024"/>
    <d v="2023-01-20T00:00:00"/>
    <s v="01-2023"/>
    <s v="Africa"/>
    <s v="Kenya"/>
    <s v="Mombasa"/>
    <s v="Mombasa"/>
    <s v="Education"/>
    <s v="Online"/>
    <s v="Online"/>
    <s v="O. Wang"/>
    <s v="O. Wang"/>
    <x v="6"/>
    <s v="High"/>
    <s v="PHN-6866"/>
    <s v="A"/>
    <n v="1295.18"/>
    <n v="3024.03"/>
    <n v="3024.03"/>
    <n v="0.192"/>
    <n v="0.192"/>
    <n v="0"/>
    <n v="8"/>
    <n v="19547.329920000004"/>
    <n v="10361.44"/>
    <n v="9185.8899200000033"/>
    <n v="0.46993067378483178"/>
    <n v="8336319.4932800028"/>
    <n v="0.76160206936392705"/>
    <n v="0.192"/>
    <n v="10.4"/>
    <n v="1424.6980000000001"/>
    <n v="25411.528896000003"/>
  </r>
  <r>
    <s v="ORD-2023-521280"/>
    <d v="2023-05-27T00:00:00"/>
    <d v="2023-05-27T00:00:00"/>
    <d v="2023-06-19T00:00:00"/>
    <d v="2023-06-19T00:00:00"/>
    <n v="23"/>
    <n v="0"/>
    <s v="05-2023"/>
    <s v="Q2-2023"/>
    <d v="2023-01-21T00:00:00"/>
    <s v="01-2023"/>
    <s v="Europe"/>
    <s v="Germany"/>
    <s v="Berlin"/>
    <s v="Berlin"/>
    <s v="Education"/>
    <s v="Retail"/>
    <s v="Retail"/>
    <s v="O. Wang"/>
    <s v="O. Wang"/>
    <x v="1"/>
    <s v="High"/>
    <s v="ACC-1882"/>
    <s v="A"/>
    <n v="1471.58"/>
    <n v="2576.65"/>
    <n v="2576.65"/>
    <n v="4.0000000000000001E-3"/>
    <n v="4.0000000000000001E-3"/>
    <n v="0"/>
    <n v="7"/>
    <n v="17964.4038"/>
    <n v="10301.06"/>
    <n v="7663.3438000000006"/>
    <n v="0.4265849223451546"/>
    <n v="8354283.8970800033"/>
    <n v="0.76324328850386025"/>
    <n v="4.0000000000000001E-3"/>
    <n v="9.1"/>
    <n v="1618.7380000000001"/>
    <n v="23353.72494"/>
  </r>
  <r>
    <s v="ORD-2023-949710"/>
    <d v="2023-03-07T00:00:00"/>
    <d v="2023-03-07T00:00:00"/>
    <d v="2023-04-01T00:00:00"/>
    <d v="2023-04-01T00:00:00"/>
    <n v="25"/>
    <n v="0"/>
    <s v="03-2023"/>
    <s v="Q1-2023"/>
    <d v="2023-01-20T00:00:00"/>
    <s v="01-2023"/>
    <s v="Africa"/>
    <s v="Kenya"/>
    <s v="Nairobi"/>
    <s v="Nairobi"/>
    <s v="Consumer"/>
    <s v="Marketplace"/>
    <s v="Marketplace"/>
    <s v="D. Smith"/>
    <s v="D. Smith"/>
    <x v="5"/>
    <s v="Medium"/>
    <s v="PRN-7049"/>
    <s v="A"/>
    <n v="1024.0999999999999"/>
    <n v="918.19"/>
    <n v="918.19"/>
    <n v="0.189"/>
    <n v="0.189"/>
    <n v="0"/>
    <n v="10"/>
    <n v="7446.5209000000004"/>
    <n v="10241"/>
    <n v="2794.4790999999996"/>
    <n v="0.37527311579827827"/>
    <n v="8361730.4179800032"/>
    <n v="0.76392359900918261"/>
    <n v="0.189"/>
    <n v="13"/>
    <n v="1126.51"/>
    <n v="9680.4771700000001"/>
  </r>
  <r>
    <s v="ORD-2024-251426"/>
    <d v="2024-03-09T00:00:00"/>
    <d v="2024-03-09T00:00:00"/>
    <d v="2024-03-26T00:00:00"/>
    <d v="2024-03-26T00:00:00"/>
    <n v="17"/>
    <n v="0"/>
    <s v="03-2024"/>
    <s v="Q1-2024"/>
    <d v="2023-01-13T00:00:00"/>
    <s v="01-2023"/>
    <s v="Americas"/>
    <s v="USA"/>
    <s v="San Francisco"/>
    <s v="San Francisco"/>
    <s v="Education"/>
    <s v="Direct"/>
    <s v="Direct"/>
    <s v="I. Johnson"/>
    <s v="I. Johnson"/>
    <x v="6"/>
    <s v="High"/>
    <s v="PHN-3398"/>
    <s v="A"/>
    <n v="1137.4100000000001"/>
    <n v="1680.93"/>
    <n v="1680.93"/>
    <n v="0.254"/>
    <n v="0.254"/>
    <n v="1"/>
    <n v="9"/>
    <n v="11285.764020000001"/>
    <n v="10236.69"/>
    <n v="1049.07402"/>
    <n v="9.2955516183121464E-2"/>
    <n v="8373016.1820000028"/>
    <n v="0.76495466088713882"/>
    <n v="0.2"/>
    <n v="11.700000000000001"/>
    <n v="1251.1510000000003"/>
    <n v="15733.504800000002"/>
  </r>
  <r>
    <s v="ORD-2024-500109"/>
    <d v="2024-05-18T00:00:00"/>
    <d v="2024-05-18T00:00:00"/>
    <d v="2024-05-23T00:00:00"/>
    <d v="2024-05-23T00:00:00"/>
    <n v="5"/>
    <n v="0"/>
    <s v="05-2024"/>
    <s v="Q2-2024"/>
    <d v="2023-01-13T00:00:00"/>
    <s v="01-2023"/>
    <s v="Americas"/>
    <s v="USA"/>
    <s v="Chicago"/>
    <s v="Chicago"/>
    <s v="Enterprise"/>
    <s v="Retail"/>
    <s v="Retail"/>
    <s v="H. Kim"/>
    <s v="H. Kim"/>
    <x v="3"/>
    <s v="High"/>
    <s v="LAP-4987"/>
    <s v="A"/>
    <n v="1274.5899999999999"/>
    <n v="2553.69"/>
    <n v="2553.69"/>
    <n v="0.01"/>
    <n v="0.01"/>
    <n v="0"/>
    <n v="8"/>
    <n v="20225.2248"/>
    <n v="10196.719999999999"/>
    <n v="10028.504800000001"/>
    <n v="0.49584145042481803"/>
    <n v="8393241.4068000037"/>
    <n v="0.7668024275272548"/>
    <n v="0.01"/>
    <n v="10.4"/>
    <n v="1402.049"/>
    <n v="26292.792239999999"/>
  </r>
  <r>
    <s v="ORD-2023-632893"/>
    <d v="2023-05-07T00:00:00"/>
    <d v="2023-05-05T00:00:00"/>
    <d v="2023-05-05T00:00:00"/>
    <d v="2023-05-07T00:00:00"/>
    <n v="2"/>
    <n v="1"/>
    <s v="05-2023"/>
    <s v="Q2-2023"/>
    <d v="2023-01-13T00:00:00"/>
    <s v="01-2023"/>
    <s v="Africa"/>
    <s v="Nigeria"/>
    <s v="Port Harcourt"/>
    <s v="Port Harcourt"/>
    <s v="Non-Profit"/>
    <s v="Marketplace"/>
    <s v="Marketplace"/>
    <s v="A. Patel"/>
    <s v="A. Patel"/>
    <x v="0"/>
    <s v="High"/>
    <s v="CMP-9392"/>
    <s v="A"/>
    <n v="1269.6500000000001"/>
    <n v="2462.77"/>
    <n v="2462.77"/>
    <n v="0.107"/>
    <n v="0.107"/>
    <n v="0"/>
    <n v="8"/>
    <n v="17594.028880000002"/>
    <n v="10157.200000000001"/>
    <n v="7436.8288800000009"/>
    <n v="0.42269050089225502"/>
    <n v="8410835.4356800038"/>
    <n v="0.7684098093957471"/>
    <n v="0.107"/>
    <n v="10.4"/>
    <n v="1396.6150000000002"/>
    <n v="22872.237544"/>
  </r>
  <r>
    <s v="ORD-2024-855600"/>
    <d v="2024-04-29T00:00:00"/>
    <d v="2024-04-29T00:00:00"/>
    <d v="2024-05-19T00:00:00"/>
    <d v="2024-05-19T00:00:00"/>
    <n v="20"/>
    <n v="0"/>
    <s v="04-2024"/>
    <s v="Q2-2024"/>
    <d v="2023-01-21T00:00:00"/>
    <s v="01-2023"/>
    <s v="Europe"/>
    <s v="Germany"/>
    <s v="Frankfurt"/>
    <s v="Frankfurt"/>
    <s v="Enterprise"/>
    <s v="Marketplace"/>
    <s v="Marketplace"/>
    <s v="C. Otieno"/>
    <s v="C. Otieno"/>
    <x v="3"/>
    <s v="High"/>
    <s v="LAP-5009"/>
    <s v="A"/>
    <n v="668.97"/>
    <n v="1667.44"/>
    <n v="1667.44"/>
    <n v="3.4000000000000002E-2"/>
    <n v="3.4000000000000002E-2"/>
    <n v="0"/>
    <n v="15"/>
    <n v="24161.205600000001"/>
    <n v="10034.550000000001"/>
    <n v="14126.6556"/>
    <n v="0.58468339013679016"/>
    <n v="8434996.6412800048"/>
    <n v="0.77061716531560132"/>
    <n v="3.4000000000000002E-2"/>
    <n v="19.5"/>
    <n v="735.86700000000008"/>
    <n v="31409.567279999999"/>
  </r>
  <r>
    <s v="ORD-2024-331408"/>
    <d v="2024-02-01T00:00:00"/>
    <d v="2024-02-01T00:00:00"/>
    <d v="2024-02-01T00:00:00"/>
    <d v="2024-02-01T00:00:00"/>
    <n v="0"/>
    <n v="1"/>
    <s v="02-2024"/>
    <s v="Q1-2024"/>
    <d v="2023-01-13T00:00:00"/>
    <s v="01-2023"/>
    <s v="Americas"/>
    <s v="USA"/>
    <s v="Austin"/>
    <s v="Austin"/>
    <s v="Consumer"/>
    <s v="Distributor"/>
    <s v="Distributor"/>
    <s v="H. Kim"/>
    <s v="H. Kim"/>
    <x v="5"/>
    <s v="Medium"/>
    <s v="PRN-4906"/>
    <s v="A"/>
    <n v="714.43"/>
    <n v="1595.52"/>
    <n v="1595.52"/>
    <n v="0.19400000000000001"/>
    <n v="0.19400000000000001"/>
    <n v="0"/>
    <n v="14"/>
    <n v="18003.847679999999"/>
    <n v="10002.019999999999"/>
    <n v="8001.8276800000003"/>
    <n v="0.44445097638151093"/>
    <n v="8453000.4889600053"/>
    <n v="0.77226198802910873"/>
    <n v="0.19400000000000001"/>
    <n v="18.2"/>
    <n v="785.87300000000005"/>
    <n v="23405.001984000002"/>
  </r>
  <r>
    <s v="ORD-2025-993993"/>
    <d v="2025-08-30T00:00:00"/>
    <d v="2025-08-30T00:00:00"/>
    <d v="2025-09-22T00:00:00"/>
    <d v="2025-09-22T00:00:00"/>
    <n v="23"/>
    <n v="0"/>
    <s v="08-2025"/>
    <s v="Q3-2025"/>
    <d v="2023-01-10T00:00:00"/>
    <s v="01-2023"/>
    <s v="Europe"/>
    <s v="France"/>
    <s v="Marseille"/>
    <s v="Marseille"/>
    <s v="Corporate"/>
    <s v="Direct"/>
    <s v="Direct"/>
    <s v="E. Garcia"/>
    <s v="E. Garcia"/>
    <x v="0"/>
    <s v="Medium"/>
    <s v="CMP-5311"/>
    <s v="A"/>
    <n v="663.9"/>
    <n v="947.77"/>
    <n v="947.77"/>
    <n v="0.17399999999999999"/>
    <n v="0.17399999999999999"/>
    <n v="0"/>
    <n v="15"/>
    <n v="11742.8703"/>
    <n v="9958.5"/>
    <n v="1784.3703000000005"/>
    <n v="0.1519535049280073"/>
    <n v="8464743.3592600059"/>
    <n v="0.77333481091311196"/>
    <n v="0.17399999999999999"/>
    <n v="19.5"/>
    <n v="730.29000000000008"/>
    <n v="15265.731390000001"/>
  </r>
  <r>
    <s v="ORD-2023-824839"/>
    <d v="2023-12-06T00:00:00"/>
    <d v="2023-12-06T00:00:00"/>
    <d v="2023-12-31T00:00:00"/>
    <d v="2023-12-31T00:00:00"/>
    <n v="25"/>
    <n v="0"/>
    <s v="12-2023"/>
    <s v="Q4-2023"/>
    <d v="2023-03-03T00:00:00"/>
    <s v="03-2023"/>
    <s v="Asia"/>
    <s v="Japan"/>
    <s v="Osaka"/>
    <s v="Osaka"/>
    <s v="Consumer"/>
    <s v="Retail"/>
    <s v="Retail"/>
    <s v="L. Okafor"/>
    <s v="L. Okafor"/>
    <x v="5"/>
    <s v="Low"/>
    <s v="PRN-8041"/>
    <s v="A"/>
    <n v="663.03"/>
    <n v="813.51"/>
    <n v="813.51"/>
    <n v="0.10199999999999999"/>
    <n v="0.10199999999999999"/>
    <n v="0"/>
    <n v="15"/>
    <n v="10957.9797"/>
    <n v="9945.4499999999989"/>
    <n v="1012.529700000001"/>
    <n v="9.2401129379715952E-2"/>
    <n v="8475701.338960005"/>
    <n v="0.7743359265760007"/>
    <n v="0.10199999999999999"/>
    <n v="19.5"/>
    <n v="729.33300000000008"/>
    <n v="14245.373610000001"/>
  </r>
  <r>
    <s v="ORD-2024-446030"/>
    <d v="2024-03-23T00:00:00"/>
    <d v="2024-03-23T00:00:00"/>
    <d v="2024-03-26T00:00:00"/>
    <d v="2024-03-26T00:00:00"/>
    <n v="3"/>
    <n v="1"/>
    <s v="03-2024"/>
    <s v="Q1-2024"/>
    <d v="2023-01-29T00:00:00"/>
    <s v="01-2023"/>
    <s v="Asia"/>
    <s v="India"/>
    <s v="Bengaluru"/>
    <s v="Bengaluru"/>
    <s v="Education"/>
    <s v="Direct"/>
    <s v="Direct"/>
    <s v="G. Dubois"/>
    <s v="G. Dubois"/>
    <x v="6"/>
    <s v="Low"/>
    <s v="PHN-4346"/>
    <s v="A"/>
    <n v="382.21"/>
    <n v="571.89"/>
    <n v="571.89"/>
    <n v="0.14799999999999999"/>
    <n v="0.14799999999999999"/>
    <n v="0"/>
    <n v="26"/>
    <n v="12668.50728"/>
    <n v="9937.4599999999991"/>
    <n v="2731.0472800000007"/>
    <n v="0.2155776698578809"/>
    <n v="8488369.8462400045"/>
    <n v="0.77549331520151787"/>
    <n v="0.14799999999999999"/>
    <n v="33.800000000000004"/>
    <n v="420.43099999999998"/>
    <n v="16469.059464000002"/>
  </r>
  <r>
    <s v="ORD-2023-715175"/>
    <d v="2023-06-15T00:00:00"/>
    <d v="2023-06-15T00:00:00"/>
    <d v="2023-06-23T00:00:00"/>
    <d v="2023-06-23T00:00:00"/>
    <n v="8"/>
    <n v="0"/>
    <s v="06-2023"/>
    <s v="Q2-2023"/>
    <d v="2023-01-13T00:00:00"/>
    <s v="01-2023"/>
    <s v="Americas"/>
    <s v="USA"/>
    <s v="San Francisco"/>
    <s v="San Francisco"/>
    <s v="Consumer"/>
    <s v="Distributor"/>
    <s v="Distributor"/>
    <s v="O. Wang"/>
    <s v="O. Wang"/>
    <x v="2"/>
    <s v="High"/>
    <s v="MON-5424"/>
    <s v="A"/>
    <n v="1097.0899999999999"/>
    <n v="2182.31"/>
    <n v="2182.31"/>
    <n v="0.112"/>
    <n v="0.112"/>
    <n v="0"/>
    <n v="9"/>
    <n v="17441.021520000002"/>
    <n v="9873.81"/>
    <n v="7567.2115200000026"/>
    <n v="0.43387432962699546"/>
    <n v="8505810.8677600045"/>
    <n v="0.77708671839247767"/>
    <n v="0.112"/>
    <n v="11.700000000000001"/>
    <n v="1206.799"/>
    <n v="22673.327976"/>
  </r>
  <r>
    <s v="ORD-2024-819979"/>
    <d v="2024-05-28T00:00:00"/>
    <d v="2024-05-28T00:00:00"/>
    <d v="2024-06-18T00:00:00"/>
    <d v="2024-06-18T00:00:00"/>
    <n v="21"/>
    <n v="0"/>
    <s v="05-2024"/>
    <s v="Q2-2024"/>
    <d v="2023-01-21T00:00:00"/>
    <s v="01-2023"/>
    <s v="Europe"/>
    <s v="Germany"/>
    <s v="Frankfurt"/>
    <s v="Frankfurt"/>
    <s v="Small Business"/>
    <s v="Online"/>
    <s v="Online"/>
    <s v="E. Garcia"/>
    <s v="E. Garcia"/>
    <x v="6"/>
    <s v="High"/>
    <s v="PHN-9399"/>
    <s v="A"/>
    <n v="986.85"/>
    <n v="2422.1"/>
    <n v="2422.1"/>
    <n v="7.5999999999999998E-2"/>
    <n v="7.5999999999999998E-2"/>
    <n v="0"/>
    <n v="10"/>
    <n v="22380.204000000002"/>
    <n v="9868.5"/>
    <n v="12511.704000000002"/>
    <n v="0.55905227673527913"/>
    <n v="8528191.0717600044"/>
    <n v="0.779131362877724"/>
    <n v="7.5999999999999998E-2"/>
    <n v="13"/>
    <n v="1085.5350000000001"/>
    <n v="29094.265200000002"/>
  </r>
  <r>
    <s v="ORD-2024-686712"/>
    <d v="2024-10-02T00:00:00"/>
    <d v="2024-10-02T00:00:00"/>
    <d v="2024-10-23T00:00:00"/>
    <d v="2024-10-23T00:00:00"/>
    <n v="21"/>
    <n v="1"/>
    <s v="10-2024"/>
    <s v="Q4-2024"/>
    <d v="2023-01-07T00:00:00"/>
    <s v="01-2023"/>
    <s v="Africa"/>
    <s v="South Africa"/>
    <s v="Durban"/>
    <s v="Durban"/>
    <s v="Corporate"/>
    <s v="Marketplace"/>
    <s v="Marketplace"/>
    <s v="A. Patel"/>
    <s v="A. Patel"/>
    <x v="0"/>
    <s v="High"/>
    <s v="CMP-3978"/>
    <s v="A"/>
    <n v="1095.6099999999999"/>
    <n v="2366.5100000000002"/>
    <n v="2366.5100000000002"/>
    <n v="0.152"/>
    <n v="0.152"/>
    <n v="0"/>
    <n v="9"/>
    <n v="18061.204320000004"/>
    <n v="9860.49"/>
    <n v="8200.7143200000046"/>
    <n v="0.4540513564158607"/>
    <n v="8546252.2760800049"/>
    <n v="0.78078142566579323"/>
    <n v="0.152"/>
    <n v="11.700000000000001"/>
    <n v="1205.171"/>
    <n v="23479.565616000004"/>
  </r>
  <r>
    <s v="ORD-2023-728177"/>
    <d v="2023-12-18T00:00:00"/>
    <d v="2023-12-18T00:00:00"/>
    <d v="2024-01-14T00:00:00"/>
    <d v="2024-01-14T00:00:00"/>
    <n v="27"/>
    <n v="0"/>
    <s v="12-2023"/>
    <s v="Q4-2023"/>
    <d v="2023-01-29T00:00:00"/>
    <s v="01-2023"/>
    <s v="Asia"/>
    <s v="India"/>
    <s v="Mumbai"/>
    <s v="Mumbai"/>
    <s v="Consumer"/>
    <s v="Distributor"/>
    <s v="Distributor"/>
    <s v="D. Smith"/>
    <s v="D. Smith"/>
    <x v="4"/>
    <s v="High"/>
    <s v="NET-6014"/>
    <s v="A"/>
    <n v="1408.3"/>
    <n v="2193.13"/>
    <n v="2193.13"/>
    <n v="7.0999999999999994E-2"/>
    <n v="7.0999999999999994E-2"/>
    <n v="0"/>
    <n v="7"/>
    <n v="14261.92439"/>
    <n v="9858.1"/>
    <n v="4403.8243899999998"/>
    <n v="0.30878191957656281"/>
    <n v="8560514.2004700042"/>
    <n v="0.78208438809870995"/>
    <n v="7.0999999999999994E-2"/>
    <n v="9.1"/>
    <n v="1549.13"/>
    <n v="18540.501706999999"/>
  </r>
  <r>
    <s v="ORD-2025-703623"/>
    <d v="2025-07-23T00:00:00"/>
    <d v="2025-07-23T00:00:00"/>
    <d v="2025-08-19T00:00:00"/>
    <d v="2025-08-19T00:00:00"/>
    <n v="27"/>
    <n v="0"/>
    <s v="07-2025"/>
    <s v="Q3-2025"/>
    <d v="2023-03-03T00:00:00"/>
    <s v="03-2023"/>
    <s v="Asia"/>
    <s v="Japan"/>
    <s v="Nagoya"/>
    <s v="Nagoya"/>
    <s v="Consumer"/>
    <s v="Marketplace"/>
    <s v="Marketplace"/>
    <s v="B. Chen"/>
    <s v="B. Chen"/>
    <x v="1"/>
    <s v="Low"/>
    <s v="ACC-1596"/>
    <s v="A"/>
    <n v="896.09"/>
    <n v="744.27"/>
    <n v="744.27"/>
    <n v="8.3000000000000004E-2"/>
    <n v="8.3000000000000004E-2"/>
    <n v="0"/>
    <n v="11"/>
    <n v="7507.4514899999995"/>
    <n v="9856.99"/>
    <n v="2349.5385100000003"/>
    <n v="0.31296086469950679"/>
    <n v="8568021.6519600041"/>
    <n v="0.78277026519291704"/>
    <n v="8.3000000000000004E-2"/>
    <n v="14.3"/>
    <n v="985.69900000000007"/>
    <n v="9759.6869370000004"/>
  </r>
  <r>
    <s v="ORD-2025-909340"/>
    <d v="2025-01-20T00:00:00"/>
    <d v="2025-01-20T00:00:00"/>
    <d v="2025-02-03T00:00:00"/>
    <d v="2025-02-03T00:00:00"/>
    <n v="14"/>
    <n v="1"/>
    <s v="01-2025"/>
    <s v="Q1-2025"/>
    <d v="2023-01-29T00:00:00"/>
    <s v="01-2023"/>
    <s v="Americas"/>
    <s v="Brazil"/>
    <s v="Brasília"/>
    <s v="Brasília"/>
    <s v="Enterprise"/>
    <s v="Marketplace"/>
    <s v="Marketplace"/>
    <s v="F. Müller"/>
    <s v="F. Müller"/>
    <x v="0"/>
    <s v="Medium"/>
    <s v="CMP-8658"/>
    <s v="A"/>
    <n v="974.11"/>
    <n v="880.99"/>
    <n v="880.99"/>
    <n v="0.111"/>
    <n v="0.111"/>
    <n v="0"/>
    <n v="10"/>
    <n v="7832.0010999999995"/>
    <n v="9741.1"/>
    <n v="1909.0989000000009"/>
    <n v="0.2437562093805121"/>
    <n v="8575853.6530600041"/>
    <n v="0.78348579298066912"/>
    <n v="0.111"/>
    <n v="13"/>
    <n v="1071.5210000000002"/>
    <n v="10181.601430000001"/>
  </r>
  <r>
    <s v="ORD-2025-248586"/>
    <d v="2025-09-12T00:00:00"/>
    <d v="2025-09-12T00:00:00"/>
    <d v="2025-09-30T00:00:00"/>
    <d v="2025-09-30T00:00:00"/>
    <n v="18"/>
    <n v="0"/>
    <s v="09-2025"/>
    <s v="Q3-2025"/>
    <d v="2023-03-03T00:00:00"/>
    <s v="03-2023"/>
    <s v="Asia"/>
    <s v="Japan"/>
    <s v="Nagoya"/>
    <s v="Nagoya"/>
    <s v="Non-Profit"/>
    <s v="Marketplace"/>
    <s v="Marketplace"/>
    <s v="F. Müller"/>
    <s v="F. Müller"/>
    <x v="2"/>
    <s v="High"/>
    <s v="MON-2998"/>
    <s v="A"/>
    <n v="1212.99"/>
    <n v="1653.64"/>
    <n v="1653.64"/>
    <n v="0.107"/>
    <n v="0.107"/>
    <n v="0"/>
    <n v="8"/>
    <n v="11813.604160000001"/>
    <n v="9703.92"/>
    <n v="2109.6841600000007"/>
    <n v="0.17858090819931455"/>
    <n v="8587667.2572200038"/>
    <n v="0.78456507807550679"/>
    <n v="0.107"/>
    <n v="10.4"/>
    <n v="1334.2890000000002"/>
    <n v="15357.685408000003"/>
  </r>
  <r>
    <s v="ORD-2024-890180"/>
    <d v="2024-01-20T00:00:00"/>
    <d v="2024-01-20T00:00:00"/>
    <d v="2024-02-13T00:00:00"/>
    <d v="2024-02-13T00:00:00"/>
    <n v="24"/>
    <n v="0"/>
    <s v="01-2024"/>
    <s v="Q1-2024"/>
    <d v="2023-01-10T00:00:00"/>
    <s v="01-2023"/>
    <s v="Europe"/>
    <s v="France"/>
    <s v="Marseille"/>
    <s v="Marseille"/>
    <s v="Corporate"/>
    <s v="Retail"/>
    <s v="Retail"/>
    <s v="H. Kim"/>
    <s v="H. Kim"/>
    <x v="5"/>
    <s v="Medium"/>
    <s v="PRN-8392"/>
    <s v="A"/>
    <n v="643.53"/>
    <n v="1439.01"/>
    <n v="1439.01"/>
    <n v="0"/>
    <n v="0"/>
    <n v="0"/>
    <n v="15"/>
    <n v="21585.15"/>
    <n v="9652.9499999999989"/>
    <n v="11932.200000000003"/>
    <n v="0.55279671440782208"/>
    <n v="8609252.4072200041"/>
    <n v="0.78653708681638856"/>
    <n v="0"/>
    <n v="19.5"/>
    <n v="707.88300000000004"/>
    <n v="28060.695"/>
  </r>
  <r>
    <s v="ORD-2024-862371"/>
    <d v="2024-09-07T00:00:00"/>
    <d v="2024-09-07T00:00:00"/>
    <d v="2024-09-07T00:00:00"/>
    <d v="2024-09-07T00:00:00"/>
    <n v="0"/>
    <n v="1"/>
    <s v="09-2024"/>
    <s v="Q3-2024"/>
    <d v="2023-01-29T00:00:00"/>
    <s v="01-2023"/>
    <s v="Asia"/>
    <s v="India"/>
    <s v="Mumbai"/>
    <s v="Mumbai"/>
    <s v="Education"/>
    <s v="Distributor"/>
    <s v="Distributor"/>
    <s v="B. Chen"/>
    <s v="B. Chen"/>
    <x v="4"/>
    <s v="High"/>
    <s v="NET-9835"/>
    <s v="A"/>
    <n v="1066.6500000000001"/>
    <n v="2569.77"/>
    <n v="2569.77"/>
    <n v="0.13400000000000001"/>
    <n v="0.13400000000000001"/>
    <n v="0"/>
    <n v="9"/>
    <n v="20028.787380000002"/>
    <n v="9599.85"/>
    <n v="10428.937380000001"/>
    <n v="0.52069739331368348"/>
    <n v="8629281.1946000047"/>
    <n v="0.78836690702994383"/>
    <n v="0.13400000000000001"/>
    <n v="11.700000000000001"/>
    <n v="1173.3150000000003"/>
    <n v="26037.423594"/>
  </r>
  <r>
    <s v="ORD-2024-211453"/>
    <d v="2024-04-04T00:00:00"/>
    <d v="2024-04-04T00:00:00"/>
    <d v="2024-04-24T00:00:00"/>
    <d v="2024-04-24T00:00:00"/>
    <n v="20"/>
    <n v="0"/>
    <s v="04-2024"/>
    <s v="Q2-2024"/>
    <d v="2023-01-21T00:00:00"/>
    <s v="01-2023"/>
    <s v="Europe"/>
    <s v="Germany"/>
    <s v="Frankfurt"/>
    <s v="Frankfurt"/>
    <s v="Non-Profit"/>
    <s v="Direct"/>
    <s v="Direct"/>
    <s v="O. Wang"/>
    <s v="O. Wang"/>
    <x v="1"/>
    <s v="Medium"/>
    <s v="ACC-6543"/>
    <s v="A"/>
    <n v="683.42"/>
    <n v="951.51"/>
    <n v="951.51"/>
    <n v="0"/>
    <n v="0"/>
    <n v="0"/>
    <n v="14"/>
    <n v="13321.14"/>
    <n v="9567.8799999999992"/>
    <n v="3753.26"/>
    <n v="0.28175216235247136"/>
    <n v="8642602.3346000053"/>
    <n v="0.78958391986138166"/>
    <n v="0"/>
    <n v="18.2"/>
    <n v="751.76200000000006"/>
    <n v="17317.482"/>
  </r>
  <r>
    <s v="ORD-2025-398335"/>
    <d v="2025-06-01T00:00:00"/>
    <d v="2025-06-01T00:00:00"/>
    <d v="2025-06-27T00:00:00"/>
    <d v="2025-06-27T00:00:00"/>
    <n v="26"/>
    <n v="0"/>
    <s v="06-2025"/>
    <s v="Q2-2025"/>
    <d v="2023-01-21T00:00:00"/>
    <s v="01-2023"/>
    <s v="Europe"/>
    <s v="Germany"/>
    <s v="Munich"/>
    <s v="Munich"/>
    <s v="Consumer"/>
    <s v="Distributor"/>
    <s v="Distributor"/>
    <s v="E. Garcia"/>
    <s v="E. Garcia"/>
    <x v="3"/>
    <s v="High"/>
    <s v="LAP-1619"/>
    <s v="A"/>
    <n v="1362.31"/>
    <n v="3294.57"/>
    <n v="3294.57"/>
    <n v="0.113"/>
    <n v="0.113"/>
    <n v="0"/>
    <n v="7"/>
    <n v="20455.985130000001"/>
    <n v="9536.17"/>
    <n v="10919.815130000001"/>
    <n v="0.5338200561157721"/>
    <n v="8663058.3197300062"/>
    <n v="0.79145276865231928"/>
    <n v="0.113"/>
    <n v="9.1"/>
    <n v="1498.5410000000002"/>
    <n v="26592.780669"/>
  </r>
  <r>
    <s v="ORD-2024-997336"/>
    <d v="2024-10-04T00:00:00"/>
    <d v="2024-10-04T00:00:00"/>
    <d v="2024-11-02T00:00:00"/>
    <d v="2024-11-02T00:00:00"/>
    <n v="29"/>
    <n v="0"/>
    <s v="10-2024"/>
    <s v="Q4-2024"/>
    <d v="2023-01-13T00:00:00"/>
    <s v="01-2023"/>
    <s v="Africa"/>
    <s v="Nigeria"/>
    <s v="Abuja"/>
    <s v="Abuja"/>
    <s v="Corporate"/>
    <s v="Distributor"/>
    <s v="Distributor"/>
    <s v="F. Müller"/>
    <s v="F. Müller"/>
    <x v="1"/>
    <s v="Medium"/>
    <s v="ACC-9038"/>
    <s v="A"/>
    <n v="412.09"/>
    <n v="968.94"/>
    <n v="968.94"/>
    <n v="9.9000000000000005E-2"/>
    <n v="9.9000000000000005E-2"/>
    <n v="0"/>
    <n v="23"/>
    <n v="20079.343620000003"/>
    <n v="9478.07"/>
    <n v="10601.273620000004"/>
    <n v="0.52796913189137418"/>
    <n v="8683137.6633500066"/>
    <n v="0.79328720765922023"/>
    <n v="9.9000000000000005E-2"/>
    <n v="29.900000000000002"/>
    <n v="453.29900000000004"/>
    <n v="26103.146706000003"/>
  </r>
  <r>
    <s v="ORD-2025-192876"/>
    <d v="2025-01-31T00:00:00"/>
    <d v="2025-01-31T00:00:00"/>
    <d v="2025-02-17T00:00:00"/>
    <d v="2025-02-17T00:00:00"/>
    <n v="17"/>
    <n v="0"/>
    <s v="01-2025"/>
    <s v="Q1-2025"/>
    <d v="2023-01-19T00:00:00"/>
    <s v="01-2023"/>
    <s v="Europe"/>
    <s v="United Kingdom"/>
    <s v="London"/>
    <s v="London"/>
    <s v="Enterprise"/>
    <s v="Retail"/>
    <s v="Retail"/>
    <s v="H. Kim"/>
    <s v="H. Kim"/>
    <x v="0"/>
    <s v="Low"/>
    <s v="CMP-5820"/>
    <s v="A"/>
    <n v="378.26"/>
    <n v="541.55999999999995"/>
    <n v="541.55999999999995"/>
    <n v="0.16300000000000001"/>
    <n v="0.16300000000000001"/>
    <n v="0"/>
    <n v="25"/>
    <n v="11332.142999999998"/>
    <n v="9456.5"/>
    <n v="1875.6429999999982"/>
    <n v="0.16551529573885526"/>
    <n v="8694469.8063500058"/>
    <n v="0.79432250669809279"/>
    <n v="0.16300000000000001"/>
    <n v="32.5"/>
    <n v="416.08600000000001"/>
    <n v="14731.785899999997"/>
  </r>
  <r>
    <s v="ORD-2023-192324"/>
    <d v="2023-09-14T00:00:00"/>
    <d v="2023-09-14T00:00:00"/>
    <d v="2023-09-16T00:00:00"/>
    <d v="2023-09-16T00:00:00"/>
    <n v="2"/>
    <n v="0"/>
    <s v="09-2023"/>
    <s v="Q3-2023"/>
    <d v="2023-01-10T00:00:00"/>
    <s v="01-2023"/>
    <s v="Europe"/>
    <s v="France"/>
    <s v="Lyon"/>
    <s v="Lyon"/>
    <s v="Non-Profit"/>
    <s v="Direct"/>
    <s v="Direct"/>
    <s v="B. Chen"/>
    <s v="B. Chen"/>
    <x v="5"/>
    <s v="Low"/>
    <s v="PRN-4432"/>
    <s v="A"/>
    <n v="376.83"/>
    <n v="732.88"/>
    <n v="732.88"/>
    <n v="0.188"/>
    <n v="0.188"/>
    <n v="0"/>
    <n v="25"/>
    <n v="14877.464000000002"/>
    <n v="9420.75"/>
    <n v="5456.7140000000018"/>
    <n v="0.36677716040852132"/>
    <n v="8709347.2703500055"/>
    <n v="0.79568170452855269"/>
    <n v="0.188"/>
    <n v="32.5"/>
    <n v="414.51300000000003"/>
    <n v="19340.7032"/>
  </r>
  <r>
    <s v="ORD-2025-922513"/>
    <d v="2025-08-28T00:00:00"/>
    <d v="2025-08-26T00:00:00"/>
    <d v="2025-08-26T00:00:00"/>
    <d v="2025-08-28T00:00:00"/>
    <n v="2"/>
    <n v="0"/>
    <s v="08-2025"/>
    <s v="Q3-2025"/>
    <d v="2023-01-13T00:00:00"/>
    <s v="01-2023"/>
    <s v="Africa"/>
    <s v="Nigeria"/>
    <s v="Port Harcourt"/>
    <s v="Port Harcourt"/>
    <s v="Small Business"/>
    <s v="Retail"/>
    <s v="Retail"/>
    <s v="A. Patel"/>
    <s v="A. Patel"/>
    <x v="1"/>
    <s v="Medium"/>
    <s v="ACC-4483"/>
    <s v="A"/>
    <n v="521.05999999999995"/>
    <n v="1240.31"/>
    <n v="1240.31"/>
    <n v="0.14599999999999999"/>
    <n v="0.14599999999999999"/>
    <n v="0"/>
    <n v="18"/>
    <n v="19066.045319999997"/>
    <n v="9379.0799999999981"/>
    <n v="9686.9653199999993"/>
    <n v="0.50807417885650974"/>
    <n v="8728413.315670006"/>
    <n v="0.7974235690986432"/>
    <n v="0.14599999999999999"/>
    <n v="23.400000000000002"/>
    <n v="573.16599999999994"/>
    <n v="24785.858916000001"/>
  </r>
  <r>
    <s v="ORD-2025-840976"/>
    <d v="2025-09-01T00:00:00"/>
    <d v="2025-09-01T00:00:00"/>
    <d v="2025-09-30T00:00:00"/>
    <d v="2025-09-30T00:00:00"/>
    <n v="29"/>
    <n v="0"/>
    <s v="09-2025"/>
    <s v="Q3-2025"/>
    <d v="2023-01-29T00:00:00"/>
    <s v="01-2023"/>
    <s v="Americas"/>
    <s v="Brazil"/>
    <s v="Brasília"/>
    <s v="Brasília"/>
    <s v="Education"/>
    <s v="Retail"/>
    <s v="Retail"/>
    <s v="K. Singh"/>
    <s v="K. Singh"/>
    <x v="1"/>
    <s v="Low"/>
    <s v="ACC-1663"/>
    <s v="A"/>
    <n v="780.59"/>
    <n v="631.57000000000005"/>
    <n v="631.57000000000005"/>
    <n v="0"/>
    <n v="0"/>
    <n v="0"/>
    <n v="12"/>
    <n v="7578.84"/>
    <n v="9367.08"/>
    <n v="1788.2399999999998"/>
    <n v="0.23595167598207639"/>
    <n v="8735992.1556700058"/>
    <n v="0.79811596821218855"/>
    <n v="0"/>
    <n v="15.600000000000001"/>
    <n v="858.64900000000011"/>
    <n v="9852.492000000002"/>
  </r>
  <r>
    <s v="ORD-2024-550400"/>
    <d v="2024-08-19T00:00:00"/>
    <d v="2024-08-19T00:00:00"/>
    <d v="2024-09-02T00:00:00"/>
    <d v="2024-09-02T00:00:00"/>
    <n v="14"/>
    <n v="0"/>
    <s v="08-2024"/>
    <s v="Q3-2024"/>
    <d v="2023-01-02T00:00:00"/>
    <s v="01-2023"/>
    <s v="Americas"/>
    <s v="Canada"/>
    <s v="Toronto"/>
    <s v="Toronto"/>
    <s v="Consumer"/>
    <s v="Distributor"/>
    <s v="Distributor"/>
    <s v="C. Otieno"/>
    <s v="C. Otieno"/>
    <x v="5"/>
    <s v="Medium"/>
    <s v="PRN-9793"/>
    <s v="A"/>
    <n v="1337.01"/>
    <n v="1269.78"/>
    <n v="1269.78"/>
    <n v="0.16"/>
    <n v="0.16"/>
    <n v="0"/>
    <n v="7"/>
    <n v="7466.3063999999986"/>
    <n v="9359.07"/>
    <n v="1892.7636000000011"/>
    <n v="0.25350735672996244"/>
    <n v="8743458.462070005"/>
    <n v="0.79879808631110838"/>
    <n v="0.16"/>
    <n v="9.1"/>
    <n v="1470.711"/>
    <n v="9706.1983199999995"/>
  </r>
  <r>
    <s v="ORD-2024-343877"/>
    <d v="2024-03-09T00:00:00"/>
    <d v="2024-03-09T00:00:00"/>
    <d v="2024-03-26T00:00:00"/>
    <d v="2024-03-26T00:00:00"/>
    <n v="17"/>
    <n v="1"/>
    <s v="03-2024"/>
    <s v="Q1-2024"/>
    <d v="2023-01-12T00:00:00"/>
    <s v="01-2023"/>
    <s v="Asia"/>
    <s v="China"/>
    <s v="Shenzhen"/>
    <s v="Shenzhen"/>
    <s v="Enterprise"/>
    <s v="Online"/>
    <s v="Online"/>
    <s v="K. Singh"/>
    <s v="K. Singh"/>
    <x v="2"/>
    <s v="Medium"/>
    <s v="MON-5749"/>
    <s v="A"/>
    <n v="1029.67"/>
    <n v="1118.43"/>
    <n v="1118.43"/>
    <n v="0.27200000000000002"/>
    <n v="0.27200000000000002"/>
    <n v="1"/>
    <n v="9"/>
    <n v="7327.9533600000004"/>
    <n v="9267.0300000000007"/>
    <n v="1939.0766400000002"/>
    <n v="0.26461367106736061"/>
    <n v="8750786.4154300056"/>
    <n v="0.7994675645439997"/>
    <n v="0.2"/>
    <n v="11.700000000000001"/>
    <n v="1132.6370000000002"/>
    <n v="10468.504800000002"/>
  </r>
  <r>
    <s v="ORD-2023-621393"/>
    <d v="2023-07-07T00:00:00"/>
    <d v="2023-07-07T00:00:00"/>
    <d v="2023-07-13T00:00:00"/>
    <d v="2023-07-13T00:00:00"/>
    <n v="6"/>
    <n v="0"/>
    <s v="07-2023"/>
    <s v="Q3-2023"/>
    <d v="2023-01-07T00:00:00"/>
    <s v="01-2023"/>
    <s v="Africa"/>
    <s v="South Africa"/>
    <s v="Cape Town"/>
    <s v="Cape Town"/>
    <s v="Small Business"/>
    <s v="Marketplace"/>
    <s v="Marketplace"/>
    <s v="B. Chen"/>
    <s v="B. Chen"/>
    <x v="1"/>
    <s v="Medium"/>
    <s v="ACC-9445"/>
    <s v="B"/>
    <n v="612.59"/>
    <n v="1424.74"/>
    <n v="1424.74"/>
    <n v="4.3999999999999997E-2"/>
    <n v="4.3999999999999997E-2"/>
    <n v="0"/>
    <n v="15"/>
    <n v="20430.771599999996"/>
    <n v="9188.85"/>
    <n v="11241.921599999996"/>
    <n v="0.55024459281802152"/>
    <n v="8771217.1870300062"/>
    <n v="0.8013341098391753"/>
    <n v="4.3999999999999997E-2"/>
    <n v="19.5"/>
    <n v="673.84900000000005"/>
    <n v="26560.003079999999"/>
  </r>
  <r>
    <s v="ORD-2024-257550"/>
    <d v="2024-12-27T00:00:00"/>
    <d v="2024-12-27T00:00:00"/>
    <d v="2024-12-29T00:00:00"/>
    <d v="2024-12-29T00:00:00"/>
    <n v="2"/>
    <n v="1"/>
    <s v="12-2024"/>
    <s v="Q4-2024"/>
    <d v="2023-01-02T00:00:00"/>
    <s v="01-2023"/>
    <s v="Americas"/>
    <s v="Canada"/>
    <s v="Vancouver"/>
    <s v="Vancouver"/>
    <s v="Enterprise"/>
    <s v="Marketplace"/>
    <s v="Marketplace"/>
    <s v="C. Otieno"/>
    <s v="C. Otieno"/>
    <x v="1"/>
    <s v="High"/>
    <s v="ACC-8620"/>
    <s v="B"/>
    <n v="1146.72"/>
    <n v="2074.34"/>
    <n v="2074.34"/>
    <n v="0.111"/>
    <n v="0.111"/>
    <n v="0"/>
    <n v="8"/>
    <n v="14752.706080000002"/>
    <n v="9173.76"/>
    <n v="5578.9460800000015"/>
    <n v="0.37816425337472737"/>
    <n v="8785969.893110007"/>
    <n v="0.80268190984711685"/>
    <n v="0.111"/>
    <n v="10.4"/>
    <n v="1261.3920000000001"/>
    <n v="19178.517904000004"/>
  </r>
  <r>
    <s v="ORD-2024-332076"/>
    <d v="2024-04-09T00:00:00"/>
    <d v="2024-04-09T00:00:00"/>
    <d v="2024-04-18T00:00:00"/>
    <d v="2024-04-18T00:00:00"/>
    <n v="9"/>
    <n v="0"/>
    <s v="04-2024"/>
    <s v="Q2-2024"/>
    <d v="2023-01-10T00:00:00"/>
    <s v="01-2023"/>
    <s v="Europe"/>
    <s v="France"/>
    <s v="Lyon"/>
    <s v="Lyon"/>
    <s v="Consumer"/>
    <s v="Online"/>
    <s v="Online"/>
    <s v="E. Garcia"/>
    <s v="E. Garcia"/>
    <x v="5"/>
    <s v="High"/>
    <s v="PRN-1086"/>
    <s v="B"/>
    <n v="1288.8499999999999"/>
    <n v="2751.84"/>
    <n v="2751.84"/>
    <n v="0.158"/>
    <n v="0.158"/>
    <n v="0"/>
    <n v="7"/>
    <n v="16219.34496"/>
    <n v="9021.9499999999989"/>
    <n v="7197.3949600000014"/>
    <n v="0.44375373837538756"/>
    <n v="8802189.2380700074"/>
    <n v="0.80416370126540659"/>
    <n v="0.158"/>
    <n v="9.1"/>
    <n v="1417.7350000000001"/>
    <n v="21085.148448"/>
  </r>
  <r>
    <s v="ORD-2023-987081"/>
    <d v="2023-08-29T00:00:00"/>
    <d v="2023-08-29T00:00:00"/>
    <d v="2023-09-13T00:00:00"/>
    <d v="2023-09-13T00:00:00"/>
    <n v="15"/>
    <n v="0"/>
    <s v="08-2023"/>
    <s v="Q3-2023"/>
    <d v="2023-01-02T00:00:00"/>
    <s v="01-2023"/>
    <s v="Americas"/>
    <s v="Canada"/>
    <s v="Vancouver"/>
    <s v="Vancouver"/>
    <s v="Small Business"/>
    <s v="Marketplace"/>
    <s v="Marketplace"/>
    <s v="O. Wang"/>
    <s v="O. Wang"/>
    <x v="5"/>
    <s v="High"/>
    <s v="PRN-9975"/>
    <s v="B"/>
    <n v="1287.6400000000001"/>
    <n v="2717.15"/>
    <n v="2717.15"/>
    <n v="3.2000000000000001E-2"/>
    <n v="3.2000000000000001E-2"/>
    <n v="0"/>
    <n v="7"/>
    <n v="18411.4084"/>
    <n v="9013.4800000000014"/>
    <n v="9397.9283999999989"/>
    <n v="0.51044049405802105"/>
    <n v="8820600.6464700066"/>
    <n v="0.80584575852684526"/>
    <n v="3.2000000000000001E-2"/>
    <n v="9.1"/>
    <n v="1416.4040000000002"/>
    <n v="23934.830919999997"/>
  </r>
  <r>
    <s v="ORD-2025-680118"/>
    <d v="2025-03-10T00:00:00"/>
    <d v="2025-03-10T00:00:00"/>
    <d v="2025-03-27T00:00:00"/>
    <d v="2025-03-27T00:00:00"/>
    <n v="17"/>
    <n v="0"/>
    <s v="03-2025"/>
    <s v="Q1-2025"/>
    <d v="2023-01-29T00:00:00"/>
    <s v="01-2023"/>
    <s v="Americas"/>
    <s v="Brazil"/>
    <s v="Rio de Janeiro"/>
    <s v="Rio de Janeiro"/>
    <s v="Enterprise"/>
    <s v="Direct"/>
    <s v="Direct"/>
    <s v="F. Müller"/>
    <s v="F. Müller"/>
    <x v="4"/>
    <s v="Medium"/>
    <s v="NET-6269"/>
    <s v="B"/>
    <n v="996.73"/>
    <n v="1217.43"/>
    <n v="1217.43"/>
    <n v="7.0000000000000007E-2"/>
    <n v="7.0000000000000007E-2"/>
    <n v="0"/>
    <n v="9"/>
    <n v="10189.8891"/>
    <n v="8970.57"/>
    <n v="1219.3191000000006"/>
    <n v="0.11965970267527255"/>
    <n v="8830790.5355700068"/>
    <n v="0.80677670180839833"/>
    <n v="7.0000000000000007E-2"/>
    <n v="11.700000000000001"/>
    <n v="1096.403"/>
    <n v="13246.85583"/>
  </r>
  <r>
    <s v="ORD-2023-552115"/>
    <d v="2023-09-17T00:00:00"/>
    <d v="2023-09-17T00:00:00"/>
    <d v="2023-10-02T00:00:00"/>
    <d v="2023-10-02T00:00:00"/>
    <n v="15"/>
    <n v="1"/>
    <s v="09-2023"/>
    <s v="Q3-2023"/>
    <d v="2023-01-29T00:00:00"/>
    <s v="01-2023"/>
    <s v="Americas"/>
    <s v="Brazil"/>
    <s v="Rio de Janeiro"/>
    <s v="Rio de Janeiro"/>
    <s v="Small Business"/>
    <s v="Retail"/>
    <s v="Retail"/>
    <s v="B. Chen"/>
    <s v="B. Chen"/>
    <x v="3"/>
    <s v="Low"/>
    <s v="LAP-4932"/>
    <s v="B"/>
    <n v="689.33"/>
    <n v="668.27"/>
    <n v="668.27"/>
    <n v="0.186"/>
    <n v="0.186"/>
    <n v="0"/>
    <n v="13"/>
    <n v="7071.6331400000008"/>
    <n v="8961.2900000000009"/>
    <n v="1889.6568600000001"/>
    <n v="0.26721647214861033"/>
    <n v="8837862.1687100064"/>
    <n v="0.80742276275142566"/>
    <n v="0.186"/>
    <n v="16.900000000000002"/>
    <n v="758.26300000000015"/>
    <n v="9193.1230820000019"/>
  </r>
  <r>
    <s v="ORD-2025-278048"/>
    <d v="2025-06-22T00:00:00"/>
    <d v="2025-06-22T00:00:00"/>
    <d v="2025-07-08T00:00:00"/>
    <d v="2025-07-08T00:00:00"/>
    <n v="16"/>
    <n v="0"/>
    <s v="06-2025"/>
    <s v="Q2-2025"/>
    <d v="2023-01-19T00:00:00"/>
    <s v="01-2023"/>
    <s v="Europe"/>
    <s v="United Kingdom"/>
    <s v="London"/>
    <s v="London"/>
    <s v="Education"/>
    <s v="Direct"/>
    <s v="Direct"/>
    <s v="A. Patel"/>
    <s v="A. Patel"/>
    <x v="6"/>
    <s v="Medium"/>
    <s v="PHN-5316"/>
    <s v="B"/>
    <n v="892.73"/>
    <n v="979.84"/>
    <n v="979.84"/>
    <n v="0.17399999999999999"/>
    <n v="0.17399999999999999"/>
    <n v="0"/>
    <n v="10"/>
    <n v="8093.4784"/>
    <n v="8927.2999999999993"/>
    <n v="833.82159999999931"/>
    <n v="0.10302388649112838"/>
    <n v="8845955.6471100058"/>
    <n v="0.80816217897734655"/>
    <n v="0.17399999999999999"/>
    <n v="13"/>
    <n v="982.00300000000004"/>
    <n v="10521.521920000001"/>
  </r>
  <r>
    <s v="ORD-2024-719055"/>
    <d v="2024-01-02T00:00:00"/>
    <d v="2024-01-01T00:00:00"/>
    <d v="2024-01-01T00:00:00"/>
    <d v="2024-01-02T00:00:00"/>
    <n v="1"/>
    <n v="0"/>
    <s v="01-2024"/>
    <s v="Q1-2024"/>
    <d v="2023-01-13T00:00:00"/>
    <s v="01-2023"/>
    <s v="Americas"/>
    <s v="USA"/>
    <s v="Chicago"/>
    <s v="Chicago"/>
    <s v="Education"/>
    <s v="Marketplace"/>
    <s v="Marketplace"/>
    <s v="B. Chen"/>
    <s v="B. Chen"/>
    <x v="4"/>
    <s v="Low"/>
    <s v="NET-4554"/>
    <s v="B"/>
    <n v="404.77"/>
    <n v="433.88"/>
    <n v="433.88"/>
    <n v="0.215"/>
    <n v="0.215"/>
    <n v="1"/>
    <n v="22"/>
    <n v="7493.1076000000012"/>
    <n v="8904.9399999999987"/>
    <n v="1411.8323999999975"/>
    <n v="0.18841747314558746"/>
    <n v="8853448.7547100056"/>
    <n v="0.80884674562078285"/>
    <n v="0.2"/>
    <n v="28.6"/>
    <n v="445.24700000000001"/>
    <n v="9927.1744000000017"/>
  </r>
  <r>
    <s v="ORD-2023-749324"/>
    <d v="2023-08-19T00:00:00"/>
    <d v="2023-08-19T00:00:00"/>
    <d v="2023-09-07T00:00:00"/>
    <d v="2023-09-07T00:00:00"/>
    <n v="19"/>
    <n v="0"/>
    <s v="08-2023"/>
    <s v="Q3-2023"/>
    <d v="2023-01-07T00:00:00"/>
    <s v="01-2023"/>
    <s v="Africa"/>
    <s v="South Africa"/>
    <s v="Johannesburg"/>
    <s v="Johannesburg"/>
    <s v="Enterprise"/>
    <s v="Retail"/>
    <s v="Retail"/>
    <s v="D. Smith"/>
    <s v="D. Smith"/>
    <x v="2"/>
    <s v="Low"/>
    <s v="MON-2296"/>
    <s v="B"/>
    <n v="494.61"/>
    <n v="605.23"/>
    <n v="605.23"/>
    <n v="0.20399999999999999"/>
    <n v="0.20399999999999999"/>
    <n v="1"/>
    <n v="18"/>
    <n v="8671.7354400000004"/>
    <n v="8902.98"/>
    <n v="231.24455999999918"/>
    <n v="2.6666468505639647E-2"/>
    <n v="8862120.4901500065"/>
    <n v="0.80963899112689675"/>
    <n v="0.2"/>
    <n v="23.400000000000002"/>
    <n v="544.07100000000003"/>
    <n v="11329.905600000002"/>
  </r>
  <r>
    <s v="ORD-2024-333192"/>
    <d v="2024-10-29T00:00:00"/>
    <d v="2024-10-29T00:00:00"/>
    <d v="2024-11-04T00:00:00"/>
    <d v="2024-11-04T00:00:00"/>
    <n v="6"/>
    <n v="1"/>
    <s v="10-2024"/>
    <s v="Q4-2024"/>
    <d v="2023-01-20T00:00:00"/>
    <s v="01-2023"/>
    <s v="Africa"/>
    <s v="Kenya"/>
    <s v="Nairobi"/>
    <s v="Nairobi"/>
    <s v="Corporate"/>
    <s v="Distributor"/>
    <s v="Distributor"/>
    <s v="M. Rossi"/>
    <s v="M. Rossi"/>
    <x v="5"/>
    <s v="High"/>
    <s v="PRN-4893"/>
    <s v="B"/>
    <n v="805.81"/>
    <n v="1823.04"/>
    <n v="1823.04"/>
    <n v="0"/>
    <n v="0"/>
    <n v="0"/>
    <n v="11"/>
    <n v="20053.439999999999"/>
    <n v="8863.91"/>
    <n v="11189.529999999999"/>
    <n v="0.55798556257679477"/>
    <n v="8882173.930150006"/>
    <n v="0.81147106359175081"/>
    <n v="0"/>
    <n v="14.3"/>
    <n v="886.39099999999996"/>
    <n v="26069.472000000002"/>
  </r>
  <r>
    <s v="ORD-2024-578646"/>
    <d v="2024-05-27T00:00:00"/>
    <d v="2024-05-27T00:00:00"/>
    <d v="2024-06-17T00:00:00"/>
    <d v="2024-06-17T00:00:00"/>
    <n v="21"/>
    <n v="1"/>
    <s v="05-2024"/>
    <s v="Q2-2024"/>
    <d v="2023-01-29T00:00:00"/>
    <s v="01-2023"/>
    <s v="Asia"/>
    <s v="India"/>
    <s v="Delhi"/>
    <s v="Delhi"/>
    <s v="Small Business"/>
    <s v="Online"/>
    <s v="Online"/>
    <s v="H. Kim"/>
    <s v="H. Kim"/>
    <x v="1"/>
    <s v="Low"/>
    <s v="ACC-7240"/>
    <s v="B"/>
    <n v="465.02"/>
    <n v="651.55999999999995"/>
    <n v="651.55999999999995"/>
    <n v="4.2000000000000003E-2"/>
    <n v="4.2000000000000003E-2"/>
    <n v="0"/>
    <n v="19"/>
    <n v="11859.695119999998"/>
    <n v="8835.3799999999992"/>
    <n v="3024.3151199999993"/>
    <n v="0.25500783025187918"/>
    <n v="8894033.6252700053"/>
    <n v="0.81255455953413858"/>
    <n v="4.2000000000000003E-2"/>
    <n v="24.7"/>
    <n v="511.52200000000005"/>
    <n v="15417.603655999997"/>
  </r>
  <r>
    <s v="ORD-2023-399631"/>
    <d v="2023-06-22T00:00:00"/>
    <d v="2023-06-22T00:00:00"/>
    <d v="2023-07-21T00:00:00"/>
    <d v="2023-07-21T00:00:00"/>
    <n v="29"/>
    <n v="0"/>
    <s v="06-2023"/>
    <s v="Q2-2023"/>
    <d v="2023-01-10T00:00:00"/>
    <s v="01-2023"/>
    <s v="Europe"/>
    <s v="France"/>
    <s v="Lyon"/>
    <s v="Lyon"/>
    <s v="Corporate"/>
    <s v="Retail"/>
    <s v="Retail"/>
    <s v="J. Njeri"/>
    <s v="J. Njeri"/>
    <x v="1"/>
    <s v="Medium"/>
    <s v="ACC-3385"/>
    <s v="B"/>
    <n v="734.34"/>
    <n v="887.9"/>
    <n v="887.9"/>
    <n v="2.5000000000000001E-2"/>
    <n v="2.5000000000000001E-2"/>
    <n v="0"/>
    <n v="12"/>
    <n v="10388.429999999998"/>
    <n v="8812.08"/>
    <n v="1576.3499999999985"/>
    <n v="0.15174092716608753"/>
    <n v="8904422.055270005"/>
    <n v="0.81350364141515574"/>
    <n v="2.5000000000000001E-2"/>
    <n v="15.600000000000001"/>
    <n v="807.77400000000011"/>
    <n v="13504.959000000001"/>
  </r>
  <r>
    <s v="ORD-2023-286720"/>
    <d v="2023-07-08T00:00:00"/>
    <d v="2023-07-08T00:00:00"/>
    <d v="2023-07-09T00:00:00"/>
    <d v="2023-07-09T00:00:00"/>
    <n v="1"/>
    <n v="0"/>
    <s v="07-2023"/>
    <s v="Q3-2023"/>
    <d v="2023-01-20T00:00:00"/>
    <s v="01-2023"/>
    <s v="Africa"/>
    <s v="Kenya"/>
    <s v="Nairobi"/>
    <s v="Nairobi"/>
    <s v="Consumer"/>
    <s v="Online"/>
    <s v="Online"/>
    <s v="D. Smith"/>
    <s v="D. Smith"/>
    <x v="3"/>
    <s v="High"/>
    <s v="LAP-1989"/>
    <s v="B"/>
    <n v="1258.72"/>
    <n v="2797.41"/>
    <n v="2797.41"/>
    <n v="0"/>
    <n v="0"/>
    <n v="0"/>
    <n v="7"/>
    <n v="19581.87"/>
    <n v="8811.0400000000009"/>
    <n v="10770.829999999998"/>
    <n v="0.55004093071805704"/>
    <n v="8924003.9252700042"/>
    <n v="0.81529263147558195"/>
    <n v="0"/>
    <n v="9.1"/>
    <n v="1384.5920000000001"/>
    <n v="25456.430999999997"/>
  </r>
  <r>
    <s v="ORD-2023-664790"/>
    <d v="2023-04-16T00:00:00"/>
    <d v="2023-04-16T00:00:00"/>
    <d v="2023-04-23T00:00:00"/>
    <d v="2023-04-23T00:00:00"/>
    <n v="7"/>
    <n v="0"/>
    <s v="04-2023"/>
    <s v="Q2-2023"/>
    <d v="2023-01-13T00:00:00"/>
    <s v="01-2023"/>
    <s v="Americas"/>
    <s v="USA"/>
    <s v="Austin"/>
    <s v="Austin"/>
    <s v="Corporate"/>
    <s v="Distributor"/>
    <s v="Distributor"/>
    <s v="O. Wang"/>
    <s v="O. Wang"/>
    <x v="5"/>
    <s v="Medium"/>
    <s v="PRN-9249"/>
    <s v="B"/>
    <n v="1099.1500000000001"/>
    <n v="1431.37"/>
    <n v="1431.37"/>
    <n v="0.104"/>
    <n v="0.104"/>
    <n v="0"/>
    <n v="8"/>
    <n v="10260.060159999999"/>
    <n v="8793.2000000000007"/>
    <n v="1466.8601599999984"/>
    <n v="0.14296798821109433"/>
    <n v="8934263.9854300041"/>
    <n v="0.81622998555083703"/>
    <n v="0.104"/>
    <n v="10.4"/>
    <n v="1209.0650000000003"/>
    <n v="13338.078208000001"/>
  </r>
  <r>
    <s v="ORD-2025-659650"/>
    <d v="2025-02-04T00:00:00"/>
    <d v="2025-02-04T00:00:00"/>
    <d v="2025-02-08T00:00:00"/>
    <d v="2025-02-08T00:00:00"/>
    <n v="4"/>
    <n v="0"/>
    <s v="02-2025"/>
    <s v="Q1-2025"/>
    <d v="2023-01-19T00:00:00"/>
    <s v="01-2023"/>
    <s v="Europe"/>
    <s v="United Kingdom"/>
    <s v="Manchester"/>
    <s v="Manchester"/>
    <s v="Enterprise"/>
    <s v="Marketplace"/>
    <s v="Marketplace"/>
    <s v="L. Okafor"/>
    <s v="L. Okafor"/>
    <x v="4"/>
    <s v="Low"/>
    <s v="NET-2502"/>
    <s v="B"/>
    <n v="586.21"/>
    <n v="727.22"/>
    <n v="727.22"/>
    <n v="6.8000000000000005E-2"/>
    <n v="6.8000000000000005E-2"/>
    <n v="0"/>
    <n v="15"/>
    <n v="10166.535600000001"/>
    <n v="8793.1500000000015"/>
    <n v="1373.3855999999996"/>
    <n v="0.13508884973559721"/>
    <n v="8944430.5210300032"/>
    <n v="0.81715879526805846"/>
    <n v="6.8000000000000005E-2"/>
    <n v="19.5"/>
    <n v="644.83100000000013"/>
    <n v="13216.496279999999"/>
  </r>
  <r>
    <s v="ORD-2024-347736"/>
    <d v="2024-05-22T00:00:00"/>
    <d v="2024-05-22T00:00:00"/>
    <d v="2024-06-06T00:00:00"/>
    <d v="2024-06-06T00:00:00"/>
    <n v="15"/>
    <n v="0"/>
    <s v="05-2024"/>
    <s v="Q2-2024"/>
    <d v="2023-03-03T00:00:00"/>
    <s v="03-2023"/>
    <s v="Asia"/>
    <s v="Japan"/>
    <s v="Nagoya"/>
    <s v="Nagoya"/>
    <s v="Corporate"/>
    <s v="Distributor"/>
    <s v="Distributor"/>
    <s v="C. Otieno"/>
    <s v="C. Otieno"/>
    <x v="2"/>
    <s v="Medium"/>
    <s v="MON-6870"/>
    <s v="B"/>
    <n v="673.88"/>
    <n v="1228.01"/>
    <n v="1228.01"/>
    <n v="0.105"/>
    <n v="0.105"/>
    <n v="0"/>
    <n v="13"/>
    <n v="14287.896349999999"/>
    <n v="8760.44"/>
    <n v="5527.4563499999986"/>
    <n v="0.38686285332689996"/>
    <n v="8958718.4173800033"/>
    <n v="0.81846413048653099"/>
    <n v="0.105"/>
    <n v="16.900000000000002"/>
    <n v="741.26800000000003"/>
    <n v="18574.265255000002"/>
  </r>
  <r>
    <s v="ORD-2023-780206"/>
    <d v="2023-01-19T00:00:00"/>
    <d v="2023-01-19T00:00:00"/>
    <d v="2023-02-03T00:00:00"/>
    <d v="2023-02-03T00:00:00"/>
    <n v="15"/>
    <n v="1"/>
    <s v="01-2023"/>
    <s v="Q1-2023"/>
    <d v="2023-01-19T00:00:00"/>
    <s v="01-2023"/>
    <s v="Europe"/>
    <s v="United Kingdom"/>
    <s v="London"/>
    <s v="London"/>
    <s v="Enterprise"/>
    <s v="Distributor"/>
    <s v="Distributor"/>
    <s v="G. Dubois"/>
    <s v="G. Dubois"/>
    <x v="1"/>
    <s v="High"/>
    <s v="ACC-3645"/>
    <s v="B"/>
    <n v="873.06"/>
    <n v="2101.5500000000002"/>
    <n v="2101.5500000000002"/>
    <n v="6.6000000000000003E-2"/>
    <n v="6.6000000000000003E-2"/>
    <n v="0"/>
    <n v="10"/>
    <n v="19628.476999999999"/>
    <n v="8730.5999999999985"/>
    <n v="10897.877"/>
    <n v="0.55520746719167269"/>
    <n v="8978346.8943800032"/>
    <n v="0.82025737853966918"/>
    <n v="6.6000000000000003E-2"/>
    <n v="13"/>
    <n v="960.36599999999999"/>
    <n v="25517.020100000002"/>
  </r>
  <r>
    <s v="ORD-2023-913592"/>
    <d v="2023-05-10T00:00:00"/>
    <d v="2023-05-10T00:00:00"/>
    <d v="2023-05-14T00:00:00"/>
    <d v="2023-05-14T00:00:00"/>
    <n v="4"/>
    <n v="0"/>
    <s v="05-2023"/>
    <s v="Q2-2023"/>
    <d v="2023-01-29T00:00:00"/>
    <s v="01-2023"/>
    <s v="Asia"/>
    <s v="India"/>
    <s v="Delhi"/>
    <s v="Delhi"/>
    <s v="Non-Profit"/>
    <s v="Distributor"/>
    <s v="Distributor"/>
    <s v="C. Otieno"/>
    <s v="C. Otieno"/>
    <x v="2"/>
    <s v="Medium"/>
    <s v="MON-2465"/>
    <s v="B"/>
    <n v="622.6"/>
    <n v="833.69"/>
    <n v="833.69"/>
    <n v="0.20899999999999999"/>
    <n v="0.20899999999999999"/>
    <n v="1"/>
    <n v="14"/>
    <n v="9232.2830599999998"/>
    <n v="8716.4"/>
    <n v="515.88306000000011"/>
    <n v="5.5878167582959715E-2"/>
    <n v="8987579.1774400026"/>
    <n v="0.82110083540203116"/>
    <n v="0.2"/>
    <n v="18.2"/>
    <n v="684.86000000000013"/>
    <n v="12138.526400000002"/>
  </r>
  <r>
    <s v="ORD-2025-149156"/>
    <d v="2025-01-10T00:00:00"/>
    <d v="2025-01-10T00:00:00"/>
    <d v="2025-02-06T00:00:00"/>
    <d v="2025-02-06T00:00:00"/>
    <n v="27"/>
    <n v="0"/>
    <s v="01-2025"/>
    <s v="Q1-2025"/>
    <d v="2023-01-29T00:00:00"/>
    <s v="01-2023"/>
    <s v="Americas"/>
    <s v="Brazil"/>
    <s v="Brasília"/>
    <s v="Brasília"/>
    <s v="Non-Profit"/>
    <s v="Retail"/>
    <s v="Retail"/>
    <s v="B. Chen"/>
    <s v="B. Chen"/>
    <x v="3"/>
    <s v="Medium"/>
    <s v="LAP-7353"/>
    <s v="B"/>
    <n v="725.62"/>
    <n v="1559.19"/>
    <n v="1559.19"/>
    <n v="0.19"/>
    <n v="0.19"/>
    <n v="0"/>
    <n v="12"/>
    <n v="15155.326800000001"/>
    <n v="8707.44"/>
    <n v="6447.8868000000002"/>
    <n v="0.42545349797405885"/>
    <n v="9002734.5042400025"/>
    <n v="0.82248541864192148"/>
    <n v="0.19"/>
    <n v="15.600000000000001"/>
    <n v="798.18200000000002"/>
    <n v="19701.924840000003"/>
  </r>
  <r>
    <s v="ORD-2023-842488"/>
    <d v="2023-10-31T00:00:00"/>
    <d v="2023-10-31T00:00:00"/>
    <d v="2023-11-02T00:00:00"/>
    <d v="2023-11-02T00:00:00"/>
    <n v="2"/>
    <n v="0"/>
    <s v="10-2023"/>
    <s v="Q4-2023"/>
    <d v="2023-01-20T00:00:00"/>
    <s v="01-2023"/>
    <s v="Africa"/>
    <s v="Kenya"/>
    <s v="Kisumu"/>
    <s v="Kisumu"/>
    <s v="Education"/>
    <s v="Retail"/>
    <s v="Retail"/>
    <s v="O. Wang"/>
    <s v="O. Wang"/>
    <x v="1"/>
    <s v="Medium"/>
    <s v="ACC-4124"/>
    <s v="B"/>
    <n v="867.89"/>
    <n v="1349.94"/>
    <n v="1349.94"/>
    <n v="0.184"/>
    <n v="0.184"/>
    <n v="0"/>
    <n v="10"/>
    <n v="11015.510400000003"/>
    <n v="8678.9"/>
    <n v="2336.6104000000032"/>
    <n v="0.21212003031652557"/>
    <n v="9013750.0146400016"/>
    <n v="0.8234917902814084"/>
    <n v="0.184"/>
    <n v="13"/>
    <n v="954.67900000000009"/>
    <n v="14320.163520000002"/>
  </r>
  <r>
    <s v="ORD-2025-649633"/>
    <d v="2025-07-19T00:00:00"/>
    <d v="2025-07-19T00:00:00"/>
    <d v="2025-07-31T00:00:00"/>
    <d v="2025-07-31T00:00:00"/>
    <n v="12"/>
    <n v="0"/>
    <s v="07-2025"/>
    <s v="Q3-2025"/>
    <d v="2023-01-20T00:00:00"/>
    <s v="01-2023"/>
    <s v="Africa"/>
    <s v="Kenya"/>
    <s v="Nairobi"/>
    <s v="Nairobi"/>
    <s v="Small Business"/>
    <s v="Marketplace"/>
    <s v="Marketplace"/>
    <s v="O. Wang"/>
    <s v="O. Wang"/>
    <x v="1"/>
    <s v="Medium"/>
    <s v="ACC-1028"/>
    <s v="B"/>
    <n v="619.64"/>
    <n v="861.16"/>
    <n v="861.16"/>
    <n v="0.113"/>
    <n v="0.113"/>
    <n v="0"/>
    <n v="14"/>
    <n v="10693.88488"/>
    <n v="8674.9599999999991"/>
    <n v="2018.9248800000005"/>
    <n v="0.18879246435276761"/>
    <n v="9024443.8995200023"/>
    <n v="0.82446877837078214"/>
    <n v="0.113"/>
    <n v="18.2"/>
    <n v="681.60400000000004"/>
    <n v="13902.050343999999"/>
  </r>
  <r>
    <s v="ORD-2023-700699"/>
    <d v="2023-01-12T00:00:00"/>
    <d v="2023-01-12T00:00:00"/>
    <d v="2023-01-26T00:00:00"/>
    <d v="2023-01-26T00:00:00"/>
    <n v="14"/>
    <n v="0"/>
    <s v="01-2023"/>
    <s v="Q1-2023"/>
    <d v="2023-01-12T00:00:00"/>
    <s v="01-2023"/>
    <s v="Asia"/>
    <s v="China"/>
    <s v="Shenzhen"/>
    <s v="Shenzhen"/>
    <s v="Non-Profit"/>
    <s v="Retail"/>
    <s v="Retail"/>
    <s v="M. Rossi"/>
    <s v="M. Rossi"/>
    <x v="5"/>
    <s v="Medium"/>
    <s v="PRN-1641"/>
    <s v="B"/>
    <n v="1083.0899999999999"/>
    <n v="1425.87"/>
    <n v="1425.87"/>
    <n v="0"/>
    <n v="0"/>
    <n v="0"/>
    <n v="8"/>
    <n v="11406.96"/>
    <n v="8664.7199999999993"/>
    <n v="2742.24"/>
    <n v="0.24040059752992909"/>
    <n v="9035850.8595200032"/>
    <n v="0.82551091265416165"/>
    <n v="0"/>
    <n v="10.4"/>
    <n v="1191.3990000000001"/>
    <n v="14829.047999999999"/>
  </r>
  <r>
    <s v="ORD-2024-892173"/>
    <d v="2024-01-18T00:00:00"/>
    <d v="2024-01-18T00:00:00"/>
    <d v="2024-02-03T00:00:00"/>
    <d v="2024-02-03T00:00:00"/>
    <n v="16"/>
    <n v="0"/>
    <s v="01-2024"/>
    <s v="Q1-2024"/>
    <d v="2023-01-07T00:00:00"/>
    <s v="01-2023"/>
    <s v="Africa"/>
    <s v="South Africa"/>
    <s v="Cape Town"/>
    <s v="Cape Town"/>
    <s v="Non-Profit"/>
    <s v="Distributor"/>
    <s v="Distributor"/>
    <s v="L. Okafor"/>
    <s v="L. Okafor"/>
    <x v="5"/>
    <s v="Medium"/>
    <s v="PRN-6660"/>
    <s v="B"/>
    <n v="666.23"/>
    <n v="1382.91"/>
    <n v="1382.91"/>
    <n v="0.17599999999999999"/>
    <n v="0.17599999999999999"/>
    <n v="0"/>
    <n v="13"/>
    <n v="14813.731920000002"/>
    <n v="8660.99"/>
    <n v="6152.7419200000022"/>
    <n v="0.41534043907553048"/>
    <n v="9050664.5914400034"/>
    <n v="0.82686428795298139"/>
    <n v="0.17599999999999999"/>
    <n v="16.900000000000002"/>
    <n v="732.85300000000007"/>
    <n v="19257.851496000003"/>
  </r>
  <r>
    <s v="ORD-2025-823055"/>
    <d v="2025-09-08T00:00:00"/>
    <d v="2025-09-08T00:00:00"/>
    <d v="2025-10-05T00:00:00"/>
    <d v="2025-10-05T00:00:00"/>
    <n v="27"/>
    <n v="1"/>
    <s v="09-2025"/>
    <s v="Q3-2025"/>
    <d v="2023-01-29T00:00:00"/>
    <s v="01-2023"/>
    <s v="Americas"/>
    <s v="Brazil"/>
    <s v="Rio de Janeiro"/>
    <s v="Rio de Janeiro"/>
    <s v="Education"/>
    <s v="Online"/>
    <s v="Online"/>
    <s v="C. Otieno"/>
    <s v="C. Otieno"/>
    <x v="2"/>
    <s v="Medium"/>
    <s v="MON-9274"/>
    <s v="B"/>
    <n v="660.78"/>
    <n v="1630.39"/>
    <n v="1630.39"/>
    <n v="0.218"/>
    <n v="0.218"/>
    <n v="1"/>
    <n v="13"/>
    <n v="16574.544740000001"/>
    <n v="8590.14"/>
    <n v="7984.4047400000018"/>
    <n v="0.48172694123724097"/>
    <n v="9067239.1361800041"/>
    <n v="0.82837853024934793"/>
    <n v="0.2"/>
    <n v="16.900000000000002"/>
    <n v="726.85800000000006"/>
    <n v="22042.872800000005"/>
  </r>
  <r>
    <s v="ORD-2023-880296"/>
    <d v="2023-05-02T00:00:00"/>
    <d v="2023-05-02T00:00:00"/>
    <d v="2023-05-19T00:00:00"/>
    <d v="2023-05-19T00:00:00"/>
    <n v="17"/>
    <n v="0"/>
    <s v="05-2023"/>
    <s v="Q2-2023"/>
    <d v="2023-01-12T00:00:00"/>
    <s v="01-2023"/>
    <s v="Asia"/>
    <s v="China"/>
    <s v="Shanghai"/>
    <s v="Shanghai"/>
    <s v="Non-Profit"/>
    <s v="Direct"/>
    <s v="Direct"/>
    <s v="J. Njeri"/>
    <s v="J. Njeri"/>
    <x v="2"/>
    <s v="Low"/>
    <s v="MON-5086"/>
    <s v="B"/>
    <n v="714.28"/>
    <n v="757.59"/>
    <n v="757.59"/>
    <n v="0.13600000000000001"/>
    <n v="0.13600000000000001"/>
    <n v="0"/>
    <n v="12"/>
    <n v="7854.6931199999999"/>
    <n v="8571.36"/>
    <n v="716.66688000000067"/>
    <n v="9.1240595787910383E-2"/>
    <n v="9075093.829300005"/>
    <n v="0.82909613116894243"/>
    <n v="0.13600000000000001"/>
    <n v="15.600000000000001"/>
    <n v="785.70800000000008"/>
    <n v="10211.101056000001"/>
  </r>
  <r>
    <s v="ORD-2023-664749"/>
    <d v="2023-08-27T00:00:00"/>
    <d v="2023-08-27T00:00:00"/>
    <d v="2023-09-11T00:00:00"/>
    <d v="2023-09-11T00:00:00"/>
    <n v="15"/>
    <n v="0"/>
    <s v="08-2023"/>
    <s v="Q3-2023"/>
    <d v="2023-01-19T00:00:00"/>
    <s v="01-2023"/>
    <s v="Europe"/>
    <s v="United Kingdom"/>
    <s v="London"/>
    <s v="London"/>
    <s v="Consumer"/>
    <s v="Marketplace"/>
    <s v="Marketplace"/>
    <s v="N. Brown"/>
    <s v="N. Brown"/>
    <x v="5"/>
    <s v="High"/>
    <s v="PRN-5107"/>
    <s v="B"/>
    <n v="943.79"/>
    <n v="1913.76"/>
    <n v="1913.76"/>
    <n v="9.0999999999999998E-2"/>
    <n v="9.0999999999999998E-2"/>
    <n v="0"/>
    <n v="9"/>
    <n v="15656.47056"/>
    <n v="8494.11"/>
    <n v="7162.3605599999992"/>
    <n v="0.45746967891338081"/>
    <n v="9090750.2998600043"/>
    <n v="0.83052649865750172"/>
    <n v="9.0999999999999998E-2"/>
    <n v="11.700000000000001"/>
    <n v="1038.1690000000001"/>
    <n v="20353.411728000003"/>
  </r>
  <r>
    <s v="ORD-2024-741404"/>
    <d v="2024-10-19T00:00:00"/>
    <d v="2024-10-19T00:00:00"/>
    <d v="2024-11-06T00:00:00"/>
    <d v="2024-11-06T00:00:00"/>
    <n v="18"/>
    <n v="0"/>
    <s v="10-2024"/>
    <s v="Q4-2024"/>
    <d v="2023-01-13T00:00:00"/>
    <s v="01-2023"/>
    <s v="Americas"/>
    <s v="USA"/>
    <s v="Chicago"/>
    <s v="Chicago"/>
    <s v="Education"/>
    <m/>
    <s v="Direct"/>
    <s v="C. Otieno"/>
    <s v="C. Otieno"/>
    <x v="2"/>
    <s v="Medium"/>
    <s v="MON-8129"/>
    <s v="B"/>
    <n v="942.02"/>
    <n v="1028.46"/>
    <n v="1028.46"/>
    <n v="0"/>
    <n v="0"/>
    <n v="0"/>
    <n v="9"/>
    <n v="9256.14"/>
    <n v="8478.18"/>
    <n v="777.95999999999913"/>
    <n v="8.4047994088248354E-2"/>
    <n v="9100006.4398600049"/>
    <n v="0.83137213507822738"/>
    <n v="0"/>
    <n v="11.700000000000001"/>
    <n v="1036.222"/>
    <n v="12032.982000000002"/>
  </r>
  <r>
    <s v="ORD-2024-836421"/>
    <d v="2024-12-14T00:00:00"/>
    <d v="2024-12-14T00:00:00"/>
    <d v="2025-01-12T00:00:00"/>
    <d v="2025-01-12T00:00:00"/>
    <n v="29"/>
    <n v="0"/>
    <s v="12-2024"/>
    <s v="Q4-2024"/>
    <d v="2023-01-12T00:00:00"/>
    <s v="01-2023"/>
    <s v="Asia"/>
    <s v="China"/>
    <s v="Shenzhen"/>
    <s v="Shenzhen"/>
    <s v="Education"/>
    <s v="Online"/>
    <s v="Online"/>
    <s v="J. Njeri"/>
    <s v="J. Njeri"/>
    <x v="0"/>
    <s v="Medium"/>
    <s v="CMP-3720"/>
    <s v="B"/>
    <n v="1412.15"/>
    <n v="1631.04"/>
    <n v="1631.04"/>
    <n v="8.9999999999999993E-3"/>
    <n v="8.9999999999999993E-3"/>
    <n v="0"/>
    <n v="6"/>
    <n v="9698.1638399999993"/>
    <n v="8472.9000000000015"/>
    <n v="1225.2638399999978"/>
    <n v="0.12633977526203535"/>
    <n v="9109704.6037000045"/>
    <n v="0.83225815458066221"/>
    <n v="8.9999999999999993E-3"/>
    <n v="7.8000000000000007"/>
    <n v="1553.3650000000002"/>
    <n v="12607.612992"/>
  </r>
  <r>
    <s v="ORD-2024-499009"/>
    <d v="2024-01-25T00:00:00"/>
    <d v="2024-01-25T00:00:00"/>
    <d v="2024-01-27T00:00:00"/>
    <d v="2024-01-27T00:00:00"/>
    <n v="2"/>
    <n v="1"/>
    <s v="01-2024"/>
    <s v="Q1-2024"/>
    <d v="2023-01-29T00:00:00"/>
    <s v="01-2023"/>
    <s v="Americas"/>
    <s v="Brazil"/>
    <s v="São Paulo"/>
    <s v="São Paulo"/>
    <s v="Non-Profit"/>
    <s v="Marketplace"/>
    <s v="Marketplace"/>
    <s v="N. Brown"/>
    <s v="N. Brown"/>
    <x v="3"/>
    <s v="High"/>
    <s v="LAP-7056"/>
    <s v="B"/>
    <n v="1410.97"/>
    <n v="1650.75"/>
    <n v="1650.75"/>
    <n v="0.13500000000000001"/>
    <n v="0.13500000000000001"/>
    <n v="0"/>
    <n v="6"/>
    <n v="8567.3924999999999"/>
    <n v="8465.82"/>
    <n v="101.57250000000022"/>
    <n v="1.1855707556295596E-2"/>
    <n v="9118271.9962000046"/>
    <n v="0.83304086736684002"/>
    <n v="0.13500000000000001"/>
    <n v="7.8000000000000007"/>
    <n v="1552.0670000000002"/>
    <n v="11137.61025"/>
  </r>
  <r>
    <s v="ORD-2024-202877"/>
    <d v="2024-07-13T00:00:00"/>
    <d v="2024-07-13T00:00:00"/>
    <d v="2024-08-03T00:00:00"/>
    <d v="2024-08-03T00:00:00"/>
    <n v="21"/>
    <n v="0"/>
    <s v="07-2024"/>
    <s v="Q3-2024"/>
    <d v="2023-01-29T00:00:00"/>
    <s v="01-2023"/>
    <s v="Americas"/>
    <s v="Brazil"/>
    <s v="Rio de Janeiro"/>
    <s v="Rio de Janeiro"/>
    <s v="Corporate"/>
    <s v="Marketplace"/>
    <s v="Marketplace"/>
    <s v="M. Rossi"/>
    <s v="M. Rossi"/>
    <x v="2"/>
    <s v="Medium"/>
    <s v="MON-6287"/>
    <s v="B"/>
    <n v="702.98"/>
    <n v="1104.8"/>
    <n v="1104.8"/>
    <n v="0.17499999999999999"/>
    <n v="0.17499999999999999"/>
    <n v="0"/>
    <n v="12"/>
    <n v="10937.519999999999"/>
    <n v="8435.76"/>
    <n v="2501.7599999999984"/>
    <n v="0.22873192460448061"/>
    <n v="9129209.5162000041"/>
    <n v="0.83404011384154908"/>
    <n v="0.17499999999999999"/>
    <n v="15.600000000000001"/>
    <n v="773.27800000000013"/>
    <n v="14218.776"/>
  </r>
  <r>
    <s v="ORD-2024-532184"/>
    <d v="2024-01-25T00:00:00"/>
    <d v="2024-01-25T00:00:00"/>
    <d v="2024-02-08T00:00:00"/>
    <d v="2024-02-08T00:00:00"/>
    <n v="14"/>
    <n v="0"/>
    <s v="01-2024"/>
    <s v="Q1-2024"/>
    <d v="2023-03-03T00:00:00"/>
    <s v="03-2023"/>
    <s v="Asia"/>
    <s v="Japan"/>
    <s v="Osaka"/>
    <s v="Osaka"/>
    <s v="Consumer"/>
    <s v="Marketplace"/>
    <s v="Marketplace"/>
    <s v="I. Johnson"/>
    <s v="I. Johnson"/>
    <x v="4"/>
    <s v="Medium"/>
    <s v="NET-9569"/>
    <s v="B"/>
    <n v="937.16"/>
    <n v="1069.77"/>
    <n v="1069.77"/>
    <n v="3.7999999999999999E-2"/>
    <n v="3.7999999999999999E-2"/>
    <n v="0"/>
    <n v="9"/>
    <n v="9262.0686600000008"/>
    <n v="8434.44"/>
    <n v="827.62866000000031"/>
    <n v="8.9356783066645962E-2"/>
    <n v="9138471.5848600045"/>
    <n v="0.83488629190175101"/>
    <n v="3.7999999999999999E-2"/>
    <n v="11.700000000000001"/>
    <n v="1030.876"/>
    <n v="12040.689258"/>
  </r>
  <r>
    <s v="ORD-2024-170313"/>
    <d v="2024-12-27T00:00:00"/>
    <d v="2024-12-27T00:00:00"/>
    <d v="2025-01-15T00:00:00"/>
    <d v="2025-01-15T00:00:00"/>
    <n v="19"/>
    <n v="1"/>
    <s v="12-2024"/>
    <s v="Q4-2024"/>
    <d v="2023-01-29T00:00:00"/>
    <s v="01-2023"/>
    <s v="Asia"/>
    <s v="India"/>
    <s v="Delhi"/>
    <s v="Delhi"/>
    <s v="Non-Profit"/>
    <s v="Distributor"/>
    <s v="Distributor"/>
    <s v="G. Dubois"/>
    <s v="G. Dubois"/>
    <x v="0"/>
    <s v="Low"/>
    <s v="CMP-6919"/>
    <s v="B"/>
    <n v="495.59"/>
    <n v="631.78"/>
    <n v="631.78"/>
    <n v="8.6999999999999994E-2"/>
    <n v="8.6999999999999994E-2"/>
    <n v="0"/>
    <n v="17"/>
    <n v="9805.8573800000013"/>
    <n v="8425.0299999999988"/>
    <n v="1380.8273800000024"/>
    <n v="0.14081658813601899"/>
    <n v="9148277.4422400054"/>
    <n v="0.83578215023329849"/>
    <n v="8.6999999999999994E-2"/>
    <n v="22.1"/>
    <n v="545.149"/>
    <n v="12747.614594000001"/>
  </r>
  <r>
    <s v="ORD-2025-624006"/>
    <d v="2025-03-15T00:00:00"/>
    <d v="2025-03-15T00:00:00"/>
    <d v="2025-03-29T00:00:00"/>
    <d v="2025-03-29T00:00:00"/>
    <n v="14"/>
    <n v="0"/>
    <s v="03-2025"/>
    <s v="Q1-2025"/>
    <d v="2023-01-29T00:00:00"/>
    <s v="01-2023"/>
    <s v="Asia"/>
    <s v="India"/>
    <s v="Mumbai"/>
    <s v="Mumbai"/>
    <s v="Enterprise"/>
    <s v="Direct"/>
    <s v="Direct"/>
    <s v="C. Otieno"/>
    <s v="C. Otieno"/>
    <x v="0"/>
    <s v="High"/>
    <s v="CMP-3259"/>
    <s v="B"/>
    <n v="935.83"/>
    <n v="2303.46"/>
    <n v="2303.46"/>
    <n v="0.105"/>
    <n v="0.105"/>
    <n v="0"/>
    <n v="9"/>
    <n v="18554.370299999999"/>
    <n v="8422.4700000000012"/>
    <n v="10131.900299999998"/>
    <n v="0.54606543559174292"/>
    <n v="9166831.8125400059"/>
    <n v="0.83747726842395998"/>
    <n v="0.105"/>
    <n v="11.700000000000001"/>
    <n v="1029.4130000000002"/>
    <n v="24120.681390000005"/>
  </r>
  <r>
    <s v="ORD-2023-732585"/>
    <d v="2023-08-25T00:00:00"/>
    <d v="2023-08-25T00:00:00"/>
    <d v="2023-09-16T00:00:00"/>
    <d v="2023-09-16T00:00:00"/>
    <n v="22"/>
    <n v="0"/>
    <s v="08-2023"/>
    <s v="Q3-2023"/>
    <d v="2023-01-13T00:00:00"/>
    <s v="01-2023"/>
    <s v="Africa"/>
    <s v="Nigeria"/>
    <s v="Abuja"/>
    <s v="Abuja"/>
    <s v="Corporate"/>
    <s v="Marketplace"/>
    <s v="Marketplace"/>
    <s v="L. Okafor"/>
    <s v="L. Okafor"/>
    <x v="6"/>
    <s v="High"/>
    <s v="PHN-3971"/>
    <s v="B"/>
    <n v="1196.83"/>
    <n v="2513.5100000000002"/>
    <n v="2513.5100000000002"/>
    <n v="8.3000000000000004E-2"/>
    <n v="8.3000000000000004E-2"/>
    <n v="0"/>
    <n v="7"/>
    <n v="16134.22069"/>
    <n v="8377.81"/>
    <n v="7756.4106900000006"/>
    <n v="0.48074281609445374"/>
    <n v="9182966.0332300067"/>
    <n v="0.83895128293059973"/>
    <n v="8.3000000000000004E-2"/>
    <n v="9.1"/>
    <n v="1316.5129999999999"/>
    <n v="20974.486897000003"/>
  </r>
  <r>
    <s v="ORD-2024-136321"/>
    <d v="2024-08-07T00:00:00"/>
    <d v="2024-08-07T00:00:00"/>
    <d v="2024-08-17T00:00:00"/>
    <d v="2024-08-17T00:00:00"/>
    <n v="10"/>
    <n v="0"/>
    <s v="08-2024"/>
    <s v="Q3-2024"/>
    <d v="2023-03-03T00:00:00"/>
    <s v="03-2023"/>
    <s v="Asia"/>
    <s v="Japan"/>
    <s v="Osaka"/>
    <s v="Osaka"/>
    <s v="Consumer"/>
    <s v="Online"/>
    <s v="Online"/>
    <s v="K. Singh"/>
    <s v="K. Singh"/>
    <x v="4"/>
    <s v="Low"/>
    <s v="NET-7924"/>
    <s v="B"/>
    <n v="436.58"/>
    <n v="527.48"/>
    <n v="527.48"/>
    <n v="0.111"/>
    <n v="0.111"/>
    <n v="0"/>
    <n v="19"/>
    <n v="8909.6646800000017"/>
    <n v="8295.02"/>
    <n v="614.64468000000124"/>
    <n v="6.8986286473802644E-2"/>
    <n v="9191875.6979100071"/>
    <n v="0.83976526553564468"/>
    <n v="0.111"/>
    <n v="24.7"/>
    <n v="480.238"/>
    <n v="11582.564084"/>
  </r>
  <r>
    <s v="ORD-2024-515105"/>
    <d v="2024-02-27T00:00:00"/>
    <d v="2024-02-27T00:00:00"/>
    <d v="2024-03-26T00:00:00"/>
    <d v="2024-03-26T00:00:00"/>
    <n v="28"/>
    <n v="0"/>
    <s v="02-2024"/>
    <s v="Q1-2024"/>
    <d v="2023-01-29T00:00:00"/>
    <s v="01-2023"/>
    <s v="Asia"/>
    <s v="India"/>
    <s v="Mumbai"/>
    <s v="Mumbai"/>
    <s v="Education"/>
    <s v="Marketplace"/>
    <s v="Marketplace"/>
    <s v="G. Dubois"/>
    <s v="G. Dubois"/>
    <x v="3"/>
    <s v="High"/>
    <s v="LAP-8469"/>
    <s v="B"/>
    <n v="1035.19"/>
    <n v="2322.6999999999998"/>
    <n v="2322.6999999999998"/>
    <n v="0.17299999999999999"/>
    <n v="0.17299999999999999"/>
    <n v="0"/>
    <n v="8"/>
    <n v="15366.983199999999"/>
    <n v="8281.52"/>
    <n v="7085.4631999999983"/>
    <n v="0.46108355217047409"/>
    <n v="9207242.6811100077"/>
    <n v="0.8411691856006609"/>
    <n v="0.17299999999999999"/>
    <n v="10.4"/>
    <n v="1138.7090000000001"/>
    <n v="19977.078159999997"/>
  </r>
  <r>
    <s v="ORD-2024-287210"/>
    <d v="2024-03-18T00:00:00"/>
    <d v="2024-03-18T00:00:00"/>
    <d v="2024-03-21T00:00:00"/>
    <d v="2024-03-21T00:00:00"/>
    <n v="3"/>
    <n v="0"/>
    <s v="03-2024"/>
    <s v="Q1-2024"/>
    <d v="2023-01-21T00:00:00"/>
    <s v="01-2023"/>
    <s v="Europe"/>
    <s v="Germany"/>
    <s v="Munich"/>
    <s v="Munich"/>
    <s v="Small Business"/>
    <s v="Online"/>
    <s v="Online"/>
    <s v="M. Rossi"/>
    <s v="M. Rossi"/>
    <x v="1"/>
    <s v="Medium"/>
    <s v="ACC-2761"/>
    <s v="B"/>
    <n v="910.63"/>
    <n v="1269.4000000000001"/>
    <n v="1269.4000000000001"/>
    <n v="6.8000000000000005E-2"/>
    <n v="6.8000000000000005E-2"/>
    <n v="0"/>
    <n v="9"/>
    <n v="10647.727199999999"/>
    <n v="8195.67"/>
    <n v="2452.0571999999993"/>
    <n v="0.23028925834989455"/>
    <n v="9217890.4083100073"/>
    <n v="0.84214195674697778"/>
    <n v="6.8000000000000005E-2"/>
    <n v="11.700000000000001"/>
    <n v="1001.6930000000001"/>
    <n v="13842.045360000002"/>
  </r>
  <r>
    <s v="ORD-2024-544865"/>
    <d v="2024-02-16T00:00:00"/>
    <d v="2024-02-16T00:00:00"/>
    <d v="2024-03-04T00:00:00"/>
    <d v="2024-03-04T00:00:00"/>
    <n v="17"/>
    <n v="0"/>
    <s v="02-2024"/>
    <s v="Q1-2024"/>
    <d v="2023-01-02T00:00:00"/>
    <s v="01-2023"/>
    <s v="Americas"/>
    <s v="Canada"/>
    <s v="Montreal"/>
    <s v="Montreal"/>
    <s v="Non-Profit"/>
    <s v="Retail"/>
    <s v="Retail"/>
    <s v="D. Smith"/>
    <s v="D. Smith"/>
    <x v="3"/>
    <s v="High"/>
    <s v="LAP-2774"/>
    <s v="B"/>
    <n v="1350.98"/>
    <n v="2210.4"/>
    <n v="2210.4"/>
    <n v="0.26300000000000001"/>
    <n v="0.26300000000000001"/>
    <n v="1"/>
    <n v="6"/>
    <n v="9774.3888000000006"/>
    <n v="8105.88"/>
    <n v="1668.5088000000005"/>
    <n v="0.17070211080615091"/>
    <n v="9227664.7971100081"/>
    <n v="0.84303494012445623"/>
    <n v="0.2"/>
    <n v="7.8000000000000007"/>
    <n v="1486.0780000000002"/>
    <n v="13792.896000000002"/>
  </r>
  <r>
    <s v="ORD-2023-575584"/>
    <d v="2023-01-30T00:00:00"/>
    <d v="2023-01-30T00:00:00"/>
    <d v="2023-02-21T00:00:00"/>
    <d v="2023-02-21T00:00:00"/>
    <n v="22"/>
    <n v="0"/>
    <s v="01-2023"/>
    <s v="Q1-2023"/>
    <d v="2023-01-21T00:00:00"/>
    <s v="01-2023"/>
    <s v="Europe"/>
    <s v="Germany"/>
    <s v="Munich"/>
    <s v="Munich"/>
    <s v="Small Business"/>
    <s v="Marketplace"/>
    <s v="Marketplace"/>
    <s v="G. Dubois"/>
    <s v="G. Dubois"/>
    <x v="4"/>
    <s v="Medium"/>
    <s v="NET-3460"/>
    <s v="B"/>
    <n v="1142.8800000000001"/>
    <n v="1465.29"/>
    <n v="1465.29"/>
    <n v="0.186"/>
    <n v="0.186"/>
    <n v="0"/>
    <n v="7"/>
    <n v="8349.2224200000001"/>
    <n v="8000.1600000000008"/>
    <n v="349.06241999999929"/>
    <n v="4.1807775915017401E-2"/>
    <n v="9236014.0195300076"/>
    <n v="0.84379772099889094"/>
    <n v="0.186"/>
    <n v="9.1"/>
    <n v="1257.1680000000001"/>
    <n v="10853.989146"/>
  </r>
  <r>
    <s v="ORD-2023-419187"/>
    <d v="2023-03-31T00:00:00"/>
    <d v="2023-03-31T00:00:00"/>
    <d v="2023-04-05T00:00:00"/>
    <d v="2023-04-05T00:00:00"/>
    <n v="5"/>
    <n v="0"/>
    <s v="03-2023"/>
    <s v="Q1-2023"/>
    <d v="2023-01-20T00:00:00"/>
    <s v="01-2023"/>
    <s v="Africa"/>
    <s v="Kenya"/>
    <s v="Nakuru"/>
    <s v="Nakuru"/>
    <s v="Education"/>
    <s v="Marketplace"/>
    <s v="Marketplace"/>
    <s v="B. Chen"/>
    <s v="B. Chen"/>
    <x v="3"/>
    <s v="Low"/>
    <s v="LAP-7819"/>
    <s v="B"/>
    <n v="533.26"/>
    <n v="385.72"/>
    <n v="385.72"/>
    <n v="0"/>
    <n v="0"/>
    <n v="0"/>
    <n v="15"/>
    <n v="5785.8"/>
    <n v="7998.9"/>
    <n v="2213.0999999999995"/>
    <n v="0.38250544436378708"/>
    <n v="9241799.8195300084"/>
    <n v="0.84432630885549587"/>
    <n v="0"/>
    <n v="19.5"/>
    <n v="586.58600000000001"/>
    <n v="7521.5400000000009"/>
  </r>
  <r>
    <s v="ORD-2024-732543"/>
    <d v="2024-10-24T00:00:00"/>
    <d v="2024-10-24T00:00:00"/>
    <d v="2024-10-28T00:00:00"/>
    <d v="2024-10-28T00:00:00"/>
    <n v="4"/>
    <n v="0"/>
    <s v="10-2024"/>
    <s v="Q4-2024"/>
    <d v="2023-01-12T00:00:00"/>
    <s v="01-2023"/>
    <s v="Asia"/>
    <s v="China"/>
    <s v="Shanghai"/>
    <s v="Shanghai"/>
    <s v="Small Business"/>
    <s v="Distributor"/>
    <s v="Distributor"/>
    <s v="I. Johnson"/>
    <s v="I. Johnson"/>
    <x v="4"/>
    <s v="High"/>
    <s v="NET-3728"/>
    <s v="B"/>
    <n v="1331.77"/>
    <n v="2606.11"/>
    <n v="2606.11"/>
    <n v="0.02"/>
    <n v="0.02"/>
    <n v="0"/>
    <n v="6"/>
    <n v="15323.926799999999"/>
    <n v="7990.62"/>
    <n v="7333.3067999999994"/>
    <n v="0.47855271665745619"/>
    <n v="9257123.7463300079"/>
    <n v="0.84572629530887833"/>
    <n v="0.02"/>
    <n v="7.8000000000000007"/>
    <n v="1464.9470000000001"/>
    <n v="19921.104840000004"/>
  </r>
  <r>
    <s v="ORD-2025-532859"/>
    <d v="2025-03-11T00:00:00"/>
    <d v="2025-03-11T00:00:00"/>
    <d v="2025-03-27T00:00:00"/>
    <d v="2025-03-27T00:00:00"/>
    <n v="16"/>
    <n v="1"/>
    <s v="03-2025"/>
    <s v="Q1-2025"/>
    <d v="2023-03-03T00:00:00"/>
    <s v="03-2023"/>
    <s v="Asia"/>
    <s v="Japan"/>
    <s v="Tokyo"/>
    <s v="Tokyo"/>
    <s v="Enterprise"/>
    <s v="Distributor"/>
    <s v="Distributor"/>
    <s v="B. Chen"/>
    <s v="B. Chen"/>
    <x v="5"/>
    <s v="High"/>
    <s v="PRN-5264"/>
    <s v="B"/>
    <n v="1317.58"/>
    <n v="1897.74"/>
    <n v="1897.74"/>
    <n v="8.1000000000000003E-2"/>
    <n v="8.1000000000000003E-2"/>
    <n v="0"/>
    <n v="6"/>
    <n v="10464.138360000001"/>
    <n v="7905.48"/>
    <n v="2558.6583600000013"/>
    <n v="0.24451687009230266"/>
    <n v="9267587.8846900072"/>
    <n v="0.84668229386861571"/>
    <n v="8.1000000000000003E-2"/>
    <n v="7.8000000000000007"/>
    <n v="1449.338"/>
    <n v="13603.379868000002"/>
  </r>
  <r>
    <s v="ORD-2023-854471"/>
    <d v="2023-03-06T00:00:00"/>
    <d v="2023-03-06T00:00:00"/>
    <d v="2023-04-04T00:00:00"/>
    <d v="2023-04-04T00:00:00"/>
    <n v="29"/>
    <n v="0"/>
    <s v="03-2023"/>
    <s v="Q1-2023"/>
    <d v="2023-01-12T00:00:00"/>
    <s v="01-2023"/>
    <s v="Asia"/>
    <s v="China"/>
    <s v="Beijing"/>
    <s v="Beijing"/>
    <s v="Small Business"/>
    <s v="Direct"/>
    <s v="Direct"/>
    <s v="C. Otieno"/>
    <s v="C. Otieno"/>
    <x v="2"/>
    <s v="High"/>
    <s v="MON-2073"/>
    <s v="B"/>
    <n v="1126.29"/>
    <n v="2050.87"/>
    <n v="2050.87"/>
    <n v="6.4000000000000001E-2"/>
    <n v="6.4000000000000001E-2"/>
    <n v="0"/>
    <n v="7"/>
    <n v="13437.300239999999"/>
    <n v="7884.03"/>
    <n v="5553.2702399999989"/>
    <n v="0.41327276616690373"/>
    <n v="9281025.1849300079"/>
    <n v="0.84790991904273461"/>
    <n v="6.4000000000000001E-2"/>
    <n v="9.1"/>
    <n v="1238.9190000000001"/>
    <n v="17468.490311999998"/>
  </r>
  <r>
    <s v="ORD-2023-144816"/>
    <d v="2023-05-07T00:00:00"/>
    <d v="2023-05-07T00:00:00"/>
    <d v="2023-05-29T00:00:00"/>
    <d v="2023-05-29T00:00:00"/>
    <n v="22"/>
    <n v="0"/>
    <s v="05-2023"/>
    <s v="Q2-2023"/>
    <d v="2023-01-07T00:00:00"/>
    <s v="01-2023"/>
    <s v="Africa"/>
    <s v="South Africa"/>
    <s v="Durban"/>
    <s v="Durban"/>
    <s v="Education"/>
    <s v="Distributor"/>
    <s v="Distributor"/>
    <s v="K. Singh"/>
    <s v="K. Singh"/>
    <x v="1"/>
    <s v="Medium"/>
    <s v="ACC-2364"/>
    <s v="B"/>
    <n v="653.86"/>
    <n v="931.84"/>
    <n v="931.84"/>
    <n v="0.121"/>
    <n v="0.121"/>
    <n v="0"/>
    <n v="12"/>
    <n v="9829.0483199999999"/>
    <n v="7846.32"/>
    <n v="1982.7283200000002"/>
    <n v="0.20172129136506273"/>
    <n v="9290854.233250007"/>
    <n v="0.84880789608721141"/>
    <n v="0.121"/>
    <n v="15.600000000000001"/>
    <n v="719.24600000000009"/>
    <n v="12777.762816000002"/>
  </r>
  <r>
    <s v="ORD-2024-589570"/>
    <d v="2024-05-04T00:00:00"/>
    <d v="2024-05-04T00:00:00"/>
    <d v="2024-05-29T00:00:00"/>
    <d v="2024-05-29T00:00:00"/>
    <n v="25"/>
    <n v="0"/>
    <s v="05-2024"/>
    <s v="Q2-2024"/>
    <d v="2023-01-13T00:00:00"/>
    <s v="01-2023"/>
    <s v="Africa"/>
    <s v="Nigeria"/>
    <s v="Abuja"/>
    <s v="Abuja"/>
    <s v="Non-Profit"/>
    <s v="Marketplace"/>
    <s v="Marketplace"/>
    <s v="O. Wang"/>
    <s v="O. Wang"/>
    <x v="2"/>
    <s v="High"/>
    <s v="MON-6892"/>
    <s v="B"/>
    <n v="1295.3399999999999"/>
    <n v="2530.81"/>
    <n v="2530.81"/>
    <n v="3.1E-2"/>
    <n v="3.1E-2"/>
    <n v="0"/>
    <n v="6"/>
    <n v="14714.12934"/>
    <n v="7772.0399999999991"/>
    <n v="6942.0893400000004"/>
    <n v="0.4717974933880798"/>
    <n v="9305568.3625900075"/>
    <n v="0.85015217174306479"/>
    <n v="3.1E-2"/>
    <n v="7.8000000000000007"/>
    <n v="1424.874"/>
    <n v="19128.368142000003"/>
  </r>
  <r>
    <s v="ORD-2025-779659"/>
    <d v="2025-07-03T00:00:00"/>
    <d v="2025-07-03T00:00:00"/>
    <d v="2025-07-23T00:00:00"/>
    <d v="2025-07-23T00:00:00"/>
    <n v="20"/>
    <n v="0"/>
    <s v="07-2025"/>
    <s v="Q3-2025"/>
    <d v="2023-01-12T00:00:00"/>
    <s v="01-2023"/>
    <s v="Asia"/>
    <s v="China"/>
    <s v="Beijing"/>
    <s v="Beijing"/>
    <s v="Small Business"/>
    <s v="Online"/>
    <s v="Online"/>
    <s v="M. Rossi"/>
    <s v="M. Rossi"/>
    <x v="0"/>
    <s v="Medium"/>
    <s v="CMP-1220"/>
    <s v="B"/>
    <n v="647.36"/>
    <n v="1383.6"/>
    <n v="1383.6"/>
    <n v="7.3999999999999996E-2"/>
    <n v="7.3999999999999996E-2"/>
    <n v="0"/>
    <n v="12"/>
    <n v="15374.563199999999"/>
    <n v="7768.32"/>
    <n v="7606.243199999999"/>
    <n v="0.49472906000997802"/>
    <n v="9320942.9257900082"/>
    <n v="0.85155678431317161"/>
    <n v="7.3999999999999996E-2"/>
    <n v="15.600000000000001"/>
    <n v="712.09600000000012"/>
    <n v="19986.93216"/>
  </r>
  <r>
    <s v="ORD-2025-685236"/>
    <d v="2025-03-14T00:00:00"/>
    <d v="2025-03-14T00:00:00"/>
    <d v="2025-03-29T00:00:00"/>
    <d v="2025-03-29T00:00:00"/>
    <n v="15"/>
    <n v="0"/>
    <s v="03-2025"/>
    <s v="Q1-2025"/>
    <d v="2023-03-03T00:00:00"/>
    <s v="03-2023"/>
    <s v="Asia"/>
    <s v="Japan"/>
    <s v="Tokyo"/>
    <s v="Tokyo"/>
    <s v="Non-Profit"/>
    <s v="Direct"/>
    <s v="Direct"/>
    <s v="H. Kim"/>
    <s v="H. Kim"/>
    <x v="4"/>
    <s v="High"/>
    <s v="NET-8430"/>
    <s v="B"/>
    <n v="1106.96"/>
    <n v="2726.62"/>
    <n v="2726.62"/>
    <n v="0.317"/>
    <n v="0.3"/>
    <n v="1"/>
    <n v="7"/>
    <n v="13360.438"/>
    <n v="7748.72"/>
    <n v="5611.7179999999998"/>
    <n v="0.42002500217432992"/>
    <n v="9334303.3637900073"/>
    <n v="0.852777387390658"/>
    <n v="0.2"/>
    <n v="9.1"/>
    <n v="1217.6560000000002"/>
    <n v="19849.793600000001"/>
  </r>
  <r>
    <s v="ORD-2024-555229"/>
    <d v="2024-05-18T00:00:00"/>
    <d v="2024-05-18T00:00:00"/>
    <d v="2024-05-22T00:00:00"/>
    <d v="2024-05-22T00:00:00"/>
    <n v="4"/>
    <n v="0"/>
    <s v="05-2024"/>
    <s v="Q2-2024"/>
    <d v="2023-01-20T00:00:00"/>
    <s v="01-2023"/>
    <s v="Africa"/>
    <s v="Kenya"/>
    <s v="Nairobi"/>
    <s v="Nairobi"/>
    <s v="Corporate"/>
    <s v="Direct"/>
    <s v="Direct"/>
    <s v="H. Kim"/>
    <s v="H. Kim"/>
    <x v="1"/>
    <s v="High"/>
    <s v="ACC-7354"/>
    <s v="B"/>
    <n v="857.42"/>
    <n v="1658.92"/>
    <n v="1658.92"/>
    <n v="0.122"/>
    <n v="0.122"/>
    <n v="0"/>
    <n v="9"/>
    <n v="13108.78584"/>
    <n v="7716.78"/>
    <n v="5392.0058400000007"/>
    <n v="0.41132763215544305"/>
    <n v="9347412.1496300064"/>
    <n v="0.85397499964995782"/>
    <n v="0.122"/>
    <n v="11.700000000000001"/>
    <n v="943.16200000000003"/>
    <n v="17041.421592000002"/>
  </r>
  <r>
    <s v="ORD-2024-833375"/>
    <d v="2024-04-24T00:00:00"/>
    <d v="2024-04-24T00:00:00"/>
    <d v="2024-05-10T00:00:00"/>
    <d v="2024-05-10T00:00:00"/>
    <n v="16"/>
    <n v="0"/>
    <s v="04-2024"/>
    <s v="Q2-2024"/>
    <d v="2023-01-20T00:00:00"/>
    <s v="01-2023"/>
    <s v="Africa"/>
    <s v="Kenya"/>
    <s v="Kisumu"/>
    <s v="Kisumu"/>
    <s v="Non-Profit"/>
    <s v="Online"/>
    <s v="Online"/>
    <s v="N. Brown"/>
    <s v="N. Brown"/>
    <x v="2"/>
    <s v="Medium"/>
    <s v="MON-6190"/>
    <s v="B"/>
    <n v="513.30999999999995"/>
    <n v="1186.26"/>
    <n v="1186.26"/>
    <n v="9.4E-2"/>
    <n v="9.4E-2"/>
    <n v="0"/>
    <n v="15"/>
    <n v="16121.273400000002"/>
    <n v="7699.65"/>
    <n v="8421.6234000000022"/>
    <n v="0.52239194702820446"/>
    <n v="9363533.4230300058"/>
    <n v="0.85544783129851909"/>
    <n v="9.4E-2"/>
    <n v="19.5"/>
    <n v="564.64099999999996"/>
    <n v="20957.655419999999"/>
  </r>
  <r>
    <s v="ORD-2025-541501"/>
    <d v="2025-07-22T00:00:00"/>
    <d v="2025-07-22T00:00:00"/>
    <d v="2025-08-18T00:00:00"/>
    <d v="2025-08-18T00:00:00"/>
    <n v="27"/>
    <n v="0"/>
    <s v="07-2025"/>
    <s v="Q3-2025"/>
    <d v="2023-01-12T00:00:00"/>
    <s v="01-2023"/>
    <s v="Asia"/>
    <s v="China"/>
    <s v="Shenzhen"/>
    <s v="Shenzhen"/>
    <s v="Non-Profit"/>
    <s v="Marketplace"/>
    <s v="Marketplace"/>
    <s v="M. Rossi"/>
    <s v="M. Rossi"/>
    <x v="4"/>
    <s v="Low"/>
    <s v="NET-1804"/>
    <s v="B"/>
    <n v="547.32000000000005"/>
    <n v="419.17"/>
    <n v="419.17"/>
    <n v="9.1999999999999998E-2"/>
    <n v="9.1999999999999998E-2"/>
    <n v="0"/>
    <n v="14"/>
    <n v="5328.4890400000004"/>
    <n v="7662.4800000000005"/>
    <n v="2333.9909600000001"/>
    <n v="0.43802116181137907"/>
    <n v="9368861.9120700061"/>
    <n v="0.85593463944961246"/>
    <n v="9.1999999999999998E-2"/>
    <n v="18.2"/>
    <n v="602.05200000000013"/>
    <n v="6927.0357520000007"/>
  </r>
  <r>
    <s v="ORD-2025-417942"/>
    <d v="2025-06-09T00:00:00"/>
    <d v="2025-06-09T00:00:00"/>
    <d v="2025-06-24T00:00:00"/>
    <d v="2025-06-24T00:00:00"/>
    <n v="15"/>
    <n v="1"/>
    <s v="06-2025"/>
    <s v="Q2-2025"/>
    <d v="2023-03-03T00:00:00"/>
    <s v="03-2023"/>
    <s v="Asia"/>
    <s v="Japan"/>
    <s v="Nagoya"/>
    <s v="Nagoya"/>
    <s v="Corporate"/>
    <s v="Direct"/>
    <s v="Direct"/>
    <s v="B. Chen"/>
    <s v="B. Chen"/>
    <x v="6"/>
    <s v="Low"/>
    <s v="PHN-5675"/>
    <s v="B"/>
    <n v="400.39"/>
    <n v="712.75"/>
    <n v="712.75"/>
    <n v="0.115"/>
    <n v="0.115"/>
    <n v="0"/>
    <n v="19"/>
    <n v="11984.891250000001"/>
    <n v="7607.41"/>
    <n v="4377.4812500000007"/>
    <n v="0.36524997671547504"/>
    <n v="9380846.8033200055"/>
    <n v="0.85702957324916984"/>
    <n v="0.115"/>
    <n v="24.7"/>
    <n v="440.42900000000003"/>
    <n v="15580.358624999999"/>
  </r>
  <r>
    <s v="ORD-2023-431328"/>
    <d v="2023-12-20T00:00:00"/>
    <d v="2023-12-20T00:00:00"/>
    <d v="2024-01-14T00:00:00"/>
    <d v="2024-01-14T00:00:00"/>
    <n v="25"/>
    <n v="0"/>
    <s v="12-2023"/>
    <s v="Q4-2023"/>
    <d v="2023-01-29T00:00:00"/>
    <s v="01-2023"/>
    <s v="Asia"/>
    <s v="India"/>
    <s v="Mumbai"/>
    <s v="Mumbai"/>
    <s v="Non-Profit"/>
    <s v="Marketplace"/>
    <s v="Marketplace"/>
    <s v="L. Okafor"/>
    <s v="L. Okafor"/>
    <x v="2"/>
    <s v="Medium"/>
    <s v="MON-1572"/>
    <s v="B"/>
    <n v="1085.6099999999999"/>
    <n v="1246.4100000000001"/>
    <n v="1246.4100000000001"/>
    <n v="0.113"/>
    <n v="0.113"/>
    <n v="0"/>
    <n v="7"/>
    <n v="7738.9596900000006"/>
    <n v="7599.2699999999995"/>
    <n v="139.68969000000106"/>
    <n v="1.8050189637310417E-2"/>
    <n v="9388585.7630100064"/>
    <n v="0.85773660081923597"/>
    <n v="0.113"/>
    <n v="9.1"/>
    <n v="1194.171"/>
    <n v="10060.647597000001"/>
  </r>
  <r>
    <s v="ORD-2024-749242"/>
    <d v="2024-01-16T00:00:00"/>
    <d v="2024-01-16T00:00:00"/>
    <d v="2024-02-11T00:00:00"/>
    <d v="2024-02-11T00:00:00"/>
    <n v="26"/>
    <n v="0"/>
    <s v="01-2024"/>
    <s v="Q1-2024"/>
    <d v="2023-01-21T00:00:00"/>
    <s v="01-2023"/>
    <s v="Europe"/>
    <s v="Germany"/>
    <s v="Frankfurt"/>
    <s v="Frankfurt"/>
    <s v="Non-Profit"/>
    <s v="Distributor"/>
    <s v="Distributor"/>
    <s v="E. Garcia"/>
    <s v="E. Garcia"/>
    <x v="2"/>
    <s v="Medium"/>
    <s v="MON-4195"/>
    <s v="B"/>
    <n v="504.93"/>
    <n v="819.06"/>
    <n v="819.06"/>
    <n v="0.22600000000000001"/>
    <n v="0.22600000000000001"/>
    <n v="1"/>
    <n v="15"/>
    <n v="9509.2865999999995"/>
    <n v="7573.95"/>
    <n v="1935.3365999999996"/>
    <n v="0.20352069312959814"/>
    <n v="9398095.0496100057"/>
    <n v="0.85860536458945513"/>
    <n v="0.2"/>
    <n v="19.5"/>
    <n v="555.423"/>
    <n v="12777.335999999999"/>
  </r>
  <r>
    <s v="ORD-2023-713614"/>
    <d v="2023-08-02T00:00:00"/>
    <d v="2023-08-02T00:00:00"/>
    <d v="2023-08-19T00:00:00"/>
    <d v="2023-08-19T00:00:00"/>
    <n v="17"/>
    <n v="1"/>
    <s v="08-2023"/>
    <s v="Q3-2023"/>
    <d v="2023-01-02T00:00:00"/>
    <s v="01-2023"/>
    <s v="Americas"/>
    <s v="Canada"/>
    <s v="Vancouver"/>
    <s v="Vancouver"/>
    <s v="Corporate"/>
    <s v="Online"/>
    <s v="Online"/>
    <s v="F. Müller"/>
    <s v="F. Müller"/>
    <x v="4"/>
    <s v="Low"/>
    <s v="NET-3689"/>
    <s v="B"/>
    <n v="175.38"/>
    <n v="347.9"/>
    <n v="347.9"/>
    <n v="7.1999999999999995E-2"/>
    <n v="7.1999999999999995E-2"/>
    <n v="0"/>
    <n v="43"/>
    <n v="13882.6016"/>
    <n v="7541.34"/>
    <n v="6341.2615999999998"/>
    <n v="0.45677761148169804"/>
    <n v="9411977.6512100063"/>
    <n v="0.85987367227790668"/>
    <n v="7.1999999999999995E-2"/>
    <n v="55.9"/>
    <n v="192.91800000000001"/>
    <n v="18047.382079999999"/>
  </r>
  <r>
    <s v="ORD-2024-503082"/>
    <d v="2024-05-19T00:00:00"/>
    <d v="2024-05-19T00:00:00"/>
    <d v="2024-06-08T00:00:00"/>
    <d v="2024-06-08T00:00:00"/>
    <n v="20"/>
    <n v="0"/>
    <s v="05-2024"/>
    <s v="Q2-2024"/>
    <d v="2023-01-29T00:00:00"/>
    <s v="01-2023"/>
    <s v="Americas"/>
    <s v="Brazil"/>
    <s v="Brasília"/>
    <s v="Brasília"/>
    <s v="Small Business"/>
    <s v="Retail"/>
    <s v="Retail"/>
    <s v="E. Garcia"/>
    <s v="E. Garcia"/>
    <x v="2"/>
    <s v="Medium"/>
    <s v="MON-4271"/>
    <s v="B"/>
    <n v="1075.9000000000001"/>
    <n v="1242.1500000000001"/>
    <n v="1242.1500000000001"/>
    <n v="1.2E-2"/>
    <n v="1.2E-2"/>
    <n v="0"/>
    <n v="7"/>
    <n v="8590.7094000000016"/>
    <n v="7531.3000000000011"/>
    <n v="1059.4094000000005"/>
    <n v="0.12332036280961853"/>
    <n v="9420568.3606100064"/>
    <n v="0.86065851528465787"/>
    <n v="1.2E-2"/>
    <n v="9.1"/>
    <n v="1183.4900000000002"/>
    <n v="11167.92222"/>
  </r>
  <r>
    <s v="ORD-2025-983096"/>
    <d v="2025-05-17T00:00:00"/>
    <d v="2025-05-17T00:00:00"/>
    <d v="2025-05-28T00:00:00"/>
    <d v="2025-05-28T00:00:00"/>
    <n v="11"/>
    <n v="0"/>
    <s v="05-2025"/>
    <s v="Q2-2025"/>
    <d v="2023-01-29T00:00:00"/>
    <s v="01-2023"/>
    <s v="Asia"/>
    <s v="India"/>
    <s v="Bengaluru"/>
    <s v="Bengaluru"/>
    <s v="Corporate"/>
    <s v="Distributor"/>
    <s v="Distributor"/>
    <s v="B. Chen"/>
    <s v="B. Chen"/>
    <x v="3"/>
    <s v="Medium"/>
    <s v="LAP-9016"/>
    <s v="B"/>
    <n v="623.4"/>
    <n v="1100.0899999999999"/>
    <n v="1100.0899999999999"/>
    <n v="0.114"/>
    <n v="0.114"/>
    <n v="0"/>
    <n v="12"/>
    <n v="11696.156879999999"/>
    <n v="7480.7999999999993"/>
    <n v="4215.3568799999994"/>
    <n v="0.36040529579490388"/>
    <n v="9432264.517490007"/>
    <n v="0.86172707045346997"/>
    <n v="0.114"/>
    <n v="15.600000000000001"/>
    <n v="685.74"/>
    <n v="15205.003943999998"/>
  </r>
  <r>
    <s v="ORD-2023-573146"/>
    <d v="2023-12-01T00:00:00"/>
    <d v="2023-12-01T00:00:00"/>
    <d v="2023-12-18T00:00:00"/>
    <d v="2023-12-18T00:00:00"/>
    <n v="17"/>
    <n v="0"/>
    <s v="12-2023"/>
    <s v="Q4-2023"/>
    <d v="2023-03-03T00:00:00"/>
    <s v="03-2023"/>
    <s v="Asia"/>
    <s v="Japan"/>
    <s v="Nagoya"/>
    <s v="Nagoya"/>
    <s v="Small Business"/>
    <s v="Direct"/>
    <s v="Direct"/>
    <s v="N. Brown"/>
    <s v="N. Brown"/>
    <x v="3"/>
    <s v="High"/>
    <s v="LAP-3604"/>
    <s v="B"/>
    <n v="1495.79"/>
    <n v="2783.12"/>
    <n v="2783.12"/>
    <n v="0.02"/>
    <n v="0.02"/>
    <n v="0"/>
    <n v="5"/>
    <n v="13637.287999999999"/>
    <n v="7478.95"/>
    <n v="6158.3379999999988"/>
    <n v="0.45158084217331185"/>
    <n v="9445901.8054900076"/>
    <n v="0.86297296641147458"/>
    <n v="0.02"/>
    <n v="6.5"/>
    <n v="1645.3690000000001"/>
    <n v="17728.474399999999"/>
  </r>
  <r>
    <s v="ORD-2023-521818"/>
    <d v="2023-01-22T00:00:00"/>
    <d v="2023-01-22T00:00:00"/>
    <d v="2023-01-30T00:00:00"/>
    <d v="2023-01-30T00:00:00"/>
    <n v="8"/>
    <n v="0"/>
    <s v="01-2023"/>
    <s v="Q1-2023"/>
    <d v="2023-01-13T00:00:00"/>
    <s v="01-2023"/>
    <s v="Americas"/>
    <s v="USA"/>
    <s v="San Francisco"/>
    <s v="San Francisco"/>
    <s v="Small Business"/>
    <s v="Online"/>
    <s v="Online"/>
    <s v="A. Patel"/>
    <s v="A. Patel"/>
    <x v="4"/>
    <s v="Medium"/>
    <s v="NET-4155"/>
    <s v="B"/>
    <n v="413.52"/>
    <n v="1004.34"/>
    <n v="1004.34"/>
    <n v="0.111"/>
    <n v="0.111"/>
    <n v="0"/>
    <n v="18"/>
    <n v="16071.44868"/>
    <n v="7443.36"/>
    <n v="8628.0886800000007"/>
    <n v="0.53685817948304593"/>
    <n v="9461973.254170008"/>
    <n v="0.86444124609799944"/>
    <n v="0.111"/>
    <n v="23.400000000000002"/>
    <n v="454.87200000000001"/>
    <n v="20892.883284000003"/>
  </r>
  <r>
    <s v="ORD-2024-647473"/>
    <d v="2024-02-17T00:00:00"/>
    <d v="2024-02-17T00:00:00"/>
    <d v="2024-03-04T00:00:00"/>
    <d v="2024-03-04T00:00:00"/>
    <n v="16"/>
    <n v="0"/>
    <s v="02-2024"/>
    <s v="Q1-2024"/>
    <d v="2023-01-29T00:00:00"/>
    <s v="01-2023"/>
    <s v="Asia"/>
    <s v="India"/>
    <s v="Delhi"/>
    <s v="Delhi"/>
    <s v="Small Business"/>
    <s v="Marketplace"/>
    <s v="Marketplace"/>
    <s v="F. Müller"/>
    <s v="F. Müller"/>
    <x v="6"/>
    <s v="High"/>
    <s v="PHN-1717"/>
    <s v="B"/>
    <n v="1231.8"/>
    <n v="2015.99"/>
    <n v="2015.99"/>
    <n v="0.26100000000000001"/>
    <n v="0.26100000000000001"/>
    <n v="1"/>
    <n v="6"/>
    <n v="8938.8996600000009"/>
    <n v="7390.7999999999993"/>
    <n v="1548.0996600000017"/>
    <n v="0.17318682599464391"/>
    <n v="9470912.1538300086"/>
    <n v="0.86525789959651056"/>
    <n v="0.2"/>
    <n v="7.8000000000000007"/>
    <n v="1354.98"/>
    <n v="12579.777600000001"/>
  </r>
  <r>
    <s v="ORD-2023-967239"/>
    <d v="2023-12-24T00:00:00"/>
    <d v="2023-12-24T00:00:00"/>
    <d v="2024-01-01T00:00:00"/>
    <d v="2024-01-01T00:00:00"/>
    <n v="8"/>
    <n v="0"/>
    <s v="12-2023"/>
    <s v="Q4-2023"/>
    <d v="2023-01-29T00:00:00"/>
    <s v="01-2023"/>
    <s v="Americas"/>
    <s v="Brazil"/>
    <s v="São Paulo"/>
    <s v="São Paulo"/>
    <s v="Education"/>
    <s v="Direct"/>
    <s v="Direct"/>
    <s v="C. Otieno"/>
    <s v="C. Otieno"/>
    <x v="6"/>
    <s v="Low"/>
    <s v="PHN-3014"/>
    <s v="B"/>
    <n v="526.49"/>
    <n v="496.2"/>
    <n v="496.2"/>
    <n v="0"/>
    <n v="0"/>
    <n v="0"/>
    <n v="14"/>
    <n v="6946.8"/>
    <n v="7370.8600000000006"/>
    <n v="424.0600000000004"/>
    <n v="6.1043933897621985E-2"/>
    <n v="9477858.9538300093"/>
    <n v="0.86589255584495717"/>
    <n v="0"/>
    <n v="18.2"/>
    <n v="579.13900000000001"/>
    <n v="9030.84"/>
  </r>
  <r>
    <s v="ORD-2024-389102"/>
    <d v="2024-06-15T00:00:00"/>
    <d v="2024-06-15T00:00:00"/>
    <d v="2024-07-06T00:00:00"/>
    <d v="2024-07-06T00:00:00"/>
    <n v="21"/>
    <n v="0"/>
    <s v="06-2024"/>
    <s v="Q2-2024"/>
    <d v="2023-01-02T00:00:00"/>
    <s v="01-2023"/>
    <s v="Americas"/>
    <s v="Canada"/>
    <s v="Toronto"/>
    <s v="Toronto"/>
    <s v="Enterprise"/>
    <s v="Distributor"/>
    <s v="Distributor"/>
    <s v="L. Okafor"/>
    <s v="L. Okafor"/>
    <x v="5"/>
    <s v="Medium"/>
    <s v="PRN-4453"/>
    <s v="B"/>
    <n v="817.23"/>
    <n v="1467.17"/>
    <n v="1467.17"/>
    <n v="0.245"/>
    <n v="0.245"/>
    <n v="1"/>
    <n v="9"/>
    <n v="9969.4201499999999"/>
    <n v="7355.07"/>
    <n v="2614.3501500000002"/>
    <n v="0.26223693160328893"/>
    <n v="9487828.3739800099"/>
    <n v="0.86680335719112911"/>
    <n v="0.2"/>
    <n v="11.700000000000001"/>
    <n v="898.95300000000009"/>
    <n v="13732.711200000003"/>
  </r>
  <r>
    <s v="ORD-2024-134084"/>
    <d v="2024-06-04T00:00:00"/>
    <d v="2024-06-04T00:00:00"/>
    <d v="2024-06-16T00:00:00"/>
    <d v="2024-06-16T00:00:00"/>
    <n v="12"/>
    <n v="0"/>
    <s v="06-2024"/>
    <s v="Q2-2024"/>
    <d v="2023-01-12T00:00:00"/>
    <s v="01-2023"/>
    <s v="Asia"/>
    <s v="China"/>
    <s v="Shanghai"/>
    <s v="Shanghai"/>
    <s v="Corporate"/>
    <s v="Retail"/>
    <s v="Retail"/>
    <s v="J. Njeri"/>
    <s v="J. Njeri"/>
    <x v="5"/>
    <s v="Medium"/>
    <s v="PRN-4097"/>
    <s v="B"/>
    <n v="918.42"/>
    <n v="1511.71"/>
    <n v="1511.71"/>
    <n v="0.02"/>
    <n v="0.02"/>
    <n v="0"/>
    <n v="8"/>
    <n v="11851.806399999999"/>
    <n v="7347.36"/>
    <n v="4504.4463999999998"/>
    <n v="0.38006412254590999"/>
    <n v="9499680.1803800091"/>
    <n v="0.86788613242391821"/>
    <n v="0.02"/>
    <n v="10.4"/>
    <n v="1010.2620000000001"/>
    <n v="15407.348320000001"/>
  </r>
  <r>
    <s v="ORD-2025-509940"/>
    <d v="2025-05-16T00:00:00"/>
    <d v="2025-05-16T00:00:00"/>
    <d v="2025-05-27T00:00:00"/>
    <d v="2025-05-27T00:00:00"/>
    <n v="11"/>
    <n v="0"/>
    <s v="05-2025"/>
    <s v="Q2-2025"/>
    <d v="2023-01-12T00:00:00"/>
    <s v="01-2023"/>
    <s v="Asia"/>
    <s v="China"/>
    <s v="Beijing"/>
    <s v="Beijing"/>
    <s v="Enterprise"/>
    <s v="Online"/>
    <s v="Online"/>
    <s v="F. Müller"/>
    <s v="F. Müller"/>
    <x v="6"/>
    <s v="Medium"/>
    <s v="PHN-3800"/>
    <s v="B"/>
    <n v="918.12"/>
    <n v="1337.69"/>
    <n v="1337.69"/>
    <n v="9.5000000000000001E-2"/>
    <n v="9.5000000000000001E-2"/>
    <n v="0"/>
    <n v="8"/>
    <n v="9684.8756000000012"/>
    <n v="7344.96"/>
    <n v="2339.9156000000012"/>
    <n v="0.24160512707050164"/>
    <n v="9509365.05598001"/>
    <n v="0.86877093791924964"/>
    <n v="9.5000000000000001E-2"/>
    <n v="10.4"/>
    <n v="1009.9320000000001"/>
    <n v="12590.338280000002"/>
  </r>
  <r>
    <s v="ORD-2025-580047"/>
    <d v="2025-06-14T00:00:00"/>
    <d v="2025-06-14T00:00:00"/>
    <d v="2025-06-29T00:00:00"/>
    <d v="2025-06-29T00:00:00"/>
    <n v="15"/>
    <n v="0"/>
    <s v="06-2025"/>
    <s v="Q2-2025"/>
    <d v="2023-01-13T00:00:00"/>
    <s v="01-2023"/>
    <s v="Africa"/>
    <s v="Nigeria"/>
    <s v="Port Harcourt"/>
    <s v="Port Harcourt"/>
    <s v="Consumer"/>
    <s v="Marketplace"/>
    <s v="Marketplace"/>
    <s v="M. Rossi"/>
    <s v="M. Rossi"/>
    <x v="1"/>
    <s v="Medium"/>
    <s v="ACC-3961"/>
    <s v="B"/>
    <n v="730.99"/>
    <n v="1242.8399999999999"/>
    <n v="1242.8399999999999"/>
    <n v="0.12"/>
    <n v="0.12"/>
    <n v="0"/>
    <n v="10"/>
    <n v="10936.992"/>
    <n v="7309.9"/>
    <n v="3627.0920000000006"/>
    <n v="0.33163524303574515"/>
    <n v="9520302.0479800105"/>
    <n v="0.86977013615613719"/>
    <n v="0.12"/>
    <n v="13"/>
    <n v="804.08900000000006"/>
    <n v="14218.089599999999"/>
  </r>
  <r>
    <s v="ORD-2024-375848"/>
    <d v="2024-05-18T00:00:00"/>
    <d v="2024-05-18T00:00:00"/>
    <d v="2024-05-21T00:00:00"/>
    <d v="2024-05-21T00:00:00"/>
    <n v="3"/>
    <n v="0"/>
    <s v="05-2024"/>
    <s v="Q2-2024"/>
    <d v="2023-01-10T00:00:00"/>
    <s v="01-2023"/>
    <s v="Europe"/>
    <s v="France"/>
    <s v="Marseille"/>
    <s v="Marseille"/>
    <s v="Non-Profit"/>
    <s v="Marketplace"/>
    <s v="Marketplace"/>
    <s v="D. Smith"/>
    <s v="D. Smith"/>
    <x v="5"/>
    <s v="Medium"/>
    <s v="PRN-1725"/>
    <s v="B"/>
    <n v="663.66"/>
    <n v="824.26"/>
    <n v="824.26"/>
    <n v="0.23899999999999999"/>
    <n v="0.23899999999999999"/>
    <n v="1"/>
    <n v="11"/>
    <n v="6899.8804600000003"/>
    <n v="7300.2599999999993"/>
    <n v="400.379539999999"/>
    <n v="5.8027025587048933E-2"/>
    <n v="9527201.9284400102"/>
    <n v="0.87040050585837037"/>
    <n v="0.2"/>
    <n v="14.3"/>
    <n v="730.02600000000007"/>
    <n v="9429.5344000000005"/>
  </r>
  <r>
    <s v="ORD-2024-296582"/>
    <d v="2024-01-11T00:00:00"/>
    <d v="2024-01-11T00:00:00"/>
    <d v="2024-02-02T00:00:00"/>
    <d v="2024-02-02T00:00:00"/>
    <n v="22"/>
    <n v="0"/>
    <s v="01-2024"/>
    <s v="Q1-2024"/>
    <d v="2023-01-07T00:00:00"/>
    <s v="01-2023"/>
    <s v="Africa"/>
    <s v="South Africa"/>
    <s v="Durban"/>
    <s v="Durban"/>
    <s v="Consumer"/>
    <s v="Online"/>
    <s v="Online"/>
    <s v="K. Singh"/>
    <s v="K. Singh"/>
    <x v="4"/>
    <s v="High"/>
    <s v="NET-1412"/>
    <s v="B"/>
    <n v="1206.2"/>
    <n v="1759.79"/>
    <n v="1759.79"/>
    <n v="0"/>
    <n v="0"/>
    <n v="0"/>
    <n v="6"/>
    <n v="10558.74"/>
    <n v="7237.2000000000007"/>
    <n v="3321.5399999999991"/>
    <n v="0.31457730751964713"/>
    <n v="9537760.6684400104"/>
    <n v="0.87136514717764302"/>
    <n v="0"/>
    <n v="7.8000000000000007"/>
    <n v="1326.8200000000002"/>
    <n v="13726.362000000001"/>
  </r>
  <r>
    <s v="ORD-2024-968374"/>
    <d v="2024-02-11T00:00:00"/>
    <d v="2024-02-11T00:00:00"/>
    <d v="2024-03-03T00:00:00"/>
    <d v="2024-03-03T00:00:00"/>
    <n v="21"/>
    <n v="1"/>
    <s v="02-2024"/>
    <s v="Q1-2024"/>
    <d v="2023-01-20T00:00:00"/>
    <s v="01-2023"/>
    <s v="Africa"/>
    <s v="Kenya"/>
    <s v="Kisumu"/>
    <s v="Kisumu"/>
    <s v="Enterprise"/>
    <s v="Online"/>
    <s v="Online"/>
    <s v="B. Chen"/>
    <s v="B. Chen"/>
    <x v="6"/>
    <s v="Medium"/>
    <s v="PHN-5082"/>
    <s v="B"/>
    <n v="516.86"/>
    <n v="852.54"/>
    <n v="852.54"/>
    <n v="5.0999999999999997E-2"/>
    <n v="5.0999999999999997E-2"/>
    <n v="0"/>
    <n v="14"/>
    <n v="11326.846439999999"/>
    <n v="7236.04"/>
    <n v="4090.8064399999994"/>
    <n v="0.36116022775355994"/>
    <n v="9549087.5148800109"/>
    <n v="0.87239996232538608"/>
    <n v="5.0999999999999997E-2"/>
    <n v="18.2"/>
    <n v="568.54600000000005"/>
    <n v="14724.900371999998"/>
  </r>
  <r>
    <s v="ORD-2025-276968"/>
    <d v="2025-02-25T00:00:00"/>
    <d v="2025-02-25T00:00:00"/>
    <d v="2025-03-17T00:00:00"/>
    <d v="2025-03-17T00:00:00"/>
    <n v="20"/>
    <n v="0"/>
    <s v="02-2025"/>
    <s v="Q1-2025"/>
    <d v="2023-01-13T00:00:00"/>
    <s v="01-2023"/>
    <s v="Americas"/>
    <s v="USA"/>
    <s v="San Francisco"/>
    <s v="San Francisco"/>
    <s v="Non-Profit"/>
    <s v="Marketplace"/>
    <s v="Marketplace"/>
    <s v="H. Kim"/>
    <s v="H. Kim"/>
    <x v="6"/>
    <s v="High"/>
    <s v="PHN-1044"/>
    <s v="B"/>
    <n v="1205.26"/>
    <n v="1696.35"/>
    <n v="1696.35"/>
    <n v="1.9E-2"/>
    <n v="1.9E-2"/>
    <n v="0"/>
    <n v="6"/>
    <n v="9984.7160999999978"/>
    <n v="7231.5599999999995"/>
    <n v="2753.1560999999983"/>
    <n v="0.27573704374028213"/>
    <n v="9559072.2309800107"/>
    <n v="0.87331216110206455"/>
    <n v="1.9E-2"/>
    <n v="7.8000000000000007"/>
    <n v="1325.7860000000001"/>
    <n v="12980.130930000001"/>
  </r>
  <r>
    <s v="ORD-2024-885858"/>
    <d v="2024-01-10T00:00:00"/>
    <d v="2024-01-10T00:00:00"/>
    <d v="2024-01-23T00:00:00"/>
    <d v="2024-01-23T00:00:00"/>
    <n v="13"/>
    <n v="0"/>
    <s v="01-2024"/>
    <s v="Q1-2024"/>
    <d v="2023-01-10T00:00:00"/>
    <s v="01-2023"/>
    <s v="Europe"/>
    <s v="France"/>
    <s v="Marseille"/>
    <s v="Marseille"/>
    <s v="Corporate"/>
    <s v="Direct"/>
    <s v="Direct"/>
    <s v="A. Patel"/>
    <s v="A. Patel"/>
    <x v="5"/>
    <s v="Medium"/>
    <s v="PRN-6776"/>
    <s v="B"/>
    <n v="720"/>
    <n v="907.59"/>
    <n v="907.59"/>
    <n v="0.154"/>
    <n v="0.154"/>
    <n v="0"/>
    <n v="10"/>
    <n v="7678.2113999999992"/>
    <n v="7200"/>
    <n v="478.21139999999923"/>
    <n v="6.2281614179052078E-2"/>
    <n v="9566750.4423800111"/>
    <n v="0.87401363873808458"/>
    <n v="0.154"/>
    <n v="13"/>
    <n v="792.00000000000011"/>
    <n v="9981.6748200000002"/>
  </r>
  <r>
    <s v="ORD-2024-219735"/>
    <d v="2024-04-03T00:00:00"/>
    <d v="2024-04-03T00:00:00"/>
    <d v="2024-04-07T00:00:00"/>
    <d v="2024-04-07T00:00:00"/>
    <n v="4"/>
    <n v="1"/>
    <s v="04-2024"/>
    <s v="Q2-2024"/>
    <d v="2023-01-29T00:00:00"/>
    <s v="01-2023"/>
    <s v="Americas"/>
    <s v="Brazil"/>
    <s v="Brasília"/>
    <s v="Brasília"/>
    <s v="Non-Profit"/>
    <s v="Direct"/>
    <s v="Direct"/>
    <s v="N. Brown"/>
    <s v="N. Brown"/>
    <x v="6"/>
    <s v="Medium"/>
    <s v="PHN-5445"/>
    <s v="B"/>
    <n v="1023.27"/>
    <n v="1343.64"/>
    <n v="1343.64"/>
    <n v="0.13300000000000001"/>
    <n v="0.13300000000000001"/>
    <n v="0"/>
    <n v="7"/>
    <n v="8154.5511600000009"/>
    <n v="7162.8899999999994"/>
    <n v="991.66116000000147"/>
    <n v="0.12160830688810116"/>
    <n v="9574904.9935400113"/>
    <n v="0.87475863454147207"/>
    <n v="0.13300000000000001"/>
    <n v="9.1"/>
    <n v="1125.597"/>
    <n v="10600.916508"/>
  </r>
  <r>
    <s v="ORD-2023-290279"/>
    <d v="2023-06-14T00:00:00"/>
    <d v="2023-06-14T00:00:00"/>
    <d v="2023-06-16T00:00:00"/>
    <d v="2023-06-16T00:00:00"/>
    <n v="2"/>
    <n v="0"/>
    <s v="06-2023"/>
    <s v="Q2-2023"/>
    <d v="2023-01-19T00:00:00"/>
    <s v="01-2023"/>
    <s v="Europe"/>
    <s v="United Kingdom"/>
    <s v="Manchester"/>
    <s v="Manchester"/>
    <s v="Non-Profit"/>
    <s v="Direct"/>
    <s v="Direct"/>
    <s v="K. Singh"/>
    <s v="K. Singh"/>
    <x v="0"/>
    <s v="Low"/>
    <s v="CMP-5820"/>
    <s v="B"/>
    <n v="357.36"/>
    <n v="703.62"/>
    <n v="703.62"/>
    <n v="0.25700000000000001"/>
    <n v="0.25700000000000001"/>
    <n v="1"/>
    <n v="20"/>
    <n v="10455.7932"/>
    <n v="7147.2000000000007"/>
    <n v="3308.5931999999993"/>
    <n v="0.31643636563125593"/>
    <n v="9585360.7867400106"/>
    <n v="0.87571387069147566"/>
    <n v="0.2"/>
    <n v="26"/>
    <n v="393.09600000000006"/>
    <n v="14635.296"/>
  </r>
  <r>
    <s v="ORD-2025-591006"/>
    <d v="2025-06-25T00:00:00"/>
    <d v="2025-06-25T00:00:00"/>
    <d v="2025-07-10T00:00:00"/>
    <d v="2025-07-10T00:00:00"/>
    <n v="15"/>
    <n v="0"/>
    <s v="06-2025"/>
    <s v="Q2-2025"/>
    <d v="2023-01-19T00:00:00"/>
    <s v="01-2023"/>
    <s v="Europe"/>
    <s v="United Kingdom"/>
    <s v="Birmingham"/>
    <s v="Birmingham"/>
    <s v="Non-Profit"/>
    <s v="Marketplace"/>
    <s v="Marketplace"/>
    <s v="D. Smith"/>
    <s v="D. Smith"/>
    <x v="6"/>
    <s v="Low"/>
    <s v="PHN-5383"/>
    <s v="B"/>
    <n v="546.83000000000004"/>
    <n v="400.84"/>
    <n v="400.84"/>
    <n v="7.8E-2"/>
    <n v="7.8E-2"/>
    <n v="0"/>
    <n v="13"/>
    <n v="4804.4682400000002"/>
    <n v="7108.7900000000009"/>
    <n v="2304.3217600000007"/>
    <n v="0.47962056254533608"/>
    <n v="9590165.2549800109"/>
    <n v="0.87615280455872091"/>
    <n v="7.8E-2"/>
    <n v="16.900000000000002"/>
    <n v="601.51300000000015"/>
    <n v="6245.8087120000009"/>
  </r>
  <r>
    <s v="ORD-2025-487025"/>
    <d v="2025-04-11T00:00:00"/>
    <d v="2025-04-11T00:00:00"/>
    <d v="2025-05-04T00:00:00"/>
    <d v="2025-05-04T00:00:00"/>
    <n v="23"/>
    <n v="0"/>
    <s v="04-2025"/>
    <s v="Q2-2025"/>
    <d v="2023-03-03T00:00:00"/>
    <s v="03-2023"/>
    <s v="Asia"/>
    <s v="Japan"/>
    <s v="Osaka"/>
    <s v="Osaka"/>
    <s v="Small Business"/>
    <s v="Online"/>
    <s v="Online"/>
    <s v="M. Rossi"/>
    <s v="M. Rossi"/>
    <x v="0"/>
    <s v="Medium"/>
    <s v="CMP-3743"/>
    <s v="B"/>
    <n v="786.2"/>
    <n v="1075.3"/>
    <n v="1075.3"/>
    <n v="0.08"/>
    <n v="0.08"/>
    <n v="0"/>
    <n v="9"/>
    <n v="8903.4839999999986"/>
    <n v="7075.8"/>
    <n v="1827.6839999999984"/>
    <n v="0.20527739478163815"/>
    <n v="9599068.7389800102"/>
    <n v="0.87696622249986556"/>
    <n v="0.08"/>
    <n v="11.700000000000001"/>
    <n v="864.82000000000016"/>
    <n v="11574.529200000001"/>
  </r>
  <r>
    <s v="ORD-2023-890605"/>
    <d v="2023-06-24T00:00:00"/>
    <d v="2023-06-22T00:00:00"/>
    <d v="2023-06-22T00:00:00"/>
    <d v="2023-06-24T00:00:00"/>
    <n v="2"/>
    <n v="0"/>
    <s v="06-2023"/>
    <s v="Q2-2023"/>
    <d v="2023-01-02T00:00:00"/>
    <s v="01-2023"/>
    <s v="Americas"/>
    <s v="Canada"/>
    <s v="Toronto"/>
    <s v="Toronto"/>
    <s v="Non-Profit"/>
    <s v="Retail"/>
    <s v="Retail"/>
    <s v="M. Rossi"/>
    <s v="M. Rossi"/>
    <x v="1"/>
    <s v="Medium"/>
    <s v="ACC-2903"/>
    <s v="B"/>
    <n v="471.42"/>
    <n v="824.81"/>
    <n v="824.81"/>
    <n v="8.7999999999999995E-2"/>
    <n v="8.7999999999999995E-2"/>
    <n v="0"/>
    <n v="15"/>
    <n v="11283.400799999999"/>
    <n v="7071.3"/>
    <n v="4212.1007999999993"/>
    <n v="0.37330064531608231"/>
    <n v="9610352.139780011"/>
    <n v="0.8779970684751992"/>
    <n v="8.7999999999999995E-2"/>
    <n v="19.5"/>
    <n v="518.56200000000001"/>
    <n v="14668.421039999999"/>
  </r>
  <r>
    <s v="ORD-2024-771210"/>
    <d v="2024-09-14T00:00:00"/>
    <d v="2024-09-14T00:00:00"/>
    <d v="2024-10-05T00:00:00"/>
    <d v="2024-10-05T00:00:00"/>
    <n v="21"/>
    <n v="0"/>
    <s v="09-2024"/>
    <s v="Q3-2024"/>
    <d v="2023-01-12T00:00:00"/>
    <s v="01-2023"/>
    <s v="Asia"/>
    <s v="China"/>
    <s v="Shanghai"/>
    <s v="Shanghai"/>
    <s v="Small Business"/>
    <s v="Online"/>
    <s v="Online"/>
    <s v="H. Kim"/>
    <s v="H. Kim"/>
    <x v="3"/>
    <s v="High"/>
    <s v="LAP-5150"/>
    <s v="B"/>
    <n v="1405.56"/>
    <n v="2968.87"/>
    <n v="2968.87"/>
    <n v="0.16900000000000001"/>
    <n v="0.16900000000000001"/>
    <n v="0"/>
    <n v="5"/>
    <n v="12335.654849999999"/>
    <n v="7027.7999999999993"/>
    <n v="5307.8548499999997"/>
    <n v="0.4302856163327235"/>
    <n v="9622687.7946300115"/>
    <n v="0.87912404786559961"/>
    <n v="0.16900000000000001"/>
    <n v="6.5"/>
    <n v="1546.116"/>
    <n v="16036.351304999998"/>
  </r>
  <r>
    <s v="ORD-2025-635337"/>
    <d v="2025-08-05T00:00:00"/>
    <d v="2025-08-05T00:00:00"/>
    <d v="2025-08-28T00:00:00"/>
    <d v="2025-08-28T00:00:00"/>
    <n v="23"/>
    <n v="0"/>
    <s v="08-2025"/>
    <s v="Q3-2025"/>
    <d v="2023-01-29T00:00:00"/>
    <s v="01-2023"/>
    <s v="Asia"/>
    <s v="India"/>
    <s v="Mumbai"/>
    <s v="Mumbai"/>
    <s v="Non-Profit"/>
    <s v="Distributor"/>
    <s v="Distributor"/>
    <s v="N. Brown"/>
    <s v="N. Brown"/>
    <x v="3"/>
    <s v="Medium"/>
    <s v="LAP-3905"/>
    <s v="B"/>
    <n v="638.54"/>
    <n v="987.24"/>
    <n v="987.24"/>
    <n v="0"/>
    <n v="0"/>
    <n v="0"/>
    <n v="11"/>
    <n v="10859.64"/>
    <n v="7023.94"/>
    <n v="3835.7"/>
    <n v="0.35320692030306716"/>
    <n v="9633547.4346300121"/>
    <n v="0.880116179261621"/>
    <n v="0"/>
    <n v="14.3"/>
    <n v="702.39400000000001"/>
    <n v="14117.532000000001"/>
  </r>
  <r>
    <s v="ORD-2024-988736"/>
    <d v="2024-09-09T00:00:00"/>
    <d v="2024-09-09T00:00:00"/>
    <d v="2024-10-01T00:00:00"/>
    <d v="2024-10-01T00:00:00"/>
    <n v="22"/>
    <n v="0"/>
    <s v="09-2024"/>
    <s v="Q3-2024"/>
    <d v="2023-01-12T00:00:00"/>
    <s v="01-2023"/>
    <s v="Asia"/>
    <s v="China"/>
    <s v="Shenzhen"/>
    <s v="Shenzhen"/>
    <s v="Consumer"/>
    <s v="Direct"/>
    <s v="Direct"/>
    <s v="L. Okafor"/>
    <s v="L. Okafor"/>
    <x v="5"/>
    <s v="Medium"/>
    <s v="PRN-3014"/>
    <s v="B"/>
    <n v="1166.18"/>
    <n v="1335.02"/>
    <n v="1335.02"/>
    <n v="0.128"/>
    <n v="0.128"/>
    <n v="0"/>
    <n v="6"/>
    <n v="6984.8246399999998"/>
    <n v="6997.08"/>
    <n v="12.25536000000011"/>
    <n v="1.7545694604582242E-3"/>
    <n v="9640532.2592700124"/>
    <n v="0.88075430942256983"/>
    <n v="0.128"/>
    <n v="7.8000000000000007"/>
    <n v="1282.7980000000002"/>
    <n v="9080.2720320000008"/>
  </r>
  <r>
    <s v="ORD-2023-964434"/>
    <d v="2023-11-28T00:00:00"/>
    <d v="2023-11-28T00:00:00"/>
    <d v="2023-12-07T00:00:00"/>
    <d v="2023-12-07T00:00:00"/>
    <n v="9"/>
    <n v="0"/>
    <s v="11-2023"/>
    <s v="Q4-2023"/>
    <d v="2023-01-29T00:00:00"/>
    <s v="01-2023"/>
    <s v="Asia"/>
    <s v="India"/>
    <s v="Delhi"/>
    <s v="Delhi"/>
    <s v="Enterprise"/>
    <s v="Marketplace"/>
    <s v="Marketplace"/>
    <s v="L. Okafor"/>
    <s v="L. Okafor"/>
    <x v="6"/>
    <s v="Medium"/>
    <s v="PHN-2447"/>
    <s v="B"/>
    <n v="699.33"/>
    <n v="873.75"/>
    <n v="873.75"/>
    <n v="0.23499999999999999"/>
    <n v="0.23499999999999999"/>
    <n v="1"/>
    <n v="10"/>
    <n v="6684.1875"/>
    <n v="6993.3"/>
    <n v="309.11250000000018"/>
    <n v="4.6245336475076469E-2"/>
    <n v="9647216.4467700124"/>
    <n v="0.88136497352153109"/>
    <n v="0.2"/>
    <n v="13"/>
    <n v="769.26300000000015"/>
    <n v="9087"/>
  </r>
  <r>
    <s v="ORD-2024-851883"/>
    <d v="2024-01-13T00:00:00"/>
    <d v="2024-01-13T00:00:00"/>
    <d v="2024-01-22T00:00:00"/>
    <d v="2024-01-22T00:00:00"/>
    <n v="9"/>
    <n v="1"/>
    <s v="01-2024"/>
    <s v="Q1-2024"/>
    <d v="2023-01-29T00:00:00"/>
    <s v="01-2023"/>
    <s v="Asia"/>
    <s v="India"/>
    <s v="Mumbai"/>
    <s v="Mumbai"/>
    <s v="Enterprise"/>
    <s v="Marketplace"/>
    <s v="Marketplace"/>
    <s v="J. Njeri"/>
    <s v="J. Njeri"/>
    <x v="0"/>
    <s v="Low"/>
    <s v="CMP-8141"/>
    <s v="B"/>
    <n v="313.60000000000002"/>
    <n v="334.28"/>
    <n v="334.28"/>
    <n v="0.14000000000000001"/>
    <n v="0.14000000000000001"/>
    <n v="0"/>
    <n v="22"/>
    <n v="6324.5775999999996"/>
    <n v="6899.2000000000007"/>
    <n v="574.62240000000111"/>
    <n v="9.0855458868905517E-2"/>
    <n v="9653541.0243700128"/>
    <n v="0.88194278383601044"/>
    <n v="0.14000000000000001"/>
    <n v="28.6"/>
    <n v="344.96000000000004"/>
    <n v="8221.9508799999985"/>
  </r>
  <r>
    <s v="ORD-2024-837651"/>
    <d v="2024-12-10T00:00:00"/>
    <d v="2024-12-10T00:00:00"/>
    <d v="2024-12-19T00:00:00"/>
    <d v="2024-12-19T00:00:00"/>
    <n v="9"/>
    <n v="0"/>
    <s v="12-2024"/>
    <s v="Q4-2024"/>
    <d v="2023-01-13T00:00:00"/>
    <s v="01-2023"/>
    <s v="Africa"/>
    <s v="Nigeria"/>
    <s v="Lagos"/>
    <s v="Lagos"/>
    <s v="Corporate"/>
    <s v="Retail"/>
    <s v="Retail"/>
    <s v="O. Wang"/>
    <s v="O. Wang"/>
    <x v="2"/>
    <s v="Medium"/>
    <s v="MON-4789"/>
    <s v="B"/>
    <n v="488.68"/>
    <n v="984.36"/>
    <n v="984.36"/>
    <n v="5.8999999999999997E-2"/>
    <n v="5.8999999999999997E-2"/>
    <n v="0"/>
    <n v="14"/>
    <n v="12967.958640000001"/>
    <n v="6841.52"/>
    <n v="6126.4386400000003"/>
    <n v="0.47242891576649876"/>
    <n v="9666508.9830100127"/>
    <n v="0.88312753019123491"/>
    <n v="5.8999999999999997E-2"/>
    <n v="18.2"/>
    <n v="537.548"/>
    <n v="16858.346232"/>
  </r>
  <r>
    <s v="ORD-2023-937291"/>
    <d v="2023-04-23T00:00:00"/>
    <d v="2023-04-22T00:00:00"/>
    <d v="2023-04-22T00:00:00"/>
    <d v="2023-04-23T00:00:00"/>
    <n v="1"/>
    <n v="0"/>
    <s v="04-2023"/>
    <s v="Q2-2023"/>
    <d v="2023-01-20T00:00:00"/>
    <s v="01-2023"/>
    <s v="Africa"/>
    <s v="Kenya"/>
    <s v="Nairobi"/>
    <s v="Nairobi"/>
    <s v="Small Business"/>
    <s v="Direct"/>
    <s v="Direct"/>
    <s v="E. Garcia"/>
    <s v="E. Garcia"/>
    <x v="3"/>
    <s v="Medium"/>
    <s v="LAP-1698"/>
    <s v="B"/>
    <n v="756.51"/>
    <n v="850.8"/>
    <n v="850.8"/>
    <n v="7.3999999999999996E-2"/>
    <n v="7.3999999999999996E-2"/>
    <n v="0"/>
    <n v="9"/>
    <n v="7090.5672000000004"/>
    <n v="6808.59"/>
    <n v="281.97720000000027"/>
    <n v="3.9767932810791252E-2"/>
    <n v="9673599.5502100121"/>
    <n v="0.88377532094071809"/>
    <n v="7.3999999999999996E-2"/>
    <n v="11.700000000000001"/>
    <n v="832.16100000000006"/>
    <n v="9217.737360000001"/>
  </r>
  <r>
    <s v="ORD-2025-411385"/>
    <d v="2025-06-05T00:00:00"/>
    <d v="2025-06-05T00:00:00"/>
    <d v="2025-06-14T00:00:00"/>
    <d v="2025-06-14T00:00:00"/>
    <n v="9"/>
    <n v="0"/>
    <s v="06-2025"/>
    <s v="Q2-2025"/>
    <d v="2023-01-29T00:00:00"/>
    <s v="01-2023"/>
    <s v="Asia"/>
    <s v="India"/>
    <s v="Delhi"/>
    <s v="Delhi"/>
    <s v="Non-Profit"/>
    <s v="Retail"/>
    <s v="Retail"/>
    <s v="A. Patel"/>
    <s v="A. Patel"/>
    <x v="1"/>
    <s v="Low"/>
    <s v="ACC-2902"/>
    <s v="B"/>
    <n v="618.69000000000005"/>
    <n v="796.15"/>
    <n v="796.15"/>
    <n v="0.09"/>
    <n v="0.09"/>
    <n v="0"/>
    <n v="11"/>
    <n v="7969.4615000000003"/>
    <n v="6805.59"/>
    <n v="1163.8715000000002"/>
    <n v="0.14604142325049191"/>
    <n v="9681569.0117100123"/>
    <n v="0.88450340704334518"/>
    <n v="0.09"/>
    <n v="14.3"/>
    <n v="680.55900000000008"/>
    <n v="10360.299950000001"/>
  </r>
  <r>
    <s v="ORD-2024-442776"/>
    <d v="2024-06-30T00:00:00"/>
    <d v="2024-06-30T00:00:00"/>
    <d v="2024-07-21T00:00:00"/>
    <d v="2024-07-21T00:00:00"/>
    <n v="21"/>
    <n v="1"/>
    <s v="06-2024"/>
    <s v="Q2-2024"/>
    <d v="2023-01-20T00:00:00"/>
    <s v="01-2023"/>
    <s v="Africa"/>
    <s v="Kenya"/>
    <s v="Kisumu"/>
    <s v="Kisumu"/>
    <s v="Small Business"/>
    <s v="Retail"/>
    <s v="Retail"/>
    <s v="K. Singh"/>
    <s v="K. Singh"/>
    <x v="3"/>
    <s v="High"/>
    <s v="LAP-6577"/>
    <s v="B"/>
    <n v="753.43"/>
    <n v="1787.2"/>
    <n v="1787.2"/>
    <n v="7.2999999999999995E-2"/>
    <n v="7.2999999999999995E-2"/>
    <n v="0"/>
    <n v="9"/>
    <n v="14910.609600000002"/>
    <n v="6780.87"/>
    <n v="8129.7396000000017"/>
    <n v="0.54523187301476939"/>
    <n v="9696479.6213100124"/>
    <n v="0.88586563303960075"/>
    <n v="7.2999999999999995E-2"/>
    <n v="11.700000000000001"/>
    <n v="828.77300000000002"/>
    <n v="19383.792480000004"/>
  </r>
  <r>
    <s v="ORD-2023-525643"/>
    <d v="2023-08-17T00:00:00"/>
    <d v="2023-08-17T00:00:00"/>
    <d v="2023-09-03T00:00:00"/>
    <d v="2023-09-03T00:00:00"/>
    <n v="17"/>
    <n v="0"/>
    <s v="08-2023"/>
    <s v="Q3-2023"/>
    <d v="2023-01-07T00:00:00"/>
    <s v="01-2023"/>
    <s v="Africa"/>
    <s v="South Africa"/>
    <s v="Durban"/>
    <s v="Durban"/>
    <s v="Enterprise"/>
    <s v="Retail"/>
    <s v="Retail"/>
    <s v="A. Patel"/>
    <s v="A. Patel"/>
    <x v="6"/>
    <s v="Medium"/>
    <s v="PHN-8072"/>
    <s v="B"/>
    <n v="676.37"/>
    <n v="1276.67"/>
    <n v="1276.67"/>
    <n v="6.6000000000000003E-2"/>
    <n v="6.6000000000000003E-2"/>
    <n v="0"/>
    <n v="10"/>
    <n v="11924.0978"/>
    <n v="6763.7"/>
    <n v="5160.3977999999997"/>
    <n v="0.4327705027712872"/>
    <n v="9708403.7191100121"/>
    <n v="0.88695501277931654"/>
    <n v="6.6000000000000003E-2"/>
    <n v="13"/>
    <n v="744.00700000000006"/>
    <n v="15501.327139999998"/>
  </r>
  <r>
    <s v="ORD-2023-215819"/>
    <d v="2023-07-01T00:00:00"/>
    <d v="2023-07-01T00:00:00"/>
    <d v="2023-07-11T00:00:00"/>
    <d v="2023-07-11T00:00:00"/>
    <n v="10"/>
    <n v="0"/>
    <s v="07-2023"/>
    <s v="Q3-2023"/>
    <d v="2023-01-10T00:00:00"/>
    <s v="01-2023"/>
    <s v="Europe"/>
    <s v="France"/>
    <s v="Paris"/>
    <s v="Paris"/>
    <s v="Corporate"/>
    <s v="Direct"/>
    <s v="Direct"/>
    <s v="F. Müller"/>
    <s v="F. Müller"/>
    <x v="4"/>
    <s v="Low"/>
    <s v="NET-6533"/>
    <s v="B"/>
    <n v="479.5"/>
    <n v="656.66"/>
    <n v="656.66"/>
    <n v="0.14899999999999999"/>
    <n v="0.14899999999999999"/>
    <n v="0"/>
    <n v="14"/>
    <n v="7823.4472399999995"/>
    <n v="6713"/>
    <n v="1110.4472399999995"/>
    <n v="0.14193835606412289"/>
    <n v="9716227.1663500126"/>
    <n v="0.88766975909060508"/>
    <n v="0.14899999999999999"/>
    <n v="18.2"/>
    <n v="527.45000000000005"/>
    <n v="10170.481411999999"/>
  </r>
  <r>
    <s v="ORD-2024-250862"/>
    <d v="2024-10-25T00:00:00"/>
    <d v="2024-10-25T00:00:00"/>
    <d v="2024-11-05T00:00:00"/>
    <d v="2024-11-05T00:00:00"/>
    <n v="11"/>
    <n v="0"/>
    <s v="10-2024"/>
    <s v="Q4-2024"/>
    <d v="2023-01-13T00:00:00"/>
    <s v="01-2023"/>
    <s v="Americas"/>
    <s v="USA"/>
    <s v="New York"/>
    <s v="New York"/>
    <s v="Corporate"/>
    <s v="Distributor"/>
    <s v="Distributor"/>
    <s v="N. Brown"/>
    <s v="N. Brown"/>
    <x v="0"/>
    <s v="Low"/>
    <s v="CMP-9498"/>
    <s v="B"/>
    <n v="446.66"/>
    <n v="527.64"/>
    <n v="527.64"/>
    <n v="0.14499999999999999"/>
    <n v="0.14499999999999999"/>
    <n v="0"/>
    <n v="15"/>
    <n v="6766.9829999999993"/>
    <n v="6699.9000000000005"/>
    <n v="67.082999999998719"/>
    <n v="9.9132804087137105E-3"/>
    <n v="9722994.1493500117"/>
    <n v="0.88828798734592851"/>
    <n v="0.14499999999999999"/>
    <n v="19.5"/>
    <n v="491.32600000000008"/>
    <n v="8797.0779000000002"/>
  </r>
  <r>
    <s v="ORD-2025-526650"/>
    <d v="2025-04-27T00:00:00"/>
    <d v="2025-04-27T00:00:00"/>
    <d v="2025-05-25T00:00:00"/>
    <d v="2025-05-25T00:00:00"/>
    <n v="28"/>
    <n v="0"/>
    <s v="04-2025"/>
    <s v="Q2-2025"/>
    <d v="2023-01-10T00:00:00"/>
    <s v="01-2023"/>
    <s v="Europe"/>
    <s v="France"/>
    <s v="Paris"/>
    <s v="Paris"/>
    <s v="Small Business"/>
    <s v="Marketplace"/>
    <s v="Marketplace"/>
    <s v="I. Johnson"/>
    <s v="I. Johnson"/>
    <x v="6"/>
    <s v="Medium"/>
    <s v="PHN-8350"/>
    <s v="B"/>
    <n v="603.45000000000005"/>
    <n v="1244.08"/>
    <n v="1244.08"/>
    <n v="0.2"/>
    <n v="0.2"/>
    <n v="0"/>
    <n v="11"/>
    <n v="10947.904"/>
    <n v="6637.9500000000007"/>
    <n v="4309.9539999999997"/>
    <n v="0.39367846119220623"/>
    <n v="9733942.0533500109"/>
    <n v="0.88928818249779606"/>
    <n v="0.2"/>
    <n v="14.3"/>
    <n v="663.79500000000007"/>
    <n v="14232.275200000002"/>
  </r>
  <r>
    <s v="ORD-2023-109927"/>
    <d v="2023-07-22T00:00:00"/>
    <d v="2023-07-21T00:00:00"/>
    <d v="2023-07-21T00:00:00"/>
    <d v="2023-07-22T00:00:00"/>
    <n v="1"/>
    <n v="0"/>
    <s v="07-2023"/>
    <s v="Q3-2023"/>
    <d v="2023-01-29T00:00:00"/>
    <s v="01-2023"/>
    <s v="Asia"/>
    <s v="India"/>
    <s v="Delhi"/>
    <s v="Delhi"/>
    <s v="Small Business"/>
    <s v="Distributor"/>
    <s v="Distributor"/>
    <s v="E. Garcia"/>
    <s v="E. Garcia"/>
    <x v="5"/>
    <s v="High"/>
    <s v="PRN-2301"/>
    <s v="B"/>
    <n v="946.99"/>
    <n v="2132.19"/>
    <n v="2132.19"/>
    <n v="0.16500000000000001"/>
    <n v="0.16500000000000001"/>
    <n v="0"/>
    <n v="7"/>
    <n v="12462.65055"/>
    <n v="6628.93"/>
    <n v="5833.72055"/>
    <n v="0.46809629513362228"/>
    <n v="9746404.7039000113"/>
    <n v="0.89042676415320055"/>
    <n v="0.16500000000000001"/>
    <n v="9.1"/>
    <n v="1041.6890000000001"/>
    <n v="16201.445715"/>
  </r>
  <r>
    <s v="ORD-2025-155182"/>
    <d v="2025-07-11T00:00:00"/>
    <d v="2025-07-11T00:00:00"/>
    <d v="2025-08-03T00:00:00"/>
    <d v="2025-08-03T00:00:00"/>
    <n v="23"/>
    <n v="0"/>
    <s v="07-2025"/>
    <s v="Q3-2025"/>
    <d v="2023-01-20T00:00:00"/>
    <s v="01-2023"/>
    <s v="Africa"/>
    <s v="Kenya"/>
    <s v="Nakuru"/>
    <s v="Nakuru"/>
    <s v="Small Business"/>
    <s v="Retail"/>
    <s v="Retail"/>
    <s v="C. Otieno"/>
    <s v="C. Otieno"/>
    <x v="6"/>
    <s v="Low"/>
    <s v="PHN-7636"/>
    <s v="B"/>
    <n v="389.93"/>
    <n v="486.13"/>
    <n v="486.13"/>
    <n v="0.13200000000000001"/>
    <n v="0.13200000000000001"/>
    <n v="0"/>
    <n v="17"/>
    <n v="7173.3342799999991"/>
    <n v="6628.81"/>
    <n v="544.52427999999873"/>
    <n v="7.5909508569562828E-2"/>
    <n v="9753578.0381800104"/>
    <n v="0.89108211646260882"/>
    <n v="0.13200000000000001"/>
    <n v="22.1"/>
    <n v="428.92300000000006"/>
    <n v="9325.3345640000007"/>
  </r>
  <r>
    <s v="ORD-2023-799597"/>
    <d v="2023-03-14T00:00:00"/>
    <d v="2023-03-14T00:00:00"/>
    <d v="2023-03-18T00:00:00"/>
    <d v="2023-03-18T00:00:00"/>
    <n v="4"/>
    <n v="0"/>
    <s v="03-2023"/>
    <s v="Q1-2023"/>
    <d v="2023-01-21T00:00:00"/>
    <s v="01-2023"/>
    <s v="Europe"/>
    <s v="Germany"/>
    <s v="Frankfurt"/>
    <s v="Frankfurt"/>
    <s v="Enterprise"/>
    <s v="Direct"/>
    <s v="Direct"/>
    <s v="A. Patel"/>
    <s v="A. Patel"/>
    <x v="0"/>
    <s v="Low"/>
    <s v="CMP-8675"/>
    <s v="B"/>
    <n v="472.33"/>
    <n v="360.34"/>
    <n v="360.34"/>
    <n v="0.16500000000000001"/>
    <n v="0.16500000000000001"/>
    <n v="0"/>
    <n v="14"/>
    <n v="4212.3745999999992"/>
    <n v="6612.62"/>
    <n v="2400.2454000000007"/>
    <n v="0.56980815523861561"/>
    <n v="9757790.4127800111"/>
    <n v="0.89146695694465639"/>
    <n v="0.16500000000000001"/>
    <n v="18.2"/>
    <n v="519.56299999999999"/>
    <n v="5476.0869799999991"/>
  </r>
  <r>
    <s v="ORD-2023-864121"/>
    <d v="2023-03-27T00:00:00"/>
    <d v="2023-03-27T00:00:00"/>
    <d v="2023-04-22T00:00:00"/>
    <d v="2023-04-22T00:00:00"/>
    <n v="26"/>
    <n v="1"/>
    <s v="03-2023"/>
    <s v="Q1-2023"/>
    <d v="2023-01-29T00:00:00"/>
    <s v="01-2023"/>
    <s v="Asia"/>
    <s v="India"/>
    <s v="Delhi"/>
    <s v="Delhi"/>
    <s v="Non-Profit"/>
    <s v="Marketplace"/>
    <s v="Marketplace"/>
    <s v="J. Njeri"/>
    <s v="J. Njeri"/>
    <x v="5"/>
    <s v="Low"/>
    <s v="PRN-4506"/>
    <s v="B"/>
    <n v="178.53"/>
    <n v="199.37"/>
    <n v="199.37"/>
    <n v="0.10100000000000001"/>
    <n v="0.10100000000000001"/>
    <n v="0"/>
    <n v="37"/>
    <n v="6631.6443100000006"/>
    <n v="6605.61"/>
    <n v="26.034310000000914"/>
    <n v="3.9257699573457538E-3"/>
    <n v="9764422.0570900105"/>
    <n v="0.89207282072349225"/>
    <n v="0.10100000000000001"/>
    <n v="48.1"/>
    <n v="196.38300000000001"/>
    <n v="8621.137603000001"/>
  </r>
  <r>
    <s v="ORD-2024-381197"/>
    <d v="2024-11-01T00:00:00"/>
    <d v="2024-11-01T00:00:00"/>
    <d v="2024-11-12T00:00:00"/>
    <d v="2024-11-12T00:00:00"/>
    <n v="11"/>
    <n v="1"/>
    <s v="11-2024"/>
    <s v="Q4-2024"/>
    <d v="2023-01-21T00:00:00"/>
    <s v="01-2023"/>
    <s v="Europe"/>
    <s v="Germany"/>
    <s v="Frankfurt"/>
    <s v="Frankfurt"/>
    <s v="Consumer"/>
    <s v="Online"/>
    <s v="Online"/>
    <s v="B. Chen"/>
    <s v="B. Chen"/>
    <x v="5"/>
    <s v="Medium"/>
    <s v="PRN-2409"/>
    <s v="B"/>
    <n v="599.84"/>
    <n v="1330.85"/>
    <n v="1330.85"/>
    <n v="0.115"/>
    <n v="0.115"/>
    <n v="0"/>
    <n v="11"/>
    <n v="12955.824749999998"/>
    <n v="6598.2400000000007"/>
    <n v="6357.5847499999973"/>
    <n v="0.49071246892252063"/>
    <n v="9777377.8818400111"/>
    <n v="0.89325645853246427"/>
    <n v="0.115"/>
    <n v="14.3"/>
    <n v="659.82400000000007"/>
    <n v="16842.572174999998"/>
  </r>
  <r>
    <s v="ORD-2023-596758"/>
    <d v="2023-12-07T00:00:00"/>
    <d v="2023-12-05T00:00:00"/>
    <d v="2023-12-05T00:00:00"/>
    <d v="2023-12-07T00:00:00"/>
    <n v="2"/>
    <n v="1"/>
    <s v="12-2023"/>
    <s v="Q4-2023"/>
    <d v="2023-03-03T00:00:00"/>
    <s v="03-2023"/>
    <s v="Asia"/>
    <s v="Japan"/>
    <s v="Tokyo"/>
    <s v="Tokyo"/>
    <s v="Non-Profit"/>
    <s v="Marketplace"/>
    <s v="Marketplace"/>
    <s v="H. Kim"/>
    <s v="H. Kim"/>
    <x v="5"/>
    <s v="Medium"/>
    <s v="PRN-8175"/>
    <s v="B"/>
    <n v="1097.5899999999999"/>
    <n v="845.55"/>
    <n v="845.55"/>
    <n v="0.184"/>
    <n v="0.184"/>
    <n v="0"/>
    <n v="6"/>
    <n v="4139.8127999999997"/>
    <n v="6585.5399999999991"/>
    <n v="2445.7271999999994"/>
    <n v="0.59078207594314402"/>
    <n v="9781517.6946400106"/>
    <n v="0.89363466980397332"/>
    <n v="0.184"/>
    <n v="7.8000000000000007"/>
    <n v="1207.3489999999999"/>
    <n v="5381.7566400000005"/>
  </r>
  <r>
    <s v="ORD-2025-588029"/>
    <d v="2025-09-14T00:00:00"/>
    <d v="2025-09-14T00:00:00"/>
    <d v="2025-09-23T00:00:00"/>
    <d v="2025-09-23T00:00:00"/>
    <n v="9"/>
    <n v="1"/>
    <s v="09-2025"/>
    <s v="Q3-2025"/>
    <d v="2023-01-07T00:00:00"/>
    <s v="01-2023"/>
    <s v="Africa"/>
    <s v="South Africa"/>
    <s v="Durban"/>
    <s v="Durban"/>
    <s v="Non-Profit"/>
    <s v="Online"/>
    <s v="Online"/>
    <s v="D. Smith"/>
    <s v="D. Smith"/>
    <x v="0"/>
    <s v="High"/>
    <s v="CMP-6898"/>
    <s v="B"/>
    <n v="1310.3"/>
    <n v="2875.8"/>
    <n v="2875.8"/>
    <n v="8.3000000000000004E-2"/>
    <n v="8.3000000000000004E-2"/>
    <n v="0"/>
    <n v="5"/>
    <n v="13185.543"/>
    <n v="6551.5"/>
    <n v="6634.0429999999997"/>
    <n v="0.50313005691157353"/>
    <n v="9794703.2376400102"/>
    <n v="0.89483929455984812"/>
    <n v="8.3000000000000004E-2"/>
    <n v="6.5"/>
    <n v="1441.3300000000002"/>
    <n v="17141.205900000001"/>
  </r>
  <r>
    <s v="ORD-2024-402240"/>
    <d v="2024-05-01T00:00:00"/>
    <d v="2024-05-01T00:00:00"/>
    <d v="2024-05-26T00:00:00"/>
    <d v="2024-05-26T00:00:00"/>
    <n v="25"/>
    <n v="0"/>
    <s v="05-2024"/>
    <s v="Q2-2024"/>
    <d v="2023-01-21T00:00:00"/>
    <s v="01-2023"/>
    <s v="Europe"/>
    <s v="Germany"/>
    <s v="Berlin"/>
    <s v="Berlin"/>
    <s v="Non-Profit"/>
    <s v="Retail"/>
    <s v="Retail"/>
    <s v="B. Chen"/>
    <s v="B. Chen"/>
    <x v="4"/>
    <s v="Medium"/>
    <s v="NET-4228"/>
    <s v="B"/>
    <n v="930.71"/>
    <n v="1625.42"/>
    <n v="1625.42"/>
    <n v="0.13800000000000001"/>
    <n v="0.13800000000000001"/>
    <n v="0"/>
    <n v="7"/>
    <n v="9807.7842799999999"/>
    <n v="6514.97"/>
    <n v="3292.8142799999996"/>
    <n v="0.33573477821231196"/>
    <n v="9804511.0219200104"/>
    <n v="0.89573532893203656"/>
    <n v="0.13800000000000001"/>
    <n v="9.1"/>
    <n v="1023.7810000000002"/>
    <n v="12750.119564000001"/>
  </r>
  <r>
    <s v="ORD-2024-664046"/>
    <d v="2024-09-02T00:00:00"/>
    <d v="2024-09-02T00:00:00"/>
    <d v="2024-09-08T00:00:00"/>
    <d v="2024-09-08T00:00:00"/>
    <n v="6"/>
    <n v="0"/>
    <s v="09-2024"/>
    <s v="Q3-2024"/>
    <d v="2023-01-13T00:00:00"/>
    <s v="01-2023"/>
    <s v="Americas"/>
    <s v="USA"/>
    <s v="Austin"/>
    <s v="Austin"/>
    <s v="Consumer"/>
    <s v="Direct"/>
    <s v="Direct"/>
    <s v="H. Kim"/>
    <s v="H. Kim"/>
    <x v="0"/>
    <s v="Medium"/>
    <s v="CMP-7563"/>
    <s v="B"/>
    <n v="462.94"/>
    <n v="1015.7"/>
    <n v="1015.7"/>
    <n v="0.14299999999999999"/>
    <n v="0.14299999999999999"/>
    <n v="0"/>
    <n v="14"/>
    <n v="12186.368600000002"/>
    <n v="6481.16"/>
    <n v="5705.2086000000018"/>
    <n v="0.46816314090483041"/>
    <n v="9816697.3905200101"/>
    <n v="0.89684866960369303"/>
    <n v="0.14299999999999999"/>
    <n v="18.2"/>
    <n v="509.23400000000004"/>
    <n v="15842.279180000001"/>
  </r>
  <r>
    <s v="ORD-2025-762212"/>
    <d v="2025-08-25T00:00:00"/>
    <d v="2025-08-25T00:00:00"/>
    <d v="2025-09-24T00:00:00"/>
    <d v="2025-09-24T00:00:00"/>
    <n v="30"/>
    <n v="0"/>
    <s v="08-2025"/>
    <s v="Q3-2025"/>
    <d v="2023-01-20T00:00:00"/>
    <s v="01-2023"/>
    <s v="Africa"/>
    <s v="Kenya"/>
    <s v="Nairobi"/>
    <s v="Nairobi"/>
    <s v="Consumer"/>
    <s v="Direct"/>
    <s v="Direct"/>
    <s v="B. Chen"/>
    <s v="B. Chen"/>
    <x v="0"/>
    <s v="Medium"/>
    <s v="CMP-4970"/>
    <s v="B"/>
    <n v="589.14"/>
    <n v="1300.58"/>
    <n v="1300.58"/>
    <n v="5.5E-2"/>
    <n v="5.5E-2"/>
    <n v="0"/>
    <n v="11"/>
    <n v="13519.529099999998"/>
    <n v="6480.54"/>
    <n v="7038.989099999998"/>
    <n v="0.52065342275863724"/>
    <n v="9830216.919620011"/>
    <n v="0.89808380716622127"/>
    <n v="5.5E-2"/>
    <n v="14.3"/>
    <n v="648.05400000000009"/>
    <n v="17575.38783"/>
  </r>
  <r>
    <s v="ORD-2023-455933"/>
    <d v="2023-11-19T00:00:00"/>
    <d v="2023-11-19T00:00:00"/>
    <d v="2023-12-19T00:00:00"/>
    <d v="2023-12-19T00:00:00"/>
    <n v="30"/>
    <n v="0"/>
    <s v="11-2023"/>
    <s v="Q4-2023"/>
    <d v="2023-03-03T00:00:00"/>
    <s v="03-2023"/>
    <s v="Asia"/>
    <s v="Japan"/>
    <s v="Nagoya"/>
    <s v="Nagoya"/>
    <s v="Consumer"/>
    <s v="Retail"/>
    <s v="Retail"/>
    <m/>
    <s v="K. Singh"/>
    <x v="6"/>
    <s v="High"/>
    <s v="PHN-9184"/>
    <s v="B"/>
    <n v="807.11"/>
    <n v="1853.86"/>
    <n v="1853.86"/>
    <n v="0.13900000000000001"/>
    <n v="0.13900000000000001"/>
    <n v="0"/>
    <n v="8"/>
    <n v="12769.38768"/>
    <n v="6456.88"/>
    <n v="6312.5076799999997"/>
    <n v="0.49434693645388639"/>
    <n v="9842986.3073000107"/>
    <n v="0.89925041217571466"/>
    <n v="0.13900000000000001"/>
    <n v="10.4"/>
    <n v="887.82100000000014"/>
    <n v="16600.203984"/>
  </r>
  <r>
    <s v="ORD-2024-629525"/>
    <d v="2024-04-18T00:00:00"/>
    <d v="2024-04-18T00:00:00"/>
    <d v="2024-05-08T00:00:00"/>
    <d v="2024-05-08T00:00:00"/>
    <n v="20"/>
    <n v="0"/>
    <s v="04-2024"/>
    <s v="Q2-2024"/>
    <d v="2023-01-19T00:00:00"/>
    <s v="01-2023"/>
    <s v="Europe"/>
    <s v="United Kingdom"/>
    <s v="London"/>
    <s v="London"/>
    <s v="Non-Profit"/>
    <m/>
    <s v="Marketplace"/>
    <s v="D. Smith"/>
    <s v="D. Smith"/>
    <x v="3"/>
    <s v="Medium"/>
    <s v="LAP-9932"/>
    <s v="B"/>
    <n v="645.33000000000004"/>
    <n v="1321.85"/>
    <n v="1321.85"/>
    <n v="0"/>
    <n v="0"/>
    <n v="0"/>
    <n v="10"/>
    <n v="13218.5"/>
    <n v="6453.3"/>
    <n v="6765.2"/>
    <n v="0.51179785906116426"/>
    <n v="9856204.8073000107"/>
    <n v="0.90045804786698125"/>
    <n v="0"/>
    <n v="13"/>
    <n v="709.86300000000006"/>
    <n v="17184.05"/>
  </r>
  <r>
    <s v="ORD-2023-453699"/>
    <d v="2023-07-01T00:00:00"/>
    <d v="2023-07-01T00:00:00"/>
    <d v="2023-07-08T00:00:00"/>
    <d v="2023-07-08T00:00:00"/>
    <n v="7"/>
    <n v="1"/>
    <s v="07-2023"/>
    <s v="Q3-2023"/>
    <d v="2023-01-21T00:00:00"/>
    <s v="01-2023"/>
    <s v="Europe"/>
    <s v="Germany"/>
    <s v="Frankfurt"/>
    <s v="Frankfurt"/>
    <s v="Small Business"/>
    <s v="Distributor"/>
    <s v="Distributor"/>
    <s v="N. Brown"/>
    <s v="N. Brown"/>
    <x v="3"/>
    <s v="Medium"/>
    <s v="LAP-4666"/>
    <s v="B"/>
    <n v="460.21"/>
    <n v="1139.1500000000001"/>
    <n v="1139.1500000000001"/>
    <n v="0.115"/>
    <n v="0.115"/>
    <n v="0"/>
    <n v="14"/>
    <n v="14114.068500000001"/>
    <n v="6442.94"/>
    <n v="7671.1285000000016"/>
    <n v="0.54350937151821255"/>
    <n v="9870318.8758000098"/>
    <n v="0.90174750225814382"/>
    <n v="0.115"/>
    <n v="18.2"/>
    <n v="506.23099999999999"/>
    <n v="18348.289050000003"/>
  </r>
  <r>
    <s v="ORD-2023-374486"/>
    <d v="2023-06-24T00:00:00"/>
    <d v="2023-06-23T00:00:00"/>
    <d v="2023-06-23T00:00:00"/>
    <d v="2023-06-24T00:00:00"/>
    <n v="1"/>
    <n v="0"/>
    <s v="06-2023"/>
    <s v="Q2-2023"/>
    <d v="2023-01-29T00:00:00"/>
    <s v="01-2023"/>
    <s v="Americas"/>
    <s v="Brazil"/>
    <s v="Rio de Janeiro"/>
    <s v="Rio de Janeiro"/>
    <s v="Non-Profit"/>
    <s v="Retail"/>
    <s v="Retail"/>
    <s v="E. Garcia"/>
    <s v="E. Garcia"/>
    <x v="5"/>
    <s v="Medium"/>
    <s v="PRN-6490"/>
    <s v="B"/>
    <n v="804.01"/>
    <n v="1405.07"/>
    <n v="1405.07"/>
    <n v="9.6000000000000002E-2"/>
    <n v="9.6000000000000002E-2"/>
    <n v="0"/>
    <n v="8"/>
    <n v="10161.46624"/>
    <n v="6432.08"/>
    <n v="3729.3862399999998"/>
    <n v="0.36701260939287439"/>
    <n v="9880480.3420400098"/>
    <n v="0.90267584884111662"/>
    <n v="9.6000000000000002E-2"/>
    <n v="10.4"/>
    <n v="884.41100000000006"/>
    <n v="13209.906111999999"/>
  </r>
  <r>
    <s v="ORD-2023-363031"/>
    <d v="2023-05-06T00:00:00"/>
    <d v="2023-05-06T00:00:00"/>
    <d v="2023-05-14T00:00:00"/>
    <d v="2023-05-14T00:00:00"/>
    <n v="8"/>
    <n v="0"/>
    <s v="05-2023"/>
    <s v="Q2-2023"/>
    <d v="2023-03-03T00:00:00"/>
    <s v="03-2023"/>
    <s v="Asia"/>
    <s v="Japan"/>
    <s v="Osaka"/>
    <s v="Osaka"/>
    <s v="Enterprise"/>
    <s v="Marketplace"/>
    <s v="Marketplace"/>
    <s v="B. Chen"/>
    <s v="B. Chen"/>
    <x v="6"/>
    <s v="Low"/>
    <s v="PHN-6131"/>
    <s v="B"/>
    <n v="291.18"/>
    <n v="479.54"/>
    <n v="479.54"/>
    <n v="0.14099999999999999"/>
    <n v="0.14099999999999999"/>
    <n v="0"/>
    <n v="22"/>
    <n v="9062.34692"/>
    <n v="6405.96"/>
    <n v="2656.3869199999999"/>
    <n v="0.29312350801066001"/>
    <n v="9889542.6889600102"/>
    <n v="0.90350378042088986"/>
    <n v="0.14099999999999999"/>
    <n v="28.6"/>
    <n v="320.29800000000006"/>
    <n v="11781.050996"/>
  </r>
  <r>
    <s v="ORD-2024-687073"/>
    <d v="2024-03-11T00:00:00"/>
    <d v="2024-03-11T00:00:00"/>
    <d v="2024-03-29T00:00:00"/>
    <d v="2024-03-29T00:00:00"/>
    <n v="18"/>
    <n v="0"/>
    <s v="03-2024"/>
    <s v="Q1-2024"/>
    <d v="2023-01-13T00:00:00"/>
    <s v="01-2023"/>
    <s v="Americas"/>
    <s v="USA"/>
    <s v="New York"/>
    <s v="New York"/>
    <s v="Corporate"/>
    <s v="Retail"/>
    <s v="Retail"/>
    <s v="M. Rossi"/>
    <s v="M. Rossi"/>
    <x v="2"/>
    <s v="Medium"/>
    <s v="MON-7099"/>
    <s v="B"/>
    <n v="710.98"/>
    <n v="1481.45"/>
    <n v="1481.45"/>
    <n v="0.21099999999999999"/>
    <n v="0.21099999999999999"/>
    <n v="1"/>
    <n v="9"/>
    <n v="10519.776450000001"/>
    <n v="6398.82"/>
    <n v="4120.9564500000015"/>
    <n v="0.39173422264120461"/>
    <n v="9900062.4654100109"/>
    <n v="0.9044648620493021"/>
    <n v="0.2"/>
    <n v="11.700000000000001"/>
    <n v="782.07800000000009"/>
    <n v="13866.372000000003"/>
  </r>
  <r>
    <s v="ORD-2023-132101"/>
    <d v="2023-09-25T00:00:00"/>
    <d v="2023-09-25T00:00:00"/>
    <d v="2023-10-09T00:00:00"/>
    <d v="2023-10-09T00:00:00"/>
    <n v="14"/>
    <n v="0"/>
    <s v="09-2023"/>
    <s v="Q3-2023"/>
    <d v="2023-01-13T00:00:00"/>
    <s v="01-2023"/>
    <s v="Americas"/>
    <s v="USA"/>
    <s v="New York"/>
    <s v="New York"/>
    <s v="Small Business"/>
    <s v="Marketplace"/>
    <s v="Marketplace"/>
    <s v="J. Njeri"/>
    <s v="J. Njeri"/>
    <x v="3"/>
    <s v="High"/>
    <s v="LAP-6750"/>
    <s v="B"/>
    <n v="1279.56"/>
    <n v="3083.8"/>
    <n v="3083.8"/>
    <n v="0.106"/>
    <n v="0.106"/>
    <n v="0"/>
    <n v="5"/>
    <n v="13784.586000000001"/>
    <n v="6397.7999999999993"/>
    <n v="7386.7860000000019"/>
    <n v="0.53587289455047848"/>
    <n v="9913847.0514100101"/>
    <n v="0.90572421508050338"/>
    <n v="0.106"/>
    <n v="6.5"/>
    <n v="1407.5160000000001"/>
    <n v="17919.961800000001"/>
  </r>
  <r>
    <s v="ORD-2024-892879"/>
    <d v="2024-07-09T00:00:00"/>
    <d v="2024-07-09T00:00:00"/>
    <d v="2024-08-08T00:00:00"/>
    <d v="2024-08-08T00:00:00"/>
    <n v="30"/>
    <n v="1"/>
    <s v="07-2024"/>
    <s v="Q3-2024"/>
    <d v="2023-01-10T00:00:00"/>
    <s v="01-2023"/>
    <s v="Europe"/>
    <s v="France"/>
    <s v="Marseille"/>
    <s v="Marseille"/>
    <s v="Corporate"/>
    <s v="Direct"/>
    <s v="Direct"/>
    <s v="J. Njeri"/>
    <s v="J. Njeri"/>
    <x v="0"/>
    <s v="Medium"/>
    <s v="CMP-5825"/>
    <s v="B"/>
    <n v="1062.3800000000001"/>
    <n v="1503.96"/>
    <n v="1503.96"/>
    <n v="0.18"/>
    <n v="0.18"/>
    <n v="0"/>
    <n v="6"/>
    <n v="7399.4832000000006"/>
    <n v="6374.2800000000007"/>
    <n v="1025.2031999999999"/>
    <n v="0.13855064905073369"/>
    <n v="9921246.5346100107"/>
    <n v="0.90640022824457256"/>
    <n v="0.18"/>
    <n v="7.8000000000000007"/>
    <n v="1168.6180000000002"/>
    <n v="9619.3281600000009"/>
  </r>
  <r>
    <s v="ORD-2023-240507"/>
    <d v="2023-03-25T00:00:00"/>
    <d v="2023-03-25T00:00:00"/>
    <d v="2023-03-26T00:00:00"/>
    <d v="2023-03-26T00:00:00"/>
    <n v="1"/>
    <n v="1"/>
    <s v="03-2023"/>
    <s v="Q1-2023"/>
    <d v="2023-03-03T00:00:00"/>
    <s v="03-2023"/>
    <s v="Asia"/>
    <s v="Japan"/>
    <s v="Osaka"/>
    <s v="Osaka"/>
    <s v="Small Business"/>
    <s v="Distributor"/>
    <s v="Distributor"/>
    <s v="I. Johnson"/>
    <s v="I. Johnson"/>
    <x v="2"/>
    <s v="Low"/>
    <s v="MON-9227"/>
    <s v="B"/>
    <n v="135.12"/>
    <n v="301.7"/>
    <n v="301.7"/>
    <n v="0.14000000000000001"/>
    <n v="0.14000000000000001"/>
    <n v="0"/>
    <n v="47"/>
    <n v="12194.714"/>
    <n v="6350.64"/>
    <n v="5844.0739999999996"/>
    <n v="0.47923009920527859"/>
    <n v="9933441.2486100104"/>
    <n v="0.90751433134788906"/>
    <n v="0.14000000000000001"/>
    <n v="61.1"/>
    <n v="148.63200000000001"/>
    <n v="15853.128199999999"/>
  </r>
  <r>
    <s v="ORD-2023-825495"/>
    <d v="2023-11-30T00:00:00"/>
    <d v="2023-11-29T00:00:00"/>
    <d v="2023-11-29T00:00:00"/>
    <d v="2023-11-30T00:00:00"/>
    <n v="1"/>
    <n v="1"/>
    <s v="11-2023"/>
    <s v="Q4-2023"/>
    <d v="2023-01-07T00:00:00"/>
    <s v="01-2023"/>
    <s v="Africa"/>
    <s v="South Africa"/>
    <s v="Durban"/>
    <s v="Durban"/>
    <s v="Small Business"/>
    <s v="Marketplace"/>
    <s v="Marketplace"/>
    <s v="E. Garcia"/>
    <s v="E. Garcia"/>
    <x v="3"/>
    <s v="Low"/>
    <s v="LAP-1525"/>
    <s v="B"/>
    <n v="275.56"/>
    <n v="630.72"/>
    <n v="630.72"/>
    <n v="0.107"/>
    <n v="0.107"/>
    <n v="0"/>
    <n v="23"/>
    <n v="12954.358080000002"/>
    <n v="6337.88"/>
    <n v="6616.4780800000017"/>
    <n v="0.5107530638831933"/>
    <n v="9946395.6066900101"/>
    <n v="0.9086978351626076"/>
    <n v="0.107"/>
    <n v="29.900000000000002"/>
    <n v="303.11600000000004"/>
    <n v="16840.665504000001"/>
  </r>
  <r>
    <s v="ORD-2024-947056"/>
    <d v="2024-07-31T00:00:00"/>
    <d v="2024-07-31T00:00:00"/>
    <d v="2024-08-15T00:00:00"/>
    <d v="2024-08-15T00:00:00"/>
    <n v="15"/>
    <n v="1"/>
    <s v="07-2024"/>
    <s v="Q3-2024"/>
    <d v="2023-03-03T00:00:00"/>
    <s v="03-2023"/>
    <s v="Asia"/>
    <s v="Japan"/>
    <s v="Tokyo"/>
    <s v="Tokyo"/>
    <s v="Corporate"/>
    <s v="Marketplace"/>
    <s v="Marketplace"/>
    <s v="F. Müller"/>
    <s v="F. Müller"/>
    <x v="2"/>
    <s v="Medium"/>
    <s v="MON-1564"/>
    <s v="B"/>
    <n v="1252.52"/>
    <n v="1417.24"/>
    <n v="1417.24"/>
    <n v="0.192"/>
    <n v="0.192"/>
    <n v="0"/>
    <n v="5"/>
    <n v="5725.6496000000006"/>
    <n v="6262.6"/>
    <n v="536.95039999999972"/>
    <n v="9.3779821943696953E-2"/>
    <n v="9952121.2562900092"/>
    <n v="0.90922092770810414"/>
    <n v="0.192"/>
    <n v="6.5"/>
    <n v="1377.7720000000002"/>
    <n v="7443.3444799999997"/>
  </r>
  <r>
    <s v="ORD-2025-281062"/>
    <d v="2025-02-15T00:00:00"/>
    <d v="2025-02-15T00:00:00"/>
    <d v="2025-02-27T00:00:00"/>
    <d v="2025-02-27T00:00:00"/>
    <n v="12"/>
    <n v="1"/>
    <s v="02-2025"/>
    <s v="Q1-2025"/>
    <d v="2023-01-10T00:00:00"/>
    <s v="01-2023"/>
    <s v="Europe"/>
    <s v="France"/>
    <s v="Lyon"/>
    <s v="Lyon"/>
    <s v="Non-Profit"/>
    <s v="Direct"/>
    <s v="Direct"/>
    <s v="K. Singh"/>
    <s v="K. Singh"/>
    <x v="1"/>
    <s v="High"/>
    <s v="ACC-1604"/>
    <s v="B"/>
    <n v="1027.26"/>
    <n v="2200.41"/>
    <n v="2200.41"/>
    <n v="8.7999999999999995E-2"/>
    <n v="8.7999999999999995E-2"/>
    <n v="0"/>
    <n v="6"/>
    <n v="12040.64352"/>
    <n v="6163.5599999999995"/>
    <n v="5877.0835200000001"/>
    <n v="0.48810377204822358"/>
    <n v="9964161.8998100087"/>
    <n v="0.91032095500776522"/>
    <n v="8.7999999999999995E-2"/>
    <n v="7.8000000000000007"/>
    <n v="1129.9860000000001"/>
    <n v="15652.836576000002"/>
  </r>
  <r>
    <s v="ORD-2025-501927"/>
    <d v="2025-03-03T00:00:00"/>
    <d v="2025-03-03T00:00:00"/>
    <d v="2025-03-24T00:00:00"/>
    <d v="2025-03-24T00:00:00"/>
    <n v="21"/>
    <n v="0"/>
    <s v="03-2025"/>
    <s v="Q1-2025"/>
    <d v="2023-01-13T00:00:00"/>
    <s v="01-2023"/>
    <s v="Africa"/>
    <s v="Nigeria"/>
    <s v="Abuja"/>
    <s v="Abuja"/>
    <s v="Enterprise"/>
    <s v="Direct"/>
    <s v="Direct"/>
    <s v="H. Kim"/>
    <s v="H. Kim"/>
    <x v="1"/>
    <s v="Low"/>
    <s v="ACC-4056"/>
    <s v="B"/>
    <n v="555.95000000000005"/>
    <n v="468.09"/>
    <n v="468.09"/>
    <n v="0.14199999999999999"/>
    <n v="0.14199999999999999"/>
    <n v="0"/>
    <n v="11"/>
    <n v="4417.8334199999999"/>
    <n v="6115.4500000000007"/>
    <n v="1697.6165800000008"/>
    <n v="0.38426450674095375"/>
    <n v="9968579.7332300078"/>
    <n v="0.91072456610706254"/>
    <n v="0.14199999999999999"/>
    <n v="14.3"/>
    <n v="611.54500000000007"/>
    <n v="5743.183446"/>
  </r>
  <r>
    <s v="ORD-2025-718992"/>
    <d v="2025-06-24T00:00:00"/>
    <d v="2025-06-24T00:00:00"/>
    <d v="2025-07-10T00:00:00"/>
    <d v="2025-07-10T00:00:00"/>
    <n v="16"/>
    <n v="0"/>
    <s v="06-2025"/>
    <s v="Q2-2025"/>
    <d v="2023-01-12T00:00:00"/>
    <s v="01-2023"/>
    <s v="Asia"/>
    <s v="China"/>
    <s v="Shanghai"/>
    <s v="Shanghai"/>
    <s v="Enterprise"/>
    <s v="Direct"/>
    <s v="Direct"/>
    <s v="N. Brown"/>
    <s v="N. Brown"/>
    <x v="0"/>
    <s v="High"/>
    <s v="CMP-8390"/>
    <s v="B"/>
    <n v="757.19"/>
    <n v="1735.41"/>
    <n v="1735.41"/>
    <n v="0.13600000000000001"/>
    <n v="0.13600000000000001"/>
    <n v="0"/>
    <n v="8"/>
    <n v="11995.153920000001"/>
    <n v="6057.52"/>
    <n v="5937.6339200000002"/>
    <n v="0.4950027285685718"/>
    <n v="9980574.8871500082"/>
    <n v="0.91182043749912889"/>
    <n v="0.13600000000000001"/>
    <n v="10.4"/>
    <n v="832.90900000000011"/>
    <n v="15593.700096000002"/>
  </r>
  <r>
    <s v="ORD-2025-725646"/>
    <d v="2025-09-10T00:00:00"/>
    <d v="2025-09-10T00:00:00"/>
    <d v="2025-09-30T00:00:00"/>
    <d v="2025-09-30T00:00:00"/>
    <n v="20"/>
    <n v="0"/>
    <s v="09-2025"/>
    <s v="Q3-2025"/>
    <d v="2023-01-20T00:00:00"/>
    <s v="01-2023"/>
    <s v="Africa"/>
    <s v="Kenya"/>
    <s v="Mombasa"/>
    <s v="Mombasa"/>
    <s v="Corporate"/>
    <s v="Direct"/>
    <s v="Direct"/>
    <s v="L. Okafor"/>
    <s v="L. Okafor"/>
    <x v="6"/>
    <s v="Medium"/>
    <s v="PHN-6954"/>
    <s v="B"/>
    <n v="1009.48"/>
    <n v="1088.81"/>
    <n v="1088.81"/>
    <n v="0.16"/>
    <n v="0.16"/>
    <n v="0"/>
    <n v="6"/>
    <n v="5487.6023999999998"/>
    <n v="6056.88"/>
    <n v="569.27760000000035"/>
    <n v="0.10373885688219693"/>
    <n v="9986062.4895500075"/>
    <n v="0.91232178216892656"/>
    <n v="0.16"/>
    <n v="7.8000000000000007"/>
    <n v="1110.4280000000001"/>
    <n v="7133.8831200000004"/>
  </r>
  <r>
    <s v="ORD-2024-834983"/>
    <d v="2024-03-16T00:00:00"/>
    <d v="2024-03-16T00:00:00"/>
    <d v="2024-04-13T00:00:00"/>
    <d v="2024-04-13T00:00:00"/>
    <n v="28"/>
    <n v="0"/>
    <s v="03-2024"/>
    <s v="Q1-2024"/>
    <d v="2023-01-10T00:00:00"/>
    <s v="01-2023"/>
    <s v="Europe"/>
    <s v="France"/>
    <s v="Paris"/>
    <s v="Paris"/>
    <s v="Small Business"/>
    <s v="Online"/>
    <s v="Online"/>
    <s v="K. Singh"/>
    <s v="K. Singh"/>
    <x v="5"/>
    <s v="Low"/>
    <s v="PRN-8758"/>
    <s v="B"/>
    <n v="287.61"/>
    <n v="628.54"/>
    <n v="628.54"/>
    <n v="0.13500000000000001"/>
    <n v="0.13500000000000001"/>
    <n v="0"/>
    <n v="21"/>
    <n v="11417.429099999999"/>
    <n v="6039.81"/>
    <n v="5377.619099999999"/>
    <n v="0.47100087531964613"/>
    <n v="9997479.9186500069"/>
    <n v="0.91336487290415869"/>
    <n v="0.13500000000000001"/>
    <n v="27.3"/>
    <n v="316.37100000000004"/>
    <n v="14842.65783"/>
  </r>
  <r>
    <s v="ORD-2025-662997"/>
    <d v="2025-03-31T00:00:00"/>
    <d v="2025-03-31T00:00:00"/>
    <d v="2025-04-04T00:00:00"/>
    <d v="2025-04-04T00:00:00"/>
    <n v="4"/>
    <n v="1"/>
    <s v="03-2025"/>
    <s v="Q1-2025"/>
    <d v="2023-01-20T00:00:00"/>
    <s v="01-2023"/>
    <s v="Africa"/>
    <s v="Kenya"/>
    <s v="Nakuru"/>
    <s v="Nakuru"/>
    <s v="Corporate"/>
    <s v="Direct"/>
    <s v="Direct"/>
    <s v="C. Otieno"/>
    <s v="C. Otieno"/>
    <x v="3"/>
    <s v="High"/>
    <s v="LAP-7136"/>
    <s v="B"/>
    <n v="862.08"/>
    <n v="1952.83"/>
    <n v="1952.83"/>
    <n v="0"/>
    <n v="0"/>
    <n v="0"/>
    <n v="7"/>
    <n v="13669.81"/>
    <n v="6034.56"/>
    <n v="7635.2499999999991"/>
    <n v="0.5585483631447693"/>
    <n v="10011149.728650007"/>
    <n v="0.91461374005616802"/>
    <n v="0"/>
    <n v="9.1"/>
    <n v="948.28800000000012"/>
    <n v="17770.752999999997"/>
  </r>
  <r>
    <s v="ORD-2024-215294"/>
    <d v="2024-06-30T00:00:00"/>
    <d v="2024-06-30T00:00:00"/>
    <d v="2024-07-14T00:00:00"/>
    <d v="2024-07-14T00:00:00"/>
    <n v="14"/>
    <n v="0"/>
    <s v="06-2024"/>
    <s v="Q2-2024"/>
    <d v="2023-01-29T00:00:00"/>
    <s v="01-2023"/>
    <s v="Americas"/>
    <s v="Brazil"/>
    <s v="Brasília"/>
    <s v="Brasília"/>
    <s v="Education"/>
    <s v="Retail"/>
    <s v="Retail"/>
    <s v="C. Otieno"/>
    <s v="C. Otieno"/>
    <x v="1"/>
    <s v="High"/>
    <s v="ACC-8683"/>
    <s v="B"/>
    <n v="1491.85"/>
    <n v="2583.02"/>
    <n v="2583.02"/>
    <n v="0.16800000000000001"/>
    <n v="0.16800000000000001"/>
    <n v="0"/>
    <n v="4"/>
    <n v="8596.2905599999995"/>
    <n v="5967.4"/>
    <n v="2628.8905599999998"/>
    <n v="0.30581685689321325"/>
    <n v="10019746.019210007"/>
    <n v="0.91539909295496547"/>
    <n v="0.16800000000000001"/>
    <n v="5.2"/>
    <n v="1641.0350000000001"/>
    <n v="11175.177727999999"/>
  </r>
  <r>
    <s v="ORD-2023-181257"/>
    <d v="2023-11-15T00:00:00"/>
    <d v="2023-11-15T00:00:00"/>
    <d v="2023-12-06T00:00:00"/>
    <d v="2023-12-06T00:00:00"/>
    <n v="21"/>
    <n v="1"/>
    <s v="11-2023"/>
    <s v="Q4-2023"/>
    <d v="2023-01-19T00:00:00"/>
    <s v="01-2023"/>
    <s v="Europe"/>
    <s v="United Kingdom"/>
    <s v="Manchester"/>
    <s v="Manchester"/>
    <s v="Education"/>
    <s v="Direct"/>
    <s v="Direct"/>
    <s v="H. Kim"/>
    <s v="H. Kim"/>
    <x v="1"/>
    <s v="Medium"/>
    <s v="ACC-1060"/>
    <s v="B"/>
    <n v="1184.99"/>
    <n v="1154.3399999999999"/>
    <n v="1154.3399999999999"/>
    <n v="2.8000000000000001E-2"/>
    <n v="2.8000000000000001E-2"/>
    <n v="0"/>
    <n v="5"/>
    <n v="5610.0923999999995"/>
    <n v="5924.95"/>
    <n v="314.85760000000028"/>
    <n v="5.6123424990290764E-2"/>
    <n v="10025356.111610007"/>
    <n v="0.91591162825122019"/>
    <n v="2.8000000000000001E-2"/>
    <n v="6.5"/>
    <n v="1303.489"/>
    <n v="7293.1201199999987"/>
  </r>
  <r>
    <s v="ORD-2024-382152"/>
    <d v="2024-12-08T00:00:00"/>
    <d v="2024-12-08T00:00:00"/>
    <d v="2024-12-08T00:00:00"/>
    <d v="2024-12-08T00:00:00"/>
    <n v="0"/>
    <n v="0"/>
    <s v="12-2024"/>
    <s v="Q4-2024"/>
    <d v="2023-01-10T00:00:00"/>
    <s v="01-2023"/>
    <s v="Europe"/>
    <s v="France"/>
    <s v="Lyon"/>
    <s v="Lyon"/>
    <s v="Enterprise"/>
    <s v="Retail"/>
    <s v="Retail"/>
    <s v="H. Kim"/>
    <s v="H. Kim"/>
    <x v="0"/>
    <s v="Low"/>
    <s v="CMP-2335"/>
    <s v="B"/>
    <n v="257.44"/>
    <n v="290.33"/>
    <n v="290.33"/>
    <n v="9.1999999999999998E-2"/>
    <n v="9.1999999999999998E-2"/>
    <n v="0"/>
    <n v="23"/>
    <n v="6063.2517199999993"/>
    <n v="5921.12"/>
    <n v="142.1317199999994"/>
    <n v="2.3441500792581216E-2"/>
    <n v="10031419.363330007"/>
    <n v="0.91646556396118772"/>
    <n v="9.1999999999999998E-2"/>
    <n v="29.900000000000002"/>
    <n v="283.18400000000003"/>
    <n v="7882.2272360000006"/>
  </r>
  <r>
    <s v="ORD-2023-925146"/>
    <d v="2023-10-15T00:00:00"/>
    <d v="2023-10-15T00:00:00"/>
    <d v="2023-11-13T00:00:00"/>
    <d v="2023-11-13T00:00:00"/>
    <n v="29"/>
    <n v="0"/>
    <s v="10-2023"/>
    <s v="Q4-2023"/>
    <d v="2023-01-12T00:00:00"/>
    <s v="01-2023"/>
    <s v="Asia"/>
    <s v="China"/>
    <s v="Shenzhen"/>
    <s v="Shenzhen"/>
    <s v="Non-Profit"/>
    <s v="Distributor"/>
    <s v="Distributor"/>
    <s v="J. Njeri"/>
    <s v="J. Njeri"/>
    <x v="5"/>
    <s v="Low"/>
    <s v="PRN-4983"/>
    <s v="B"/>
    <n v="986.44"/>
    <n v="790.61"/>
    <n v="790.61"/>
    <n v="7.1999999999999995E-2"/>
    <n v="7.1999999999999995E-2"/>
    <n v="0"/>
    <n v="6"/>
    <n v="4402.1164799999997"/>
    <n v="5918.64"/>
    <n v="1516.5235200000006"/>
    <n v="0.34449872621271499"/>
    <n v="10035821.479810007"/>
    <n v="0.91686773916853814"/>
    <n v="7.1999999999999995E-2"/>
    <n v="7.8000000000000007"/>
    <n v="1085.0840000000001"/>
    <n v="5722.751424000001"/>
  </r>
  <r>
    <s v="ORD-2025-480172"/>
    <d v="2025-06-17T00:00:00"/>
    <d v="2025-06-17T00:00:00"/>
    <d v="2025-07-05T00:00:00"/>
    <d v="2025-07-05T00:00:00"/>
    <n v="18"/>
    <n v="0"/>
    <s v="06-2025"/>
    <s v="Q2-2025"/>
    <d v="2023-01-29T00:00:00"/>
    <s v="01-2023"/>
    <s v="Asia"/>
    <s v="India"/>
    <s v="Delhi"/>
    <s v="Delhi"/>
    <s v="Consumer"/>
    <s v="Marketplace"/>
    <s v="Marketplace"/>
    <s v="L. Okafor"/>
    <s v="L. Okafor"/>
    <x v="3"/>
    <s v="High"/>
    <s v="LAP-1990"/>
    <s v="B"/>
    <n v="982.93"/>
    <n v="2299.3000000000002"/>
    <n v="2299.3000000000002"/>
    <n v="0.113"/>
    <n v="0.113"/>
    <n v="0"/>
    <n v="6"/>
    <n v="12236.874600000001"/>
    <n v="5897.58"/>
    <n v="6339.2946000000011"/>
    <n v="0.51804850562087157"/>
    <n v="10048058.354410008"/>
    <n v="0.91798569404363861"/>
    <n v="0.113"/>
    <n v="7.8000000000000007"/>
    <n v="1081.223"/>
    <n v="15907.936980000004"/>
  </r>
  <r>
    <s v="ORD-2025-254721"/>
    <d v="2025-05-15T00:00:00"/>
    <d v="2025-05-15T00:00:00"/>
    <d v="2025-06-05T00:00:00"/>
    <d v="2025-06-05T00:00:00"/>
    <n v="21"/>
    <n v="1"/>
    <s v="05-2025"/>
    <s v="Q2-2025"/>
    <d v="2023-03-03T00:00:00"/>
    <s v="03-2023"/>
    <s v="Asia"/>
    <s v="Japan"/>
    <s v="Osaka"/>
    <s v="Osaka"/>
    <s v="Enterprise"/>
    <s v="Direct"/>
    <s v="Direct"/>
    <s v="H. Kim"/>
    <s v="H. Kim"/>
    <x v="6"/>
    <s v="High"/>
    <s v="PHN-6480"/>
    <s v="B"/>
    <n v="1466.5"/>
    <n v="2778.74"/>
    <n v="2778.74"/>
    <n v="0.13500000000000001"/>
    <n v="0.13500000000000001"/>
    <n v="0"/>
    <n v="4"/>
    <n v="9614.4403999999995"/>
    <n v="5866"/>
    <n v="3748.4403999999995"/>
    <n v="0.38987608680792279"/>
    <n v="10057672.794810008"/>
    <n v="0.91886406461356696"/>
    <n v="0.13500000000000001"/>
    <n v="5.2"/>
    <n v="1613.15"/>
    <n v="12498.772519999999"/>
  </r>
  <r>
    <s v="ORD-2025-474710"/>
    <d v="2025-07-24T00:00:00"/>
    <d v="2025-07-24T00:00:00"/>
    <d v="2025-08-06T00:00:00"/>
    <d v="2025-08-06T00:00:00"/>
    <n v="13"/>
    <n v="1"/>
    <s v="07-2025"/>
    <s v="Q3-2025"/>
    <d v="2023-01-07T00:00:00"/>
    <s v="01-2023"/>
    <s v="Africa"/>
    <s v="South Africa"/>
    <s v="Johannesburg"/>
    <s v="Johannesburg"/>
    <s v="Education"/>
    <s v="Marketplace"/>
    <s v="Marketplace"/>
    <s v="D. Smith"/>
    <s v="D. Smith"/>
    <x v="4"/>
    <s v="High"/>
    <s v="NET-7966"/>
    <s v="B"/>
    <n v="1463.9"/>
    <n v="2633.02"/>
    <n v="2633.02"/>
    <n v="8.4000000000000005E-2"/>
    <n v="8.4000000000000005E-2"/>
    <n v="0"/>
    <n v="4"/>
    <n v="9647.3852800000004"/>
    <n v="5855.6"/>
    <n v="3791.7852800000001"/>
    <n v="0.39303761277791527"/>
    <n v="10067320.180090008"/>
    <n v="0.91974544501160971"/>
    <n v="8.4000000000000005E-2"/>
    <n v="5.2"/>
    <n v="1610.2900000000002"/>
    <n v="12541.600864"/>
  </r>
  <r>
    <s v="ORD-2023-166668"/>
    <d v="2023-10-05T00:00:00"/>
    <d v="2023-10-05T00:00:00"/>
    <d v="2023-10-31T00:00:00"/>
    <d v="2023-10-31T00:00:00"/>
    <n v="26"/>
    <n v="0"/>
    <s v="10-2023"/>
    <s v="Q4-2023"/>
    <d v="2023-01-12T00:00:00"/>
    <s v="01-2023"/>
    <s v="Asia"/>
    <s v="China"/>
    <s v="Shanghai"/>
    <s v="Shanghai"/>
    <s v="Consumer"/>
    <m/>
    <s v="Marketplace"/>
    <s v="J. Njeri"/>
    <s v="J. Njeri"/>
    <x v="5"/>
    <s v="Medium"/>
    <s v="PRN-6520"/>
    <s v="B"/>
    <n v="649.91"/>
    <n v="1360.12"/>
    <n v="1360.12"/>
    <n v="0.19400000000000001"/>
    <n v="0.19400000000000001"/>
    <n v="0"/>
    <n v="9"/>
    <n v="9866.3104799999983"/>
    <n v="5849.19"/>
    <n v="4017.1204799999987"/>
    <n v="0.40715528749506769"/>
    <n v="10077186.490570009"/>
    <n v="0.92064682630878925"/>
    <n v="0.19400000000000001"/>
    <n v="11.700000000000001"/>
    <n v="714.90100000000007"/>
    <n v="12826.203624000002"/>
  </r>
  <r>
    <s v="ORD-2023-630430"/>
    <d v="2023-08-04T00:00:00"/>
    <d v="2023-08-04T00:00:00"/>
    <d v="2023-08-24T00:00:00"/>
    <d v="2023-08-24T00:00:00"/>
    <n v="20"/>
    <n v="1"/>
    <s v="08-2023"/>
    <s v="Q3-2023"/>
    <d v="2023-01-29T00:00:00"/>
    <s v="01-2023"/>
    <s v="Americas"/>
    <s v="Brazil"/>
    <s v="Brasília"/>
    <s v="Brasília"/>
    <s v="Non-Profit"/>
    <s v="Direct"/>
    <s v="Direct"/>
    <m/>
    <s v="H. Kim"/>
    <x v="4"/>
    <s v="Medium"/>
    <s v="NET-9125"/>
    <s v="B"/>
    <n v="582.88"/>
    <n v="1044.1400000000001"/>
    <n v="1044.1400000000001"/>
    <n v="0.216"/>
    <n v="0.216"/>
    <n v="1"/>
    <n v="10"/>
    <n v="8186.057600000001"/>
    <n v="5828.8"/>
    <n v="2357.2576000000008"/>
    <n v="0.28796005539956138"/>
    <n v="10085372.54817001"/>
    <n v="0.92139470052511674"/>
    <n v="0.2"/>
    <n v="13"/>
    <n v="641.16800000000001"/>
    <n v="10859.056000000002"/>
  </r>
  <r>
    <s v="ORD-2023-253245"/>
    <d v="2023-08-03T00:00:00"/>
    <d v="2023-08-03T00:00:00"/>
    <d v="2023-08-14T00:00:00"/>
    <d v="2023-08-14T00:00:00"/>
    <n v="11"/>
    <n v="0"/>
    <s v="08-2023"/>
    <s v="Q3-2023"/>
    <d v="2023-01-29T00:00:00"/>
    <s v="01-2023"/>
    <s v="Americas"/>
    <s v="Brazil"/>
    <s v="Brasília"/>
    <s v="Brasília"/>
    <s v="Corporate"/>
    <s v="Direct"/>
    <s v="Direct"/>
    <s v="J. Njeri"/>
    <s v="J. Njeri"/>
    <x v="1"/>
    <s v="Low"/>
    <s v="ACC-3951"/>
    <s v="B"/>
    <n v="232.73"/>
    <n v="334.19"/>
    <n v="334.19"/>
    <n v="0.13400000000000001"/>
    <n v="0.13400000000000001"/>
    <n v="0"/>
    <n v="25"/>
    <n v="7235.2134999999998"/>
    <n v="5818.25"/>
    <n v="1416.9634999999998"/>
    <n v="0.1958426658729559"/>
    <n v="10092607.76167001"/>
    <n v="0.9220557060897826"/>
    <n v="0.13400000000000001"/>
    <n v="32.5"/>
    <n v="256.00299999999999"/>
    <n v="9405.7775499999989"/>
  </r>
  <r>
    <s v="ORD-2023-722117"/>
    <d v="2023-09-18T00:00:00"/>
    <d v="2023-09-18T00:00:00"/>
    <d v="2023-10-08T00:00:00"/>
    <d v="2023-10-08T00:00:00"/>
    <n v="20"/>
    <n v="1"/>
    <s v="09-2023"/>
    <s v="Q3-2023"/>
    <d v="2023-01-29T00:00:00"/>
    <s v="01-2023"/>
    <s v="Asia"/>
    <s v="India"/>
    <s v="Delhi"/>
    <s v="Delhi"/>
    <s v="Small Business"/>
    <s v="Direct"/>
    <s v="Direct"/>
    <s v="B. Chen"/>
    <s v="B. Chen"/>
    <x v="0"/>
    <s v="Medium"/>
    <s v="CMP-1009"/>
    <s v="B"/>
    <n v="825.64"/>
    <n v="1108.43"/>
    <n v="1108.43"/>
    <n v="0.114"/>
    <n v="0.114"/>
    <n v="0"/>
    <n v="7"/>
    <n v="6874.4828600000001"/>
    <n v="5779.48"/>
    <n v="1095.0028600000005"/>
    <n v="0.15928512475773349"/>
    <n v="10099482.244530011"/>
    <n v="0.92268375547970871"/>
    <n v="0.114"/>
    <n v="9.1"/>
    <n v="908.20400000000006"/>
    <n v="8936.8277180000005"/>
  </r>
  <r>
    <s v="ORD-2025-866565"/>
    <d v="2025-05-12T00:00:00"/>
    <d v="2025-05-12T00:00:00"/>
    <d v="2025-05-26T00:00:00"/>
    <d v="2025-05-26T00:00:00"/>
    <n v="14"/>
    <n v="0"/>
    <s v="05-2025"/>
    <s v="Q2-2025"/>
    <d v="2023-01-29T00:00:00"/>
    <s v="01-2023"/>
    <s v="Asia"/>
    <s v="India"/>
    <s v="Hyderabad"/>
    <s v="Hyderabad"/>
    <s v="Corporate"/>
    <s v="Marketplace"/>
    <s v="Marketplace"/>
    <s v="G. Dubois"/>
    <s v="G. Dubois"/>
    <x v="5"/>
    <s v="Low"/>
    <s v="PRN-8850"/>
    <s v="B"/>
    <n v="320.12"/>
    <n v="594.41999999999996"/>
    <n v="594.41999999999996"/>
    <n v="0.104"/>
    <n v="0.104"/>
    <n v="0"/>
    <n v="18"/>
    <n v="9586.8057599999993"/>
    <n v="5762.16"/>
    <n v="3824.6457599999994"/>
    <n v="0.39894891538931104"/>
    <n v="10109069.050290011"/>
    <n v="0.92355960136245008"/>
    <n v="0.104"/>
    <n v="23.400000000000002"/>
    <n v="352.13200000000006"/>
    <n v="12462.847487999999"/>
  </r>
  <r>
    <s v="ORD-2024-604471"/>
    <d v="2024-01-21T00:00:00"/>
    <d v="2024-01-21T00:00:00"/>
    <d v="2024-01-25T00:00:00"/>
    <d v="2024-01-25T00:00:00"/>
    <n v="4"/>
    <n v="0"/>
    <s v="01-2024"/>
    <s v="Q1-2024"/>
    <d v="2023-01-29T00:00:00"/>
    <s v="01-2023"/>
    <s v="Asia"/>
    <s v="India"/>
    <s v="Delhi"/>
    <s v="Delhi"/>
    <s v="Consumer"/>
    <s v="Direct"/>
    <s v="Direct"/>
    <s v="C. Otieno"/>
    <s v="C. Otieno"/>
    <x v="2"/>
    <s v="Medium"/>
    <s v="MON-8973"/>
    <s v="B"/>
    <n v="523.70000000000005"/>
    <n v="1109.92"/>
    <n v="1109.92"/>
    <n v="0.03"/>
    <n v="0.03"/>
    <n v="0"/>
    <n v="11"/>
    <n v="11842.8464"/>
    <n v="5760.7000000000007"/>
    <n v="6082.1463999999996"/>
    <n v="0.51357133197302973"/>
    <n v="10120911.896690011"/>
    <n v="0.92464155801402392"/>
    <n v="0.03"/>
    <n v="14.3"/>
    <n v="576.07000000000005"/>
    <n v="15395.700320000002"/>
  </r>
  <r>
    <s v="ORD-2025-168148"/>
    <d v="2025-03-29T00:00:00"/>
    <d v="2025-03-29T00:00:00"/>
    <d v="2025-04-02T00:00:00"/>
    <d v="2025-04-02T00:00:00"/>
    <n v="4"/>
    <n v="0"/>
    <s v="03-2025"/>
    <s v="Q1-2025"/>
    <d v="2023-01-13T00:00:00"/>
    <s v="01-2023"/>
    <s v="Africa"/>
    <s v="Nigeria"/>
    <s v="Lagos"/>
    <s v="Lagos"/>
    <s v="Non-Profit"/>
    <s v="Marketplace"/>
    <s v="Marketplace"/>
    <s v="G. Dubois"/>
    <s v="G. Dubois"/>
    <x v="6"/>
    <s v="Low"/>
    <s v="PHN-4556"/>
    <s v="B"/>
    <n v="259.93"/>
    <n v="255.94"/>
    <n v="255.94"/>
    <n v="7.1999999999999995E-2"/>
    <n v="7.1999999999999995E-2"/>
    <n v="0"/>
    <n v="22"/>
    <n v="5225.2710400000005"/>
    <n v="5718.46"/>
    <n v="493.1889599999995"/>
    <n v="9.4385335463861311E-2"/>
    <n v="10126137.167730011"/>
    <n v="0.92511893621914909"/>
    <n v="7.1999999999999995E-2"/>
    <n v="28.6"/>
    <n v="285.92300000000006"/>
    <n v="6792.8523520000008"/>
  </r>
  <r>
    <s v="ORD-2023-960380"/>
    <d v="2023-02-11T00:00:00"/>
    <d v="2023-02-11T00:00:00"/>
    <d v="2023-02-12T00:00:00"/>
    <d v="2023-02-12T00:00:00"/>
    <n v="1"/>
    <n v="0"/>
    <s v="02-2023"/>
    <s v="Q1-2023"/>
    <d v="2023-01-13T00:00:00"/>
    <s v="01-2023"/>
    <s v="Africa"/>
    <s v="Nigeria"/>
    <s v="Port Harcourt"/>
    <s v="Port Harcourt"/>
    <s v="Non-Profit"/>
    <s v="Direct"/>
    <s v="Direct"/>
    <s v="D. Smith"/>
    <s v="D. Smith"/>
    <x v="1"/>
    <s v="Medium"/>
    <s v="ACC-8242"/>
    <s v="B"/>
    <n v="944.61"/>
    <n v="839.04"/>
    <n v="839.04"/>
    <n v="5.8999999999999997E-2"/>
    <n v="5.8999999999999997E-2"/>
    <n v="0"/>
    <n v="6"/>
    <n v="4737.2198399999997"/>
    <n v="5667.66"/>
    <n v="930.44016000000011"/>
    <n v="0.19641059343363726"/>
    <n v="10130874.38757001"/>
    <n v="0.92555172630547955"/>
    <n v="5.8999999999999997E-2"/>
    <n v="7.8000000000000007"/>
    <n v="1039.0710000000001"/>
    <n v="6158.3857920000009"/>
  </r>
  <r>
    <s v="ORD-2025-705398"/>
    <d v="2025-02-17T00:00:00"/>
    <d v="2025-02-15T00:00:00"/>
    <d v="2025-02-15T00:00:00"/>
    <d v="2025-02-17T00:00:00"/>
    <n v="2"/>
    <n v="0"/>
    <s v="02-2025"/>
    <s v="Q1-2025"/>
    <d v="2023-01-02T00:00:00"/>
    <s v="01-2023"/>
    <s v="Americas"/>
    <s v="Canada"/>
    <s v="Toronto"/>
    <s v="Toronto"/>
    <s v="Small Business"/>
    <s v="Retail"/>
    <s v="Retail"/>
    <s v="D. Smith"/>
    <s v="D. Smith"/>
    <x v="0"/>
    <s v="High"/>
    <s v="CMP-5065"/>
    <s v="B"/>
    <n v="1133.47"/>
    <n v="1698.75"/>
    <n v="1698.75"/>
    <n v="4.2999999999999997E-2"/>
    <n v="4.2999999999999997E-2"/>
    <n v="0"/>
    <n v="5"/>
    <n v="8128.5187499999993"/>
    <n v="5667.35"/>
    <n v="2461.1687499999989"/>
    <n v="0.30278194904821976"/>
    <n v="10139002.906320011"/>
    <n v="0.92629434380062892"/>
    <n v="4.2999999999999997E-2"/>
    <n v="6.5"/>
    <n v="1246.8170000000002"/>
    <n v="10567.074375"/>
  </r>
  <r>
    <s v="ORD-2025-331237"/>
    <d v="2025-03-24T00:00:00"/>
    <d v="2025-03-24T00:00:00"/>
    <d v="2025-03-25T00:00:00"/>
    <d v="2025-03-25T00:00:00"/>
    <n v="1"/>
    <n v="1"/>
    <s v="03-2025"/>
    <s v="Q1-2025"/>
    <d v="2023-01-12T00:00:00"/>
    <s v="01-2023"/>
    <s v="Asia"/>
    <s v="China"/>
    <s v="Beijing"/>
    <s v="Beijing"/>
    <s v="Non-Profit"/>
    <s v="Online"/>
    <s v="Online"/>
    <s v="G. Dubois"/>
    <s v="G. Dubois"/>
    <x v="4"/>
    <s v="High"/>
    <s v="NET-8329"/>
    <s v="B"/>
    <n v="1133.03"/>
    <n v="1921.51"/>
    <n v="1921.51"/>
    <n v="0.10100000000000001"/>
    <n v="0.10100000000000001"/>
    <n v="0"/>
    <n v="5"/>
    <n v="8637.1874499999994"/>
    <n v="5665.15"/>
    <n v="2972.0374499999998"/>
    <n v="0.3440978289755654"/>
    <n v="10147640.09377001"/>
    <n v="0.92708343301928298"/>
    <n v="0.10100000000000001"/>
    <n v="6.5"/>
    <n v="1246.3330000000001"/>
    <n v="11228.343685"/>
  </r>
  <r>
    <s v="ORD-2023-884192"/>
    <d v="2023-01-10T00:00:00"/>
    <d v="2023-01-10T00:00:00"/>
    <d v="2023-01-29T00:00:00"/>
    <d v="2023-01-29T00:00:00"/>
    <n v="19"/>
    <n v="0"/>
    <s v="01-2023"/>
    <s v="Q1-2023"/>
    <d v="2023-01-10T00:00:00"/>
    <s v="01-2023"/>
    <s v="Europe"/>
    <s v="France"/>
    <s v="Lyon"/>
    <s v="Lyon"/>
    <s v="Non-Profit"/>
    <s v="Direct"/>
    <s v="Direct"/>
    <s v="D. Smith"/>
    <s v="D. Smith"/>
    <x v="3"/>
    <s v="Low"/>
    <s v="LAP-4551"/>
    <s v="B"/>
    <n v="401.66"/>
    <n v="772.09"/>
    <n v="772.09"/>
    <n v="8.8999999999999996E-2"/>
    <n v="8.8999999999999996E-2"/>
    <n v="0"/>
    <n v="14"/>
    <n v="9847.2358600000007"/>
    <n v="5623.2400000000007"/>
    <n v="4223.99586"/>
    <n v="0.42895244107619046"/>
    <n v="10157487.32963001"/>
    <n v="0.92798307166851379"/>
    <n v="8.8999999999999996E-2"/>
    <n v="18.2"/>
    <n v="441.82600000000008"/>
    <n v="12801.406618000001"/>
  </r>
  <r>
    <s v="ORD-2023-334213"/>
    <d v="2023-08-19T00:00:00"/>
    <d v="2023-08-19T00:00:00"/>
    <d v="2023-08-23T00:00:00"/>
    <d v="2023-08-23T00:00:00"/>
    <n v="4"/>
    <n v="1"/>
    <s v="08-2023"/>
    <s v="Q3-2023"/>
    <d v="2023-01-13T00:00:00"/>
    <s v="01-2023"/>
    <s v="Africa"/>
    <s v="Nigeria"/>
    <s v="Abuja"/>
    <s v="Abuja"/>
    <s v="Small Business"/>
    <s v="Online"/>
    <s v="Online"/>
    <s v="J. Njeri"/>
    <s v="J. Njeri"/>
    <x v="2"/>
    <s v="Medium"/>
    <s v="MON-5517"/>
    <s v="B"/>
    <n v="790.63"/>
    <n v="1382.31"/>
    <n v="1382.31"/>
    <n v="0.10100000000000001"/>
    <n v="0.10100000000000001"/>
    <n v="0"/>
    <n v="7"/>
    <n v="8698.8768300000011"/>
    <n v="5534.41"/>
    <n v="3164.4668300000012"/>
    <n v="0.36377878338116448"/>
    <n v="10166186.20646001"/>
    <n v="0.92877779679873584"/>
    <n v="0.10100000000000001"/>
    <n v="9.1"/>
    <n v="869.6930000000001"/>
    <n v="11308.539879"/>
  </r>
  <r>
    <s v="ORD-2025-737787"/>
    <d v="2025-09-14T00:00:00"/>
    <d v="2025-09-14T00:00:00"/>
    <d v="2025-09-26T00:00:00"/>
    <d v="2025-09-26T00:00:00"/>
    <n v="12"/>
    <n v="1"/>
    <s v="09-2025"/>
    <s v="Q3-2025"/>
    <d v="2023-01-19T00:00:00"/>
    <s v="01-2023"/>
    <s v="Europe"/>
    <s v="United Kingdom"/>
    <s v="London"/>
    <s v="London"/>
    <s v="Small Business"/>
    <s v="Direct"/>
    <s v="Direct"/>
    <s v="N. Brown"/>
    <s v="N. Brown"/>
    <x v="4"/>
    <s v="Medium"/>
    <s v="NET-9003"/>
    <s v="B"/>
    <n v="425.15"/>
    <n v="885.92"/>
    <n v="885.92"/>
    <n v="0.23899999999999999"/>
    <n v="0.23899999999999999"/>
    <n v="1"/>
    <n v="13"/>
    <n v="8764.4065599999994"/>
    <n v="5526.95"/>
    <n v="3237.4565599999996"/>
    <n v="0.3693868532725848"/>
    <n v="10174950.61302001"/>
    <n v="0.9295785086930225"/>
    <n v="0.2"/>
    <n v="16.900000000000002"/>
    <n v="467.66500000000002"/>
    <n v="11977.638400000002"/>
  </r>
  <r>
    <s v="ORD-2023-304451"/>
    <d v="2023-10-07T00:00:00"/>
    <d v="2023-10-07T00:00:00"/>
    <d v="2023-10-23T00:00:00"/>
    <d v="2023-10-23T00:00:00"/>
    <n v="16"/>
    <n v="0"/>
    <s v="10-2023"/>
    <s v="Q4-2023"/>
    <d v="2023-01-29T00:00:00"/>
    <s v="01-2023"/>
    <s v="Asia"/>
    <s v="India"/>
    <s v="Hyderabad"/>
    <s v="Hyderabad"/>
    <s v="Consumer"/>
    <s v="Retail"/>
    <s v="Retail"/>
    <s v="G. Dubois"/>
    <s v="G. Dubois"/>
    <x v="2"/>
    <s v="Medium"/>
    <s v="MON-7602"/>
    <s v="B"/>
    <n v="906.81"/>
    <n v="1395.56"/>
    <n v="1395.56"/>
    <n v="0.185"/>
    <n v="0.185"/>
    <n v="0"/>
    <n v="6"/>
    <n v="6824.2884000000004"/>
    <n v="5440.86"/>
    <n v="1383.4284000000007"/>
    <n v="0.20272126834498974"/>
    <n v="10181774.90142001"/>
    <n v="0.93020197234164659"/>
    <n v="0.185"/>
    <n v="7.8000000000000007"/>
    <n v="997.49099999999999"/>
    <n v="8871.5749199999991"/>
  </r>
  <r>
    <s v="ORD-2023-744942"/>
    <d v="2023-02-23T00:00:00"/>
    <d v="2023-02-23T00:00:00"/>
    <d v="2023-03-18T00:00:00"/>
    <d v="2023-03-18T00:00:00"/>
    <n v="23"/>
    <n v="0"/>
    <s v="02-2023"/>
    <s v="Q1-2023"/>
    <d v="2023-01-12T00:00:00"/>
    <s v="01-2023"/>
    <s v="Asia"/>
    <s v="China"/>
    <s v="Beijing"/>
    <s v="Beijing"/>
    <s v="Education"/>
    <s v="Distributor"/>
    <s v="Distributor"/>
    <s v="K. Singh"/>
    <s v="K. Singh"/>
    <x v="5"/>
    <s v="High"/>
    <s v="PRN-1060"/>
    <s v="B"/>
    <n v="770.11"/>
    <n v="1667.82"/>
    <n v="1667.82"/>
    <n v="6.9000000000000006E-2"/>
    <n v="6.9000000000000006E-2"/>
    <n v="0"/>
    <n v="7"/>
    <n v="10869.182940000001"/>
    <n v="5390.77"/>
    <n v="5478.4129400000002"/>
    <n v="0.50403171703355287"/>
    <n v="10192644.084360011"/>
    <n v="0.93119497557599629"/>
    <n v="6.9000000000000006E-2"/>
    <n v="9.1"/>
    <n v="847.12100000000009"/>
    <n v="14129.937822"/>
  </r>
  <r>
    <s v="ORD-2025-244832"/>
    <d v="2025-09-11T00:00:00"/>
    <d v="2025-09-11T00:00:00"/>
    <d v="2025-09-28T00:00:00"/>
    <d v="2025-09-28T00:00:00"/>
    <n v="17"/>
    <n v="0"/>
    <s v="09-2025"/>
    <s v="Q3-2025"/>
    <d v="2023-01-20T00:00:00"/>
    <s v="01-2023"/>
    <s v="Africa"/>
    <s v="Kenya"/>
    <s v="Nairobi"/>
    <s v="Nairobi"/>
    <s v="Non-Profit"/>
    <s v="Distributor"/>
    <s v="Distributor"/>
    <s v="J. Njeri"/>
    <s v="J. Njeri"/>
    <x v="3"/>
    <s v="Low"/>
    <s v="LAP-3278"/>
    <s v="B"/>
    <n v="891.46"/>
    <n v="728.61"/>
    <n v="728.61"/>
    <n v="0.185"/>
    <n v="0.185"/>
    <n v="0"/>
    <n v="6"/>
    <n v="3562.9028999999996"/>
    <n v="5348.76"/>
    <n v="1785.8571000000006"/>
    <n v="0.50123653383874167"/>
    <n v="10196206.98726001"/>
    <n v="0.9315204806413635"/>
    <n v="0.185"/>
    <n v="7.8000000000000007"/>
    <n v="980.60600000000011"/>
    <n v="4631.7737699999998"/>
  </r>
  <r>
    <s v="ORD-2025-820255"/>
    <d v="2025-05-29T00:00:00"/>
    <d v="2025-05-29T00:00:00"/>
    <d v="2025-06-20T00:00:00"/>
    <d v="2025-06-20T00:00:00"/>
    <n v="22"/>
    <n v="0"/>
    <s v="05-2025"/>
    <s v="Q2-2025"/>
    <d v="2023-01-21T00:00:00"/>
    <s v="01-2023"/>
    <s v="Europe"/>
    <s v="Germany"/>
    <s v="Berlin"/>
    <s v="Berlin"/>
    <s v="Corporate"/>
    <s v="Direct"/>
    <s v="Direct"/>
    <s v="A. Patel"/>
    <s v="A. Patel"/>
    <x v="5"/>
    <s v="Medium"/>
    <s v="PRN-9787"/>
    <s v="B"/>
    <n v="483.47"/>
    <n v="1135.43"/>
    <n v="1135.43"/>
    <n v="0.14599999999999999"/>
    <n v="0.14599999999999999"/>
    <n v="0"/>
    <n v="11"/>
    <n v="10666.229420000001"/>
    <n v="5318.17"/>
    <n v="5348.0594200000014"/>
    <n v="0.50140112399719983"/>
    <n v="10206873.216680011"/>
    <n v="0.93249494214144535"/>
    <n v="0.14599999999999999"/>
    <n v="14.3"/>
    <n v="531.81700000000012"/>
    <n v="13866.098246000001"/>
  </r>
  <r>
    <s v="ORD-2023-173313"/>
    <d v="2023-06-15T00:00:00"/>
    <d v="2023-06-15T00:00:00"/>
    <d v="2023-07-12T00:00:00"/>
    <d v="2023-07-12T00:00:00"/>
    <n v="27"/>
    <n v="0"/>
    <s v="06-2023"/>
    <s v="Q2-2023"/>
    <d v="2023-01-19T00:00:00"/>
    <s v="01-2023"/>
    <s v="Europe"/>
    <s v="United Kingdom"/>
    <s v="Manchester"/>
    <s v="Manchester"/>
    <s v="Consumer"/>
    <s v="Direct"/>
    <s v="Direct"/>
    <s v="I. Johnson"/>
    <s v="I. Johnson"/>
    <x v="1"/>
    <s v="Medium"/>
    <s v="ACC-3833"/>
    <s v="B"/>
    <n v="751.28"/>
    <n v="1111.8800000000001"/>
    <n v="1111.8800000000001"/>
    <n v="0.13500000000000001"/>
    <n v="0.13500000000000001"/>
    <n v="0"/>
    <n v="7"/>
    <n v="6732.4334000000008"/>
    <n v="5258.96"/>
    <n v="1473.4734000000008"/>
    <n v="0.21886193482433863"/>
    <n v="10213605.65008001"/>
    <n v="0.93311001396222037"/>
    <n v="0.13500000000000001"/>
    <n v="9.1"/>
    <n v="826.40800000000002"/>
    <n v="8752.1634200000008"/>
  </r>
  <r>
    <s v="ORD-2025-512310"/>
    <d v="2025-03-08T00:00:00"/>
    <d v="2025-03-08T00:00:00"/>
    <d v="2025-03-15T00:00:00"/>
    <d v="2025-03-15T00:00:00"/>
    <n v="7"/>
    <n v="1"/>
    <s v="03-2025"/>
    <s v="Q1-2025"/>
    <d v="2023-01-29T00:00:00"/>
    <s v="01-2023"/>
    <s v="Asia"/>
    <s v="India"/>
    <s v="Bengaluru"/>
    <s v="Bengaluru"/>
    <s v="Corporate"/>
    <s v="Distributor"/>
    <s v="Distributor"/>
    <s v="K. Singh"/>
    <s v="K. Singh"/>
    <x v="3"/>
    <s v="Low"/>
    <s v="LAP-8119"/>
    <s v="B"/>
    <n v="475.66"/>
    <n v="529.14"/>
    <n v="529.14"/>
    <n v="0.19600000000000001"/>
    <n v="0.19600000000000001"/>
    <n v="0"/>
    <n v="11"/>
    <n v="4679.7141600000004"/>
    <n v="5232.26"/>
    <n v="552.54583999999977"/>
    <n v="0.11807256193613323"/>
    <n v="10218285.364240011"/>
    <n v="0.93353755035776775"/>
    <n v="0.19600000000000001"/>
    <n v="14.3"/>
    <n v="523.22600000000011"/>
    <n v="6083.6284080000005"/>
  </r>
  <r>
    <s v="ORD-2024-364080"/>
    <d v="2024-04-16T00:00:00"/>
    <d v="2024-04-16T00:00:00"/>
    <d v="2024-04-27T00:00:00"/>
    <d v="2024-04-27T00:00:00"/>
    <n v="11"/>
    <n v="0"/>
    <s v="04-2024"/>
    <s v="Q2-2024"/>
    <d v="2023-01-20T00:00:00"/>
    <s v="01-2023"/>
    <s v="Africa"/>
    <s v="Kenya"/>
    <s v="Nakuru"/>
    <s v="Nakuru"/>
    <s v="Enterprise"/>
    <s v="Online"/>
    <s v="Online"/>
    <s v="D. Smith"/>
    <s v="D. Smith"/>
    <x v="5"/>
    <s v="Medium"/>
    <s v="PRN-2641"/>
    <s v="B"/>
    <n v="401.3"/>
    <n v="826.47"/>
    <n v="826.47"/>
    <n v="0.22500000000000001"/>
    <n v="0.22500000000000001"/>
    <n v="1"/>
    <n v="13"/>
    <n v="8326.6852500000005"/>
    <n v="5216.9000000000005"/>
    <n v="3109.7852499999999"/>
    <n v="0.37347217489696755"/>
    <n v="10226612.04949001"/>
    <n v="0.93429827224738027"/>
    <n v="0.2"/>
    <n v="16.900000000000002"/>
    <n v="441.43000000000006"/>
    <n v="11173.874400000002"/>
  </r>
  <r>
    <s v="ORD-2025-484073"/>
    <d v="2025-02-19T00:00:00"/>
    <d v="2025-02-19T00:00:00"/>
    <d v="2025-03-09T00:00:00"/>
    <d v="2025-03-09T00:00:00"/>
    <n v="18"/>
    <n v="0"/>
    <s v="02-2025"/>
    <s v="Q1-2025"/>
    <d v="2023-01-29T00:00:00"/>
    <s v="01-2023"/>
    <s v="Asia"/>
    <s v="India"/>
    <s v="Delhi"/>
    <s v="Delhi"/>
    <s v="Small Business"/>
    <s v="Direct"/>
    <s v="Direct"/>
    <s v="O. Wang"/>
    <s v="O. Wang"/>
    <x v="2"/>
    <s v="Low"/>
    <s v="MON-1436"/>
    <s v="B"/>
    <n v="325.87"/>
    <n v="538.79"/>
    <n v="538.79"/>
    <n v="0.17399999999999999"/>
    <n v="0.17399999999999999"/>
    <n v="0"/>
    <n v="16"/>
    <n v="7120.6486400000003"/>
    <n v="5213.92"/>
    <n v="1906.7286400000003"/>
    <n v="0.26777457172778013"/>
    <n v="10233732.69813001"/>
    <n v="0.93494881122250095"/>
    <n v="0.17399999999999999"/>
    <n v="20.8"/>
    <n v="358.45700000000005"/>
    <n v="9256.8432320000011"/>
  </r>
  <r>
    <s v="ORD-2023-931633"/>
    <d v="2023-05-14T00:00:00"/>
    <d v="2023-05-14T00:00:00"/>
    <d v="2023-05-22T00:00:00"/>
    <d v="2023-05-22T00:00:00"/>
    <n v="8"/>
    <n v="0"/>
    <s v="05-2023"/>
    <s v="Q2-2023"/>
    <d v="2023-01-20T00:00:00"/>
    <s v="01-2023"/>
    <s v="Africa"/>
    <s v="Kenya"/>
    <s v="Mombasa"/>
    <s v="Mombasa"/>
    <s v="Small Business"/>
    <s v="Distributor"/>
    <s v="Distributor"/>
    <s v="F. Müller"/>
    <s v="F. Müller"/>
    <x v="5"/>
    <s v="Medium"/>
    <s v="PRN-9488"/>
    <s v="B"/>
    <n v="432.01"/>
    <n v="913.78"/>
    <n v="913.78"/>
    <n v="4.9000000000000002E-2"/>
    <n v="4.9000000000000002E-2"/>
    <n v="0"/>
    <n v="12"/>
    <n v="10428.057360000001"/>
    <n v="5184.12"/>
    <n v="5243.9373600000008"/>
    <n v="0.50286809699711899"/>
    <n v="10244160.755490011"/>
    <n v="0.93590151343973538"/>
    <n v="4.9000000000000002E-2"/>
    <n v="15.600000000000001"/>
    <n v="475.21100000000001"/>
    <n v="13556.474568"/>
  </r>
  <r>
    <s v="ORD-2024-855073"/>
    <d v="2024-07-19T00:00:00"/>
    <d v="2024-07-19T00:00:00"/>
    <d v="2024-07-19T00:00:00"/>
    <d v="2024-07-19T00:00:00"/>
    <n v="0"/>
    <n v="0"/>
    <s v="07-2024"/>
    <s v="Q3-2024"/>
    <d v="2023-01-20T00:00:00"/>
    <s v="01-2023"/>
    <s v="Africa"/>
    <s v="Kenya"/>
    <s v="Kisumu"/>
    <s v="Kisumu"/>
    <s v="Small Business"/>
    <s v="Retail"/>
    <s v="Retail"/>
    <s v="A. Patel"/>
    <s v="A. Patel"/>
    <x v="6"/>
    <s v="Low"/>
    <s v="PHN-6854"/>
    <s v="B"/>
    <n v="857.24"/>
    <n v="758.23"/>
    <n v="758.23"/>
    <n v="0.125"/>
    <n v="0.125"/>
    <n v="0"/>
    <n v="6"/>
    <n v="3980.7075"/>
    <n v="5143.4400000000005"/>
    <n v="1162.7325000000005"/>
    <n v="0.29209192084572921"/>
    <n v="10248141.46299001"/>
    <n v="0.93626518892889776"/>
    <n v="0.125"/>
    <n v="7.8000000000000007"/>
    <n v="942.96400000000006"/>
    <n v="5174.91975"/>
  </r>
  <r>
    <s v="ORD-2024-720756"/>
    <d v="2024-10-11T00:00:00"/>
    <d v="2024-10-11T00:00:00"/>
    <d v="2024-11-09T00:00:00"/>
    <d v="2024-11-09T00:00:00"/>
    <n v="29"/>
    <n v="1"/>
    <s v="10-2024"/>
    <s v="Q4-2024"/>
    <d v="2023-01-12T00:00:00"/>
    <s v="01-2023"/>
    <s v="Asia"/>
    <s v="China"/>
    <s v="Shanghai"/>
    <s v="Shanghai"/>
    <s v="Non-Profit"/>
    <s v="Online"/>
    <s v="Online"/>
    <s v="F. Müller"/>
    <s v="F. Müller"/>
    <x v="5"/>
    <s v="Low"/>
    <s v="PRN-5666"/>
    <s v="B"/>
    <n v="391.64"/>
    <n v="504.76"/>
    <n v="504.76"/>
    <n v="4.0000000000000001E-3"/>
    <n v="4.0000000000000001E-3"/>
    <n v="0"/>
    <n v="13"/>
    <n v="6535.6324800000002"/>
    <n v="5091.32"/>
    <n v="1444.3124800000005"/>
    <n v="0.22099046793402319"/>
    <n v="10254677.095470009"/>
    <n v="0.93686228111393"/>
    <n v="4.0000000000000001E-3"/>
    <n v="16.900000000000002"/>
    <n v="430.80400000000003"/>
    <n v="8496.3222240000014"/>
  </r>
  <r>
    <s v="ORD-2023-920483"/>
    <d v="2023-07-02T00:00:00"/>
    <d v="2023-07-02T00:00:00"/>
    <d v="2023-08-01T00:00:00"/>
    <d v="2023-08-01T00:00:00"/>
    <n v="30"/>
    <n v="0"/>
    <s v="07-2023"/>
    <s v="Q3-2023"/>
    <d v="2023-01-19T00:00:00"/>
    <s v="01-2023"/>
    <s v="Europe"/>
    <s v="United Kingdom"/>
    <s v="Birmingham"/>
    <s v="Birmingham"/>
    <s v="Small Business"/>
    <s v="Retail"/>
    <s v="Retail"/>
    <s v="B. Chen"/>
    <s v="B. Chen"/>
    <x v="0"/>
    <s v="Low"/>
    <s v="CMP-7256"/>
    <s v="B"/>
    <n v="137.46"/>
    <n v="188.3"/>
    <n v="188.3"/>
    <n v="3.7999999999999999E-2"/>
    <n v="3.7999999999999999E-2"/>
    <n v="0"/>
    <n v="37"/>
    <n v="6702.3501999999999"/>
    <n v="5086.0200000000004"/>
    <n v="1616.3301999999994"/>
    <n v="0.24115872071262398"/>
    <n v="10261379.445670009"/>
    <n v="0.9374746045482748"/>
    <n v="3.7999999999999999E-2"/>
    <n v="48.1"/>
    <n v="151.20600000000002"/>
    <n v="8713.055260000001"/>
  </r>
  <r>
    <s v="ORD-2024-647571"/>
    <d v="2024-02-06T00:00:00"/>
    <d v="2024-02-06T00:00:00"/>
    <d v="2024-02-28T00:00:00"/>
    <d v="2024-02-28T00:00:00"/>
    <n v="22"/>
    <n v="1"/>
    <s v="02-2024"/>
    <s v="Q1-2024"/>
    <d v="2023-01-20T00:00:00"/>
    <s v="01-2023"/>
    <s v="Africa"/>
    <s v="Kenya"/>
    <s v="Kisumu"/>
    <s v="Kisumu"/>
    <s v="Non-Profit"/>
    <s v="Online"/>
    <s v="Online"/>
    <s v="K. Singh"/>
    <s v="K. Singh"/>
    <x v="2"/>
    <s v="Medium"/>
    <s v="MON-2462"/>
    <s v="B"/>
    <n v="834.93"/>
    <n v="1588.53"/>
    <n v="1588.53"/>
    <n v="0.126"/>
    <n v="0.126"/>
    <n v="0"/>
    <n v="6"/>
    <n v="8330.2513199999994"/>
    <n v="5009.58"/>
    <n v="3320.6713199999995"/>
    <n v="0.39862798761274343"/>
    <n v="10269709.696990009"/>
    <n v="0.93823565223229755"/>
    <n v="0.126"/>
    <n v="7.8000000000000007"/>
    <n v="918.423"/>
    <n v="10829.326716000001"/>
  </r>
  <r>
    <s v="ORD-2023-580751"/>
    <d v="2023-12-24T00:00:00"/>
    <d v="2023-12-24T00:00:00"/>
    <d v="2024-01-13T00:00:00"/>
    <d v="2024-01-13T00:00:00"/>
    <n v="20"/>
    <n v="0"/>
    <s v="12-2023"/>
    <s v="Q4-2023"/>
    <d v="2023-03-03T00:00:00"/>
    <s v="03-2023"/>
    <s v="Asia"/>
    <s v="Japan"/>
    <s v="Nagoya"/>
    <s v="Nagoya"/>
    <s v="Education"/>
    <s v="Direct"/>
    <s v="Direct"/>
    <s v="B. Chen"/>
    <s v="B. Chen"/>
    <x v="3"/>
    <s v="Medium"/>
    <s v="LAP-1946"/>
    <s v="B"/>
    <n v="625.37"/>
    <n v="1319.04"/>
    <n v="1319.04"/>
    <n v="7.3999999999999996E-2"/>
    <n v="7.3999999999999996E-2"/>
    <n v="0"/>
    <n v="8"/>
    <n v="9771.4483199999995"/>
    <n v="5002.96"/>
    <n v="4768.4883199999995"/>
    <n v="0.48800220436513547"/>
    <n v="10279481.145310009"/>
    <n v="0.93912836696896196"/>
    <n v="7.3999999999999996E-2"/>
    <n v="10.4"/>
    <n v="687.90700000000004"/>
    <n v="12702.882815999999"/>
  </r>
  <r>
    <s v="ORD-2023-302041"/>
    <d v="2023-10-04T00:00:00"/>
    <d v="2023-10-04T00:00:00"/>
    <d v="2023-10-29T00:00:00"/>
    <d v="2023-10-29T00:00:00"/>
    <n v="25"/>
    <n v="0"/>
    <s v="10-2023"/>
    <s v="Q4-2023"/>
    <d v="2023-01-13T00:00:00"/>
    <s v="01-2023"/>
    <s v="Americas"/>
    <s v="USA"/>
    <s v="San Francisco"/>
    <s v="San Francisco"/>
    <s v="Small Business"/>
    <s v="Distributor"/>
    <s v="Distributor"/>
    <s v="O. Wang"/>
    <s v="O. Wang"/>
    <x v="1"/>
    <s v="Medium"/>
    <s v="ACC-5079"/>
    <s v="B"/>
    <n v="1239.8399999999999"/>
    <n v="1482.75"/>
    <n v="1482.75"/>
    <n v="6.7000000000000004E-2"/>
    <n v="6.7000000000000004E-2"/>
    <n v="0"/>
    <n v="4"/>
    <n v="5533.6230000000005"/>
    <n v="4959.3599999999997"/>
    <n v="574.26300000000083"/>
    <n v="0.10377703721413634"/>
    <n v="10285014.768310009"/>
    <n v="0.93963391605825453"/>
    <n v="6.7000000000000004E-2"/>
    <n v="5.2"/>
    <n v="1363.8240000000001"/>
    <n v="7193.7099000000007"/>
  </r>
  <r>
    <s v="ORD-2024-999607"/>
    <d v="2024-01-12T00:00:00"/>
    <d v="2024-01-12T00:00:00"/>
    <d v="2024-01-29T00:00:00"/>
    <d v="2024-01-29T00:00:00"/>
    <n v="17"/>
    <n v="0"/>
    <s v="01-2024"/>
    <s v="Q1-2024"/>
    <d v="2023-01-13T00:00:00"/>
    <s v="01-2023"/>
    <s v="Americas"/>
    <s v="USA"/>
    <s v="Chicago"/>
    <s v="Chicago"/>
    <s v="Education"/>
    <s v="Distributor"/>
    <s v="Distributor"/>
    <s v="A. Patel"/>
    <s v="A. Patel"/>
    <x v="5"/>
    <s v="Low"/>
    <s v="PRN-8604"/>
    <s v="B"/>
    <n v="493.76"/>
    <n v="625.04"/>
    <n v="625.04"/>
    <n v="0.25800000000000001"/>
    <n v="0.25800000000000001"/>
    <n v="1"/>
    <n v="10"/>
    <n v="4637.7968000000001"/>
    <n v="4937.6000000000004"/>
    <n v="299.80320000000029"/>
    <n v="6.464345311549663E-2"/>
    <n v="10289652.565110009"/>
    <n v="0.94005762290430539"/>
    <n v="0.2"/>
    <n v="13"/>
    <n v="543.13600000000008"/>
    <n v="6500.4160000000002"/>
  </r>
  <r>
    <s v="ORD-2025-231184"/>
    <d v="2025-06-01T00:00:00"/>
    <d v="2025-06-01T00:00:00"/>
    <d v="2025-06-06T00:00:00"/>
    <d v="2025-06-06T00:00:00"/>
    <n v="5"/>
    <n v="0"/>
    <s v="06-2025"/>
    <s v="Q2-2025"/>
    <d v="2023-01-10T00:00:00"/>
    <s v="01-2023"/>
    <s v="Europe"/>
    <s v="France"/>
    <s v="Paris"/>
    <s v="Paris"/>
    <s v="Consumer"/>
    <s v="Distributor"/>
    <s v="Distributor"/>
    <s v="G. Dubois"/>
    <s v="G. Dubois"/>
    <x v="0"/>
    <s v="Low"/>
    <s v="CMP-4093"/>
    <s v="B"/>
    <n v="379.45"/>
    <n v="742.23"/>
    <n v="742.23"/>
    <n v="0.09"/>
    <n v="0.09"/>
    <n v="0"/>
    <n v="13"/>
    <n v="8780.5809000000008"/>
    <n v="4932.8499999999995"/>
    <n v="3847.7309000000014"/>
    <n v="0.43820915083192286"/>
    <n v="10298433.14601001"/>
    <n v="0.94085981247837924"/>
    <n v="0.09"/>
    <n v="16.900000000000002"/>
    <n v="417.39500000000004"/>
    <n v="11414.755170000002"/>
  </r>
  <r>
    <s v="ORD-2025-269934"/>
    <d v="2025-04-04T00:00:00"/>
    <d v="2025-04-04T00:00:00"/>
    <d v="2025-04-10T00:00:00"/>
    <d v="2025-04-10T00:00:00"/>
    <n v="6"/>
    <n v="1"/>
    <s v="04-2025"/>
    <s v="Q2-2025"/>
    <d v="2023-01-19T00:00:00"/>
    <s v="01-2023"/>
    <s v="Europe"/>
    <s v="United Kingdom"/>
    <s v="Birmingham"/>
    <s v="Birmingham"/>
    <s v="Non-Profit"/>
    <s v="Direct"/>
    <s v="Direct"/>
    <s v="N. Brown"/>
    <s v="N. Brown"/>
    <x v="5"/>
    <s v="Low"/>
    <s v="PRN-8657"/>
    <s v="B"/>
    <n v="290.14"/>
    <n v="250.73"/>
    <n v="250.73"/>
    <n v="3.4000000000000002E-2"/>
    <n v="3.4000000000000002E-2"/>
    <n v="0"/>
    <n v="17"/>
    <n v="4117.4880599999997"/>
    <n v="4932.38"/>
    <n v="814.89194000000043"/>
    <n v="0.19790997038131072"/>
    <n v="10302550.634070009"/>
    <n v="0.94123598417256693"/>
    <n v="3.4000000000000002E-2"/>
    <n v="22.1"/>
    <n v="319.154"/>
    <n v="5352.7344779999994"/>
  </r>
  <r>
    <s v="ORD-2023-811823"/>
    <d v="2023-01-26T00:00:00"/>
    <d v="2023-01-26T00:00:00"/>
    <d v="2023-02-15T00:00:00"/>
    <d v="2023-02-15T00:00:00"/>
    <n v="20"/>
    <n v="1"/>
    <s v="01-2023"/>
    <s v="Q1-2023"/>
    <d v="2023-01-21T00:00:00"/>
    <s v="01-2023"/>
    <s v="Europe"/>
    <s v="Germany"/>
    <s v="Berlin"/>
    <s v="Berlin"/>
    <s v="Small Business"/>
    <s v="Online"/>
    <s v="Online"/>
    <s v="O. Wang"/>
    <s v="O. Wang"/>
    <x v="4"/>
    <s v="Low"/>
    <s v="NET-8787"/>
    <s v="B"/>
    <n v="492.62"/>
    <n v="366.7"/>
    <n v="366.7"/>
    <n v="8.8999999999999996E-2"/>
    <n v="8.8999999999999996E-2"/>
    <n v="0"/>
    <n v="10"/>
    <n v="3340.6370000000002"/>
    <n v="4926.2"/>
    <n v="1585.5629999999996"/>
    <n v="0.47462894052840809"/>
    <n v="10305891.271070009"/>
    <n v="0.94154118313408042"/>
    <n v="8.8999999999999996E-2"/>
    <n v="13"/>
    <n v="541.88200000000006"/>
    <n v="4342.8280999999997"/>
  </r>
  <r>
    <s v="ORD-2025-766923"/>
    <d v="2025-02-15T00:00:00"/>
    <d v="2025-02-15T00:00:00"/>
    <d v="2025-02-15T00:00:00"/>
    <d v="2025-02-15T00:00:00"/>
    <n v="0"/>
    <n v="0"/>
    <s v="02-2025"/>
    <s v="Q1-2025"/>
    <d v="2023-01-21T00:00:00"/>
    <s v="01-2023"/>
    <s v="Europe"/>
    <s v="Germany"/>
    <s v="Frankfurt"/>
    <s v="Frankfurt"/>
    <s v="Small Business"/>
    <s v="Marketplace"/>
    <s v="Marketplace"/>
    <s v="L. Okafor"/>
    <s v="L. Okafor"/>
    <x v="1"/>
    <s v="High"/>
    <s v="ACC-3989"/>
    <s v="B"/>
    <n v="815.83"/>
    <n v="1982.18"/>
    <n v="1982.18"/>
    <n v="0.127"/>
    <n v="0.127"/>
    <n v="0"/>
    <n v="6"/>
    <n v="10382.65884"/>
    <n v="4894.9800000000005"/>
    <n v="5487.6788399999996"/>
    <n v="0.52854272923408507"/>
    <n v="10316273.92991001"/>
    <n v="0.94248973776474432"/>
    <n v="0.127"/>
    <n v="7.8000000000000007"/>
    <n v="897.41300000000012"/>
    <n v="13497.456492000003"/>
  </r>
  <r>
    <s v="ORD-2025-473192"/>
    <d v="2025-03-30T00:00:00"/>
    <d v="2025-03-30T00:00:00"/>
    <d v="2025-04-29T00:00:00"/>
    <d v="2025-04-29T00:00:00"/>
    <n v="30"/>
    <n v="0"/>
    <s v="03-2025"/>
    <s v="Q1-2025"/>
    <d v="2023-01-07T00:00:00"/>
    <s v="01-2023"/>
    <s v="Africa"/>
    <s v="South Africa"/>
    <s v="Durban"/>
    <s v="Durban"/>
    <s v="Consumer"/>
    <s v="Marketplace"/>
    <s v="Marketplace"/>
    <s v="J. Njeri"/>
    <s v="J. Njeri"/>
    <x v="2"/>
    <s v="Low"/>
    <s v="MON-7106"/>
    <s v="B"/>
    <n v="194.6"/>
    <n v="314.87"/>
    <n v="314.87"/>
    <n v="0.29299999999999998"/>
    <n v="0.29299999999999998"/>
    <n v="1"/>
    <n v="25"/>
    <n v="5565.3272500000003"/>
    <n v="4865"/>
    <n v="700.32725000000028"/>
    <n v="0.1258375686712763"/>
    <n v="10321839.25716001"/>
    <n v="0.94299818333880181"/>
    <n v="0.2"/>
    <n v="32.5"/>
    <n v="214.06"/>
    <n v="8186.62"/>
  </r>
  <r>
    <s v="ORD-2025-626047"/>
    <d v="2025-04-28T00:00:00"/>
    <d v="2025-04-28T00:00:00"/>
    <d v="2025-05-15T00:00:00"/>
    <d v="2025-05-15T00:00:00"/>
    <n v="17"/>
    <n v="0"/>
    <s v="04-2025"/>
    <s v="Q2-2025"/>
    <d v="2023-03-03T00:00:00"/>
    <s v="03-2023"/>
    <s v="Asia"/>
    <s v="Japan"/>
    <s v="Nagoya"/>
    <s v="Nagoya"/>
    <s v="Education"/>
    <s v="Direct"/>
    <s v="Direct"/>
    <s v="N. Brown"/>
    <s v="N. Brown"/>
    <x v="4"/>
    <s v="Medium"/>
    <s v="NET-1966"/>
    <s v="B"/>
    <n v="691.19"/>
    <n v="1284.3"/>
    <n v="1284.3"/>
    <n v="7.3999999999999996E-2"/>
    <n v="7.3999999999999996E-2"/>
    <n v="0"/>
    <n v="7"/>
    <n v="8324.8326000000015"/>
    <n v="4838.33"/>
    <n v="3486.5026000000016"/>
    <n v="0.41880753253825198"/>
    <n v="10330164.089760009"/>
    <n v="0.94375873597121696"/>
    <n v="7.3999999999999996E-2"/>
    <n v="9.1"/>
    <n v="760.30900000000008"/>
    <n v="10822.282380000001"/>
  </r>
  <r>
    <s v="ORD-2023-211715"/>
    <d v="2023-10-30T00:00:00"/>
    <d v="2023-10-30T00:00:00"/>
    <d v="2023-11-14T00:00:00"/>
    <d v="2023-11-14T00:00:00"/>
    <n v="15"/>
    <n v="0"/>
    <s v="10-2023"/>
    <s v="Q4-2023"/>
    <d v="2023-01-29T00:00:00"/>
    <s v="01-2023"/>
    <s v="Asia"/>
    <s v="India"/>
    <s v="Bengaluru"/>
    <s v="Bengaluru"/>
    <s v="Corporate"/>
    <s v="Online"/>
    <s v="Online"/>
    <s v="F. Müller"/>
    <s v="F. Müller"/>
    <x v="3"/>
    <s v="High"/>
    <s v="LAP-2378"/>
    <s v="B"/>
    <n v="953.46"/>
    <n v="2066.75"/>
    <n v="2066.75"/>
    <n v="0.13800000000000001"/>
    <n v="0.13800000000000001"/>
    <n v="0"/>
    <n v="5"/>
    <n v="8907.6924999999992"/>
    <n v="4767.3"/>
    <n v="4140.392499999999"/>
    <n v="0.46481089238318446"/>
    <n v="10339071.78226001"/>
    <n v="0.94457253839886224"/>
    <n v="0.13800000000000001"/>
    <n v="6.5"/>
    <n v="1048.806"/>
    <n v="11580.000249999999"/>
  </r>
  <r>
    <s v="ORD-2023-502205"/>
    <d v="2023-10-09T00:00:00"/>
    <d v="2023-10-09T00:00:00"/>
    <d v="2023-10-11T00:00:00"/>
    <d v="2023-10-11T00:00:00"/>
    <n v="2"/>
    <n v="0"/>
    <s v="10-2023"/>
    <s v="Q4-2023"/>
    <d v="2023-01-13T00:00:00"/>
    <s v="01-2023"/>
    <s v="Africa"/>
    <s v="Nigeria"/>
    <s v="Port Harcourt"/>
    <s v="Port Harcourt"/>
    <s v="Education"/>
    <s v="Marketplace"/>
    <s v="Marketplace"/>
    <s v="K. Singh"/>
    <s v="K. Singh"/>
    <x v="4"/>
    <s v="Medium"/>
    <s v="NET-8856"/>
    <s v="B"/>
    <n v="391.16"/>
    <n v="902.47"/>
    <n v="902.47"/>
    <n v="4.0000000000000001E-3"/>
    <n v="4.0000000000000001E-3"/>
    <n v="0"/>
    <n v="12"/>
    <n v="10786.32144"/>
    <n v="4693.92"/>
    <n v="6092.4014399999996"/>
    <n v="0.56482661618139207"/>
    <n v="10349858.10370001"/>
    <n v="0.94555797144712184"/>
    <n v="4.0000000000000001E-3"/>
    <n v="15.600000000000001"/>
    <n v="430.27600000000007"/>
    <n v="14022.217872000001"/>
  </r>
  <r>
    <s v="ORD-2023-653343"/>
    <d v="2023-11-10T00:00:00"/>
    <d v="2023-11-10T00:00:00"/>
    <d v="2023-11-28T00:00:00"/>
    <d v="2023-11-28T00:00:00"/>
    <n v="18"/>
    <n v="0"/>
    <s v="11-2023"/>
    <s v="Q4-2023"/>
    <d v="2023-01-29T00:00:00"/>
    <s v="01-2023"/>
    <s v="Americas"/>
    <s v="Brazil"/>
    <s v="Brasília"/>
    <s v="Brasília"/>
    <s v="Education"/>
    <s v="Marketplace"/>
    <s v="Marketplace"/>
    <s v="L. Okafor"/>
    <s v="L. Okafor"/>
    <x v="1"/>
    <s v="Low"/>
    <s v="ACC-5260"/>
    <s v="B"/>
    <n v="388.51"/>
    <n v="776.46"/>
    <n v="776.46"/>
    <n v="0.157"/>
    <n v="0.157"/>
    <n v="0"/>
    <n v="12"/>
    <n v="7854.6693599999999"/>
    <n v="4662.12"/>
    <n v="3192.54936"/>
    <n v="0.40645241876864946"/>
    <n v="10357712.773060011"/>
    <n v="0.94627557019601427"/>
    <n v="0.157"/>
    <n v="15.600000000000001"/>
    <n v="427.36100000000005"/>
    <n v="10211.070168"/>
  </r>
  <r>
    <s v="ORD-2023-382272"/>
    <d v="2023-05-20T00:00:00"/>
    <d v="2023-05-18T00:00:00"/>
    <d v="2023-05-18T00:00:00"/>
    <d v="2023-05-20T00:00:00"/>
    <n v="2"/>
    <n v="0"/>
    <s v="05-2023"/>
    <s v="Q2-2023"/>
    <d v="2023-01-07T00:00:00"/>
    <s v="01-2023"/>
    <s v="Africa"/>
    <s v="South Africa"/>
    <s v="Durban"/>
    <s v="Durban"/>
    <s v="Corporate"/>
    <s v="Distributor"/>
    <s v="Distributor"/>
    <s v="A. Patel"/>
    <s v="A. Patel"/>
    <x v="0"/>
    <s v="Medium"/>
    <s v="CMP-5208"/>
    <s v="B"/>
    <n v="917.88"/>
    <n v="1347.92"/>
    <n v="1347.92"/>
    <n v="0.34300000000000003"/>
    <n v="0.3"/>
    <n v="1"/>
    <n v="5"/>
    <n v="4717.72"/>
    <n v="4589.3999999999996"/>
    <n v="128.32000000000062"/>
    <n v="2.7199579457873848E-2"/>
    <n v="10362430.493060011"/>
    <n v="0.9467065787865051"/>
    <n v="0.2"/>
    <n v="6.5"/>
    <n v="1009.6680000000001"/>
    <n v="7009.1840000000002"/>
  </r>
  <r>
    <s v="ORD-2025-652467"/>
    <d v="2025-08-21T00:00:00"/>
    <d v="2025-08-21T00:00:00"/>
    <d v="2025-09-12T00:00:00"/>
    <d v="2025-09-12T00:00:00"/>
    <n v="22"/>
    <n v="0"/>
    <s v="08-2025"/>
    <s v="Q3-2025"/>
    <d v="2023-01-12T00:00:00"/>
    <s v="01-2023"/>
    <s v="Asia"/>
    <s v="China"/>
    <s v="Shenzhen"/>
    <s v="Shenzhen"/>
    <s v="Education"/>
    <s v="Retail"/>
    <s v="Retail"/>
    <s v="B. Chen"/>
    <s v="B. Chen"/>
    <x v="5"/>
    <s v="Low"/>
    <s v="PRN-8137"/>
    <s v="B"/>
    <n v="352.66"/>
    <n v="411.18"/>
    <n v="411.18"/>
    <n v="0.17299999999999999"/>
    <n v="0.17299999999999999"/>
    <n v="0"/>
    <n v="13"/>
    <n v="4420.5961799999995"/>
    <n v="4584.58"/>
    <n v="163.98382000000038"/>
    <n v="3.7095408248758066E-2"/>
    <n v="10366851.089240011"/>
    <n v="0.94711044229020414"/>
    <n v="0.17299999999999999"/>
    <n v="16.900000000000002"/>
    <n v="387.92600000000004"/>
    <n v="5746.7750340000002"/>
  </r>
  <r>
    <s v="ORD-2023-613287"/>
    <d v="2023-03-31T00:00:00"/>
    <d v="2023-03-31T00:00:00"/>
    <d v="2023-04-12T00:00:00"/>
    <d v="2023-04-12T00:00:00"/>
    <n v="12"/>
    <n v="0"/>
    <s v="03-2023"/>
    <s v="Q1-2023"/>
    <d v="2023-01-20T00:00:00"/>
    <s v="01-2023"/>
    <s v="Africa"/>
    <s v="Kenya"/>
    <s v="Mombasa"/>
    <s v="Mombasa"/>
    <s v="Small Business"/>
    <s v="Online"/>
    <s v="Online"/>
    <s v="C. Otieno"/>
    <s v="C. Otieno"/>
    <x v="6"/>
    <s v="Low"/>
    <s v="PHN-8014"/>
    <s v="B"/>
    <n v="304.22000000000003"/>
    <n v="393.31"/>
    <n v="393.31"/>
    <n v="0.26500000000000001"/>
    <n v="0.26500000000000001"/>
    <n v="1"/>
    <n v="15"/>
    <n v="4336.2427499999994"/>
    <n v="4563.3"/>
    <n v="227.05725000000075"/>
    <n v="5.2362670424759034E-2"/>
    <n v="10371187.331990011"/>
    <n v="0.94750659930581826"/>
    <n v="0.2"/>
    <n v="19.5"/>
    <n v="334.64200000000005"/>
    <n v="6135.6360000000004"/>
  </r>
  <r>
    <s v="ORD-2023-660608"/>
    <d v="2023-07-25T00:00:00"/>
    <d v="2023-07-25T00:00:00"/>
    <d v="2023-08-10T00:00:00"/>
    <d v="2023-08-10T00:00:00"/>
    <n v="16"/>
    <n v="0"/>
    <s v="07-2023"/>
    <s v="Q3-2023"/>
    <d v="2023-01-13T00:00:00"/>
    <s v="01-2023"/>
    <s v="Africa"/>
    <s v="Nigeria"/>
    <s v="Port Harcourt"/>
    <s v="Port Harcourt"/>
    <s v="Corporate"/>
    <s v="Distributor"/>
    <s v="Distributor"/>
    <s v="I. Johnson"/>
    <s v="I. Johnson"/>
    <x v="1"/>
    <s v="Low"/>
    <s v="ACC-8178"/>
    <s v="B"/>
    <n v="506.83"/>
    <n v="441.74"/>
    <n v="441.74"/>
    <n v="0.24"/>
    <n v="0.24"/>
    <n v="1"/>
    <n v="9"/>
    <n v="3021.5016000000001"/>
    <n v="4561.47"/>
    <n v="1539.9684000000002"/>
    <n v="0.50966989393618067"/>
    <n v="10374208.83359001"/>
    <n v="0.94778264221336295"/>
    <n v="0.2"/>
    <n v="11.700000000000001"/>
    <n v="557.51300000000003"/>
    <n v="4134.6864000000005"/>
  </r>
  <r>
    <s v="ORD-2024-776337"/>
    <d v="2024-11-12T00:00:00"/>
    <d v="2024-11-12T00:00:00"/>
    <d v="2024-11-21T00:00:00"/>
    <d v="2024-11-21T00:00:00"/>
    <n v="9"/>
    <n v="0"/>
    <s v="11-2024"/>
    <s v="Q4-2024"/>
    <d v="2023-01-29T00:00:00"/>
    <s v="01-2023"/>
    <s v="Asia"/>
    <s v="India"/>
    <s v="Mumbai"/>
    <s v="Mumbai"/>
    <s v="Corporate"/>
    <s v="Direct"/>
    <s v="Direct"/>
    <s v="H. Kim"/>
    <s v="H. Kim"/>
    <x v="3"/>
    <s v="High"/>
    <s v="LAP-5078"/>
    <s v="B"/>
    <n v="903.41"/>
    <n v="1860.41"/>
    <n v="1860.41"/>
    <n v="0.108"/>
    <n v="0.108"/>
    <n v="0"/>
    <n v="5"/>
    <n v="8297.4286000000011"/>
    <n v="4517.05"/>
    <n v="3780.3786000000009"/>
    <n v="0.455608451996803"/>
    <n v="10382506.26219001"/>
    <n v="0.94854069122974882"/>
    <n v="0.108"/>
    <n v="6.5"/>
    <n v="993.75100000000009"/>
    <n v="10786.65718"/>
  </r>
  <r>
    <s v="ORD-2024-902741"/>
    <d v="2024-12-23T00:00:00"/>
    <d v="2024-12-23T00:00:00"/>
    <d v="2025-01-11T00:00:00"/>
    <d v="2025-01-11T00:00:00"/>
    <n v="19"/>
    <n v="0"/>
    <s v="12-2024"/>
    <s v="Q4-2024"/>
    <d v="2023-01-21T00:00:00"/>
    <s v="01-2023"/>
    <s v="Europe"/>
    <s v="Germany"/>
    <s v="Berlin"/>
    <s v="Berlin"/>
    <s v="Education"/>
    <s v="Retail"/>
    <s v="Retail"/>
    <s v="K. Singh"/>
    <s v="K. Singh"/>
    <x v="6"/>
    <s v="Medium"/>
    <s v="PHN-8057"/>
    <s v="B"/>
    <n v="501.81"/>
    <n v="921.62"/>
    <n v="921.62"/>
    <n v="0.01"/>
    <n v="0.01"/>
    <n v="0"/>
    <n v="9"/>
    <n v="8211.6342000000004"/>
    <n v="4516.29"/>
    <n v="3695.3442000000005"/>
    <n v="0.45001325071202031"/>
    <n v="10390717.89639001"/>
    <n v="0.94929090211173583"/>
    <n v="0.01"/>
    <n v="11.700000000000001"/>
    <n v="551.9910000000001"/>
    <n v="10675.124460000001"/>
  </r>
  <r>
    <s v="ORD-2023-197661"/>
    <d v="2023-08-08T00:00:00"/>
    <d v="2023-08-08T00:00:00"/>
    <d v="2023-08-22T00:00:00"/>
    <d v="2023-08-22T00:00:00"/>
    <n v="14"/>
    <n v="0"/>
    <s v="08-2023"/>
    <s v="Q3-2023"/>
    <d v="2023-01-19T00:00:00"/>
    <s v="01-2023"/>
    <s v="Europe"/>
    <s v="United Kingdom"/>
    <s v="Birmingham"/>
    <s v="Birmingham"/>
    <s v="Non-Profit"/>
    <s v="Direct"/>
    <s v="Direct"/>
    <s v="N. Brown"/>
    <s v="N. Brown"/>
    <x v="2"/>
    <s v="Medium"/>
    <s v="MON-7511"/>
    <s v="C"/>
    <n v="446.69"/>
    <n v="967.25"/>
    <n v="967.25"/>
    <n v="9.4E-2"/>
    <n v="9.4E-2"/>
    <n v="0"/>
    <n v="10"/>
    <n v="8763.2849999999999"/>
    <n v="4466.8999999999996"/>
    <n v="4296.3850000000002"/>
    <n v="0.49027105702941309"/>
    <n v="10399481.18139001"/>
    <n v="0.9500915115408497"/>
    <n v="9.4E-2"/>
    <n v="13"/>
    <n v="491.35900000000004"/>
    <n v="11392.270500000001"/>
  </r>
  <r>
    <s v="ORD-2023-809913"/>
    <d v="2023-04-21T00:00:00"/>
    <d v="2023-04-21T00:00:00"/>
    <d v="2023-05-10T00:00:00"/>
    <d v="2023-05-10T00:00:00"/>
    <n v="19"/>
    <n v="1"/>
    <s v="04-2023"/>
    <s v="Q2-2023"/>
    <d v="2023-01-12T00:00:00"/>
    <s v="01-2023"/>
    <s v="Asia"/>
    <s v="China"/>
    <s v="Shanghai"/>
    <s v="Shanghai"/>
    <s v="Corporate"/>
    <s v="Retail"/>
    <s v="Retail"/>
    <s v="A. Patel"/>
    <s v="A. Patel"/>
    <x v="0"/>
    <s v="High"/>
    <s v="CMP-7371"/>
    <s v="C"/>
    <n v="882.33"/>
    <n v="1880.15"/>
    <n v="1880.15"/>
    <n v="0.05"/>
    <n v="0.05"/>
    <n v="0"/>
    <n v="5"/>
    <n v="8930.7124999999996"/>
    <n v="4411.6500000000005"/>
    <n v="4519.0624999999991"/>
    <n v="0.50601365792482955"/>
    <n v="10408411.89389001"/>
    <n v="0.95090741706442972"/>
    <n v="0.05"/>
    <n v="6.5"/>
    <n v="970.5630000000001"/>
    <n v="11609.92625"/>
  </r>
  <r>
    <s v="ORD-2023-128295"/>
    <d v="2023-06-23T00:00:00"/>
    <d v="2023-06-23T00:00:00"/>
    <d v="2023-07-03T00:00:00"/>
    <d v="2023-07-03T00:00:00"/>
    <n v="10"/>
    <n v="0"/>
    <s v="06-2023"/>
    <s v="Q2-2023"/>
    <d v="2023-01-13T00:00:00"/>
    <s v="01-2023"/>
    <s v="Africa"/>
    <s v="Nigeria"/>
    <s v="Abuja"/>
    <s v="Abuja"/>
    <s v="Consumer"/>
    <s v="Online"/>
    <s v="Online"/>
    <s v="J. Njeri"/>
    <s v="J. Njeri"/>
    <x v="5"/>
    <s v="Low"/>
    <s v="PRN-2542"/>
    <s v="C"/>
    <n v="337.75"/>
    <n v="548.89"/>
    <n v="548.89"/>
    <n v="0"/>
    <n v="0"/>
    <n v="0"/>
    <n v="13"/>
    <n v="7135.57"/>
    <n v="4390.75"/>
    <n v="2744.8199999999997"/>
    <n v="0.38466723751571352"/>
    <n v="10415547.46389001"/>
    <n v="0.95155931924769799"/>
    <n v="0"/>
    <n v="16.900000000000002"/>
    <n v="371.52500000000003"/>
    <n v="9276.2410000000018"/>
  </r>
  <r>
    <s v="ORD-2023-944052"/>
    <d v="2023-08-30T00:00:00"/>
    <d v="2023-08-30T00:00:00"/>
    <d v="2023-09-03T00:00:00"/>
    <d v="2023-09-03T00:00:00"/>
    <n v="4"/>
    <n v="0"/>
    <s v="08-2023"/>
    <s v="Q3-2023"/>
    <d v="2023-01-29T00:00:00"/>
    <s v="01-2023"/>
    <s v="Asia"/>
    <s v="India"/>
    <s v="Delhi"/>
    <s v="Delhi"/>
    <s v="Small Business"/>
    <s v="Marketplace"/>
    <s v="Marketplace"/>
    <s v="L. Okafor"/>
    <s v="L. Okafor"/>
    <x v="1"/>
    <s v="High"/>
    <s v="ACC-3068"/>
    <s v="C"/>
    <n v="1082.25"/>
    <n v="2433.34"/>
    <n v="2433.34"/>
    <n v="0.27"/>
    <n v="0.27"/>
    <n v="1"/>
    <n v="4"/>
    <n v="7105.3528000000006"/>
    <n v="4329"/>
    <n v="2776.3528000000006"/>
    <n v="0.3907410199251472"/>
    <n v="10422652.816690011"/>
    <n v="0.95220846080236177"/>
    <n v="0.2"/>
    <n v="5.2"/>
    <n v="1190.4750000000001"/>
    <n v="10122.6944"/>
  </r>
  <r>
    <s v="ORD-2023-752962"/>
    <d v="2023-04-21T00:00:00"/>
    <d v="2023-04-19T00:00:00"/>
    <d v="2023-04-19T00:00:00"/>
    <d v="2023-04-21T00:00:00"/>
    <n v="2"/>
    <n v="1"/>
    <s v="04-2023"/>
    <s v="Q2-2023"/>
    <d v="2023-03-03T00:00:00"/>
    <s v="03-2023"/>
    <s v="Asia"/>
    <s v="Japan"/>
    <s v="Nagoya"/>
    <s v="Nagoya"/>
    <s v="Small Business"/>
    <s v="Direct"/>
    <s v="Direct"/>
    <s v="M. Rossi"/>
    <s v="M. Rossi"/>
    <x v="0"/>
    <s v="Medium"/>
    <s v="CMP-8604"/>
    <s v="C"/>
    <n v="607.04"/>
    <n v="1229.3399999999999"/>
    <n v="1229.3399999999999"/>
    <n v="0.14699999999999999"/>
    <n v="0.14699999999999999"/>
    <n v="0"/>
    <n v="7"/>
    <n v="7340.3891399999993"/>
    <n v="4249.28"/>
    <n v="3091.1091399999996"/>
    <n v="0.42110970972310058"/>
    <n v="10429993.205830012"/>
    <n v="0.95287907516202819"/>
    <n v="0.14699999999999999"/>
    <n v="9.1"/>
    <n v="667.74400000000003"/>
    <n v="9542.5058819999995"/>
  </r>
  <r>
    <s v="ORD-2024-206311"/>
    <d v="2024-01-13T00:00:00"/>
    <d v="2024-01-13T00:00:00"/>
    <d v="2024-01-15T00:00:00"/>
    <d v="2024-01-15T00:00:00"/>
    <n v="2"/>
    <n v="0"/>
    <s v="01-2024"/>
    <s v="Q1-2024"/>
    <d v="2023-01-13T00:00:00"/>
    <s v="01-2023"/>
    <s v="Americas"/>
    <s v="USA"/>
    <s v="San Francisco"/>
    <s v="San Francisco"/>
    <s v="Non-Profit"/>
    <s v="Direct"/>
    <s v="Direct"/>
    <s v="E. Garcia"/>
    <s v="E. Garcia"/>
    <x v="0"/>
    <s v="High"/>
    <s v="CMP-2410"/>
    <s v="C"/>
    <n v="1061.3699999999999"/>
    <n v="1938.33"/>
    <n v="1938.33"/>
    <n v="0.17"/>
    <n v="0.17"/>
    <n v="0"/>
    <n v="4"/>
    <n v="6435.2555999999995"/>
    <n v="4245.4799999999996"/>
    <n v="2189.7755999999999"/>
    <n v="0.34027795259600879"/>
    <n v="10436428.461430011"/>
    <n v="0.95346699696442505"/>
    <n v="0.17"/>
    <n v="5.2"/>
    <n v="1167.5070000000001"/>
    <n v="8365.8322800000005"/>
  </r>
  <r>
    <s v="ORD-2025-762301"/>
    <d v="2025-05-02T00:00:00"/>
    <d v="2025-05-02T00:00:00"/>
    <d v="2025-05-13T00:00:00"/>
    <d v="2025-05-13T00:00:00"/>
    <n v="11"/>
    <n v="0"/>
    <s v="05-2025"/>
    <s v="Q2-2025"/>
    <d v="2023-01-20T00:00:00"/>
    <s v="01-2023"/>
    <s v="Africa"/>
    <s v="Kenya"/>
    <s v="Nakuru"/>
    <s v="Nakuru"/>
    <s v="Small Business"/>
    <s v="Online"/>
    <s v="Online"/>
    <s v="A. Patel"/>
    <s v="A. Patel"/>
    <x v="1"/>
    <s v="Medium"/>
    <s v="ACC-2252"/>
    <s v="C"/>
    <n v="1057.5999999999999"/>
    <n v="1437.06"/>
    <n v="1437.06"/>
    <n v="0.20499999999999999"/>
    <n v="0.20499999999999999"/>
    <n v="1"/>
    <n v="4"/>
    <n v="4569.8508000000002"/>
    <n v="4230.3999999999996"/>
    <n v="339.45080000000053"/>
    <n v="7.4280499485891424E-2"/>
    <n v="10440998.312230011"/>
    <n v="0.95388449629716665"/>
    <n v="0.2"/>
    <n v="5.2"/>
    <n v="1163.3599999999999"/>
    <n v="5978.1696000000002"/>
  </r>
  <r>
    <s v="ORD-2023-450877"/>
    <d v="2023-09-21T00:00:00"/>
    <d v="2023-09-21T00:00:00"/>
    <d v="2023-10-10T00:00:00"/>
    <d v="2023-10-10T00:00:00"/>
    <n v="19"/>
    <n v="0"/>
    <s v="09-2023"/>
    <s v="Q3-2023"/>
    <d v="2023-03-03T00:00:00"/>
    <s v="03-2023"/>
    <s v="Asia"/>
    <s v="Japan"/>
    <s v="Tokyo"/>
    <s v="Tokyo"/>
    <s v="Education"/>
    <s v="Online"/>
    <s v="Online"/>
    <s v="D. Smith"/>
    <s v="D. Smith"/>
    <x v="0"/>
    <s v="High"/>
    <s v="CMP-5211"/>
    <s v="C"/>
    <n v="845.63"/>
    <n v="2062.12"/>
    <n v="2062.12"/>
    <n v="0.13400000000000001"/>
    <n v="0.13400000000000001"/>
    <n v="0"/>
    <n v="5"/>
    <n v="8928.9795999999988"/>
    <n v="4228.1499999999996"/>
    <n v="4700.8295999999991"/>
    <n v="0.52646884757133949"/>
    <n v="10449927.291830011"/>
    <n v="0.95470024350385052"/>
    <n v="0.13400000000000001"/>
    <n v="6.5"/>
    <n v="930.1930000000001"/>
    <n v="11607.673479999999"/>
  </r>
  <r>
    <s v="ORD-2024-427031"/>
    <d v="2024-06-08T00:00:00"/>
    <d v="2024-06-08T00:00:00"/>
    <d v="2024-06-24T00:00:00"/>
    <d v="2024-06-24T00:00:00"/>
    <n v="16"/>
    <n v="1"/>
    <s v="06-2024"/>
    <s v="Q2-2024"/>
    <d v="2023-01-07T00:00:00"/>
    <s v="01-2023"/>
    <s v="Africa"/>
    <s v="South Africa"/>
    <s v="Durban"/>
    <s v="Durban"/>
    <s v="Education"/>
    <s v="Distributor"/>
    <s v="Distributor"/>
    <s v="H. Kim"/>
    <s v="H. Kim"/>
    <x v="2"/>
    <s v="Low"/>
    <s v="MON-1389"/>
    <s v="C"/>
    <n v="597.85"/>
    <n v="741.92"/>
    <n v="741.92"/>
    <n v="3.1E-2"/>
    <n v="3.1E-2"/>
    <n v="0"/>
    <n v="7"/>
    <n v="5032.4433599999993"/>
    <n v="4184.95"/>
    <n v="847.49335999999948"/>
    <n v="0.16840594108544515"/>
    <n v="10454959.735190012"/>
    <n v="0.9551600050664949"/>
    <n v="3.1E-2"/>
    <n v="9.1"/>
    <n v="657.6350000000001"/>
    <n v="6542.1763679999995"/>
  </r>
  <r>
    <s v="ORD-2025-856556"/>
    <d v="2025-06-15T00:00:00"/>
    <d v="2025-06-15T00:00:00"/>
    <d v="2025-07-12T00:00:00"/>
    <d v="2025-07-12T00:00:00"/>
    <n v="27"/>
    <n v="0"/>
    <s v="06-2025"/>
    <s v="Q2-2025"/>
    <d v="2023-01-10T00:00:00"/>
    <s v="01-2023"/>
    <s v="Europe"/>
    <s v="France"/>
    <s v="Marseille"/>
    <s v="Marseille"/>
    <s v="Consumer"/>
    <s v="Direct"/>
    <s v="Direct"/>
    <s v="C. Otieno"/>
    <s v="C. Otieno"/>
    <x v="1"/>
    <s v="Low"/>
    <s v="ACC-7906"/>
    <s v="C"/>
    <n v="318.83"/>
    <n v="699.5"/>
    <n v="699.5"/>
    <n v="0.08"/>
    <n v="0.08"/>
    <n v="0"/>
    <n v="13"/>
    <n v="8366.02"/>
    <n v="4144.79"/>
    <n v="4221.2300000000005"/>
    <n v="0.50456848059172699"/>
    <n v="10463325.755190011"/>
    <n v="0.95592432055961818"/>
    <n v="0.08"/>
    <n v="16.900000000000002"/>
    <n v="350.71300000000002"/>
    <n v="10875.826000000001"/>
  </r>
  <r>
    <s v="ORD-2024-585443"/>
    <d v="2024-08-17T00:00:00"/>
    <d v="2024-08-15T00:00:00"/>
    <d v="2024-08-15T00:00:00"/>
    <d v="2024-08-17T00:00:00"/>
    <n v="2"/>
    <n v="0"/>
    <s v="08-2024"/>
    <s v="Q3-2024"/>
    <d v="2023-01-29T00:00:00"/>
    <s v="01-2023"/>
    <s v="Americas"/>
    <s v="Brazil"/>
    <s v="Rio de Janeiro"/>
    <s v="Rio de Janeiro"/>
    <s v="Consumer"/>
    <s v="Direct"/>
    <s v="Direct"/>
    <s v="M. Rossi"/>
    <s v="M. Rossi"/>
    <x v="2"/>
    <s v="Low"/>
    <s v="MON-2849"/>
    <s v="C"/>
    <n v="165.3"/>
    <n v="275.07"/>
    <n v="275.07"/>
    <n v="0.13300000000000001"/>
    <n v="0.13300000000000001"/>
    <n v="0"/>
    <n v="25"/>
    <n v="5962.1422499999999"/>
    <n v="4132.5"/>
    <n v="1829.6422499999999"/>
    <n v="0.30687665159280625"/>
    <n v="10469287.897440011"/>
    <n v="0.95646901895788639"/>
    <n v="0.13300000000000001"/>
    <n v="32.5"/>
    <n v="181.83000000000004"/>
    <n v="7750.7849249999999"/>
  </r>
  <r>
    <s v="ORD-2025-306903"/>
    <d v="2025-06-24T00:00:00"/>
    <d v="2025-06-24T00:00:00"/>
    <d v="2025-07-23T00:00:00"/>
    <d v="2025-07-23T00:00:00"/>
    <n v="29"/>
    <n v="0"/>
    <s v="06-2025"/>
    <s v="Q2-2025"/>
    <d v="2023-01-02T00:00:00"/>
    <s v="01-2023"/>
    <s v="Americas"/>
    <s v="Canada"/>
    <s v="Vancouver"/>
    <s v="Vancouver"/>
    <s v="Non-Profit"/>
    <s v="Marketplace"/>
    <s v="Marketplace"/>
    <s v="I. Johnson"/>
    <s v="I. Johnson"/>
    <x v="5"/>
    <s v="Low"/>
    <s v="PRN-3775"/>
    <s v="C"/>
    <n v="255.4"/>
    <n v="322.70999999999998"/>
    <n v="322.70999999999998"/>
    <n v="0.115"/>
    <n v="0.115"/>
    <n v="0"/>
    <n v="16"/>
    <n v="4569.5735999999997"/>
    <n v="4086.4"/>
    <n v="483.17359999999962"/>
    <n v="0.10573713048412212"/>
    <n v="10473857.47104001"/>
    <n v="0.95688649296577155"/>
    <n v="0.115"/>
    <n v="20.8"/>
    <n v="280.94000000000005"/>
    <n v="5940.4456799999998"/>
  </r>
  <r>
    <s v="ORD-2023-406606"/>
    <d v="2023-10-25T00:00:00"/>
    <d v="2023-10-25T00:00:00"/>
    <d v="2023-10-28T00:00:00"/>
    <d v="2023-10-28T00:00:00"/>
    <n v="3"/>
    <n v="0"/>
    <s v="10-2023"/>
    <s v="Q4-2023"/>
    <d v="2023-01-29T00:00:00"/>
    <s v="01-2023"/>
    <s v="Americas"/>
    <s v="Brazil"/>
    <s v="Brasília"/>
    <s v="Brasília"/>
    <s v="Corporate"/>
    <s v="Distributor"/>
    <s v="Distributor"/>
    <s v="L. Okafor"/>
    <s v="L. Okafor"/>
    <x v="1"/>
    <s v="Medium"/>
    <s v="ACC-2867"/>
    <s v="C"/>
    <n v="509.31"/>
    <n v="1145.9000000000001"/>
    <n v="1145.9000000000001"/>
    <n v="5.7000000000000002E-2"/>
    <n v="5.7000000000000002E-2"/>
    <n v="0"/>
    <n v="8"/>
    <n v="8644.6696000000011"/>
    <n v="4074.48"/>
    <n v="4570.1896000000015"/>
    <n v="0.52867140231709964"/>
    <n v="10482502.140640011"/>
    <n v="0.95767626574998832"/>
    <n v="5.7000000000000002E-2"/>
    <n v="10.4"/>
    <n v="560.2410000000001"/>
    <n v="11238.07048"/>
  </r>
  <r>
    <s v="ORD-2024-357368"/>
    <d v="2024-10-30T00:00:00"/>
    <d v="2024-10-30T00:00:00"/>
    <d v="2024-11-24T00:00:00"/>
    <d v="2024-11-24T00:00:00"/>
    <n v="25"/>
    <n v="1"/>
    <s v="10-2024"/>
    <s v="Q4-2024"/>
    <d v="2023-01-12T00:00:00"/>
    <s v="01-2023"/>
    <s v="Asia"/>
    <s v="China"/>
    <s v="Shenzhen"/>
    <s v="Shenzhen"/>
    <s v="Small Business"/>
    <s v="Online"/>
    <s v="Online"/>
    <s v="E. Garcia"/>
    <s v="E. Garcia"/>
    <x v="0"/>
    <s v="Medium"/>
    <s v="CMP-4610"/>
    <s v="C"/>
    <n v="811.05"/>
    <n v="1217.71"/>
    <n v="1217.71"/>
    <n v="7.1999999999999995E-2"/>
    <n v="7.1999999999999995E-2"/>
    <n v="0"/>
    <n v="5"/>
    <n v="5650.1744000000008"/>
    <n v="4055.25"/>
    <n v="1594.9244000000008"/>
    <n v="0.28227879125288602"/>
    <n v="10488152.315040011"/>
    <n v="0.95819246291814819"/>
    <n v="7.1999999999999995E-2"/>
    <n v="6.5"/>
    <n v="892.15499999999997"/>
    <n v="7345.2267200000006"/>
  </r>
  <r>
    <s v="ORD-2023-356427"/>
    <d v="2023-04-13T00:00:00"/>
    <d v="2023-04-13T00:00:00"/>
    <d v="2023-05-02T00:00:00"/>
    <d v="2023-05-02T00:00:00"/>
    <n v="19"/>
    <n v="0"/>
    <s v="04-2023"/>
    <s v="Q2-2023"/>
    <d v="2023-01-02T00:00:00"/>
    <s v="01-2023"/>
    <s v="Americas"/>
    <s v="Canada"/>
    <s v="Montreal"/>
    <s v="Montreal"/>
    <s v="Consumer"/>
    <s v="Distributor"/>
    <s v="Distributor"/>
    <s v="E. Garcia"/>
    <s v="E. Garcia"/>
    <x v="2"/>
    <s v="High"/>
    <s v="MON-6053"/>
    <s v="C"/>
    <n v="671.05"/>
    <n v="1645.48"/>
    <n v="1645.48"/>
    <n v="0.13700000000000001"/>
    <n v="0.13700000000000001"/>
    <n v="0"/>
    <n v="6"/>
    <n v="8520.2954399999999"/>
    <n v="4026.2999999999997"/>
    <n v="4493.9954400000006"/>
    <n v="0.52744596377517172"/>
    <n v="10496672.610480011"/>
    <n v="0.95897087293997207"/>
    <n v="0.13700000000000001"/>
    <n v="7.8000000000000007"/>
    <n v="738.15499999999997"/>
    <n v="11076.384072000001"/>
  </r>
  <r>
    <s v="ORD-2023-349264"/>
    <d v="2023-06-01T00:00:00"/>
    <d v="2023-06-01T00:00:00"/>
    <d v="2023-06-08T00:00:00"/>
    <d v="2023-06-08T00:00:00"/>
    <n v="7"/>
    <n v="0"/>
    <s v="06-2023"/>
    <s v="Q2-2023"/>
    <d v="2023-01-21T00:00:00"/>
    <s v="01-2023"/>
    <s v="Europe"/>
    <s v="Germany"/>
    <s v="Frankfurt"/>
    <s v="Frankfurt"/>
    <s v="Consumer"/>
    <s v="Online"/>
    <s v="Online"/>
    <s v="A. Patel"/>
    <s v="A. Patel"/>
    <x v="6"/>
    <s v="Medium"/>
    <s v="PHN-1924"/>
    <s v="C"/>
    <n v="804.17"/>
    <n v="1072.29"/>
    <n v="1072.29"/>
    <n v="3.2000000000000001E-2"/>
    <n v="3.2000000000000001E-2"/>
    <n v="0"/>
    <n v="5"/>
    <n v="5189.8836000000001"/>
    <n v="4020.85"/>
    <n v="1169.0336000000002"/>
    <n v="0.2252523736755869"/>
    <n v="10501862.494080011"/>
    <n v="0.95944501816589634"/>
    <n v="3.2000000000000001E-2"/>
    <n v="6.5"/>
    <n v="884.58699999999999"/>
    <n v="6746.8486800000001"/>
  </r>
  <r>
    <s v="ORD-2023-610470"/>
    <d v="2023-06-24T00:00:00"/>
    <d v="2023-06-24T00:00:00"/>
    <d v="2023-07-21T00:00:00"/>
    <d v="2023-07-21T00:00:00"/>
    <n v="27"/>
    <n v="0"/>
    <s v="06-2023"/>
    <s v="Q2-2023"/>
    <d v="2023-03-03T00:00:00"/>
    <s v="03-2023"/>
    <s v="Asia"/>
    <s v="Japan"/>
    <s v="Nagoya"/>
    <s v="Nagoya"/>
    <s v="Consumer"/>
    <s v="Marketplace"/>
    <s v="Marketplace"/>
    <s v="J. Njeri"/>
    <s v="J. Njeri"/>
    <x v="6"/>
    <s v="Low"/>
    <s v="PHN-6818"/>
    <s v="C"/>
    <n v="554.76"/>
    <n v="728.69"/>
    <n v="728.69"/>
    <n v="0.22"/>
    <n v="0.22"/>
    <n v="1"/>
    <n v="7"/>
    <n v="3978.6474000000003"/>
    <n v="3883.3199999999997"/>
    <n v="95.32740000000058"/>
    <n v="2.395975074343119E-2"/>
    <n v="10505841.14148001"/>
    <n v="0.95980850544533081"/>
    <n v="0.2"/>
    <n v="9.1"/>
    <n v="610.23599999999999"/>
    <n v="5304.8632000000007"/>
  </r>
  <r>
    <s v="ORD-2025-252117"/>
    <d v="2025-04-28T00:00:00"/>
    <d v="2025-04-28T00:00:00"/>
    <d v="2025-05-19T00:00:00"/>
    <d v="2025-05-19T00:00:00"/>
    <n v="21"/>
    <n v="1"/>
    <s v="04-2025"/>
    <s v="Q2-2025"/>
    <d v="2023-01-21T00:00:00"/>
    <s v="01-2023"/>
    <s v="Europe"/>
    <s v="Germany"/>
    <s v="Berlin"/>
    <s v="Berlin"/>
    <s v="Corporate"/>
    <s v="Distributor"/>
    <s v="Distributor"/>
    <s v="B. Chen"/>
    <s v="B. Chen"/>
    <x v="6"/>
    <s v="Low"/>
    <s v="PHN-2462"/>
    <s v="C"/>
    <n v="350.76"/>
    <n v="492.18"/>
    <n v="492.18"/>
    <n v="5.2999999999999999E-2"/>
    <n v="5.2999999999999999E-2"/>
    <n v="0"/>
    <n v="11"/>
    <n v="5127.0390600000001"/>
    <n v="3858.3599999999997"/>
    <n v="1268.6790600000004"/>
    <n v="0.24744868239798437"/>
    <n v="10510968.18054001"/>
    <n v="0.96027690922483488"/>
    <n v="5.2999999999999999E-2"/>
    <n v="14.3"/>
    <n v="385.83600000000001"/>
    <n v="6665.1507780000002"/>
  </r>
  <r>
    <s v="ORD-2024-961756"/>
    <d v="2024-11-25T00:00:00"/>
    <d v="2024-11-25T00:00:00"/>
    <d v="2024-12-07T00:00:00"/>
    <d v="2024-12-07T00:00:00"/>
    <n v="12"/>
    <n v="0"/>
    <s v="11-2024"/>
    <s v="Q4-2024"/>
    <d v="2023-01-12T00:00:00"/>
    <s v="01-2023"/>
    <s v="Asia"/>
    <s v="China"/>
    <s v="Shanghai"/>
    <s v="Shanghai"/>
    <s v="Corporate"/>
    <s v="Distributor"/>
    <s v="Distributor"/>
    <s v="A. Patel"/>
    <s v="A. Patel"/>
    <x v="1"/>
    <s v="Low"/>
    <s v="ACC-7047"/>
    <s v="C"/>
    <n v="769.9"/>
    <n v="814.36"/>
    <n v="814.36"/>
    <n v="0"/>
    <n v="0"/>
    <n v="0"/>
    <n v="5"/>
    <n v="4071.8"/>
    <n v="3849.5"/>
    <n v="222.30000000000018"/>
    <n v="5.4595019401738831E-2"/>
    <n v="10515039.980540011"/>
    <n v="0.96064890688021942"/>
    <n v="0"/>
    <n v="6.5"/>
    <n v="846.8900000000001"/>
    <n v="5293.34"/>
  </r>
  <r>
    <s v="ORD-2023-659070"/>
    <d v="2023-10-21T00:00:00"/>
    <d v="2023-10-21T00:00:00"/>
    <d v="2023-10-21T00:00:00"/>
    <d v="2023-10-21T00:00:00"/>
    <n v="0"/>
    <n v="0"/>
    <s v="10-2023"/>
    <s v="Q4-2023"/>
    <d v="2023-01-19T00:00:00"/>
    <s v="01-2023"/>
    <s v="Europe"/>
    <s v="United Kingdom"/>
    <s v="Manchester"/>
    <s v="Manchester"/>
    <s v="Enterprise"/>
    <s v="Distributor"/>
    <s v="Distributor"/>
    <s v="J. Njeri"/>
    <s v="J. Njeri"/>
    <x v="2"/>
    <s v="Low"/>
    <s v="MON-8697"/>
    <s v="C"/>
    <n v="384.19"/>
    <n v="278.35000000000002"/>
    <n v="278.35000000000002"/>
    <n v="5.6000000000000001E-2"/>
    <n v="5.6000000000000001E-2"/>
    <n v="0"/>
    <n v="10"/>
    <n v="2627.6239999999998"/>
    <n v="3841.9"/>
    <n v="1214.2760000000003"/>
    <n v="0.46211938998882657"/>
    <n v="10517667.604540011"/>
    <n v="0.96088896532297985"/>
    <n v="5.6000000000000001E-2"/>
    <n v="13"/>
    <n v="422.60900000000004"/>
    <n v="3415.9112"/>
  </r>
  <r>
    <s v="ORD-2025-779530"/>
    <d v="2025-05-19T00:00:00"/>
    <d v="2025-05-17T00:00:00"/>
    <d v="2025-05-17T00:00:00"/>
    <d v="2025-05-19T00:00:00"/>
    <n v="2"/>
    <n v="0"/>
    <s v="05-2025"/>
    <s v="Q2-2025"/>
    <d v="2023-01-29T00:00:00"/>
    <s v="01-2023"/>
    <s v="Americas"/>
    <s v="Brazil"/>
    <s v="São Paulo"/>
    <s v="São Paulo"/>
    <s v="Small Business"/>
    <s v="Distributor"/>
    <s v="Distributor"/>
    <s v="L. Okafor"/>
    <s v="L. Okafor"/>
    <x v="2"/>
    <s v="Medium"/>
    <s v="MON-2993"/>
    <s v="C"/>
    <n v="383.77"/>
    <n v="952.56"/>
    <n v="952.56"/>
    <n v="0.34599999999999997"/>
    <n v="0.3"/>
    <n v="1"/>
    <n v="10"/>
    <n v="6667.9199999999983"/>
    <n v="3837.7"/>
    <n v="2830.2199999999984"/>
    <n v="0.42445320279787385"/>
    <n v="10524335.524540011"/>
    <n v="0.96149814323110194"/>
    <n v="0.2"/>
    <n v="13"/>
    <n v="422.14699999999999"/>
    <n v="9906.6239999999998"/>
  </r>
  <r>
    <s v="ORD-2025-898843"/>
    <d v="2025-02-02T00:00:00"/>
    <d v="2025-02-02T00:00:00"/>
    <d v="2025-03-04T00:00:00"/>
    <d v="2025-03-04T00:00:00"/>
    <n v="30"/>
    <n v="0"/>
    <s v="02-2025"/>
    <s v="Q1-2025"/>
    <d v="2023-03-03T00:00:00"/>
    <s v="03-2023"/>
    <s v="Asia"/>
    <s v="Japan"/>
    <s v="Osaka"/>
    <s v="Osaka"/>
    <s v="Education"/>
    <s v="Distributor"/>
    <s v="Distributor"/>
    <s v="L. Okafor"/>
    <s v="L. Okafor"/>
    <x v="1"/>
    <s v="High"/>
    <s v="ACC-9591"/>
    <s v="C"/>
    <n v="766.59"/>
    <n v="1912.8"/>
    <n v="1912.8"/>
    <n v="0.19600000000000001"/>
    <n v="0.19600000000000001"/>
    <n v="0"/>
    <n v="5"/>
    <n v="7689.4560000000001"/>
    <n v="3832.9500000000003"/>
    <n v="3856.5059999999999"/>
    <n v="0.50153170783472845"/>
    <n v="10532024.980540011"/>
    <n v="0.96220064816827522"/>
    <n v="0.19600000000000001"/>
    <n v="6.5"/>
    <n v="843.24900000000014"/>
    <n v="9996.2927999999993"/>
  </r>
  <r>
    <s v="ORD-2024-542244"/>
    <d v="2024-08-30T00:00:00"/>
    <d v="2024-08-30T00:00:00"/>
    <d v="2024-09-05T00:00:00"/>
    <d v="2024-09-05T00:00:00"/>
    <n v="6"/>
    <n v="0"/>
    <s v="08-2024"/>
    <s v="Q3-2024"/>
    <d v="2023-03-03T00:00:00"/>
    <s v="03-2023"/>
    <s v="Asia"/>
    <s v="Japan"/>
    <s v="Nagoya"/>
    <s v="Nagoya"/>
    <s v="Education"/>
    <s v="Online"/>
    <s v="Online"/>
    <s v="N. Brown"/>
    <s v="N. Brown"/>
    <x v="3"/>
    <s v="Medium"/>
    <s v="LAP-7009"/>
    <s v="C"/>
    <n v="466.16"/>
    <n v="876.81"/>
    <n v="876.81"/>
    <n v="0.24099999999999999"/>
    <n v="0.24099999999999999"/>
    <n v="1"/>
    <n v="8"/>
    <n v="5323.9903199999999"/>
    <n v="3729.28"/>
    <n v="1594.7103199999997"/>
    <n v="0.29953291124691594"/>
    <n v="10537348.970860012"/>
    <n v="0.9626870453185109"/>
    <n v="0.2"/>
    <n v="10.4"/>
    <n v="512.77600000000007"/>
    <n v="7295.0592000000006"/>
  </r>
  <r>
    <s v="ORD-2024-356812"/>
    <d v="2024-03-07T00:00:00"/>
    <d v="2024-03-07T00:00:00"/>
    <d v="2024-04-03T00:00:00"/>
    <d v="2024-04-03T00:00:00"/>
    <n v="27"/>
    <n v="0"/>
    <s v="03-2024"/>
    <s v="Q1-2024"/>
    <d v="2023-01-21T00:00:00"/>
    <s v="01-2023"/>
    <s v="Europe"/>
    <s v="Germany"/>
    <s v="Frankfurt"/>
    <s v="Frankfurt"/>
    <s v="Corporate"/>
    <s v="Direct"/>
    <s v="Direct"/>
    <s v="M. Rossi"/>
    <s v="M. Rossi"/>
    <x v="5"/>
    <s v="Medium"/>
    <s v="PRN-6911"/>
    <s v="C"/>
    <n v="738.16"/>
    <n v="956.49"/>
    <n v="956.49"/>
    <n v="0.152"/>
    <n v="0.152"/>
    <n v="0"/>
    <n v="5"/>
    <n v="4055.5175999999997"/>
    <n v="3690.7999999999997"/>
    <n v="364.71759999999995"/>
    <n v="8.9931208780847108E-2"/>
    <n v="10541404.488460012"/>
    <n v="0.96305755542179949"/>
    <n v="0.152"/>
    <n v="6.5"/>
    <n v="811.976"/>
    <n v="5272.1728800000001"/>
  </r>
  <r>
    <s v="ORD-2023-191563"/>
    <d v="2023-11-30T00:00:00"/>
    <d v="2023-11-30T00:00:00"/>
    <d v="2023-12-10T00:00:00"/>
    <d v="2023-12-10T00:00:00"/>
    <n v="10"/>
    <n v="0"/>
    <s v="11-2023"/>
    <s v="Q4-2023"/>
    <d v="2023-01-21T00:00:00"/>
    <s v="01-2023"/>
    <s v="Europe"/>
    <s v="Germany"/>
    <s v="Munich"/>
    <s v="Munich"/>
    <s v="Small Business"/>
    <s v="Direct"/>
    <s v="Direct"/>
    <s v="F. Müller"/>
    <s v="F. Müller"/>
    <x v="3"/>
    <s v="Low"/>
    <s v="LAP-4899"/>
    <s v="C"/>
    <n v="174.74"/>
    <n v="415.96"/>
    <n v="415.96"/>
    <n v="0.125"/>
    <n v="0.125"/>
    <n v="0"/>
    <n v="21"/>
    <n v="7643.2649999999994"/>
    <n v="3669.54"/>
    <n v="3973.7249999999995"/>
    <n v="0.51989889137691803"/>
    <n v="10549047.753460012"/>
    <n v="0.96375584037181727"/>
    <n v="0.125"/>
    <n v="27.3"/>
    <n v="192.21400000000003"/>
    <n v="9936.2445000000007"/>
  </r>
  <r>
    <s v="ORD-2025-542939"/>
    <d v="2025-01-13T00:00:00"/>
    <d v="2025-01-13T00:00:00"/>
    <d v="2025-02-08T00:00:00"/>
    <d v="2025-02-08T00:00:00"/>
    <n v="26"/>
    <n v="0"/>
    <s v="01-2025"/>
    <s v="Q1-2025"/>
    <d v="2023-01-10T00:00:00"/>
    <s v="01-2023"/>
    <s v="Europe"/>
    <s v="France"/>
    <s v="Paris"/>
    <s v="Paris"/>
    <s v="Non-Profit"/>
    <m/>
    <s v="Marketplace"/>
    <s v="E. Garcia"/>
    <s v="E. Garcia"/>
    <x v="2"/>
    <s v="Medium"/>
    <s v="MON-1593"/>
    <s v="C"/>
    <n v="594.74"/>
    <n v="1020.69"/>
    <n v="1020.69"/>
    <n v="0.21099999999999999"/>
    <n v="0.21099999999999999"/>
    <n v="1"/>
    <n v="6"/>
    <n v="4831.9464600000001"/>
    <n v="3568.44"/>
    <n v="1263.5064600000001"/>
    <n v="0.26149016146176424"/>
    <n v="10553879.699920012"/>
    <n v="0.96419728463579468"/>
    <n v="0.2"/>
    <n v="7.8000000000000007"/>
    <n v="654.21400000000006"/>
    <n v="6369.1056000000017"/>
  </r>
  <r>
    <s v="ORD-2025-415018"/>
    <d v="2025-01-22T00:00:00"/>
    <d v="2025-01-22T00:00:00"/>
    <d v="2025-02-04T00:00:00"/>
    <d v="2025-02-04T00:00:00"/>
    <n v="13"/>
    <n v="0"/>
    <s v="01-2025"/>
    <s v="Q1-2025"/>
    <d v="2023-03-03T00:00:00"/>
    <s v="03-2023"/>
    <s v="Asia"/>
    <s v="Japan"/>
    <s v="Tokyo"/>
    <s v="Tokyo"/>
    <s v="Small Business"/>
    <s v="Distributor"/>
    <s v="Distributor"/>
    <s v="L. Okafor"/>
    <s v="L. Okafor"/>
    <x v="5"/>
    <s v="Low"/>
    <s v="PRN-2991"/>
    <s v="C"/>
    <n v="122.29"/>
    <n v="224.95"/>
    <n v="224.95"/>
    <n v="0.153"/>
    <n v="0.153"/>
    <n v="0"/>
    <n v="28"/>
    <n v="5334.9141999999993"/>
    <n v="3424.1200000000003"/>
    <n v="1910.7941999999989"/>
    <n v="0.3581677471026618"/>
    <n v="10559214.614120012"/>
    <n v="0.96468467978636141"/>
    <n v="0.153"/>
    <n v="36.4"/>
    <n v="134.51900000000001"/>
    <n v="6935.3884599999992"/>
  </r>
  <r>
    <s v="ORD-2023-427304"/>
    <d v="2023-06-09T00:00:00"/>
    <d v="2023-06-09T00:00:00"/>
    <d v="2023-06-19T00:00:00"/>
    <d v="2023-06-19T00:00:00"/>
    <n v="10"/>
    <n v="0"/>
    <s v="06-2023"/>
    <s v="Q2-2023"/>
    <d v="2023-01-12T00:00:00"/>
    <s v="01-2023"/>
    <s v="Asia"/>
    <s v="China"/>
    <s v="Beijing"/>
    <s v="Beijing"/>
    <s v="Enterprise"/>
    <s v="Retail"/>
    <s v="Retail"/>
    <s v="F. Müller"/>
    <s v="F. Müller"/>
    <x v="2"/>
    <s v="Low"/>
    <s v="MON-9194"/>
    <s v="C"/>
    <n v="339.61"/>
    <n v="621.02"/>
    <n v="621.02"/>
    <n v="7.0999999999999994E-2"/>
    <n v="7.0999999999999994E-2"/>
    <n v="0"/>
    <n v="10"/>
    <n v="5769.2758000000003"/>
    <n v="3396.1000000000004"/>
    <n v="2373.1758"/>
    <n v="0.41134726129750981"/>
    <n v="10564983.889920013"/>
    <n v="0.9652117580001407"/>
    <n v="7.0999999999999994E-2"/>
    <n v="13"/>
    <n v="373.57100000000003"/>
    <n v="7500.0585400000009"/>
  </r>
  <r>
    <s v="ORD-2023-735274"/>
    <d v="2023-02-23T00:00:00"/>
    <d v="2023-02-23T00:00:00"/>
    <d v="2023-03-08T00:00:00"/>
    <d v="2023-03-08T00:00:00"/>
    <n v="13"/>
    <n v="0"/>
    <s v="02-2023"/>
    <s v="Q1-2023"/>
    <d v="2023-01-19T00:00:00"/>
    <s v="01-2023"/>
    <s v="Europe"/>
    <s v="United Kingdom"/>
    <s v="Manchester"/>
    <s v="Manchester"/>
    <s v="Small Business"/>
    <s v="Direct"/>
    <s v="Direct"/>
    <s v="C. Otieno"/>
    <s v="C. Otieno"/>
    <x v="5"/>
    <s v="Low"/>
    <s v="PRN-7410"/>
    <s v="C"/>
    <n v="307.37"/>
    <n v="462.61"/>
    <n v="462.61"/>
    <n v="0.188"/>
    <n v="0.188"/>
    <n v="0"/>
    <n v="11"/>
    <n v="4132.0325200000007"/>
    <n v="3381.07"/>
    <n v="750.9625200000005"/>
    <n v="0.18174167709599739"/>
    <n v="10569115.922440013"/>
    <n v="0.96558925846907639"/>
    <n v="0.188"/>
    <n v="14.3"/>
    <n v="338.10700000000003"/>
    <n v="5371.6422760000005"/>
  </r>
  <r>
    <s v="ORD-2024-192263"/>
    <d v="2024-11-21T00:00:00"/>
    <d v="2024-11-21T00:00:00"/>
    <d v="2024-12-21T00:00:00"/>
    <d v="2024-12-21T00:00:00"/>
    <n v="30"/>
    <n v="0"/>
    <s v="11-2024"/>
    <s v="Q4-2024"/>
    <d v="2023-01-10T00:00:00"/>
    <s v="01-2023"/>
    <s v="Europe"/>
    <s v="France"/>
    <s v="Marseille"/>
    <s v="Marseille"/>
    <s v="Small Business"/>
    <s v="Direct"/>
    <s v="Direct"/>
    <s v="I. Johnson"/>
    <s v="I. Johnson"/>
    <x v="2"/>
    <s v="High"/>
    <s v="MON-7943"/>
    <s v="C"/>
    <n v="1122.68"/>
    <n v="1997.19"/>
    <n v="1997.19"/>
    <n v="0.186"/>
    <n v="0.186"/>
    <n v="0"/>
    <n v="3"/>
    <n v="4877.1379800000004"/>
    <n v="3368.04"/>
    <n v="1509.0979800000005"/>
    <n v="0.30942285951073306"/>
    <n v="10573993.060420012"/>
    <n v="0.96603483140820556"/>
    <n v="0.186"/>
    <n v="3.9000000000000004"/>
    <n v="1234.9480000000001"/>
    <n v="6340.2793740000016"/>
  </r>
  <r>
    <s v="ORD-2023-868460"/>
    <d v="2023-06-01T00:00:00"/>
    <d v="2023-06-01T00:00:00"/>
    <d v="2023-06-01T00:00:00"/>
    <d v="2023-06-01T00:00:00"/>
    <n v="0"/>
    <n v="0"/>
    <s v="06-2023"/>
    <s v="Q2-2023"/>
    <d v="2023-01-29T00:00:00"/>
    <s v="01-2023"/>
    <s v="Asia"/>
    <s v="India"/>
    <s v="Bengaluru"/>
    <s v="Bengaluru"/>
    <s v="Corporate"/>
    <s v="Retail"/>
    <s v="Retail"/>
    <s v="E. Garcia"/>
    <s v="E. Garcia"/>
    <x v="1"/>
    <s v="Medium"/>
    <s v="ACC-4587"/>
    <s v="C"/>
    <n v="669.37"/>
    <n v="997.2"/>
    <n v="997.2"/>
    <n v="8.2000000000000003E-2"/>
    <n v="8.2000000000000003E-2"/>
    <n v="0"/>
    <n v="5"/>
    <n v="4577.1480000000001"/>
    <n v="3346.85"/>
    <n v="1230.2980000000002"/>
    <n v="0.26879139586484863"/>
    <n v="10578570.208420012"/>
    <n v="0.96645299740956803"/>
    <n v="8.2000000000000003E-2"/>
    <n v="6.5"/>
    <n v="736.30700000000002"/>
    <n v="5950.2924000000003"/>
  </r>
  <r>
    <s v="ORD-2025-650719"/>
    <d v="2025-02-12T00:00:00"/>
    <d v="2025-02-12T00:00:00"/>
    <d v="2025-02-28T00:00:00"/>
    <d v="2025-02-28T00:00:00"/>
    <n v="16"/>
    <n v="1"/>
    <s v="02-2025"/>
    <s v="Q1-2025"/>
    <d v="2023-01-29T00:00:00"/>
    <s v="01-2023"/>
    <s v="Americas"/>
    <s v="Brazil"/>
    <s v="São Paulo"/>
    <s v="São Paulo"/>
    <s v="Non-Profit"/>
    <s v="Direct"/>
    <s v="Direct"/>
    <s v="B. Chen"/>
    <s v="B. Chen"/>
    <x v="2"/>
    <s v="Medium"/>
    <s v="MON-5179"/>
    <s v="C"/>
    <n v="414.95"/>
    <n v="1027.73"/>
    <n v="1027.73"/>
    <n v="6.3E-2"/>
    <n v="6.3E-2"/>
    <n v="0"/>
    <n v="8"/>
    <n v="7703.8640800000003"/>
    <n v="3319.6"/>
    <n v="4384.2640800000008"/>
    <n v="0.56909935513815568"/>
    <n v="10586274.072500013"/>
    <n v="0.9671568186618793"/>
    <n v="6.3E-2"/>
    <n v="10.4"/>
    <n v="456.44500000000005"/>
    <n v="10015.023304"/>
  </r>
  <r>
    <s v="ORD-2025-487261"/>
    <d v="2025-03-06T00:00:00"/>
    <d v="2025-03-06T00:00:00"/>
    <d v="2025-03-31T00:00:00"/>
    <d v="2025-03-31T00:00:00"/>
    <n v="25"/>
    <n v="0"/>
    <s v="03-2025"/>
    <s v="Q1-2025"/>
    <d v="2023-01-29T00:00:00"/>
    <s v="01-2023"/>
    <s v="Americas"/>
    <s v="Brazil"/>
    <s v="Brasília"/>
    <s v="Brasília"/>
    <s v="Non-Profit"/>
    <s v="Online"/>
    <s v="Online"/>
    <s v="J. Njeri"/>
    <s v="J. Njeri"/>
    <x v="0"/>
    <s v="Low"/>
    <s v="CMP-3693"/>
    <s v="C"/>
    <n v="331.57"/>
    <n v="548.4"/>
    <n v="548.4"/>
    <n v="9.4E-2"/>
    <n v="9.4E-2"/>
    <n v="0"/>
    <n v="10"/>
    <n v="4968.5039999999999"/>
    <n v="3315.7"/>
    <n v="1652.8040000000001"/>
    <n v="0.33265626836568918"/>
    <n v="10591242.576500013"/>
    <n v="0.9676107387558841"/>
    <n v="9.4E-2"/>
    <n v="13"/>
    <n v="364.72700000000003"/>
    <n v="6459.0551999999998"/>
  </r>
  <r>
    <s v="ORD-2024-764468"/>
    <d v="2024-02-01T00:00:00"/>
    <d v="2024-02-01T00:00:00"/>
    <d v="2024-02-21T00:00:00"/>
    <d v="2024-02-21T00:00:00"/>
    <n v="20"/>
    <n v="1"/>
    <s v="02-2024"/>
    <s v="Q1-2024"/>
    <d v="2023-01-10T00:00:00"/>
    <s v="01-2023"/>
    <s v="Europe"/>
    <s v="France"/>
    <s v="Paris"/>
    <s v="Paris"/>
    <s v="Small Business"/>
    <s v="Marketplace"/>
    <s v="Marketplace"/>
    <s v="A. Patel"/>
    <s v="A. Patel"/>
    <x v="4"/>
    <s v="Medium"/>
    <s v="NET-8761"/>
    <s v="C"/>
    <n v="656.2"/>
    <n v="1467.17"/>
    <n v="1467.17"/>
    <n v="1.7999999999999999E-2"/>
    <n v="1.7999999999999999E-2"/>
    <n v="0"/>
    <n v="5"/>
    <n v="7203.8047000000006"/>
    <n v="3281"/>
    <n v="3922.8047000000006"/>
    <n v="0.54454623124360946"/>
    <n v="10598446.381200014"/>
    <n v="0.96826887482795243"/>
    <n v="1.7999999999999999E-2"/>
    <n v="6.5"/>
    <n v="721.82000000000016"/>
    <n v="9364.946109999999"/>
  </r>
  <r>
    <s v="ORD-2024-973420"/>
    <d v="2024-05-12T00:00:00"/>
    <d v="2024-05-12T00:00:00"/>
    <d v="2024-05-24T00:00:00"/>
    <d v="2024-05-24T00:00:00"/>
    <n v="12"/>
    <n v="0"/>
    <s v="05-2024"/>
    <s v="Q2-2024"/>
    <d v="2023-01-19T00:00:00"/>
    <s v="01-2023"/>
    <s v="Europe"/>
    <s v="United Kingdom"/>
    <s v="Manchester"/>
    <s v="Manchester"/>
    <s v="Education"/>
    <s v="Marketplace"/>
    <s v="Marketplace"/>
    <s v="K. Singh"/>
    <s v="K. Singh"/>
    <x v="5"/>
    <s v="Low"/>
    <s v="PRN-5813"/>
    <s v="C"/>
    <n v="111.02"/>
    <n v="172.88"/>
    <n v="172.88"/>
    <n v="0.19700000000000001"/>
    <n v="0.19700000000000001"/>
    <n v="0"/>
    <n v="29"/>
    <n v="4025.8565599999993"/>
    <n v="3219.58"/>
    <n v="806.27655999999934"/>
    <n v="0.20027453735212053"/>
    <n v="10602472.237760013"/>
    <n v="0.96863667511314178"/>
    <n v="0.19700000000000001"/>
    <n v="37.700000000000003"/>
    <n v="122.122"/>
    <n v="5233.6135279999999"/>
  </r>
  <r>
    <s v="ORD-2024-320972"/>
    <d v="2024-11-08T00:00:00"/>
    <d v="2024-11-08T00:00:00"/>
    <d v="2024-11-08T00:00:00"/>
    <d v="2024-11-08T00:00:00"/>
    <n v="0"/>
    <n v="0"/>
    <s v="11-2024"/>
    <s v="Q4-2024"/>
    <d v="2023-01-20T00:00:00"/>
    <s v="01-2023"/>
    <s v="Africa"/>
    <s v="Kenya"/>
    <s v="Nakuru"/>
    <s v="Nakuru"/>
    <s v="Enterprise"/>
    <s v="Marketplace"/>
    <s v="Marketplace"/>
    <s v="M. Rossi"/>
    <s v="M. Rossi"/>
    <x v="4"/>
    <s v="Medium"/>
    <s v="NET-2628"/>
    <s v="C"/>
    <n v="803.28"/>
    <n v="1009"/>
    <n v="1009"/>
    <n v="0.11"/>
    <n v="0.11"/>
    <n v="0"/>
    <n v="4"/>
    <n v="3592.04"/>
    <n v="3213.12"/>
    <n v="378.92000000000007"/>
    <n v="0.10548880302001093"/>
    <n v="10606064.277760012"/>
    <n v="0.96896484212970613"/>
    <n v="0.11"/>
    <n v="5.2"/>
    <n v="883.60800000000006"/>
    <n v="4669.652"/>
  </r>
  <r>
    <s v="ORD-2024-478165"/>
    <d v="2024-12-05T00:00:00"/>
    <d v="2024-12-05T00:00:00"/>
    <d v="2024-12-28T00:00:00"/>
    <d v="2024-12-28T00:00:00"/>
    <n v="23"/>
    <n v="0"/>
    <s v="12-2024"/>
    <s v="Q4-2024"/>
    <d v="2023-01-02T00:00:00"/>
    <s v="01-2023"/>
    <s v="Americas"/>
    <s v="Canada"/>
    <s v="Vancouver"/>
    <s v="Vancouver"/>
    <s v="Corporate"/>
    <s v="Direct"/>
    <s v="Direct"/>
    <s v="F. Müller"/>
    <s v="F. Müller"/>
    <x v="1"/>
    <s v="Low"/>
    <s v="ACC-2386"/>
    <s v="C"/>
    <n v="107.03"/>
    <n v="242.29"/>
    <n v="242.29"/>
    <n v="0.18"/>
    <n v="0.18"/>
    <n v="0"/>
    <n v="30"/>
    <n v="5960.3340000000007"/>
    <n v="3210.9"/>
    <n v="2749.4340000000007"/>
    <n v="0.46128857879440988"/>
    <n v="10612024.611760013"/>
    <n v="0.96950937532713932"/>
    <n v="0.18"/>
    <n v="39"/>
    <n v="117.733"/>
    <n v="7748.4342000000006"/>
  </r>
  <r>
    <s v="ORD-2023-987700"/>
    <d v="2023-04-05T00:00:00"/>
    <d v="2023-04-05T00:00:00"/>
    <d v="2023-04-16T00:00:00"/>
    <d v="2023-04-16T00:00:00"/>
    <n v="11"/>
    <n v="0"/>
    <s v="04-2023"/>
    <s v="Q2-2023"/>
    <d v="2023-01-02T00:00:00"/>
    <s v="01-2023"/>
    <s v="Americas"/>
    <s v="Canada"/>
    <s v="Vancouver"/>
    <s v="Vancouver"/>
    <s v="Non-Profit"/>
    <s v="Online"/>
    <s v="Online"/>
    <s v="O. Wang"/>
    <s v="O. Wang"/>
    <x v="2"/>
    <s v="Low"/>
    <s v="MON-5259"/>
    <s v="C"/>
    <n v="213.1"/>
    <n v="501.31"/>
    <n v="501.31"/>
    <n v="5.6000000000000001E-2"/>
    <n v="5.6000000000000001E-2"/>
    <n v="0"/>
    <n v="15"/>
    <n v="7098.5495999999994"/>
    <n v="3196.5"/>
    <n v="3902.0495999999994"/>
    <n v="0.54969674368409005"/>
    <n v="10619123.161360012"/>
    <n v="0.97015789534478025"/>
    <n v="5.6000000000000001E-2"/>
    <n v="19.5"/>
    <n v="234.41000000000003"/>
    <n v="9228.1144800000002"/>
  </r>
  <r>
    <s v="ORD-2025-640677"/>
    <d v="2025-04-09T00:00:00"/>
    <d v="2025-04-09T00:00:00"/>
    <d v="2025-05-06T00:00:00"/>
    <d v="2025-05-06T00:00:00"/>
    <n v="27"/>
    <n v="0"/>
    <s v="04-2025"/>
    <s v="Q2-2025"/>
    <d v="2023-01-29T00:00:00"/>
    <s v="01-2023"/>
    <s v="Americas"/>
    <s v="Brazil"/>
    <s v="Brasília"/>
    <s v="Brasília"/>
    <s v="Enterprise"/>
    <s v="Marketplace"/>
    <s v="Marketplace"/>
    <s v="F. Müller"/>
    <s v="F. Müller"/>
    <x v="3"/>
    <s v="Low"/>
    <s v="LAP-4517"/>
    <s v="C"/>
    <n v="264.19"/>
    <n v="620.92999999999995"/>
    <n v="620.92999999999995"/>
    <n v="0.14199999999999999"/>
    <n v="0.14199999999999999"/>
    <n v="0"/>
    <n v="12"/>
    <n v="6393.0952799999995"/>
    <n v="3170.2799999999997"/>
    <n v="3222.8152799999998"/>
    <n v="0.50410875152794532"/>
    <n v="10625516.256640011"/>
    <n v="0.97074196540097391"/>
    <n v="0.14199999999999999"/>
    <n v="15.600000000000001"/>
    <n v="290.60900000000004"/>
    <n v="8311.0238639999989"/>
  </r>
  <r>
    <s v="ORD-2023-597666"/>
    <d v="2023-10-25T00:00:00"/>
    <d v="2023-10-25T00:00:00"/>
    <d v="2023-11-24T00:00:00"/>
    <d v="2023-11-24T00:00:00"/>
    <n v="30"/>
    <n v="1"/>
    <s v="10-2023"/>
    <s v="Q4-2023"/>
    <d v="2023-01-10T00:00:00"/>
    <s v="01-2023"/>
    <s v="Europe"/>
    <s v="France"/>
    <s v="Paris"/>
    <s v="Paris"/>
    <s v="Enterprise"/>
    <s v="Distributor"/>
    <s v="Distributor"/>
    <s v="C. Otieno"/>
    <s v="C. Otieno"/>
    <x v="6"/>
    <s v="Low"/>
    <s v="PHN-5938"/>
    <s v="C"/>
    <n v="287.85000000000002"/>
    <n v="602.91999999999996"/>
    <n v="602.91999999999996"/>
    <n v="0.222"/>
    <n v="0.222"/>
    <n v="1"/>
    <n v="11"/>
    <n v="5159.7893599999998"/>
    <n v="3166.3500000000004"/>
    <n v="1993.4393599999994"/>
    <n v="0.38634122847216373"/>
    <n v="10630676.046000011"/>
    <n v="0.97121336123185886"/>
    <n v="0.2"/>
    <n v="14.3"/>
    <n v="316.63500000000005"/>
    <n v="6897.4048000000003"/>
  </r>
  <r>
    <s v="ORD-2023-375011"/>
    <d v="2023-08-23T00:00:00"/>
    <d v="2023-08-23T00:00:00"/>
    <d v="2023-09-22T00:00:00"/>
    <d v="2023-09-22T00:00:00"/>
    <n v="30"/>
    <n v="1"/>
    <s v="08-2023"/>
    <s v="Q3-2023"/>
    <d v="2023-01-19T00:00:00"/>
    <s v="01-2023"/>
    <s v="Europe"/>
    <s v="United Kingdom"/>
    <s v="London"/>
    <s v="London"/>
    <s v="Consumer"/>
    <s v="Distributor"/>
    <s v="Distributor"/>
    <s v="O. Wang"/>
    <s v="O. Wang"/>
    <x v="1"/>
    <s v="Low"/>
    <s v="ACC-1492"/>
    <s v="C"/>
    <n v="209.81"/>
    <n v="523"/>
    <n v="523"/>
    <n v="5.8999999999999997E-2"/>
    <n v="5.8999999999999997E-2"/>
    <n v="0"/>
    <n v="15"/>
    <n v="7382.1450000000004"/>
    <n v="3147.15"/>
    <n v="4234.9950000000008"/>
    <n v="0.57368082041195356"/>
    <n v="10638058.191000011"/>
    <n v="0.97188779038646078"/>
    <n v="5.8999999999999997E-2"/>
    <n v="19.5"/>
    <n v="230.79100000000003"/>
    <n v="9596.7885000000006"/>
  </r>
  <r>
    <s v="ORD-2025-683247"/>
    <d v="2025-03-10T00:00:00"/>
    <d v="2025-03-10T00:00:00"/>
    <d v="2025-04-04T00:00:00"/>
    <d v="2025-04-04T00:00:00"/>
    <n v="25"/>
    <n v="0"/>
    <s v="03-2025"/>
    <s v="Q1-2025"/>
    <d v="2023-03-03T00:00:00"/>
    <s v="03-2023"/>
    <s v="Asia"/>
    <s v="Japan"/>
    <s v="Osaka"/>
    <s v="Osaka"/>
    <s v="Corporate"/>
    <s v="Direct"/>
    <s v="Direct"/>
    <s v="H. Kim"/>
    <s v="H. Kim"/>
    <x v="5"/>
    <s v="Medium"/>
    <s v="PRN-9867"/>
    <s v="C"/>
    <n v="783.72"/>
    <n v="1355.94"/>
    <n v="1355.94"/>
    <n v="0.187"/>
    <n v="0.187"/>
    <n v="0"/>
    <n v="4"/>
    <n v="4409.5168800000001"/>
    <n v="3134.88"/>
    <n v="1274.63688"/>
    <n v="0.28906497348525856"/>
    <n v="10642467.707880011"/>
    <n v="0.97229064169073365"/>
    <n v="0.187"/>
    <n v="5.2"/>
    <n v="862.0920000000001"/>
    <n v="5732.3719440000004"/>
  </r>
  <r>
    <s v="ORD-2024-569164"/>
    <d v="2024-09-05T00:00:00"/>
    <d v="2024-09-05T00:00:00"/>
    <d v="2024-09-25T00:00:00"/>
    <d v="2024-09-25T00:00:00"/>
    <n v="20"/>
    <n v="1"/>
    <s v="09-2024"/>
    <s v="Q3-2024"/>
    <d v="2023-03-03T00:00:00"/>
    <s v="03-2023"/>
    <s v="Asia"/>
    <s v="Japan"/>
    <s v="Osaka"/>
    <s v="Osaka"/>
    <s v="Enterprise"/>
    <s v="Distributor"/>
    <s v="Distributor"/>
    <s v="D. Smith"/>
    <s v="D. Smith"/>
    <x v="2"/>
    <s v="Low"/>
    <s v="MON-5249"/>
    <s v="C"/>
    <n v="195.54"/>
    <n v="405.97"/>
    <n v="405.97"/>
    <n v="0.187"/>
    <n v="0.187"/>
    <n v="0"/>
    <n v="16"/>
    <n v="5280.8577599999999"/>
    <n v="3128.64"/>
    <n v="2152.21776"/>
    <n v="0.40755079152141377"/>
    <n v="10647748.56564001"/>
    <n v="0.97277309827139546"/>
    <n v="0.187"/>
    <n v="20.8"/>
    <n v="215.09400000000002"/>
    <n v="6865.1150880000005"/>
  </r>
  <r>
    <s v="ORD-2023-517216"/>
    <d v="2023-09-19T00:00:00"/>
    <d v="2023-09-19T00:00:00"/>
    <d v="2023-10-08T00:00:00"/>
    <d v="2023-10-08T00:00:00"/>
    <n v="19"/>
    <n v="0"/>
    <s v="09-2023"/>
    <s v="Q3-2023"/>
    <d v="2023-01-29T00:00:00"/>
    <s v="01-2023"/>
    <s v="Asia"/>
    <s v="India"/>
    <s v="Bengaluru"/>
    <s v="Bengaluru"/>
    <s v="Education"/>
    <s v="Direct"/>
    <s v="Direct"/>
    <s v="J. Njeri"/>
    <s v="J. Njeri"/>
    <x v="5"/>
    <s v="Low"/>
    <s v="PRN-5005"/>
    <s v="C"/>
    <n v="385.32"/>
    <n v="606.76"/>
    <n v="606.76"/>
    <n v="8.5999999999999993E-2"/>
    <n v="8.5999999999999993E-2"/>
    <n v="0"/>
    <n v="8"/>
    <n v="4436.6291200000005"/>
    <n v="3082.56"/>
    <n v="1354.0691200000006"/>
    <n v="0.30520223425842735"/>
    <n v="10652185.19476001"/>
    <n v="0.97317842653664677"/>
    <n v="8.5999999999999993E-2"/>
    <n v="10.4"/>
    <n v="423.85200000000003"/>
    <n v="5767.6178559999998"/>
  </r>
  <r>
    <s v="ORD-2025-678328"/>
    <d v="2025-06-24T00:00:00"/>
    <d v="2025-06-24T00:00:00"/>
    <d v="2025-07-14T00:00:00"/>
    <d v="2025-07-14T00:00:00"/>
    <n v="20"/>
    <n v="1"/>
    <s v="06-2025"/>
    <s v="Q2-2025"/>
    <d v="2023-01-21T00:00:00"/>
    <s v="01-2023"/>
    <s v="Europe"/>
    <s v="Germany"/>
    <s v="Berlin"/>
    <s v="Berlin"/>
    <s v="Corporate"/>
    <s v="Direct"/>
    <s v="Direct"/>
    <s v="O. Wang"/>
    <s v="O. Wang"/>
    <x v="1"/>
    <s v="Medium"/>
    <s v="ACC-8094"/>
    <s v="C"/>
    <n v="385.08"/>
    <n v="893.19"/>
    <n v="893.19"/>
    <n v="0.151"/>
    <n v="0.151"/>
    <n v="0"/>
    <n v="8"/>
    <n v="6066.54648"/>
    <n v="3080.64"/>
    <n v="2985.9064800000001"/>
    <n v="0.49219213762621666"/>
    <n v="10658251.74124001"/>
    <n v="0.97373266325427554"/>
    <n v="0.151"/>
    <n v="10.4"/>
    <n v="423.58800000000002"/>
    <n v="7886.510424000001"/>
  </r>
  <r>
    <s v="ORD-2025-364852"/>
    <d v="2025-05-18T00:00:00"/>
    <d v="2025-05-18T00:00:00"/>
    <d v="2025-06-09T00:00:00"/>
    <d v="2025-06-09T00:00:00"/>
    <n v="22"/>
    <n v="0"/>
    <s v="05-2025"/>
    <s v="Q2-2025"/>
    <d v="2023-01-13T00:00:00"/>
    <s v="01-2023"/>
    <s v="Americas"/>
    <s v="USA"/>
    <s v="New York"/>
    <s v="New York"/>
    <s v="Consumer"/>
    <s v="Retail"/>
    <s v="Retail"/>
    <s v="H. Kim"/>
    <s v="H. Kim"/>
    <x v="4"/>
    <s v="Low"/>
    <s v="NET-3749"/>
    <s v="C"/>
    <n v="382.96"/>
    <n v="552.84"/>
    <n v="552.84"/>
    <n v="0.17599999999999999"/>
    <n v="0.17599999999999999"/>
    <n v="0"/>
    <n v="8"/>
    <n v="3644.3212800000006"/>
    <n v="3063.68"/>
    <n v="580.64128000000073"/>
    <n v="0.15932768693763483"/>
    <n v="10661896.06252001"/>
    <n v="0.97406560666299602"/>
    <n v="0.17599999999999999"/>
    <n v="10.4"/>
    <n v="421.25600000000003"/>
    <n v="4737.6176640000012"/>
  </r>
  <r>
    <s v="ORD-2025-636162"/>
    <d v="2025-01-07T00:00:00"/>
    <d v="2025-01-07T00:00:00"/>
    <d v="2025-01-20T00:00:00"/>
    <d v="2025-01-20T00:00:00"/>
    <n v="13"/>
    <n v="0"/>
    <s v="01-2025"/>
    <s v="Q1-2025"/>
    <d v="2023-01-07T00:00:00"/>
    <s v="01-2023"/>
    <s v="Africa"/>
    <s v="South Africa"/>
    <s v="Cape Town"/>
    <s v="Cape Town"/>
    <s v="Corporate"/>
    <s v="Direct"/>
    <s v="Direct"/>
    <s v="K. Singh"/>
    <s v="K. Singh"/>
    <x v="4"/>
    <s v="Medium"/>
    <s v="NET-7901"/>
    <s v="C"/>
    <n v="432.13"/>
    <n v="1034.6600000000001"/>
    <n v="1034.6600000000001"/>
    <n v="9.1999999999999998E-2"/>
    <n v="9.1999999999999998E-2"/>
    <n v="0"/>
    <n v="7"/>
    <n v="6576.298960000001"/>
    <n v="3024.91"/>
    <n v="3551.3889600000011"/>
    <n v="0.54002851476204794"/>
    <n v="10668472.361480011"/>
    <n v="0.97466641411774024"/>
    <n v="9.1999999999999998E-2"/>
    <n v="9.1"/>
    <n v="475.34300000000002"/>
    <n v="8549.1886480000012"/>
  </r>
  <r>
    <s v="ORD-2023-177794"/>
    <d v="2023-05-04T00:00:00"/>
    <d v="2023-05-04T00:00:00"/>
    <d v="2023-05-26T00:00:00"/>
    <d v="2023-05-26T00:00:00"/>
    <n v="22"/>
    <n v="0"/>
    <s v="05-2023"/>
    <s v="Q2-2023"/>
    <d v="2023-01-13T00:00:00"/>
    <s v="01-2023"/>
    <s v="Americas"/>
    <s v="USA"/>
    <s v="San Francisco"/>
    <s v="San Francisco"/>
    <s v="Enterprise"/>
    <s v="Online"/>
    <s v="Online"/>
    <s v="J. Njeri"/>
    <s v="J. Njeri"/>
    <x v="4"/>
    <s v="Low"/>
    <s v="NET-5941"/>
    <s v="C"/>
    <n v="249.71"/>
    <n v="361.33"/>
    <n v="361.33"/>
    <n v="9.4E-2"/>
    <n v="9.4E-2"/>
    <n v="0"/>
    <n v="12"/>
    <n v="3928.3797600000003"/>
    <n v="2996.52"/>
    <n v="931.85976000000028"/>
    <n v="0.23721223937881206"/>
    <n v="10672400.741240012"/>
    <n v="0.97502530897018391"/>
    <n v="9.4E-2"/>
    <n v="15.600000000000001"/>
    <n v="274.68100000000004"/>
    <n v="5106.893688000001"/>
  </r>
  <r>
    <s v="ORD-2024-792353"/>
    <d v="2024-08-19T00:00:00"/>
    <d v="2024-08-19T00:00:00"/>
    <d v="2024-09-07T00:00:00"/>
    <d v="2024-09-07T00:00:00"/>
    <n v="19"/>
    <n v="1"/>
    <s v="08-2024"/>
    <s v="Q3-2024"/>
    <d v="2023-01-10T00:00:00"/>
    <s v="01-2023"/>
    <s v="Europe"/>
    <s v="France"/>
    <s v="Lyon"/>
    <s v="Lyon"/>
    <s v="Corporate"/>
    <s v="Direct"/>
    <s v="Direct"/>
    <s v="J. Njeri"/>
    <s v="J. Njeri"/>
    <x v="0"/>
    <s v="Low"/>
    <s v="CMP-5435"/>
    <s v="C"/>
    <n v="297.58999999999997"/>
    <n v="666.41"/>
    <n v="666.41"/>
    <n v="0"/>
    <n v="0"/>
    <n v="0"/>
    <n v="10"/>
    <n v="6664.0999999999995"/>
    <n v="2975.8999999999996"/>
    <n v="3688.2"/>
    <n v="0.55344307558409989"/>
    <n v="10679064.841240011"/>
    <n v="0.97563413788497533"/>
    <n v="0"/>
    <n v="13"/>
    <n v="327.34899999999999"/>
    <n v="8663.33"/>
  </r>
  <r>
    <s v="ORD-2023-813340"/>
    <d v="2023-12-26T00:00:00"/>
    <d v="2023-12-26T00:00:00"/>
    <d v="2024-01-03T00:00:00"/>
    <d v="2024-01-03T00:00:00"/>
    <n v="8"/>
    <n v="1"/>
    <s v="12-2023"/>
    <s v="Q4-2023"/>
    <d v="2023-01-10T00:00:00"/>
    <s v="01-2023"/>
    <s v="Europe"/>
    <s v="France"/>
    <s v="Lyon"/>
    <s v="Lyon"/>
    <s v="Small Business"/>
    <s v="Retail"/>
    <s v="Retail"/>
    <s v="M. Rossi"/>
    <s v="M. Rossi"/>
    <x v="3"/>
    <s v="Low"/>
    <s v="LAP-2942"/>
    <s v="C"/>
    <n v="492.75"/>
    <n v="731.29"/>
    <n v="731.29"/>
    <n v="5.8000000000000003E-2"/>
    <n v="5.8000000000000003E-2"/>
    <n v="0"/>
    <n v="6"/>
    <n v="4133.25108"/>
    <n v="2956.5"/>
    <n v="1176.75108"/>
    <n v="0.28470350753528384"/>
    <n v="10683198.092320012"/>
    <n v="0.97601174968095639"/>
    <n v="5.8000000000000003E-2"/>
    <n v="7.8000000000000007"/>
    <n v="542.02500000000009"/>
    <n v="5373.226404"/>
  </r>
  <r>
    <s v="ORD-2024-745424"/>
    <d v="2024-08-22T00:00:00"/>
    <d v="2024-08-22T00:00:00"/>
    <d v="2024-09-04T00:00:00"/>
    <d v="2024-09-04T00:00:00"/>
    <n v="13"/>
    <n v="0"/>
    <s v="08-2024"/>
    <s v="Q3-2024"/>
    <d v="2023-01-21T00:00:00"/>
    <s v="01-2023"/>
    <s v="Europe"/>
    <s v="Germany"/>
    <s v="Frankfurt"/>
    <s v="Frankfurt"/>
    <s v="Non-Profit"/>
    <s v="Retail"/>
    <s v="Retail"/>
    <s v="L. Okafor"/>
    <s v="L. Okafor"/>
    <x v="5"/>
    <s v="Low"/>
    <s v="PRN-4892"/>
    <s v="C"/>
    <n v="90.04"/>
    <n v="194.62"/>
    <n v="194.62"/>
    <n v="4.2999999999999997E-2"/>
    <n v="4.2999999999999997E-2"/>
    <n v="0"/>
    <n v="32"/>
    <n v="5960.04288"/>
    <n v="2881.28"/>
    <n v="3078.7628799999998"/>
    <n v="0.51656723650954672"/>
    <n v="10689158.135200012"/>
    <n v="0.97655625628180887"/>
    <n v="4.2999999999999997E-2"/>
    <n v="41.6"/>
    <n v="99.044000000000011"/>
    <n v="7748.0557440000002"/>
  </r>
  <r>
    <s v="ORD-2024-350100"/>
    <d v="2024-10-27T00:00:00"/>
    <d v="2024-10-27T00:00:00"/>
    <d v="2024-11-20T00:00:00"/>
    <d v="2024-11-20T00:00:00"/>
    <n v="24"/>
    <n v="0"/>
    <s v="10-2024"/>
    <s v="Q4-2024"/>
    <d v="2023-03-03T00:00:00"/>
    <s v="03-2023"/>
    <s v="Asia"/>
    <s v="Japan"/>
    <s v="Nagoya"/>
    <s v="Nagoya"/>
    <s v="Non-Profit"/>
    <s v="Online"/>
    <s v="Online"/>
    <s v="H. Kim"/>
    <s v="H. Kim"/>
    <x v="2"/>
    <s v="Low"/>
    <s v="MON-8939"/>
    <s v="C"/>
    <n v="317.25"/>
    <n v="758.92"/>
    <n v="758.92"/>
    <n v="5.2999999999999999E-2"/>
    <n v="5.2999999999999999E-2"/>
    <n v="0"/>
    <n v="9"/>
    <n v="6468.2751599999992"/>
    <n v="2855.25"/>
    <n v="3613.0251599999992"/>
    <n v="0.5585762928489888"/>
    <n v="10695626.410360012"/>
    <n v="0.97714719473504852"/>
    <n v="5.2999999999999999E-2"/>
    <n v="11.700000000000001"/>
    <n v="348.97500000000002"/>
    <n v="8408.7577079999992"/>
  </r>
  <r>
    <s v="ORD-2023-294716"/>
    <d v="2023-04-10T00:00:00"/>
    <d v="2023-04-10T00:00:00"/>
    <d v="2023-04-25T00:00:00"/>
    <d v="2023-04-25T00:00:00"/>
    <n v="15"/>
    <n v="1"/>
    <s v="04-2023"/>
    <s v="Q2-2023"/>
    <d v="2023-01-19T00:00:00"/>
    <s v="01-2023"/>
    <s v="Europe"/>
    <s v="United Kingdom"/>
    <s v="London"/>
    <s v="London"/>
    <s v="Small Business"/>
    <s v="Retail"/>
    <s v="Retail"/>
    <s v="D. Smith"/>
    <s v="D. Smith"/>
    <x v="5"/>
    <s v="Medium"/>
    <s v="PRN-5067"/>
    <s v="C"/>
    <n v="405.66"/>
    <n v="962.51"/>
    <n v="962.51"/>
    <n v="0.19"/>
    <n v="0.19"/>
    <n v="0"/>
    <n v="7"/>
    <n v="5457.4317000000001"/>
    <n v="2839.6200000000003"/>
    <n v="2617.8116999999997"/>
    <n v="0.47967832561239376"/>
    <n v="10701083.842060013"/>
    <n v="0.97764578302445893"/>
    <n v="0.19"/>
    <n v="9.1"/>
    <n v="446.22600000000006"/>
    <n v="7094.6612100000011"/>
  </r>
  <r>
    <s v="ORD-2023-651638"/>
    <d v="2023-06-17T00:00:00"/>
    <d v="2023-06-17T00:00:00"/>
    <d v="2023-06-24T00:00:00"/>
    <d v="2023-06-24T00:00:00"/>
    <n v="7"/>
    <n v="0"/>
    <s v="06-2023"/>
    <s v="Q2-2023"/>
    <d v="2023-01-13T00:00:00"/>
    <s v="01-2023"/>
    <s v="Americas"/>
    <s v="USA"/>
    <s v="San Francisco"/>
    <s v="San Francisco"/>
    <s v="Corporate"/>
    <s v="Retail"/>
    <s v="Retail"/>
    <s v="I. Johnson"/>
    <s v="I. Johnson"/>
    <x v="5"/>
    <s v="Low"/>
    <s v="PRN-6536"/>
    <s v="C"/>
    <n v="313.99"/>
    <n v="454.42"/>
    <n v="454.42"/>
    <n v="0.129"/>
    <n v="0.129"/>
    <n v="0"/>
    <n v="9"/>
    <n v="3562.1983800000003"/>
    <n v="2825.91"/>
    <n v="736.28838000000042"/>
    <n v="0.20669493988147858"/>
    <n v="10704646.040440014"/>
    <n v="0.97797122372522383"/>
    <n v="0.129"/>
    <n v="11.700000000000001"/>
    <n v="345.38900000000001"/>
    <n v="4630.8578940000007"/>
  </r>
  <r>
    <s v="ORD-2024-878493"/>
    <d v="2024-06-19T00:00:00"/>
    <d v="2024-06-19T00:00:00"/>
    <d v="2024-06-20T00:00:00"/>
    <d v="2024-06-20T00:00:00"/>
    <n v="1"/>
    <n v="0"/>
    <s v="06-2024"/>
    <s v="Q2-2024"/>
    <d v="2023-01-20T00:00:00"/>
    <s v="01-2023"/>
    <s v="Africa"/>
    <s v="Kenya"/>
    <s v="Kisumu"/>
    <s v="Kisumu"/>
    <s v="Small Business"/>
    <s v="Direct"/>
    <s v="Direct"/>
    <s v="J. Njeri"/>
    <s v="J. Njeri"/>
    <x v="3"/>
    <s v="Low"/>
    <s v="LAP-4607"/>
    <s v="C"/>
    <n v="231.63"/>
    <n v="537.39"/>
    <n v="537.39"/>
    <n v="0.08"/>
    <n v="0.08"/>
    <n v="0"/>
    <n v="12"/>
    <n v="5932.7856000000002"/>
    <n v="2779.56"/>
    <n v="3153.2256000000002"/>
    <n v="0.53149158129024587"/>
    <n v="10710578.826040013"/>
    <n v="0.97851324011431429"/>
    <n v="0.08"/>
    <n v="15.600000000000001"/>
    <n v="254.79300000000001"/>
    <n v="7712.6212800000003"/>
  </r>
  <r>
    <s v="ORD-2024-972318"/>
    <d v="2024-12-24T00:00:00"/>
    <d v="2024-12-24T00:00:00"/>
    <d v="2025-01-13T00:00:00"/>
    <d v="2025-01-13T00:00:00"/>
    <n v="20"/>
    <n v="0"/>
    <s v="12-2024"/>
    <s v="Q4-2024"/>
    <d v="2023-01-29T00:00:00"/>
    <s v="01-2023"/>
    <s v="Asia"/>
    <s v="India"/>
    <s v="Bengaluru"/>
    <s v="Bengaluru"/>
    <s v="Corporate"/>
    <s v="Marketplace"/>
    <s v="Marketplace"/>
    <s v="D. Smith"/>
    <s v="D. Smith"/>
    <x v="4"/>
    <s v="Low"/>
    <s v="NET-9832"/>
    <s v="C"/>
    <n v="126.15"/>
    <n v="284.23"/>
    <n v="284.23"/>
    <n v="0.113"/>
    <n v="0.113"/>
    <n v="0"/>
    <n v="22"/>
    <n v="5546.4642200000008"/>
    <n v="2775.3"/>
    <n v="2771.1642200000006"/>
    <n v="0.49962716968541088"/>
    <n v="10716125.290260013"/>
    <n v="0.97901996237118205"/>
    <n v="0.113"/>
    <n v="28.6"/>
    <n v="138.76500000000001"/>
    <n v="7210.4034860000011"/>
  </r>
  <r>
    <s v="ORD-2024-289089"/>
    <d v="2024-12-17T00:00:00"/>
    <d v="2024-12-17T00:00:00"/>
    <d v="2024-12-18T00:00:00"/>
    <d v="2024-12-18T00:00:00"/>
    <n v="1"/>
    <n v="1"/>
    <s v="12-2024"/>
    <s v="Q4-2024"/>
    <d v="2023-01-21T00:00:00"/>
    <s v="01-2023"/>
    <s v="Europe"/>
    <s v="Germany"/>
    <s v="Munich"/>
    <s v="Munich"/>
    <s v="Education"/>
    <s v="Retail"/>
    <s v="Retail"/>
    <s v="L. Okafor"/>
    <s v="L. Okafor"/>
    <x v="1"/>
    <s v="Low"/>
    <s v="ACC-5780"/>
    <s v="C"/>
    <n v="346.82"/>
    <n v="701.95"/>
    <n v="701.95"/>
    <n v="0.14699999999999999"/>
    <n v="0.14699999999999999"/>
    <n v="0"/>
    <n v="8"/>
    <n v="4790.1068000000005"/>
    <n v="2774.56"/>
    <n v="2015.5468000000005"/>
    <n v="0.42077283120284509"/>
    <n v="10720915.397060012"/>
    <n v="0.97945758418429685"/>
    <n v="0.14699999999999999"/>
    <n v="10.4"/>
    <n v="381.50200000000001"/>
    <n v="6227.1388400000005"/>
  </r>
  <r>
    <s v="ORD-2025-757957"/>
    <d v="2025-04-24T00:00:00"/>
    <d v="2025-04-24T00:00:00"/>
    <d v="2025-05-06T00:00:00"/>
    <d v="2025-05-06T00:00:00"/>
    <n v="12"/>
    <n v="0"/>
    <s v="04-2025"/>
    <s v="Q2-2025"/>
    <d v="2023-01-29T00:00:00"/>
    <s v="01-2023"/>
    <s v="Americas"/>
    <s v="Brazil"/>
    <s v="Brasília"/>
    <s v="Brasília"/>
    <s v="Consumer"/>
    <s v="Online"/>
    <s v="Online"/>
    <s v="C. Otieno"/>
    <s v="C. Otieno"/>
    <x v="6"/>
    <s v="Medium"/>
    <s v="PHN-2787"/>
    <s v="C"/>
    <n v="394.13"/>
    <n v="932.29"/>
    <n v="932.29"/>
    <n v="0.109"/>
    <n v="0.109"/>
    <n v="0"/>
    <n v="7"/>
    <n v="5814.6927299999998"/>
    <n v="2758.91"/>
    <n v="3055.7827299999999"/>
    <n v="0.5255278089303268"/>
    <n v="10726730.089790013"/>
    <n v="0.97998881166657525"/>
    <n v="0.109"/>
    <n v="9.1"/>
    <n v="433.54300000000001"/>
    <n v="7559.1005489999998"/>
  </r>
  <r>
    <s v="ORD-2024-897622"/>
    <d v="2024-03-30T00:00:00"/>
    <d v="2024-03-30T00:00:00"/>
    <d v="2024-04-24T00:00:00"/>
    <d v="2024-04-24T00:00:00"/>
    <n v="25"/>
    <n v="0"/>
    <s v="03-2024"/>
    <s v="Q1-2024"/>
    <d v="2023-01-13T00:00:00"/>
    <s v="01-2023"/>
    <s v="Americas"/>
    <s v="USA"/>
    <s v="Austin"/>
    <s v="Austin"/>
    <s v="Non-Profit"/>
    <s v="Online"/>
    <s v="Online"/>
    <s v="G. Dubois"/>
    <s v="G. Dubois"/>
    <x v="3"/>
    <s v="Low"/>
    <s v="LAP-2846"/>
    <s v="C"/>
    <n v="160.82"/>
    <n v="258.52"/>
    <n v="258.52"/>
    <n v="0.13"/>
    <n v="0.13"/>
    <n v="0"/>
    <n v="17"/>
    <n v="3823.5108"/>
    <n v="2733.94"/>
    <n v="1089.5708"/>
    <n v="0.28496605789631874"/>
    <n v="10730553.600590013"/>
    <n v="0.98033812574215295"/>
    <n v="0.13"/>
    <n v="22.1"/>
    <n v="176.90200000000002"/>
    <n v="4970.5640400000002"/>
  </r>
  <r>
    <s v="ORD-2024-792137"/>
    <d v="2024-03-02T00:00:00"/>
    <d v="2024-03-02T00:00:00"/>
    <d v="2024-03-16T00:00:00"/>
    <d v="2024-03-16T00:00:00"/>
    <n v="14"/>
    <n v="0"/>
    <s v="03-2024"/>
    <s v="Q1-2024"/>
    <d v="2023-01-02T00:00:00"/>
    <s v="01-2023"/>
    <s v="Americas"/>
    <s v="Canada"/>
    <s v="Vancouver"/>
    <s v="Vancouver"/>
    <s v="Non-Profit"/>
    <s v="Direct"/>
    <s v="Direct"/>
    <s v="O. Wang"/>
    <s v="O. Wang"/>
    <x v="5"/>
    <s v="Low"/>
    <s v="PRN-7976"/>
    <s v="C"/>
    <n v="248.24"/>
    <n v="464.05"/>
    <n v="464.05"/>
    <n v="0.16900000000000001"/>
    <n v="0.16900000000000001"/>
    <n v="0"/>
    <n v="11"/>
    <n v="4241.88105"/>
    <n v="2730.6400000000003"/>
    <n v="1511.2410499999996"/>
    <n v="0.3562667203975462"/>
    <n v="10734795.481640013"/>
    <n v="0.98072566191903288"/>
    <n v="0.16900000000000001"/>
    <n v="14.3"/>
    <n v="273.06400000000002"/>
    <n v="5514.4453650000005"/>
  </r>
  <r>
    <s v="ORD-2024-961501"/>
    <d v="2024-03-02T00:00:00"/>
    <d v="2024-03-02T00:00:00"/>
    <d v="2024-03-23T00:00:00"/>
    <d v="2024-03-23T00:00:00"/>
    <n v="21"/>
    <n v="1"/>
    <s v="03-2024"/>
    <s v="Q1-2024"/>
    <d v="2023-01-13T00:00:00"/>
    <s v="01-2023"/>
    <s v="Americas"/>
    <s v="USA"/>
    <s v="Chicago"/>
    <s v="Chicago"/>
    <s v="Small Business"/>
    <s v="Online"/>
    <s v="Online"/>
    <s v="F. Müller"/>
    <s v="F. Müller"/>
    <x v="0"/>
    <s v="Low"/>
    <s v="CMP-3223"/>
    <s v="C"/>
    <n v="225.01"/>
    <n v="333.48"/>
    <n v="333.48"/>
    <n v="0.11899999999999999"/>
    <n v="0.11899999999999999"/>
    <n v="0"/>
    <n v="12"/>
    <n v="3525.5505600000001"/>
    <n v="2700.12"/>
    <n v="825.43056000000024"/>
    <n v="0.23412813004729685"/>
    <n v="10738321.032200012"/>
    <n v="0.98104775449289683"/>
    <n v="0.11899999999999999"/>
    <n v="15.600000000000001"/>
    <n v="247.51100000000002"/>
    <n v="4583.2157280000001"/>
  </r>
  <r>
    <s v="ORD-2023-536542"/>
    <d v="2023-06-10T00:00:00"/>
    <d v="2023-06-10T00:00:00"/>
    <d v="2023-06-18T00:00:00"/>
    <d v="2023-06-18T00:00:00"/>
    <n v="8"/>
    <n v="0"/>
    <s v="06-2023"/>
    <s v="Q2-2023"/>
    <d v="2023-01-20T00:00:00"/>
    <s v="01-2023"/>
    <s v="Africa"/>
    <s v="Kenya"/>
    <s v="Nakuru"/>
    <s v="Nakuru"/>
    <s v="Enterprise"/>
    <s v="Direct"/>
    <s v="Direct"/>
    <s v="H. Kim"/>
    <s v="H. Kim"/>
    <x v="6"/>
    <s v="Medium"/>
    <s v="PHN-2337"/>
    <s v="C"/>
    <n v="894.23"/>
    <n v="1421.55"/>
    <n v="1421.55"/>
    <n v="0.109"/>
    <n v="0.109"/>
    <n v="0"/>
    <n v="3"/>
    <n v="3799.8031499999997"/>
    <n v="2682.69"/>
    <n v="1117.1131499999997"/>
    <n v="0.29399237431549574"/>
    <n v="10742120.835350012"/>
    <n v="0.9813949026491724"/>
    <n v="0.109"/>
    <n v="3.9000000000000004"/>
    <n v="983.65300000000013"/>
    <n v="4939.744095"/>
  </r>
  <r>
    <s v="ORD-2025-578007"/>
    <d v="2025-01-21T00:00:00"/>
    <d v="2025-01-21T00:00:00"/>
    <d v="2025-02-16T00:00:00"/>
    <d v="2025-02-16T00:00:00"/>
    <n v="26"/>
    <n v="0"/>
    <s v="01-2025"/>
    <s v="Q1-2025"/>
    <d v="2023-01-10T00:00:00"/>
    <s v="01-2023"/>
    <s v="Europe"/>
    <s v="France"/>
    <s v="Lyon"/>
    <s v="Lyon"/>
    <s v="Corporate"/>
    <s v="Distributor"/>
    <s v="Distributor"/>
    <s v="O. Wang"/>
    <s v="O. Wang"/>
    <x v="3"/>
    <s v="Low"/>
    <s v="LAP-3779"/>
    <s v="C"/>
    <n v="204.11"/>
    <n v="236.87"/>
    <n v="236.87"/>
    <n v="0.182"/>
    <n v="0.182"/>
    <n v="0"/>
    <n v="13"/>
    <n v="2518.8755800000004"/>
    <n v="2653.4300000000003"/>
    <n v="134.55441999999994"/>
    <n v="5.3418446337075494E-2"/>
    <n v="10744639.710930012"/>
    <n v="0.98162502588949974"/>
    <n v="0.182"/>
    <n v="16.900000000000002"/>
    <n v="224.52100000000004"/>
    <n v="3274.5382540000005"/>
  </r>
  <r>
    <s v="ORD-2024-419248"/>
    <d v="2024-03-04T00:00:00"/>
    <d v="2024-03-04T00:00:00"/>
    <d v="2024-03-16T00:00:00"/>
    <d v="2024-03-16T00:00:00"/>
    <n v="12"/>
    <n v="0"/>
    <s v="03-2024"/>
    <s v="Q1-2024"/>
    <d v="2023-01-07T00:00:00"/>
    <s v="01-2023"/>
    <s v="Africa"/>
    <s v="South Africa"/>
    <s v="Johannesburg"/>
    <s v="Johannesburg"/>
    <s v="Enterprise"/>
    <s v="Distributor"/>
    <s v="Distributor"/>
    <s v="M. Rossi"/>
    <s v="M. Rossi"/>
    <x v="2"/>
    <s v="Medium"/>
    <s v="MON-8422"/>
    <s v="C"/>
    <n v="441.08"/>
    <n v="1054.29"/>
    <n v="1054.29"/>
    <n v="0.23699999999999999"/>
    <n v="0.23699999999999999"/>
    <n v="1"/>
    <n v="6"/>
    <n v="4826.5396199999996"/>
    <n v="2646.48"/>
    <n v="2180.0596199999995"/>
    <n v="0.45168169985932899"/>
    <n v="10749466.250550013"/>
    <n v="0.9820659761872208"/>
    <n v="0.2"/>
    <n v="7.8000000000000007"/>
    <n v="485.18800000000005"/>
    <n v="6578.7696000000014"/>
  </r>
  <r>
    <s v="ORD-2023-244375"/>
    <d v="2023-06-03T00:00:00"/>
    <d v="2023-06-03T00:00:00"/>
    <d v="2023-07-01T00:00:00"/>
    <d v="2023-07-01T00:00:00"/>
    <n v="28"/>
    <n v="0"/>
    <s v="06-2023"/>
    <s v="Q2-2023"/>
    <d v="2023-01-29T00:00:00"/>
    <s v="01-2023"/>
    <s v="Americas"/>
    <s v="Brazil"/>
    <s v="Brasília"/>
    <s v="Brasília"/>
    <s v="Small Business"/>
    <s v="Marketplace"/>
    <s v="Marketplace"/>
    <s v="A. Patel"/>
    <s v="A. Patel"/>
    <x v="0"/>
    <s v="High"/>
    <s v="CMP-1223"/>
    <s v="C"/>
    <n v="860.4"/>
    <n v="2066.6"/>
    <n v="2066.6"/>
    <n v="0.01"/>
    <n v="0.01"/>
    <n v="0"/>
    <n v="3"/>
    <n v="6137.8019999999988"/>
    <n v="2581.1999999999998"/>
    <n v="3556.601999999999"/>
    <n v="0.57945857491004105"/>
    <n v="10755604.052550012"/>
    <n v="0.98262672277428642"/>
    <n v="0.01"/>
    <n v="3.9000000000000004"/>
    <n v="946.44"/>
    <n v="7979.142600000001"/>
  </r>
  <r>
    <s v="ORD-2024-689872"/>
    <d v="2024-08-03T00:00:00"/>
    <d v="2024-08-03T00:00:00"/>
    <d v="2024-08-09T00:00:00"/>
    <d v="2024-08-09T00:00:00"/>
    <n v="6"/>
    <n v="1"/>
    <s v="08-2024"/>
    <s v="Q3-2024"/>
    <d v="2023-01-20T00:00:00"/>
    <s v="01-2023"/>
    <s v="Africa"/>
    <s v="Kenya"/>
    <s v="Mombasa"/>
    <s v="Mombasa"/>
    <s v="Consumer"/>
    <s v="Marketplace"/>
    <s v="Marketplace"/>
    <s v="H. Kim"/>
    <s v="H. Kim"/>
    <x v="3"/>
    <s v="Medium"/>
    <s v="LAP-1969"/>
    <s v="C"/>
    <n v="643.21"/>
    <n v="1112.81"/>
    <n v="1112.81"/>
    <n v="0.14099999999999999"/>
    <n v="0.14099999999999999"/>
    <n v="0"/>
    <n v="4"/>
    <n v="3823.6151599999998"/>
    <n v="2572.84"/>
    <n v="1250.7751599999997"/>
    <n v="0.32711847496702562"/>
    <n v="10759427.667710012"/>
    <n v="0.9829760463841426"/>
    <n v="0.14099999999999999"/>
    <n v="5.2"/>
    <n v="707.53100000000006"/>
    <n v="4970.6997080000001"/>
  </r>
  <r>
    <s v="ORD-2025-114382"/>
    <d v="2025-05-14T00:00:00"/>
    <d v="2025-05-14T00:00:00"/>
    <d v="2025-05-24T00:00:00"/>
    <d v="2025-05-24T00:00:00"/>
    <n v="10"/>
    <n v="1"/>
    <s v="05-2025"/>
    <s v="Q2-2025"/>
    <d v="2023-01-10T00:00:00"/>
    <s v="01-2023"/>
    <s v="Europe"/>
    <s v="France"/>
    <s v="Paris"/>
    <s v="Paris"/>
    <s v="Small Business"/>
    <s v="Marketplace"/>
    <s v="Marketplace"/>
    <s v="K. Singh"/>
    <s v="K. Singh"/>
    <x v="0"/>
    <s v="Low"/>
    <s v="CMP-2865"/>
    <s v="C"/>
    <n v="170.39"/>
    <n v="388.04"/>
    <n v="388.04"/>
    <n v="8.4000000000000005E-2"/>
    <n v="8.4000000000000005E-2"/>
    <n v="0"/>
    <n v="15"/>
    <n v="5331.6696000000002"/>
    <n v="2555.85"/>
    <n v="2775.8196000000003"/>
    <n v="0.52062858508711796"/>
    <n v="10764759.337310012"/>
    <n v="0.98346314510964117"/>
    <n v="8.4000000000000005E-2"/>
    <n v="19.5"/>
    <n v="187.429"/>
    <n v="6931.1704800000007"/>
  </r>
  <r>
    <s v="ORD-2025-184754"/>
    <d v="2025-06-27T00:00:00"/>
    <d v="2025-06-27T00:00:00"/>
    <d v="2025-07-05T00:00:00"/>
    <d v="2025-07-05T00:00:00"/>
    <n v="8"/>
    <n v="0"/>
    <s v="06-2025"/>
    <s v="Q2-2025"/>
    <d v="2023-01-21T00:00:00"/>
    <s v="01-2023"/>
    <s v="Europe"/>
    <s v="Germany"/>
    <s v="Munich"/>
    <s v="Munich"/>
    <s v="Small Business"/>
    <s v="Direct"/>
    <s v="Direct"/>
    <s v="G. Dubois"/>
    <s v="G. Dubois"/>
    <x v="2"/>
    <s v="Low"/>
    <s v="MON-7626"/>
    <s v="C"/>
    <n v="314.93"/>
    <n v="687.95"/>
    <n v="687.95"/>
    <n v="0.20499999999999999"/>
    <n v="0.20499999999999999"/>
    <n v="1"/>
    <n v="8"/>
    <n v="4375.3620000000001"/>
    <n v="2519.44"/>
    <n v="1855.922"/>
    <n v="0.424175645352316"/>
    <n v="10769134.699310012"/>
    <n v="0.98386287604079159"/>
    <n v="0.2"/>
    <n v="10.4"/>
    <n v="346.42300000000006"/>
    <n v="5723.7440000000006"/>
  </r>
  <r>
    <s v="ORD-2024-275203"/>
    <d v="2024-03-11T00:00:00"/>
    <d v="2024-03-11T00:00:00"/>
    <d v="2024-04-06T00:00:00"/>
    <d v="2024-04-06T00:00:00"/>
    <n v="26"/>
    <n v="0"/>
    <s v="03-2024"/>
    <s v="Q1-2024"/>
    <d v="2023-01-20T00:00:00"/>
    <s v="01-2023"/>
    <s v="Africa"/>
    <s v="Kenya"/>
    <s v="Kisumu"/>
    <s v="Kisumu"/>
    <s v="Corporate"/>
    <s v="Retail"/>
    <s v="Retail"/>
    <s v="C. Otieno"/>
    <s v="C. Otieno"/>
    <x v="0"/>
    <s v="Low"/>
    <s v="CMP-8270"/>
    <s v="C"/>
    <n v="279.24"/>
    <n v="608.9"/>
    <n v="608.9"/>
    <n v="0.112"/>
    <n v="0.112"/>
    <n v="0"/>
    <n v="9"/>
    <n v="4866.3287999999993"/>
    <n v="2513.16"/>
    <n v="2353.1687999999995"/>
    <n v="0.48356140670149533"/>
    <n v="10774001.028110012"/>
    <n v="0.98430746145852577"/>
    <n v="0.112"/>
    <n v="11.700000000000001"/>
    <n v="307.16400000000004"/>
    <n v="6326.2274400000006"/>
  </r>
  <r>
    <s v="ORD-2024-678110"/>
    <d v="2024-07-24T00:00:00"/>
    <d v="2024-07-24T00:00:00"/>
    <d v="2024-08-08T00:00:00"/>
    <d v="2024-08-08T00:00:00"/>
    <n v="15"/>
    <n v="0"/>
    <s v="07-2024"/>
    <s v="Q3-2024"/>
    <d v="2023-01-10T00:00:00"/>
    <s v="01-2023"/>
    <s v="Europe"/>
    <s v="France"/>
    <s v="Marseille"/>
    <s v="Marseille"/>
    <s v="Enterprise"/>
    <s v="Marketplace"/>
    <s v="Marketplace"/>
    <s v="H. Kim"/>
    <s v="H. Kim"/>
    <x v="3"/>
    <s v="Medium"/>
    <s v="LAP-9901"/>
    <s v="C"/>
    <n v="501.5"/>
    <n v="1201.47"/>
    <n v="1201.47"/>
    <n v="0.126"/>
    <n v="0.126"/>
    <n v="0"/>
    <n v="5"/>
    <n v="5250.4239000000007"/>
    <n v="2507.5"/>
    <n v="2742.9239000000007"/>
    <n v="0.52241951359394057"/>
    <n v="10779251.452010013"/>
    <n v="0.9847871376166315"/>
    <n v="0.126"/>
    <n v="6.5"/>
    <n v="551.65000000000009"/>
    <n v="6825.5510700000004"/>
  </r>
  <r>
    <s v="ORD-2023-548934"/>
    <d v="2023-08-03T00:00:00"/>
    <d v="2023-08-03T00:00:00"/>
    <d v="2023-08-30T00:00:00"/>
    <d v="2023-08-30T00:00:00"/>
    <n v="27"/>
    <n v="0"/>
    <s v="08-2023"/>
    <s v="Q3-2023"/>
    <d v="2023-01-12T00:00:00"/>
    <s v="01-2023"/>
    <s v="Asia"/>
    <s v="China"/>
    <s v="Shanghai"/>
    <s v="Shanghai"/>
    <s v="Consumer"/>
    <s v="Distributor"/>
    <s v="Distributor"/>
    <s v="N. Brown"/>
    <s v="N. Brown"/>
    <x v="2"/>
    <s v="Low"/>
    <s v="MON-3773"/>
    <s v="C"/>
    <n v="226.04"/>
    <n v="545.72"/>
    <n v="545.72"/>
    <n v="0.151"/>
    <n v="0.151"/>
    <n v="0"/>
    <n v="11"/>
    <n v="5096.4790800000001"/>
    <n v="2486.44"/>
    <n v="2610.03908"/>
    <n v="0.51212592831834014"/>
    <n v="10784347.931090014"/>
    <n v="0.98525274945131791"/>
    <n v="0.151"/>
    <n v="14.3"/>
    <n v="248.64400000000001"/>
    <n v="6625.4228040000007"/>
  </r>
  <r>
    <s v="ORD-2024-433936"/>
    <d v="2024-08-04T00:00:00"/>
    <d v="2024-08-04T00:00:00"/>
    <d v="2024-08-17T00:00:00"/>
    <d v="2024-08-17T00:00:00"/>
    <n v="13"/>
    <n v="0"/>
    <s v="08-2024"/>
    <s v="Q3-2024"/>
    <d v="2023-01-13T00:00:00"/>
    <s v="01-2023"/>
    <s v="Americas"/>
    <s v="USA"/>
    <s v="Austin"/>
    <s v="Austin"/>
    <s v="Consumer"/>
    <s v="Retail"/>
    <s v="Retail"/>
    <s v="D. Smith"/>
    <s v="D. Smith"/>
    <x v="2"/>
    <s v="Low"/>
    <s v="MON-8867"/>
    <s v="C"/>
    <n v="352.79"/>
    <n v="754.22"/>
    <n v="754.22"/>
    <n v="0.113"/>
    <n v="0.113"/>
    <n v="0"/>
    <n v="7"/>
    <n v="4682.9519799999998"/>
    <n v="2469.5300000000002"/>
    <n v="2213.4219799999996"/>
    <n v="0.47265528014233443"/>
    <n v="10789030.883070014"/>
    <n v="0.98568058165251593"/>
    <n v="0.113"/>
    <n v="9.1"/>
    <n v="388.06900000000007"/>
    <n v="6087.8375740000001"/>
  </r>
  <r>
    <s v="ORD-2025-354346"/>
    <d v="2025-01-09T00:00:00"/>
    <d v="2025-01-09T00:00:00"/>
    <d v="2025-01-15T00:00:00"/>
    <d v="2025-01-15T00:00:00"/>
    <n v="6"/>
    <n v="0"/>
    <s v="01-2025"/>
    <s v="Q1-2025"/>
    <d v="2023-01-12T00:00:00"/>
    <s v="01-2023"/>
    <s v="Asia"/>
    <s v="China"/>
    <s v="Beijing"/>
    <s v="Beijing"/>
    <s v="Education"/>
    <s v="Online"/>
    <s v="Online"/>
    <s v="C. Otieno"/>
    <s v="C. Otieno"/>
    <x v="6"/>
    <s v="Low"/>
    <s v="PHN-2875"/>
    <s v="C"/>
    <n v="304.77999999999997"/>
    <n v="537.27"/>
    <n v="537.27"/>
    <n v="0.187"/>
    <n v="0.187"/>
    <n v="0"/>
    <n v="8"/>
    <n v="3494.4040799999998"/>
    <n v="2438.2399999999998"/>
    <n v="1056.16408"/>
    <n v="0.3022444044307549"/>
    <n v="10792525.287150014"/>
    <n v="0.98599982869920932"/>
    <n v="0.187"/>
    <n v="10.4"/>
    <n v="335.25799999999998"/>
    <n v="4542.7253039999996"/>
  </r>
  <r>
    <s v="ORD-2023-713375"/>
    <d v="2023-08-26T00:00:00"/>
    <d v="2023-08-26T00:00:00"/>
    <d v="2023-09-10T00:00:00"/>
    <d v="2023-09-10T00:00:00"/>
    <n v="15"/>
    <n v="0"/>
    <s v="08-2023"/>
    <s v="Q3-2023"/>
    <d v="2023-01-07T00:00:00"/>
    <s v="01-2023"/>
    <s v="Africa"/>
    <s v="South Africa"/>
    <s v="Cape Town"/>
    <s v="Cape Town"/>
    <s v="Non-Profit"/>
    <s v="Direct"/>
    <s v="Direct"/>
    <s v="N. Brown"/>
    <s v="N. Brown"/>
    <x v="0"/>
    <s v="Low"/>
    <s v="CMP-7063"/>
    <s v="C"/>
    <n v="241.14"/>
    <n v="496.52"/>
    <n v="496.52"/>
    <n v="9.2999999999999999E-2"/>
    <n v="9.2999999999999999E-2"/>
    <n v="0"/>
    <n v="10"/>
    <n v="4503.4363999999996"/>
    <n v="2411.3999999999996"/>
    <n v="2092.0364"/>
    <n v="0.46454223268257994"/>
    <n v="10797028.723550014"/>
    <n v="0.98641126044486793"/>
    <n v="9.2999999999999999E-2"/>
    <n v="13"/>
    <n v="265.25400000000002"/>
    <n v="5854.4673200000007"/>
  </r>
  <r>
    <s v="ORD-2025-323492"/>
    <d v="2025-04-27T00:00:00"/>
    <d v="2025-04-27T00:00:00"/>
    <d v="2025-05-27T00:00:00"/>
    <d v="2025-05-27T00:00:00"/>
    <n v="30"/>
    <n v="0"/>
    <s v="04-2025"/>
    <s v="Q2-2025"/>
    <d v="2023-01-29T00:00:00"/>
    <s v="01-2023"/>
    <s v="Asia"/>
    <s v="India"/>
    <m/>
    <s v="Delhi"/>
    <s v="Enterprise"/>
    <s v="Marketplace"/>
    <s v="Marketplace"/>
    <s v="H. Kim"/>
    <s v="H. Kim"/>
    <x v="6"/>
    <s v="Medium"/>
    <s v="PHN-3854"/>
    <s v="C"/>
    <n v="481.32"/>
    <n v="1135.99"/>
    <n v="1135.99"/>
    <n v="0.14499999999999999"/>
    <n v="0.14499999999999999"/>
    <n v="0"/>
    <n v="5"/>
    <n v="4856.35725"/>
    <n v="2406.6"/>
    <n v="2449.7572500000001"/>
    <n v="0.50444337677175621"/>
    <n v="10801885.080800014"/>
    <n v="0.98685493486667386"/>
    <n v="0.14499999999999999"/>
    <n v="6.5"/>
    <n v="529.452"/>
    <n v="6313.2644250000003"/>
  </r>
  <r>
    <s v="ORD-2024-207792"/>
    <d v="2024-09-03T00:00:00"/>
    <d v="2024-09-03T00:00:00"/>
    <d v="2024-09-07T00:00:00"/>
    <d v="2024-09-07T00:00:00"/>
    <n v="4"/>
    <n v="0"/>
    <s v="09-2024"/>
    <s v="Q3-2024"/>
    <d v="2023-03-03T00:00:00"/>
    <s v="03-2023"/>
    <s v="Asia"/>
    <s v="Japan"/>
    <s v="Tokyo"/>
    <s v="Tokyo"/>
    <s v="Small Business"/>
    <s v="Distributor"/>
    <s v="Distributor"/>
    <s v="N. Brown"/>
    <s v="N. Brown"/>
    <x v="5"/>
    <s v="Low"/>
    <s v="PRN-3917"/>
    <s v="C"/>
    <n v="43.23"/>
    <n v="94.78"/>
    <n v="94.78"/>
    <n v="9.0999999999999998E-2"/>
    <n v="9.0999999999999998E-2"/>
    <n v="0"/>
    <n v="55"/>
    <n v="4738.5261"/>
    <n v="2377.6499999999996"/>
    <n v="2360.8761000000004"/>
    <n v="0.49823005090127082"/>
    <n v="10806623.606900014"/>
    <n v="0.98728784429227878"/>
    <n v="9.0999999999999998E-2"/>
    <n v="71.5"/>
    <n v="47.552999999999997"/>
    <n v="6160.0839300000007"/>
  </r>
  <r>
    <s v="ORD-2024-581530"/>
    <d v="2024-09-07T00:00:00"/>
    <d v="2024-09-07T00:00:00"/>
    <d v="2024-09-18T00:00:00"/>
    <d v="2024-09-18T00:00:00"/>
    <n v="11"/>
    <n v="0"/>
    <s v="09-2024"/>
    <s v="Q3-2024"/>
    <d v="2023-01-12T00:00:00"/>
    <s v="01-2023"/>
    <s v="Asia"/>
    <s v="China"/>
    <s v="Beijing"/>
    <s v="Beijing"/>
    <s v="Consumer"/>
    <s v="Distributor"/>
    <s v="Distributor"/>
    <s v="O. Wang"/>
    <s v="O. Wang"/>
    <x v="4"/>
    <s v="Low"/>
    <s v="NET-7998"/>
    <s v="C"/>
    <n v="181.74"/>
    <n v="190.84"/>
    <n v="190.84"/>
    <n v="0.214"/>
    <n v="0.214"/>
    <n v="1"/>
    <n v="13"/>
    <n v="1950.0031200000001"/>
    <n v="2362.62"/>
    <n v="412.61687999999981"/>
    <n v="0.21159806144310159"/>
    <n v="10808573.610020014"/>
    <n v="0.9874659956230496"/>
    <n v="0.2"/>
    <n v="16.900000000000002"/>
    <n v="199.91400000000002"/>
    <n v="2580.1568000000007"/>
  </r>
  <r>
    <s v="ORD-2023-602648"/>
    <d v="2023-06-20T00:00:00"/>
    <d v="2023-06-20T00:00:00"/>
    <d v="2023-07-08T00:00:00"/>
    <d v="2023-07-08T00:00:00"/>
    <n v="18"/>
    <n v="0"/>
    <s v="06-2023"/>
    <s v="Q2-2023"/>
    <d v="2023-01-13T00:00:00"/>
    <s v="01-2023"/>
    <s v="Americas"/>
    <s v="USA"/>
    <s v="Austin"/>
    <s v="Austin"/>
    <s v="Non-Profit"/>
    <s v="Direct"/>
    <s v="Direct"/>
    <s v="F. Müller"/>
    <s v="F. Müller"/>
    <x v="2"/>
    <s v="Low"/>
    <s v="MON-4326"/>
    <s v="C"/>
    <n v="337"/>
    <n v="511.03"/>
    <n v="511.03"/>
    <n v="0.108"/>
    <n v="0.108"/>
    <n v="0"/>
    <n v="7"/>
    <n v="3190.8713200000002"/>
    <n v="2359"/>
    <n v="831.8713200000002"/>
    <n v="0.26070349963219458"/>
    <n v="10811764.481340013"/>
    <n v="0.98775751206532902"/>
    <n v="0.108"/>
    <n v="9.1"/>
    <n v="370.70000000000005"/>
    <n v="4148.1327160000001"/>
  </r>
  <r>
    <s v="ORD-2024-336584"/>
    <d v="2024-12-27T00:00:00"/>
    <d v="2024-12-27T00:00:00"/>
    <d v="2025-01-14T00:00:00"/>
    <d v="2025-01-14T00:00:00"/>
    <n v="18"/>
    <n v="0"/>
    <s v="12-2024"/>
    <s v="Q4-2024"/>
    <d v="2023-01-29T00:00:00"/>
    <s v="01-2023"/>
    <s v="Asia"/>
    <s v="India"/>
    <s v="Bengaluru"/>
    <s v="Bengaluru"/>
    <s v="Small Business"/>
    <s v="Marketplace"/>
    <s v="Marketplace"/>
    <s v="E. Garcia"/>
    <s v="E. Garcia"/>
    <x v="2"/>
    <s v="Medium"/>
    <s v="MON-8629"/>
    <s v="C"/>
    <n v="586.07000000000005"/>
    <n v="845.97"/>
    <n v="845.97"/>
    <n v="0.14699999999999999"/>
    <n v="0.14699999999999999"/>
    <n v="0"/>
    <n v="4"/>
    <n v="2886.4496399999998"/>
    <n v="2344.2800000000002"/>
    <n v="542.16963999999962"/>
    <n v="0.18783270370862928"/>
    <n v="10814650.930980014"/>
    <n v="0.98802121669189846"/>
    <n v="0.14699999999999999"/>
    <n v="5.2"/>
    <n v="644.67700000000013"/>
    <n v="3752.3845319999996"/>
  </r>
  <r>
    <s v="ORD-2024-496601"/>
    <d v="2024-11-11T00:00:00"/>
    <d v="2024-11-11T00:00:00"/>
    <d v="2024-11-24T00:00:00"/>
    <d v="2024-11-24T00:00:00"/>
    <n v="13"/>
    <n v="0"/>
    <s v="11-2024"/>
    <s v="Q4-2024"/>
    <d v="2023-01-19T00:00:00"/>
    <s v="01-2023"/>
    <s v="Europe"/>
    <s v="United Kingdom"/>
    <s v="London"/>
    <s v="London"/>
    <s v="Corporate"/>
    <s v="Retail"/>
    <s v="Retail"/>
    <s v="E. Garcia"/>
    <s v="E. Garcia"/>
    <x v="4"/>
    <s v="Low"/>
    <s v="NET-2932"/>
    <s v="C"/>
    <n v="164.53"/>
    <n v="327.72"/>
    <n v="327.72"/>
    <n v="6.7000000000000004E-2"/>
    <n v="6.7000000000000004E-2"/>
    <n v="0"/>
    <n v="14"/>
    <n v="4280.6786400000001"/>
    <n v="2303.42"/>
    <n v="1977.25864"/>
    <n v="0.46190307805960412"/>
    <n v="10818931.609620014"/>
    <n v="0.98841229739761449"/>
    <n v="6.7000000000000004E-2"/>
    <n v="18.2"/>
    <n v="180.983"/>
    <n v="5564.8822319999999"/>
  </r>
  <r>
    <s v="ORD-2023-867166"/>
    <d v="2023-04-13T00:00:00"/>
    <d v="2023-04-13T00:00:00"/>
    <d v="2023-04-20T00:00:00"/>
    <d v="2023-04-20T00:00:00"/>
    <n v="7"/>
    <n v="0"/>
    <s v="04-2023"/>
    <s v="Q2-2023"/>
    <d v="2023-01-10T00:00:00"/>
    <s v="01-2023"/>
    <s v="Europe"/>
    <s v="France"/>
    <s v="Lyon"/>
    <s v="Lyon"/>
    <s v="Small Business"/>
    <s v="Online"/>
    <s v="Online"/>
    <s v="A. Patel"/>
    <s v="A. Patel"/>
    <x v="3"/>
    <s v="Low"/>
    <s v="LAP-3565"/>
    <s v="C"/>
    <n v="227.02"/>
    <n v="434.72"/>
    <n v="434.72"/>
    <n v="9.8000000000000004E-2"/>
    <n v="9.8000000000000004E-2"/>
    <n v="0"/>
    <n v="10"/>
    <n v="3921.1744000000008"/>
    <n v="2270.2000000000003"/>
    <n v="1650.9744000000005"/>
    <n v="0.42104079838938052"/>
    <n v="10822852.784020014"/>
    <n v="0.98877053397189452"/>
    <n v="9.8000000000000004E-2"/>
    <n v="13"/>
    <n v="249.72200000000004"/>
    <n v="5097.5267200000008"/>
  </r>
  <r>
    <s v="ORD-2023-723587"/>
    <d v="2023-01-02T00:00:00"/>
    <d v="2023-01-02T00:00:00"/>
    <d v="2023-01-05T00:00:00"/>
    <d v="2023-01-05T00:00:00"/>
    <n v="3"/>
    <n v="0"/>
    <s v="01-2023"/>
    <s v="Q1-2023"/>
    <d v="2023-01-02T00:00:00"/>
    <s v="01-2023"/>
    <s v="Americas"/>
    <s v="Canada"/>
    <s v="Toronto"/>
    <s v="Toronto"/>
    <s v="Corporate"/>
    <s v="Distributor"/>
    <s v="Distributor"/>
    <s v="B. Chen"/>
    <s v="B. Chen"/>
    <x v="3"/>
    <s v="Low"/>
    <s v="LAP-8555"/>
    <s v="C"/>
    <n v="315.87"/>
    <n v="591.67999999999995"/>
    <n v="591.67999999999995"/>
    <n v="0"/>
    <n v="0"/>
    <n v="0"/>
    <n v="7"/>
    <n v="4141.7599999999993"/>
    <n v="2211.09"/>
    <n v="1930.6699999999992"/>
    <n v="0.46614724175229844"/>
    <n v="10826994.544020014"/>
    <n v="0.98914892313864267"/>
    <n v="0"/>
    <n v="9.1"/>
    <n v="347.45700000000005"/>
    <n v="5384.2879999999996"/>
  </r>
  <r>
    <s v="ORD-2023-975863"/>
    <d v="2023-11-20T00:00:00"/>
    <d v="2023-11-20T00:00:00"/>
    <d v="2023-12-05T00:00:00"/>
    <d v="2023-12-05T00:00:00"/>
    <n v="15"/>
    <n v="0"/>
    <s v="11-2023"/>
    <s v="Q4-2023"/>
    <d v="2023-03-03T00:00:00"/>
    <s v="03-2023"/>
    <s v="Asia"/>
    <s v="Japan"/>
    <s v="Tokyo"/>
    <s v="Tokyo"/>
    <s v="Enterprise"/>
    <s v="Retail"/>
    <s v="Retail"/>
    <s v="L. Okafor"/>
    <s v="L. Okafor"/>
    <x v="4"/>
    <s v="Low"/>
    <s v="NET-3033"/>
    <s v="C"/>
    <n v="354.24"/>
    <n v="249.87"/>
    <n v="249.87"/>
    <n v="0"/>
    <n v="0"/>
    <n v="0"/>
    <n v="6"/>
    <n v="1499.22"/>
    <n v="2125.44"/>
    <n v="626.22"/>
    <n v="0.41769720254532355"/>
    <n v="10828493.764020015"/>
    <n v="0.98928589114416998"/>
    <n v="0"/>
    <n v="7.8000000000000007"/>
    <n v="389.66400000000004"/>
    <n v="1948.9860000000001"/>
  </r>
  <r>
    <s v="ORD-2023-156396"/>
    <d v="2023-02-21T00:00:00"/>
    <d v="2023-02-21T00:00:00"/>
    <d v="2023-03-12T00:00:00"/>
    <d v="2023-03-12T00:00:00"/>
    <n v="19"/>
    <n v="0"/>
    <s v="02-2023"/>
    <s v="Q1-2023"/>
    <d v="2023-01-20T00:00:00"/>
    <s v="01-2023"/>
    <s v="Africa"/>
    <s v="Kenya"/>
    <s v="Nakuru"/>
    <s v="Nakuru"/>
    <s v="Corporate"/>
    <s v="Online"/>
    <s v="Online"/>
    <s v="F. Müller"/>
    <s v="F. Müller"/>
    <x v="4"/>
    <s v="Low"/>
    <s v="NET-2499"/>
    <s v="C"/>
    <n v="352.65"/>
    <n v="485.86"/>
    <n v="485.86"/>
    <n v="4.1000000000000002E-2"/>
    <n v="4.1000000000000002E-2"/>
    <n v="0"/>
    <n v="6"/>
    <n v="2795.6384399999997"/>
    <n v="2115.8999999999996"/>
    <n v="679.73844000000008"/>
    <n v="0.24314247159943908"/>
    <n v="10831289.402460014"/>
    <n v="0.98954129930394763"/>
    <n v="4.1000000000000002E-2"/>
    <n v="7.8000000000000007"/>
    <n v="387.91500000000002"/>
    <n v="3634.3299720000005"/>
  </r>
  <r>
    <s v="ORD-2024-207669"/>
    <d v="2024-01-24T00:00:00"/>
    <d v="2024-01-24T00:00:00"/>
    <d v="2024-02-04T00:00:00"/>
    <d v="2024-02-04T00:00:00"/>
    <n v="11"/>
    <n v="0"/>
    <s v="01-2024"/>
    <s v="Q1-2024"/>
    <d v="2023-01-19T00:00:00"/>
    <s v="01-2023"/>
    <s v="Europe"/>
    <s v="United Kingdom"/>
    <s v="Manchester"/>
    <s v="Manchester"/>
    <s v="Consumer"/>
    <s v="Retail"/>
    <s v="Retail"/>
    <s v="B. Chen"/>
    <s v="B. Chen"/>
    <x v="3"/>
    <s v="Medium"/>
    <s v="LAP-5689"/>
    <s v="C"/>
    <n v="525.34"/>
    <n v="1233.79"/>
    <n v="1233.79"/>
    <n v="0.14299999999999999"/>
    <n v="0.14299999999999999"/>
    <n v="0"/>
    <n v="4"/>
    <n v="4229.4321199999995"/>
    <n v="2101.36"/>
    <n v="2128.0721199999994"/>
    <n v="0.50315788494082736"/>
    <n v="10835518.834580014"/>
    <n v="0.98992769815267478"/>
    <n v="0.14299999999999999"/>
    <n v="5.2"/>
    <n v="577.87400000000014"/>
    <n v="5498.2617559999999"/>
  </r>
  <r>
    <s v="ORD-2024-838925"/>
    <d v="2024-01-28T00:00:00"/>
    <d v="2024-01-27T00:00:00"/>
    <d v="2024-01-27T00:00:00"/>
    <d v="2024-01-28T00:00:00"/>
    <n v="1"/>
    <n v="1"/>
    <s v="01-2024"/>
    <s v="Q1-2024"/>
    <d v="2023-01-07T00:00:00"/>
    <s v="01-2023"/>
    <s v="Africa"/>
    <s v="South Africa"/>
    <s v="Cape Town"/>
    <s v="Cape Town"/>
    <s v="Enterprise"/>
    <s v="Direct"/>
    <s v="Direct"/>
    <s v="O. Wang"/>
    <s v="O. Wang"/>
    <x v="0"/>
    <s v="Low"/>
    <s v="CMP-1470"/>
    <s v="C"/>
    <n v="109.75"/>
    <n v="124.25"/>
    <n v="124.25"/>
    <n v="0.12"/>
    <n v="0.12"/>
    <n v="0"/>
    <n v="19"/>
    <n v="2077.46"/>
    <n v="2085.25"/>
    <n v="7.7899999999999636"/>
    <n v="3.7497713554051405E-3"/>
    <n v="10837596.294580014"/>
    <n v="0.99011749388162895"/>
    <n v="0.12"/>
    <n v="24.7"/>
    <n v="120.72500000000001"/>
    <n v="2700.6979999999999"/>
  </r>
  <r>
    <s v="ORD-2023-256951"/>
    <d v="2023-04-19T00:00:00"/>
    <d v="2023-04-19T00:00:00"/>
    <d v="2023-05-07T00:00:00"/>
    <d v="2023-05-07T00:00:00"/>
    <n v="18"/>
    <n v="0"/>
    <s v="04-2023"/>
    <s v="Q2-2023"/>
    <d v="2023-01-19T00:00:00"/>
    <s v="01-2023"/>
    <s v="Europe"/>
    <s v="United Kingdom"/>
    <s v="London"/>
    <s v="London"/>
    <s v="Non-Profit"/>
    <s v="Direct"/>
    <s v="Direct"/>
    <s v="H. Kim"/>
    <s v="H. Kim"/>
    <x v="4"/>
    <s v="Low"/>
    <s v="NET-2439"/>
    <s v="C"/>
    <n v="516.96"/>
    <n v="745.38"/>
    <n v="745.38"/>
    <n v="0.19700000000000001"/>
    <n v="0.19700000000000001"/>
    <n v="0"/>
    <n v="4"/>
    <n v="2394.1605599999998"/>
    <n v="2067.84"/>
    <n v="326.32055999999966"/>
    <n v="0.13629852794835101"/>
    <n v="10839990.455140015"/>
    <n v="0.99033622321876091"/>
    <n v="0.19700000000000001"/>
    <n v="5.2"/>
    <n v="568.65600000000006"/>
    <n v="3112.4087279999999"/>
  </r>
  <r>
    <s v="ORD-2025-861401"/>
    <d v="2025-04-01T00:00:00"/>
    <d v="2025-04-01T00:00:00"/>
    <d v="2025-04-27T00:00:00"/>
    <d v="2025-04-27T00:00:00"/>
    <n v="26"/>
    <n v="1"/>
    <s v="04-2025"/>
    <s v="Q2-2025"/>
    <d v="2023-01-13T00:00:00"/>
    <s v="01-2023"/>
    <s v="Americas"/>
    <s v="USA"/>
    <s v="San Francisco"/>
    <s v="San Francisco"/>
    <s v="Corporate"/>
    <s v="Direct"/>
    <s v="Direct"/>
    <s v="I. Johnson"/>
    <s v="I. Johnson"/>
    <x v="2"/>
    <s v="Low"/>
    <s v="MON-9319"/>
    <s v="C"/>
    <n v="156.55000000000001"/>
    <n v="227.45"/>
    <n v="227.45"/>
    <n v="1.4E-2"/>
    <n v="1.4E-2"/>
    <n v="0"/>
    <n v="13"/>
    <n v="2915.4540999999999"/>
    <n v="2035.15"/>
    <n v="880.30409999999983"/>
    <n v="0.3019440779396938"/>
    <n v="10842905.909240015"/>
    <n v="0.99060257767860205"/>
    <n v="1.4E-2"/>
    <n v="16.900000000000002"/>
    <n v="172.20500000000001"/>
    <n v="3790.09033"/>
  </r>
  <r>
    <s v="ORD-2024-266562"/>
    <d v="2024-11-27T00:00:00"/>
    <d v="2024-11-27T00:00:00"/>
    <d v="2024-12-24T00:00:00"/>
    <d v="2024-12-24T00:00:00"/>
    <n v="27"/>
    <n v="1"/>
    <s v="11-2024"/>
    <s v="Q4-2024"/>
    <d v="2023-01-20T00:00:00"/>
    <s v="01-2023"/>
    <s v="Africa"/>
    <s v="Kenya"/>
    <s v="Mombasa"/>
    <s v="Mombasa"/>
    <s v="Corporate"/>
    <s v="Distributor"/>
    <s v="Distributor"/>
    <s v="B. Chen"/>
    <s v="B. Chen"/>
    <x v="5"/>
    <s v="Low"/>
    <s v="PRN-5569"/>
    <s v="C"/>
    <n v="143.33000000000001"/>
    <n v="233.51"/>
    <n v="233.51"/>
    <n v="0.16300000000000001"/>
    <n v="0.16300000000000001"/>
    <n v="0"/>
    <n v="14"/>
    <n v="2736.27018"/>
    <n v="2006.6200000000001"/>
    <n v="729.65017999999986"/>
    <n v="0.26665867476580835"/>
    <n v="10845642.179420015"/>
    <n v="0.99085256198319915"/>
    <n v="0.16300000000000001"/>
    <n v="18.2"/>
    <n v="157.66300000000004"/>
    <n v="3557.1512339999995"/>
  </r>
  <r>
    <s v="ORD-2024-423853"/>
    <d v="2024-09-03T00:00:00"/>
    <d v="2024-09-03T00:00:00"/>
    <d v="2024-09-08T00:00:00"/>
    <d v="2024-09-08T00:00:00"/>
    <n v="5"/>
    <n v="0"/>
    <s v="09-2024"/>
    <s v="Q3-2024"/>
    <d v="2023-01-13T00:00:00"/>
    <s v="01-2023"/>
    <s v="Africa"/>
    <s v="Nigeria"/>
    <s v="Lagos"/>
    <s v="Lagos"/>
    <s v="Small Business"/>
    <s v="Direct"/>
    <s v="Direct"/>
    <s v="K. Singh"/>
    <s v="K. Singh"/>
    <x v="5"/>
    <s v="Low"/>
    <s v="PRN-1141"/>
    <s v="C"/>
    <n v="197.63"/>
    <n v="325.79000000000002"/>
    <n v="325.79000000000002"/>
    <n v="0.11600000000000001"/>
    <n v="0.11600000000000001"/>
    <n v="0"/>
    <n v="10"/>
    <n v="2879.9836"/>
    <n v="1976.3"/>
    <n v="903.68360000000007"/>
    <n v="0.31378081458519419"/>
    <n v="10848522.163020015"/>
    <n v="0.99111567587551841"/>
    <n v="0.11600000000000001"/>
    <n v="13"/>
    <n v="217.393"/>
    <n v="3743.9786800000006"/>
  </r>
  <r>
    <s v="ORD-2025-460466"/>
    <d v="2025-02-07T00:00:00"/>
    <d v="2025-02-07T00:00:00"/>
    <d v="2025-02-16T00:00:00"/>
    <d v="2025-02-16T00:00:00"/>
    <n v="9"/>
    <n v="0"/>
    <s v="02-2025"/>
    <s v="Q1-2025"/>
    <d v="2023-01-13T00:00:00"/>
    <s v="01-2023"/>
    <s v="Africa"/>
    <s v="Nigeria"/>
    <s v="Lagos"/>
    <s v="Lagos"/>
    <s v="Small Business"/>
    <s v="Distributor"/>
    <s v="Distributor"/>
    <s v="C. Otieno"/>
    <s v="C. Otieno"/>
    <x v="5"/>
    <s v="Low"/>
    <s v="PRN-1882"/>
    <s v="C"/>
    <n v="90.68"/>
    <n v="118.17"/>
    <n v="118.17"/>
    <n v="0.13500000000000001"/>
    <n v="0.13500000000000001"/>
    <n v="0"/>
    <n v="21"/>
    <n v="2146.5580500000001"/>
    <n v="1904.2800000000002"/>
    <n v="242.27804999999989"/>
    <n v="0.11286815653552899"/>
    <n v="10850668.721070014"/>
    <n v="0.99131178436850587"/>
    <n v="0.13500000000000001"/>
    <n v="27.3"/>
    <n v="99.748000000000019"/>
    <n v="2790.5254650000002"/>
  </r>
  <r>
    <s v="ORD-2023-897079"/>
    <d v="2023-04-14T00:00:00"/>
    <d v="2023-04-14T00:00:00"/>
    <d v="2023-05-14T00:00:00"/>
    <d v="2023-05-14T00:00:00"/>
    <n v="30"/>
    <n v="0"/>
    <s v="04-2023"/>
    <s v="Q2-2023"/>
    <d v="2023-01-20T00:00:00"/>
    <s v="01-2023"/>
    <s v="Africa"/>
    <s v="Kenya"/>
    <s v="Nakuru"/>
    <s v="Nakuru"/>
    <s v="Consumer"/>
    <s v="Marketplace"/>
    <s v="Marketplace"/>
    <s v="M. Rossi"/>
    <s v="M. Rossi"/>
    <x v="6"/>
    <s v="Low"/>
    <s v="PHN-1784"/>
    <s v="C"/>
    <n v="209.25"/>
    <n v="434.8"/>
    <n v="434.8"/>
    <n v="0"/>
    <n v="0"/>
    <n v="0"/>
    <n v="9"/>
    <n v="3913.2000000000003"/>
    <n v="1883.25"/>
    <n v="2029.9500000000003"/>
    <n v="0.51874425022999082"/>
    <n v="10854581.921070013"/>
    <n v="0.99166929240550439"/>
    <n v="0"/>
    <n v="11.700000000000001"/>
    <n v="230.17500000000001"/>
    <n v="5087.1600000000008"/>
  </r>
  <r>
    <s v="ORD-2025-863978"/>
    <d v="2025-08-07T00:00:00"/>
    <d v="2025-08-07T00:00:00"/>
    <d v="2025-08-19T00:00:00"/>
    <d v="2025-08-19T00:00:00"/>
    <n v="12"/>
    <n v="0"/>
    <s v="08-2025"/>
    <s v="Q3-2025"/>
    <d v="2023-01-20T00:00:00"/>
    <s v="01-2023"/>
    <s v="Africa"/>
    <s v="Kenya"/>
    <s v="Nakuru"/>
    <s v="Nakuru"/>
    <s v="Corporate"/>
    <m/>
    <s v="Distributor"/>
    <s v="M. Rossi"/>
    <s v="M. Rossi"/>
    <x v="0"/>
    <s v="Low"/>
    <s v="CMP-2854"/>
    <s v="C"/>
    <n v="601.51"/>
    <n v="679.35"/>
    <n v="679.35"/>
    <n v="0.188"/>
    <n v="0.188"/>
    <n v="0"/>
    <n v="3"/>
    <n v="1654.8966000000003"/>
    <n v="1804.53"/>
    <n v="149.63339999999971"/>
    <n v="9.0418579626062243E-2"/>
    <n v="10856236.817670014"/>
    <n v="0.99182048294902414"/>
    <n v="0.188"/>
    <n v="3.9000000000000004"/>
    <n v="661.66100000000006"/>
    <n v="2151.3655800000001"/>
  </r>
  <r>
    <s v="ORD-2024-942981"/>
    <d v="2024-10-09T00:00:00"/>
    <d v="2024-10-09T00:00:00"/>
    <d v="2024-11-08T00:00:00"/>
    <d v="2024-11-08T00:00:00"/>
    <n v="30"/>
    <n v="1"/>
    <s v="10-2024"/>
    <s v="Q4-2024"/>
    <d v="2023-01-19T00:00:00"/>
    <s v="01-2023"/>
    <s v="Europe"/>
    <s v="United Kingdom"/>
    <s v="Manchester"/>
    <s v="Manchester"/>
    <s v="Small Business"/>
    <s v="Distributor"/>
    <s v="Distributor"/>
    <s v="J. Njeri"/>
    <s v="J. Njeri"/>
    <x v="0"/>
    <s v="Low"/>
    <s v="CMP-1072"/>
    <s v="C"/>
    <n v="343.85"/>
    <n v="538.04"/>
    <n v="538.04"/>
    <n v="0.13900000000000001"/>
    <n v="0.13900000000000001"/>
    <n v="0"/>
    <n v="5"/>
    <n v="2316.2621999999997"/>
    <n v="1719.25"/>
    <n v="597.01219999999967"/>
    <n v="0.25774810813732563"/>
    <n v="10858553.079870014"/>
    <n v="0.99203209553010763"/>
    <n v="0.13900000000000001"/>
    <n v="6.5"/>
    <n v="378.23500000000007"/>
    <n v="3011.14086"/>
  </r>
  <r>
    <s v="ORD-2025-169093"/>
    <d v="2025-04-13T00:00:00"/>
    <d v="2025-04-13T00:00:00"/>
    <d v="2025-04-14T00:00:00"/>
    <d v="2025-04-14T00:00:00"/>
    <n v="1"/>
    <n v="0"/>
    <s v="04-2025"/>
    <s v="Q2-2025"/>
    <d v="2023-03-03T00:00:00"/>
    <s v="03-2023"/>
    <s v="Asia"/>
    <s v="Japan"/>
    <s v="Osaka"/>
    <s v="Osaka"/>
    <s v="Enterprise"/>
    <s v="Online"/>
    <s v="Online"/>
    <s v="G. Dubois"/>
    <s v="G. Dubois"/>
    <x v="0"/>
    <s v="Low"/>
    <s v="CMP-6495"/>
    <s v="C"/>
    <n v="138.9"/>
    <n v="289.92"/>
    <n v="289.92"/>
    <n v="2.9000000000000001E-2"/>
    <n v="2.9000000000000001E-2"/>
    <n v="0"/>
    <n v="12"/>
    <n v="3378.1478400000001"/>
    <n v="1666.8000000000002"/>
    <n v="1711.3478399999999"/>
    <n v="0.50659353025828491"/>
    <n v="10861931.227710014"/>
    <n v="0.99234072146360686"/>
    <n v="2.9000000000000001E-2"/>
    <n v="15.600000000000001"/>
    <n v="152.79000000000002"/>
    <n v="4391.5921920000001"/>
  </r>
  <r>
    <s v="ORD-2025-649239"/>
    <d v="2025-01-17T00:00:00"/>
    <d v="2025-01-17T00:00:00"/>
    <d v="2025-01-24T00:00:00"/>
    <d v="2025-01-24T00:00:00"/>
    <n v="7"/>
    <n v="0"/>
    <s v="01-2025"/>
    <s v="Q1-2025"/>
    <d v="2023-01-13T00:00:00"/>
    <s v="01-2023"/>
    <s v="Americas"/>
    <s v="USA"/>
    <s v="Austin"/>
    <s v="Austin"/>
    <s v="Enterprise"/>
    <s v="Online"/>
    <s v="Online"/>
    <s v="G. Dubois"/>
    <s v="G. Dubois"/>
    <x v="1"/>
    <s v="Low"/>
    <s v="ACC-4511"/>
    <s v="C"/>
    <n v="142.09"/>
    <n v="218.5"/>
    <n v="218.5"/>
    <n v="0.11899999999999999"/>
    <n v="0.11899999999999999"/>
    <n v="0"/>
    <n v="11"/>
    <n v="2117.4834999999998"/>
    <n v="1562.99"/>
    <n v="554.49349999999981"/>
    <n v="0.26186437816398561"/>
    <n v="10864048.711210014"/>
    <n v="0.99253417371993458"/>
    <n v="0.11899999999999999"/>
    <n v="14.3"/>
    <n v="156.29900000000001"/>
    <n v="2752.7285500000003"/>
  </r>
  <r>
    <s v="ORD-2024-232632"/>
    <d v="2024-02-14T00:00:00"/>
    <d v="2024-02-14T00:00:00"/>
    <d v="2024-02-14T00:00:00"/>
    <d v="2024-02-14T00:00:00"/>
    <n v="0"/>
    <n v="1"/>
    <s v="02-2024"/>
    <s v="Q1-2024"/>
    <d v="2023-01-12T00:00:00"/>
    <s v="01-2023"/>
    <s v="Asia"/>
    <s v="China"/>
    <s v="Beijing"/>
    <s v="Beijing"/>
    <s v="Corporate"/>
    <s v="Distributor"/>
    <s v="Distributor"/>
    <s v="L. Okafor"/>
    <s v="L. Okafor"/>
    <x v="1"/>
    <s v="Low"/>
    <s v="ACC-1021"/>
    <s v="C"/>
    <n v="65.930000000000007"/>
    <n v="84.9"/>
    <n v="84.9"/>
    <n v="0.25900000000000001"/>
    <n v="0.25900000000000001"/>
    <n v="1"/>
    <n v="23"/>
    <n v="1446.9507000000001"/>
    <n v="1516.39"/>
    <n v="69.439300000000003"/>
    <n v="4.7990093926489688E-2"/>
    <n v="10865495.661910014"/>
    <n v="0.99266636642779282"/>
    <n v="0.2"/>
    <n v="29.900000000000002"/>
    <n v="72.52300000000001"/>
    <n v="2030.8080000000002"/>
  </r>
  <r>
    <s v="ORD-2024-853298"/>
    <d v="2024-03-06T00:00:00"/>
    <d v="2024-03-06T00:00:00"/>
    <d v="2024-03-26T00:00:00"/>
    <d v="2024-03-26T00:00:00"/>
    <n v="20"/>
    <n v="1"/>
    <s v="03-2024"/>
    <s v="Q1-2024"/>
    <d v="2023-01-13T00:00:00"/>
    <s v="01-2023"/>
    <s v="Africa"/>
    <s v="Nigeria"/>
    <s v="Port Harcourt"/>
    <s v="Port Harcourt"/>
    <s v="Consumer"/>
    <s v="Marketplace"/>
    <s v="Marketplace"/>
    <s v="I. Johnson"/>
    <s v="I. Johnson"/>
    <x v="6"/>
    <s v="Low"/>
    <s v="PHN-4741"/>
    <s v="C"/>
    <n v="65.64"/>
    <n v="151.88"/>
    <n v="151.88"/>
    <n v="0.16700000000000001"/>
    <n v="0.16700000000000001"/>
    <n v="0"/>
    <n v="23"/>
    <n v="2909.8689199999999"/>
    <n v="1509.72"/>
    <n v="1400.1489199999999"/>
    <n v="0.48117250587356353"/>
    <n v="10868405.530830014"/>
    <n v="0.99293221062832238"/>
    <n v="0.16700000000000001"/>
    <n v="29.900000000000002"/>
    <n v="72.204000000000008"/>
    <n v="3782.829596"/>
  </r>
  <r>
    <s v="ORD-2023-689428"/>
    <d v="2023-01-07T00:00:00"/>
    <d v="2023-01-07T00:00:00"/>
    <d v="2023-01-30T00:00:00"/>
    <d v="2023-01-30T00:00:00"/>
    <n v="23"/>
    <n v="0"/>
    <s v="01-2023"/>
    <s v="Q1-2023"/>
    <d v="2023-01-07T00:00:00"/>
    <s v="01-2023"/>
    <s v="Africa"/>
    <s v="South Africa"/>
    <s v="Cape Town"/>
    <s v="Cape Town"/>
    <s v="Consumer"/>
    <s v="Online"/>
    <s v="Online"/>
    <s v="A. Patel"/>
    <s v="A. Patel"/>
    <x v="5"/>
    <s v="Low"/>
    <s v="PRN-4787"/>
    <s v="C"/>
    <n v="299.02"/>
    <n v="724.7"/>
    <n v="724.7"/>
    <n v="0.14000000000000001"/>
    <n v="0.14000000000000001"/>
    <n v="0"/>
    <n v="5"/>
    <n v="3116.21"/>
    <n v="1495.1"/>
    <n v="1621.1100000000001"/>
    <n v="0.52021847051386139"/>
    <n v="10871521.740830015"/>
    <n v="0.99321690604894375"/>
    <n v="0.14000000000000001"/>
    <n v="6.5"/>
    <n v="328.92200000000003"/>
    <n v="4051.0730000000003"/>
  </r>
  <r>
    <s v="ORD-2025-306251"/>
    <d v="2025-04-10T00:00:00"/>
    <d v="2025-04-10T00:00:00"/>
    <d v="2025-04-19T00:00:00"/>
    <d v="2025-04-19T00:00:00"/>
    <n v="9"/>
    <n v="0"/>
    <s v="04-2025"/>
    <s v="Q2-2025"/>
    <d v="2023-01-07T00:00:00"/>
    <s v="01-2023"/>
    <s v="Africa"/>
    <s v="South Africa"/>
    <s v="Durban"/>
    <s v="Durban"/>
    <s v="Enterprise"/>
    <m/>
    <s v="Direct"/>
    <s v="G. Dubois"/>
    <s v="G. Dubois"/>
    <x v="4"/>
    <s v="Low"/>
    <s v="NET-5270"/>
    <s v="C"/>
    <n v="113.74"/>
    <n v="165.7"/>
    <n v="165.7"/>
    <n v="0.124"/>
    <n v="0.124"/>
    <n v="0"/>
    <n v="13"/>
    <n v="1886.9915999999998"/>
    <n v="1478.62"/>
    <n v="408.37159999999994"/>
    <n v="0.21641410592394794"/>
    <n v="10873408.732430015"/>
    <n v="0.99338930067808318"/>
    <n v="0.124"/>
    <n v="16.900000000000002"/>
    <n v="125.114"/>
    <n v="2453.0890800000002"/>
  </r>
  <r>
    <s v="ORD-2024-892908"/>
    <d v="2024-07-13T00:00:00"/>
    <d v="2024-07-12T00:00:00"/>
    <d v="2024-07-12T00:00:00"/>
    <d v="2024-07-13T00:00:00"/>
    <n v="1"/>
    <n v="0"/>
    <s v="07-2024"/>
    <s v="Q3-2024"/>
    <d v="2023-03-03T00:00:00"/>
    <s v="03-2023"/>
    <s v="Asia"/>
    <s v="Japan"/>
    <s v="Nagoya"/>
    <s v="Nagoya"/>
    <s v="Small Business"/>
    <s v="Marketplace"/>
    <s v="Marketplace"/>
    <s v="F. Müller"/>
    <s v="F. Müller"/>
    <x v="4"/>
    <s v="Low"/>
    <s v="NET-9575"/>
    <s v="C"/>
    <n v="105.13"/>
    <n v="244.13"/>
    <n v="244.13"/>
    <n v="7.0999999999999994E-2"/>
    <n v="7.0999999999999994E-2"/>
    <n v="0"/>
    <n v="14"/>
    <n v="3175.1547799999998"/>
    <n v="1471.82"/>
    <n v="1703.3347799999999"/>
    <n v="0.53645724319618837"/>
    <n v="10876583.887210015"/>
    <n v="0.99367938126495947"/>
    <n v="7.0999999999999994E-2"/>
    <n v="18.2"/>
    <n v="115.643"/>
    <n v="4127.7012140000006"/>
  </r>
  <r>
    <s v="ORD-2024-787018"/>
    <d v="2024-06-23T00:00:00"/>
    <d v="2024-06-23T00:00:00"/>
    <d v="2024-06-28T00:00:00"/>
    <d v="2024-06-28T00:00:00"/>
    <n v="5"/>
    <n v="0"/>
    <s v="06-2024"/>
    <s v="Q2-2024"/>
    <d v="2023-01-13T00:00:00"/>
    <s v="01-2023"/>
    <s v="Africa"/>
    <s v="Nigeria"/>
    <s v="Port Harcourt"/>
    <s v="Port Harcourt"/>
    <s v="Non-Profit"/>
    <s v="Direct"/>
    <s v="Direct"/>
    <s v="M. Rossi"/>
    <s v="M. Rossi"/>
    <x v="1"/>
    <s v="Low"/>
    <s v="ACC-7671"/>
    <s v="C"/>
    <n v="242.31"/>
    <n v="587.95000000000005"/>
    <n v="587.95000000000005"/>
    <n v="0.22900000000000001"/>
    <n v="0.22900000000000001"/>
    <n v="1"/>
    <n v="6"/>
    <n v="2719.8567000000003"/>
    <n v="1453.8600000000001"/>
    <n v="1265.9967000000001"/>
    <n v="0.46546448568411714"/>
    <n v="10879303.743910015"/>
    <n v="0.99392786604205596"/>
    <n v="0.2"/>
    <n v="7.8000000000000007"/>
    <n v="266.541"/>
    <n v="3668.8080000000009"/>
  </r>
  <r>
    <s v="ORD-2024-970848"/>
    <d v="2024-05-23T00:00:00"/>
    <d v="2024-05-23T00:00:00"/>
    <d v="2024-06-03T00:00:00"/>
    <d v="2024-06-03T00:00:00"/>
    <n v="11"/>
    <n v="0"/>
    <s v="05-2024"/>
    <s v="Q2-2024"/>
    <d v="2023-01-07T00:00:00"/>
    <s v="01-2023"/>
    <s v="Africa"/>
    <s v="South Africa"/>
    <s v="Johannesburg"/>
    <s v="Johannesburg"/>
    <s v="Small Business"/>
    <s v="Distributor"/>
    <s v="Distributor"/>
    <s v="F. Müller"/>
    <s v="F. Müller"/>
    <x v="5"/>
    <s v="Low"/>
    <s v="PRN-3785"/>
    <s v="C"/>
    <n v="180.89"/>
    <n v="249.57"/>
    <n v="249.57"/>
    <n v="2.1999999999999999E-2"/>
    <n v="2.1999999999999999E-2"/>
    <n v="0"/>
    <n v="8"/>
    <n v="1952.6356799999999"/>
    <n v="1447.12"/>
    <n v="505.51567999999997"/>
    <n v="0.25888888806948362"/>
    <n v="10881256.379590014"/>
    <n v="0.99410625788221996"/>
    <n v="2.1999999999999999E-2"/>
    <n v="10.4"/>
    <n v="198.97900000000001"/>
    <n v="2538.4263839999999"/>
  </r>
  <r>
    <s v="ORD-2023-603238"/>
    <d v="2023-08-21T00:00:00"/>
    <d v="2023-08-21T00:00:00"/>
    <d v="2023-09-04T00:00:00"/>
    <d v="2023-09-04T00:00:00"/>
    <n v="14"/>
    <n v="1"/>
    <s v="08-2023"/>
    <s v="Q3-2023"/>
    <d v="2023-01-02T00:00:00"/>
    <s v="01-2023"/>
    <s v="Americas"/>
    <s v="Canada"/>
    <s v="Montreal"/>
    <s v="Montreal"/>
    <s v="Education"/>
    <s v="Distributor"/>
    <s v="Distributor"/>
    <s v="F. Müller"/>
    <s v="F. Müller"/>
    <x v="0"/>
    <s v="Low"/>
    <s v="CMP-2136"/>
    <s v="C"/>
    <n v="178.19"/>
    <n v="284.43"/>
    <n v="284.43"/>
    <n v="8.8999999999999996E-2"/>
    <n v="8.8999999999999996E-2"/>
    <n v="0"/>
    <n v="8"/>
    <n v="2072.9258400000003"/>
    <n v="1425.52"/>
    <n v="647.40584000000035"/>
    <n v="0.31231500302972742"/>
    <n v="10883329.305430014"/>
    <n v="0.99429563937253529"/>
    <n v="8.8999999999999996E-2"/>
    <n v="10.4"/>
    <n v="196.00900000000001"/>
    <n v="2694.8035920000002"/>
  </r>
  <r>
    <s v="ORD-2024-605518"/>
    <d v="2024-05-30T00:00:00"/>
    <d v="2024-05-30T00:00:00"/>
    <d v="2024-06-13T00:00:00"/>
    <d v="2024-06-13T00:00:00"/>
    <n v="14"/>
    <n v="0"/>
    <s v="05-2024"/>
    <s v="Q2-2024"/>
    <d v="2023-01-13T00:00:00"/>
    <s v="01-2023"/>
    <s v="Americas"/>
    <s v="USA"/>
    <s v="San Francisco"/>
    <s v="San Francisco"/>
    <s v="Small Business"/>
    <s v="Retail"/>
    <s v="Retail"/>
    <s v="F. Müller"/>
    <s v="F. Müller"/>
    <x v="6"/>
    <s v="Low"/>
    <s v="PHN-4356"/>
    <s v="C"/>
    <n v="157.78"/>
    <n v="361.1"/>
    <n v="361.1"/>
    <n v="0.187"/>
    <n v="0.187"/>
    <n v="0"/>
    <n v="9"/>
    <n v="2642.1686999999997"/>
    <n v="1420.02"/>
    <n v="1222.1486999999997"/>
    <n v="0.46255513510549112"/>
    <n v="10885971.474130014"/>
    <n v="0.99453702661196997"/>
    <n v="0.187"/>
    <n v="11.700000000000001"/>
    <n v="173.55800000000002"/>
    <n v="3434.8193100000003"/>
  </r>
  <r>
    <s v="ORD-2023-933238"/>
    <d v="2023-03-17T00:00:00"/>
    <d v="2023-03-17T00:00:00"/>
    <d v="2023-04-06T00:00:00"/>
    <d v="2023-04-06T00:00:00"/>
    <n v="20"/>
    <n v="0"/>
    <s v="03-2023"/>
    <s v="Q1-2023"/>
    <d v="2023-01-21T00:00:00"/>
    <s v="01-2023"/>
    <s v="Europe"/>
    <s v="Germany"/>
    <s v="Munich"/>
    <s v="Munich"/>
    <s v="Consumer"/>
    <s v="Retail"/>
    <s v="Retail"/>
    <s v="O. Wang"/>
    <s v="O. Wang"/>
    <x v="6"/>
    <s v="Medium"/>
    <s v="PHN-8483"/>
    <s v="C"/>
    <n v="692.18"/>
    <n v="1159.3499999999999"/>
    <n v="1159.3499999999999"/>
    <n v="0.112"/>
    <n v="0.112"/>
    <n v="0"/>
    <n v="2"/>
    <n v="2059.0056"/>
    <n v="1384.36"/>
    <n v="674.64560000000006"/>
    <n v="0.32765602968734037"/>
    <n v="10888030.479730014"/>
    <n v="0.99472513635597104"/>
    <n v="0.112"/>
    <n v="2.6"/>
    <n v="761.39800000000002"/>
    <n v="2676.7072800000001"/>
  </r>
  <r>
    <s v="ORD-2025-586799"/>
    <d v="2025-07-14T00:00:00"/>
    <d v="2025-07-14T00:00:00"/>
    <d v="2025-08-04T00:00:00"/>
    <d v="2025-08-04T00:00:00"/>
    <n v="21"/>
    <n v="0"/>
    <s v="07-2025"/>
    <s v="Q3-2025"/>
    <d v="2023-01-02T00:00:00"/>
    <s v="01-2023"/>
    <s v="Americas"/>
    <s v="Canada"/>
    <s v="Montreal"/>
    <s v="Montreal"/>
    <s v="Consumer"/>
    <s v="Online"/>
    <s v="Online"/>
    <s v="H. Kim"/>
    <s v="H. Kim"/>
    <x v="2"/>
    <s v="Low"/>
    <s v="MON-7868"/>
    <s v="C"/>
    <n v="90.3"/>
    <n v="131.76"/>
    <n v="131.76"/>
    <n v="0.10199999999999999"/>
    <n v="0.10199999999999999"/>
    <n v="0"/>
    <n v="15"/>
    <n v="1774.8072"/>
    <n v="1354.5"/>
    <n v="420.30719999999997"/>
    <n v="0.23681851189244668"/>
    <n v="10889805.286930013"/>
    <n v="0.99488728187322617"/>
    <n v="0.10199999999999999"/>
    <n v="19.5"/>
    <n v="99.33"/>
    <n v="2307.2493599999998"/>
  </r>
  <r>
    <s v="ORD-2025-698069"/>
    <d v="2025-06-03T00:00:00"/>
    <d v="2025-06-03T00:00:00"/>
    <d v="2025-06-10T00:00:00"/>
    <d v="2025-06-10T00:00:00"/>
    <n v="7"/>
    <n v="0"/>
    <s v="06-2025"/>
    <s v="Q2-2025"/>
    <d v="2023-01-02T00:00:00"/>
    <s v="01-2023"/>
    <s v="Americas"/>
    <s v="Canada"/>
    <s v="Toronto"/>
    <s v="Toronto"/>
    <s v="Consumer"/>
    <s v="Distributor"/>
    <s v="Distributor"/>
    <s v="O. Wang"/>
    <s v="O. Wang"/>
    <x v="5"/>
    <s v="Low"/>
    <s v="PRN-6429"/>
    <s v="C"/>
    <n v="75.180000000000007"/>
    <n v="53.45"/>
    <n v="53.45"/>
    <n v="0.157"/>
    <n v="0.157"/>
    <n v="0"/>
    <n v="17"/>
    <n v="765.99195000000009"/>
    <n v="1278.0600000000002"/>
    <n v="512.06805000000008"/>
    <n v="0.66850317421743144"/>
    <n v="10890571.278880013"/>
    <n v="0.99495726252292482"/>
    <n v="0.157"/>
    <n v="22.1"/>
    <n v="82.698000000000008"/>
    <n v="995.78953500000011"/>
  </r>
  <r>
    <s v="ORD-2023-539967"/>
    <d v="2023-07-09T00:00:00"/>
    <d v="2023-07-09T00:00:00"/>
    <d v="2023-07-19T00:00:00"/>
    <d v="2023-07-19T00:00:00"/>
    <n v="10"/>
    <n v="0"/>
    <s v="07-2023"/>
    <s v="Q3-2023"/>
    <d v="2023-03-03T00:00:00"/>
    <s v="03-2023"/>
    <s v="Asia"/>
    <s v="Japan"/>
    <s v="Tokyo"/>
    <s v="Tokyo"/>
    <s v="Enterprise"/>
    <s v="Distributor"/>
    <s v="Distributor"/>
    <s v="N. Brown"/>
    <s v="N. Brown"/>
    <x v="0"/>
    <s v="Low"/>
    <s v="CMP-6649"/>
    <s v="C"/>
    <n v="141.26"/>
    <n v="206.88"/>
    <n v="206.88"/>
    <n v="0.107"/>
    <n v="0.107"/>
    <n v="0"/>
    <n v="9"/>
    <n v="1662.6945600000001"/>
    <n v="1271.3399999999999"/>
    <n v="391.35456000000022"/>
    <n v="0.23537369365062469"/>
    <n v="10892233.973440014"/>
    <n v="0.99510916548425421"/>
    <n v="0.107"/>
    <n v="11.700000000000001"/>
    <n v="155.386"/>
    <n v="2161.5029280000003"/>
  </r>
  <r>
    <s v="ORD-2024-153053"/>
    <d v="2024-01-12T00:00:00"/>
    <d v="2024-01-12T00:00:00"/>
    <d v="2024-01-29T00:00:00"/>
    <d v="2024-01-29T00:00:00"/>
    <n v="17"/>
    <n v="0"/>
    <s v="01-2024"/>
    <s v="Q1-2024"/>
    <d v="2023-01-29T00:00:00"/>
    <s v="01-2023"/>
    <s v="Asia"/>
    <s v="India"/>
    <s v="Hyderabad"/>
    <s v="Hyderabad"/>
    <s v="Small Business"/>
    <s v="Direct"/>
    <s v="Direct"/>
    <s v="B. Chen"/>
    <s v="B. Chen"/>
    <x v="0"/>
    <s v="Low"/>
    <s v="CMP-5138"/>
    <s v="C"/>
    <n v="310.02"/>
    <n v="619.51"/>
    <n v="619.51"/>
    <n v="4.2000000000000003E-2"/>
    <n v="4.2000000000000003E-2"/>
    <n v="0"/>
    <n v="4"/>
    <n v="2373.9623200000001"/>
    <n v="1240.08"/>
    <n v="1133.8823200000002"/>
    <n v="0.47763282106347843"/>
    <n v="10894607.935760014"/>
    <n v="0.9953260495200642"/>
    <n v="4.2000000000000003E-2"/>
    <n v="5.2"/>
    <n v="341.02199999999999"/>
    <n v="3086.1510160000003"/>
  </r>
  <r>
    <s v="ORD-2025-653781"/>
    <d v="2025-01-11T00:00:00"/>
    <d v="2025-01-11T00:00:00"/>
    <d v="2025-01-23T00:00:00"/>
    <d v="2025-01-23T00:00:00"/>
    <n v="12"/>
    <n v="1"/>
    <s v="01-2025"/>
    <s v="Q1-2025"/>
    <d v="2023-01-13T00:00:00"/>
    <s v="01-2023"/>
    <s v="Americas"/>
    <s v="USA"/>
    <s v="Austin"/>
    <s v="Austin"/>
    <s v="Consumer"/>
    <s v="Distributor"/>
    <s v="Distributor"/>
    <s v="H. Kim"/>
    <s v="H. Kim"/>
    <x v="6"/>
    <s v="Low"/>
    <s v="PHN-6307"/>
    <s v="C"/>
    <n v="100.69"/>
    <n v="226.14"/>
    <n v="226.14"/>
    <n v="6.5000000000000002E-2"/>
    <n v="6.5000000000000002E-2"/>
    <n v="0"/>
    <n v="12"/>
    <n v="2537.2908000000002"/>
    <n v="1208.28"/>
    <n v="1329.0108000000002"/>
    <n v="0.52379128162999689"/>
    <n v="10897145.226560013"/>
    <n v="0.99555785516587891"/>
    <n v="6.5000000000000002E-2"/>
    <n v="15.600000000000001"/>
    <n v="110.759"/>
    <n v="3298.4780400000004"/>
  </r>
  <r>
    <s v="ORD-2023-613317"/>
    <d v="2023-01-22T00:00:00"/>
    <d v="2023-01-21T00:00:00"/>
    <d v="2023-01-21T00:00:00"/>
    <d v="2023-01-22T00:00:00"/>
    <n v="1"/>
    <n v="1"/>
    <s v="01-2023"/>
    <s v="Q1-2023"/>
    <d v="2023-01-21T00:00:00"/>
    <s v="01-2023"/>
    <s v="Europe"/>
    <s v="Germany"/>
    <s v="Munich"/>
    <s v="Munich"/>
    <s v="Corporate"/>
    <s v="Direct"/>
    <s v="Direct"/>
    <s v="F. Müller"/>
    <s v="F. Müller"/>
    <x v="2"/>
    <s v="Low"/>
    <s v="MON-2537"/>
    <s v="C"/>
    <n v="150.86000000000001"/>
    <n v="346.96"/>
    <n v="346.96"/>
    <n v="0.19600000000000001"/>
    <n v="0.19600000000000001"/>
    <n v="0"/>
    <n v="8"/>
    <n v="2231.6467200000002"/>
    <n v="1206.8800000000001"/>
    <n v="1024.7667200000001"/>
    <n v="0.45919755614365343"/>
    <n v="10899376.873280013"/>
    <n v="0.99576173731811779"/>
    <n v="0.19600000000000001"/>
    <n v="10.4"/>
    <n v="165.94600000000003"/>
    <n v="2901.1407360000003"/>
  </r>
  <r>
    <s v="ORD-2025-907040"/>
    <d v="2025-04-17T00:00:00"/>
    <d v="2025-04-17T00:00:00"/>
    <d v="2025-05-03T00:00:00"/>
    <d v="2025-05-03T00:00:00"/>
    <n v="16"/>
    <n v="1"/>
    <s v="04-2025"/>
    <s v="Q2-2025"/>
    <d v="2023-01-29T00:00:00"/>
    <s v="01-2023"/>
    <s v="Americas"/>
    <s v="Brazil"/>
    <s v="Rio de Janeiro"/>
    <s v="Rio de Janeiro"/>
    <s v="Consumer"/>
    <s v="Marketplace"/>
    <s v="Marketplace"/>
    <s v="J. Njeri"/>
    <s v="J. Njeri"/>
    <x v="4"/>
    <s v="Low"/>
    <s v="NET-8610"/>
    <s v="C"/>
    <n v="168.68"/>
    <n v="413.34"/>
    <n v="413.34"/>
    <n v="0.186"/>
    <n v="0.186"/>
    <n v="0"/>
    <n v="7"/>
    <n v="2355.2113199999999"/>
    <n v="1180.76"/>
    <n v="1174.4513199999999"/>
    <n v="0.49866069767361682"/>
    <n v="10901732.084600013"/>
    <n v="0.9959769082717439"/>
    <n v="0.186"/>
    <n v="9.1"/>
    <n v="185.54800000000003"/>
    <n v="3061.7747159999999"/>
  </r>
  <r>
    <s v="ORD-2024-788105"/>
    <d v="2024-11-30T00:00:00"/>
    <d v="2024-11-30T00:00:00"/>
    <d v="2024-12-30T00:00:00"/>
    <d v="2024-12-30T00:00:00"/>
    <n v="30"/>
    <n v="1"/>
    <s v="11-2024"/>
    <s v="Q4-2024"/>
    <d v="2023-01-10T00:00:00"/>
    <s v="01-2023"/>
    <s v="Europe"/>
    <s v="France"/>
    <s v="Marseille"/>
    <s v="Marseille"/>
    <s v="Consumer"/>
    <s v="Marketplace"/>
    <s v="Marketplace"/>
    <s v="F. Müller"/>
    <s v="F. Müller"/>
    <x v="5"/>
    <s v="Low"/>
    <s v="PRN-4170"/>
    <s v="C"/>
    <n v="117.64"/>
    <n v="175.67"/>
    <n v="175.67"/>
    <n v="0"/>
    <n v="0"/>
    <n v="0"/>
    <n v="10"/>
    <n v="1756.6999999999998"/>
    <n v="1176.4000000000001"/>
    <n v="580.29999999999973"/>
    <n v="0.33033528775545046"/>
    <n v="10903488.784600012"/>
    <n v="0.9961373995240681"/>
    <n v="0"/>
    <n v="13"/>
    <n v="129.40400000000002"/>
    <n v="2283.71"/>
  </r>
  <r>
    <s v="ORD-2023-898009"/>
    <d v="2023-05-04T00:00:00"/>
    <d v="2023-05-04T00:00:00"/>
    <d v="2023-05-16T00:00:00"/>
    <d v="2023-05-16T00:00:00"/>
    <n v="12"/>
    <n v="0"/>
    <s v="05-2023"/>
    <s v="Q2-2023"/>
    <d v="2023-01-13T00:00:00"/>
    <s v="01-2023"/>
    <s v="Africa"/>
    <s v="Nigeria"/>
    <s v="Abuja"/>
    <s v="Abuja"/>
    <s v="Small Business"/>
    <s v="Marketplace"/>
    <s v="Marketplace"/>
    <s v="J. Njeri"/>
    <s v="J. Njeri"/>
    <x v="6"/>
    <s v="Low"/>
    <s v="PHN-1670"/>
    <s v="C"/>
    <n v="77.739999999999995"/>
    <n v="147.12"/>
    <n v="147.12"/>
    <n v="0"/>
    <n v="0"/>
    <n v="0"/>
    <n v="15"/>
    <n v="2206.8000000000002"/>
    <n v="1166.0999999999999"/>
    <n v="1040.7000000000003"/>
    <n v="0.47158781946710177"/>
    <n v="10905695.584600013"/>
    <n v="0.99633901169212713"/>
    <n v="0"/>
    <n v="19.5"/>
    <n v="85.513999999999996"/>
    <n v="2868.84"/>
  </r>
  <r>
    <s v="ORD-2024-307849"/>
    <d v="2024-08-10T00:00:00"/>
    <d v="2024-08-10T00:00:00"/>
    <d v="2024-09-07T00:00:00"/>
    <d v="2024-09-07T00:00:00"/>
    <n v="28"/>
    <n v="0"/>
    <s v="08-2024"/>
    <s v="Q3-2024"/>
    <d v="2023-01-10T00:00:00"/>
    <s v="01-2023"/>
    <s v="Europe"/>
    <s v="France"/>
    <s v="Marseille"/>
    <s v="Marseille"/>
    <s v="Non-Profit"/>
    <s v="Direct"/>
    <s v="Direct"/>
    <s v="F. Müller"/>
    <s v="F. Müller"/>
    <x v="5"/>
    <s v="Low"/>
    <s v="PRN-1183"/>
    <s v="C"/>
    <n v="229.96"/>
    <n v="564.26"/>
    <n v="564.26"/>
    <n v="0.105"/>
    <n v="0.105"/>
    <n v="0"/>
    <n v="5"/>
    <n v="2525.0635000000002"/>
    <n v="1149.8"/>
    <n v="1375.2635000000002"/>
    <n v="0.54464511486542821"/>
    <n v="10908220.648100013"/>
    <n v="0.99656970025779756"/>
    <n v="0.105"/>
    <n v="6.5"/>
    <n v="252.95600000000002"/>
    <n v="3282.5825500000001"/>
  </r>
  <r>
    <s v="ORD-2023-856322"/>
    <d v="2023-01-29T00:00:00"/>
    <d v="2023-01-29T00:00:00"/>
    <d v="2023-02-06T00:00:00"/>
    <d v="2023-02-06T00:00:00"/>
    <n v="8"/>
    <n v="0"/>
    <s v="01-2023"/>
    <s v="Q1-2023"/>
    <d v="2023-01-29T00:00:00"/>
    <s v="01-2023"/>
    <s v="Americas"/>
    <s v="Brazil"/>
    <s v="Brasília"/>
    <s v="Brasília"/>
    <s v="Corporate"/>
    <s v="Marketplace"/>
    <s v="Marketplace"/>
    <s v="D. Smith"/>
    <s v="D. Smith"/>
    <x v="2"/>
    <s v="Low"/>
    <s v="MON-7207"/>
    <s v="C"/>
    <n v="41.84"/>
    <n v="86.2"/>
    <n v="86.2"/>
    <n v="0.22600000000000001"/>
    <n v="0.22600000000000001"/>
    <n v="1"/>
    <n v="27"/>
    <n v="1801.4076000000002"/>
    <n v="1129.68"/>
    <n v="671.72760000000017"/>
    <n v="0.37289039970742882"/>
    <n v="10910022.055700013"/>
    <n v="0.99673427597457931"/>
    <n v="0.2"/>
    <n v="35.1"/>
    <n v="46.024000000000008"/>
    <n v="2420.4960000000005"/>
  </r>
  <r>
    <s v="ORD-2025-496178"/>
    <d v="2025-07-27T00:00:00"/>
    <d v="2025-07-27T00:00:00"/>
    <d v="2025-08-15T00:00:00"/>
    <d v="2025-08-15T00:00:00"/>
    <n v="19"/>
    <n v="0"/>
    <s v="07-2025"/>
    <s v="Q3-2025"/>
    <d v="2023-03-03T00:00:00"/>
    <s v="03-2023"/>
    <s v="Asia"/>
    <s v="Japan"/>
    <s v="Tokyo"/>
    <s v="Tokyo"/>
    <s v="Small Business"/>
    <s v="Marketplace"/>
    <s v="Marketplace"/>
    <s v="J. Njeri"/>
    <s v="J. Njeri"/>
    <x v="0"/>
    <s v="Low"/>
    <s v="CMP-5658"/>
    <s v="C"/>
    <n v="275.43"/>
    <n v="608.36"/>
    <n v="608.36"/>
    <n v="0.25700000000000001"/>
    <n v="0.25700000000000001"/>
    <n v="1"/>
    <n v="4"/>
    <n v="1808.04592"/>
    <n v="1101.72"/>
    <n v="706.32592"/>
    <n v="0.39065706915231446"/>
    <n v="10911830.101620013"/>
    <n v="0.99689945816502756"/>
    <n v="0.2"/>
    <n v="5.2"/>
    <n v="302.97300000000001"/>
    <n v="2530.7776000000003"/>
  </r>
  <r>
    <s v="ORD-2024-641220"/>
    <d v="2024-05-10T00:00:00"/>
    <d v="2024-05-10T00:00:00"/>
    <d v="2024-05-16T00:00:00"/>
    <d v="2024-05-16T00:00:00"/>
    <n v="6"/>
    <n v="0"/>
    <s v="05-2024"/>
    <s v="Q2-2024"/>
    <d v="2023-01-19T00:00:00"/>
    <s v="01-2023"/>
    <s v="Europe"/>
    <s v="United Kingdom"/>
    <s v="Birmingham"/>
    <s v="Birmingham"/>
    <s v="Non-Profit"/>
    <s v="Direct"/>
    <s v="Direct"/>
    <s v="G. Dubois"/>
    <s v="G. Dubois"/>
    <x v="3"/>
    <s v="Low"/>
    <s v="LAP-1066"/>
    <s v="C"/>
    <n v="210.76"/>
    <n v="221.58"/>
    <n v="221.58"/>
    <n v="8.8999999999999996E-2"/>
    <n v="8.8999999999999996E-2"/>
    <n v="0"/>
    <n v="5"/>
    <n v="1009.2969000000002"/>
    <n v="1053.8"/>
    <n v="44.50309999999979"/>
    <n v="4.4093170205912434E-2"/>
    <n v="10912839.398520013"/>
    <n v="0.99699166703589237"/>
    <n v="8.8999999999999996E-2"/>
    <n v="6.5"/>
    <n v="231.83600000000001"/>
    <n v="1312.0859700000001"/>
  </r>
  <r>
    <s v="ORD-2024-206121"/>
    <d v="2024-02-18T00:00:00"/>
    <d v="2024-02-18T00:00:00"/>
    <d v="2024-03-11T00:00:00"/>
    <d v="2024-03-11T00:00:00"/>
    <n v="22"/>
    <n v="0"/>
    <s v="02-2024"/>
    <s v="Q1-2024"/>
    <d v="2023-01-29T00:00:00"/>
    <s v="01-2023"/>
    <s v="Americas"/>
    <s v="Brazil"/>
    <s v="São Paulo"/>
    <s v="São Paulo"/>
    <s v="Consumer"/>
    <s v="Online"/>
    <s v="Online"/>
    <s v="A. Patel"/>
    <s v="A. Patel"/>
    <x v="0"/>
    <s v="Low"/>
    <s v="CMP-9801"/>
    <s v="C"/>
    <n v="80.48"/>
    <n v="65.650000000000006"/>
    <n v="65.650000000000006"/>
    <n v="0.17599999999999999"/>
    <n v="0.17599999999999999"/>
    <n v="0"/>
    <n v="13"/>
    <n v="703.2428000000001"/>
    <n v="1046.24"/>
    <n v="342.99719999999991"/>
    <n v="0.48773652570634191"/>
    <n v="10913542.641320013"/>
    <n v="0.99705591495395451"/>
    <n v="0.17599999999999999"/>
    <n v="16.900000000000002"/>
    <n v="88.528000000000006"/>
    <n v="914.21564000000012"/>
  </r>
  <r>
    <s v="ORD-2023-769774"/>
    <d v="2023-06-13T00:00:00"/>
    <d v="2023-06-13T00:00:00"/>
    <d v="2023-06-24T00:00:00"/>
    <d v="2023-06-24T00:00:00"/>
    <n v="11"/>
    <n v="0"/>
    <s v="06-2023"/>
    <s v="Q2-2023"/>
    <d v="2023-01-02T00:00:00"/>
    <s v="01-2023"/>
    <s v="Americas"/>
    <s v="Canada"/>
    <s v="Toronto"/>
    <s v="Toronto"/>
    <s v="Corporate"/>
    <s v="Online"/>
    <s v="Online"/>
    <s v="C. Otieno"/>
    <s v="C. Otieno"/>
    <x v="5"/>
    <s v="Low"/>
    <s v="PRN-8008"/>
    <s v="C"/>
    <n v="247.07"/>
    <n v="495.19"/>
    <n v="495.19"/>
    <n v="2.8000000000000001E-2"/>
    <n v="2.8000000000000001E-2"/>
    <n v="0"/>
    <n v="4"/>
    <n v="1925.29872"/>
    <n v="988.28"/>
    <n v="937.01872000000003"/>
    <n v="0.48668744764968214"/>
    <n v="10915467.940040013"/>
    <n v="0.99723180930283095"/>
    <n v="2.8000000000000001E-2"/>
    <n v="5.2"/>
    <n v="271.77699999999999"/>
    <n v="2502.8883360000004"/>
  </r>
  <r>
    <s v="ORD-2023-125739"/>
    <d v="2023-05-01T00:00:00"/>
    <d v="2023-05-01T00:00:00"/>
    <d v="2023-05-18T00:00:00"/>
    <d v="2023-05-18T00:00:00"/>
    <n v="17"/>
    <n v="0"/>
    <s v="05-2023"/>
    <s v="Q2-2023"/>
    <d v="2023-01-13T00:00:00"/>
    <s v="01-2023"/>
    <s v="Africa"/>
    <s v="Nigeria"/>
    <s v="Port Harcourt"/>
    <s v="Port Harcourt"/>
    <s v="Corporate"/>
    <s v="Direct"/>
    <s v="Direct"/>
    <s v="F. Müller"/>
    <s v="F. Müller"/>
    <x v="0"/>
    <s v="Low"/>
    <s v="CMP-5633"/>
    <s v="C"/>
    <n v="327.97"/>
    <n v="299.94"/>
    <n v="299.94"/>
    <n v="4.9000000000000002E-2"/>
    <n v="4.9000000000000002E-2"/>
    <n v="0"/>
    <n v="3"/>
    <n v="855.72881999999993"/>
    <n v="983.91000000000008"/>
    <n v="128.18118000000015"/>
    <n v="0.14979182306843442"/>
    <n v="10916323.668860013"/>
    <n v="0.99730998826905837"/>
    <n v="4.9000000000000002E-2"/>
    <n v="3.9000000000000004"/>
    <n v="360.76700000000005"/>
    <n v="1112.4474660000001"/>
  </r>
  <r>
    <s v="ORD-2025-537785"/>
    <d v="2025-08-05T00:00:00"/>
    <d v="2025-08-05T00:00:00"/>
    <d v="2025-08-14T00:00:00"/>
    <d v="2025-08-14T00:00:00"/>
    <n v="9"/>
    <n v="1"/>
    <s v="08-2025"/>
    <s v="Q3-2025"/>
    <d v="2023-01-19T00:00:00"/>
    <s v="01-2023"/>
    <s v="Europe"/>
    <s v="United Kingdom"/>
    <s v="London"/>
    <s v="London"/>
    <s v="Non-Profit"/>
    <s v="Direct"/>
    <s v="Direct"/>
    <s v="E. Garcia"/>
    <s v="E. Garcia"/>
    <x v="0"/>
    <s v="Low"/>
    <s v="CMP-6346"/>
    <s v="C"/>
    <n v="41.76"/>
    <n v="45.19"/>
    <n v="45.19"/>
    <n v="0.17899999999999999"/>
    <n v="0.17899999999999999"/>
    <n v="0"/>
    <n v="23"/>
    <n v="853.32276999999988"/>
    <n v="960.4799999999999"/>
    <n v="107.15723000000003"/>
    <n v="0.12557643340514638"/>
    <n v="10917176.991630012"/>
    <n v="0.99738794741973524"/>
    <n v="0.17899999999999999"/>
    <n v="29.900000000000002"/>
    <n v="45.936"/>
    <n v="1109.3196009999999"/>
  </r>
  <r>
    <s v="ORD-2025-419532"/>
    <d v="2025-08-06T00:00:00"/>
    <d v="2025-08-06T00:00:00"/>
    <d v="2025-08-23T00:00:00"/>
    <d v="2025-08-23T00:00:00"/>
    <n v="17"/>
    <n v="1"/>
    <s v="08-2025"/>
    <s v="Q3-2025"/>
    <d v="2023-01-29T00:00:00"/>
    <s v="01-2023"/>
    <s v="Americas"/>
    <s v="Brazil"/>
    <s v="Brasília"/>
    <s v="Brasília"/>
    <s v="Consumer"/>
    <s v="Distributor"/>
    <s v="Distributor"/>
    <s v="A. Patel"/>
    <s v="A. Patel"/>
    <x v="2"/>
    <s v="Low"/>
    <s v="MON-4317"/>
    <s v="C"/>
    <n v="86.64"/>
    <n v="213.06"/>
    <n v="213.06"/>
    <n v="0.21199999999999999"/>
    <n v="0.21199999999999999"/>
    <n v="1"/>
    <n v="11"/>
    <n v="1846.8040799999999"/>
    <n v="953.04"/>
    <n v="893.76407999999992"/>
    <n v="0.48395175735154322"/>
    <n v="10919023.795710012"/>
    <n v="0.99755667053671404"/>
    <n v="0.2"/>
    <n v="14.3"/>
    <n v="95.304000000000002"/>
    <n v="2437.4064000000003"/>
  </r>
  <r>
    <s v="ORD-2024-247032"/>
    <d v="2024-04-21T00:00:00"/>
    <d v="2024-04-21T00:00:00"/>
    <d v="2024-05-19T00:00:00"/>
    <d v="2024-05-19T00:00:00"/>
    <n v="28"/>
    <n v="0"/>
    <s v="04-2024"/>
    <s v="Q2-2024"/>
    <d v="2023-01-13T00:00:00"/>
    <s v="01-2023"/>
    <s v="Africa"/>
    <s v="Nigeria"/>
    <s v="Lagos"/>
    <s v="Lagos"/>
    <s v="Corporate"/>
    <s v="Distributor"/>
    <s v="Distributor"/>
    <s v="A. Patel"/>
    <s v="A. Patel"/>
    <x v="1"/>
    <s v="Low"/>
    <s v="ACC-2990"/>
    <s v="C"/>
    <n v="187.22"/>
    <n v="309.47000000000003"/>
    <n v="309.47000000000003"/>
    <n v="0"/>
    <n v="0"/>
    <n v="0"/>
    <n v="5"/>
    <n v="1547.3500000000001"/>
    <n v="936.1"/>
    <n v="611.25000000000011"/>
    <n v="0.39503021294471197"/>
    <n v="10920571.145710012"/>
    <n v="0.99769803567548787"/>
    <n v="0"/>
    <n v="6.5"/>
    <n v="205.94200000000001"/>
    <n v="2011.5550000000003"/>
  </r>
  <r>
    <s v="ORD-2023-603650"/>
    <d v="2023-05-23T00:00:00"/>
    <d v="2023-05-23T00:00:00"/>
    <d v="2023-06-10T00:00:00"/>
    <d v="2023-06-10T00:00:00"/>
    <n v="18"/>
    <n v="1"/>
    <s v="05-2023"/>
    <s v="Q2-2023"/>
    <d v="2023-01-12T00:00:00"/>
    <s v="01-2023"/>
    <s v="Asia"/>
    <s v="China"/>
    <s v="Shanghai"/>
    <s v="Shanghai"/>
    <s v="Corporate"/>
    <s v="Distributor"/>
    <s v="Distributor"/>
    <s v="E. Garcia"/>
    <s v="E. Garcia"/>
    <x v="0"/>
    <s v="Low"/>
    <s v="CMP-6925"/>
    <s v="C"/>
    <n v="54.62"/>
    <n v="48.94"/>
    <n v="48.94"/>
    <n v="0.14799999999999999"/>
    <n v="0.14799999999999999"/>
    <n v="0"/>
    <n v="16"/>
    <n v="667.15008"/>
    <n v="873.92"/>
    <n v="206.76991999999996"/>
    <n v="0.3099301434543783"/>
    <n v="10921238.295790011"/>
    <n v="0.99775898618031356"/>
    <n v="0.14799999999999999"/>
    <n v="20.8"/>
    <n v="60.082000000000001"/>
    <n v="867.29510399999992"/>
  </r>
  <r>
    <s v="ORD-2025-189846"/>
    <d v="2025-08-11T00:00:00"/>
    <d v="2025-08-11T00:00:00"/>
    <d v="2025-08-28T00:00:00"/>
    <d v="2025-08-28T00:00:00"/>
    <n v="17"/>
    <n v="0"/>
    <s v="08-2025"/>
    <s v="Q3-2025"/>
    <d v="2023-01-10T00:00:00"/>
    <s v="01-2023"/>
    <s v="Europe"/>
    <s v="France"/>
    <s v="Paris"/>
    <s v="Paris"/>
    <s v="Education"/>
    <s v="Online"/>
    <s v="Online"/>
    <s v="F. Müller"/>
    <s v="F. Müller"/>
    <x v="4"/>
    <s v="Low"/>
    <s v="NET-6218"/>
    <s v="C"/>
    <n v="416.16"/>
    <n v="571.9"/>
    <n v="571.9"/>
    <n v="7.0999999999999994E-2"/>
    <n v="7.0999999999999994E-2"/>
    <n v="0"/>
    <n v="2"/>
    <n v="1062.5902000000001"/>
    <n v="832.32"/>
    <n v="230.27020000000005"/>
    <n v="0.21670649701079497"/>
    <n v="10922300.885990011"/>
    <n v="0.99785606390098602"/>
    <n v="7.0999999999999994E-2"/>
    <n v="2.6"/>
    <n v="457.77600000000007"/>
    <n v="1381.3672600000002"/>
  </r>
  <r>
    <s v="ORD-2024-792558"/>
    <d v="2024-10-16T00:00:00"/>
    <d v="2024-10-16T00:00:00"/>
    <d v="2024-11-08T00:00:00"/>
    <d v="2024-11-08T00:00:00"/>
    <n v="23"/>
    <n v="0"/>
    <s v="10-2024"/>
    <s v="Q4-2024"/>
    <d v="2023-03-03T00:00:00"/>
    <s v="03-2023"/>
    <s v="Asia"/>
    <s v="Japan"/>
    <s v="Osaka"/>
    <s v="Osaka"/>
    <s v="Small Business"/>
    <s v="Retail"/>
    <s v="Retail"/>
    <s v="J. Njeri"/>
    <s v="J. Njeri"/>
    <x v="4"/>
    <s v="Low"/>
    <s v="NET-6387"/>
    <s v="C"/>
    <n v="82.14"/>
    <n v="166.04"/>
    <n v="166.04"/>
    <n v="0"/>
    <n v="0"/>
    <n v="0"/>
    <n v="10"/>
    <n v="1660.3999999999999"/>
    <n v="821.4"/>
    <n v="838.99999999999989"/>
    <n v="0.50529992772825827"/>
    <n v="10923961.285990011"/>
    <n v="0.99800775723243662"/>
    <n v="0"/>
    <n v="13"/>
    <n v="90.354000000000013"/>
    <n v="2158.52"/>
  </r>
  <r>
    <s v="ORD-2024-403664"/>
    <d v="2024-05-23T00:00:00"/>
    <d v="2024-05-23T00:00:00"/>
    <d v="2024-06-06T00:00:00"/>
    <d v="2024-06-06T00:00:00"/>
    <n v="14"/>
    <n v="0"/>
    <s v="05-2024"/>
    <s v="Q2-2024"/>
    <d v="2023-01-29T00:00:00"/>
    <s v="01-2023"/>
    <s v="Americas"/>
    <s v="Brazil"/>
    <s v="Rio de Janeiro"/>
    <s v="Rio de Janeiro"/>
    <s v="Non-Profit"/>
    <s v="Online"/>
    <s v="Online"/>
    <s v="I. Johnson"/>
    <s v="I. Johnson"/>
    <x v="4"/>
    <s v="Low"/>
    <s v="NET-1166"/>
    <s v="C"/>
    <n v="51.13"/>
    <n v="57.53"/>
    <n v="57.53"/>
    <n v="4.4999999999999998E-2"/>
    <n v="4.4999999999999998E-2"/>
    <n v="0"/>
    <n v="16"/>
    <n v="879.05840000000001"/>
    <n v="818.08"/>
    <n v="60.978399999999965"/>
    <n v="6.9367859973808302E-2"/>
    <n v="10924840.34439001"/>
    <n v="0.9980880675776761"/>
    <n v="4.4999999999999998E-2"/>
    <n v="20.8"/>
    <n v="56.243000000000009"/>
    <n v="1142.77592"/>
  </r>
  <r>
    <s v="ORD-2025-752845"/>
    <d v="2025-03-30T00:00:00"/>
    <d v="2025-03-30T00:00:00"/>
    <d v="2025-04-07T00:00:00"/>
    <d v="2025-04-07T00:00:00"/>
    <n v="8"/>
    <n v="0"/>
    <s v="03-2025"/>
    <s v="Q1-2025"/>
    <d v="2023-01-29T00:00:00"/>
    <s v="01-2023"/>
    <s v="Americas"/>
    <s v="Brazil"/>
    <s v="São Paulo"/>
    <s v="São Paulo"/>
    <s v="Non-Profit"/>
    <s v="Direct"/>
    <s v="Direct"/>
    <s v="L. Okafor"/>
    <s v="L. Okafor"/>
    <x v="5"/>
    <s v="Low"/>
    <s v="PRN-8763"/>
    <s v="C"/>
    <n v="71.62"/>
    <n v="118.37"/>
    <n v="118.37"/>
    <n v="0.156"/>
    <n v="0.156"/>
    <n v="0"/>
    <n v="11"/>
    <n v="1098.9470800000001"/>
    <n v="787.82"/>
    <n v="311.12708000000009"/>
    <n v="0.28311379652603474"/>
    <n v="10925939.29147001"/>
    <n v="0.99818846684511342"/>
    <n v="0.156"/>
    <n v="14.3"/>
    <n v="78.782000000000011"/>
    <n v="1428.6312040000003"/>
  </r>
  <r>
    <s v="ORD-2023-755337"/>
    <d v="2023-09-08T00:00:00"/>
    <d v="2023-09-08T00:00:00"/>
    <d v="2023-09-14T00:00:00"/>
    <d v="2023-09-14T00:00:00"/>
    <n v="6"/>
    <n v="0"/>
    <s v="09-2023"/>
    <s v="Q3-2023"/>
    <d v="2023-01-20T00:00:00"/>
    <s v="01-2023"/>
    <s v="Africa"/>
    <s v="Kenya"/>
    <s v="Nakuru"/>
    <s v="Nakuru"/>
    <s v="Education"/>
    <s v="Direct"/>
    <s v="Direct"/>
    <s v="I. Johnson"/>
    <s v="I. Johnson"/>
    <x v="1"/>
    <s v="Low"/>
    <s v="ACC-4766"/>
    <s v="C"/>
    <n v="251.03"/>
    <n v="411.48"/>
    <n v="411.48"/>
    <n v="0.16500000000000001"/>
    <n v="0.16500000000000001"/>
    <n v="0"/>
    <n v="3"/>
    <n v="1030.7574"/>
    <n v="753.09"/>
    <n v="277.66739999999993"/>
    <n v="0.26938191275658069"/>
    <n v="10926970.04887001"/>
    <n v="0.99828263633675596"/>
    <n v="0.16500000000000001"/>
    <n v="3.9000000000000004"/>
    <n v="276.13300000000004"/>
    <n v="1339.9846200000002"/>
  </r>
  <r>
    <s v="ORD-2023-271918"/>
    <d v="2023-09-25T00:00:00"/>
    <d v="2023-09-25T00:00:00"/>
    <d v="2023-10-02T00:00:00"/>
    <d v="2023-10-02T00:00:00"/>
    <n v="7"/>
    <n v="0"/>
    <s v="09-2023"/>
    <s v="Q3-2023"/>
    <d v="2023-01-13T00:00:00"/>
    <s v="01-2023"/>
    <s v="Americas"/>
    <s v="USA"/>
    <s v="New York"/>
    <s v="New York"/>
    <s v="Education"/>
    <s v="Marketplace"/>
    <s v="Marketplace"/>
    <s v="I. Johnson"/>
    <s v="I. Johnson"/>
    <x v="1"/>
    <s v="Low"/>
    <s v="ACC-3551"/>
    <s v="C"/>
    <n v="145.58000000000001"/>
    <n v="228.15"/>
    <n v="228.15"/>
    <n v="0.20399999999999999"/>
    <n v="0.20399999999999999"/>
    <n v="1"/>
    <n v="5"/>
    <n v="908.03700000000003"/>
    <n v="727.90000000000009"/>
    <n v="180.13699999999994"/>
    <n v="0.19838068272548359"/>
    <n v="10927878.085870011"/>
    <n v="0.9983655941527102"/>
    <n v="0.2"/>
    <n v="6.5"/>
    <n v="160.13800000000003"/>
    <n v="1186.3800000000001"/>
  </r>
  <r>
    <s v="ORD-2023-766015"/>
    <d v="2023-04-13T00:00:00"/>
    <d v="2023-04-11T00:00:00"/>
    <d v="2023-04-11T00:00:00"/>
    <d v="2023-04-13T00:00:00"/>
    <n v="2"/>
    <n v="0"/>
    <s v="04-2023"/>
    <s v="Q2-2023"/>
    <d v="2023-01-13T00:00:00"/>
    <s v="01-2023"/>
    <s v="Americas"/>
    <s v="USA"/>
    <s v="San Francisco"/>
    <s v="San Francisco"/>
    <s v="Education"/>
    <s v="Marketplace"/>
    <s v="Marketplace"/>
    <s v="G. Dubois"/>
    <s v="G. Dubois"/>
    <x v="4"/>
    <s v="Low"/>
    <s v="NET-1816"/>
    <s v="C"/>
    <n v="32.1"/>
    <n v="70.599999999999994"/>
    <n v="70.599999999999994"/>
    <n v="0.28199999999999997"/>
    <n v="0.28199999999999997"/>
    <n v="1"/>
    <n v="22"/>
    <n v="1115.1975999999997"/>
    <n v="706.2"/>
    <n v="408.99759999999969"/>
    <n v="0.36674899587301818"/>
    <n v="10928993.28347001"/>
    <n v="0.99846747805970226"/>
    <n v="0.2"/>
    <n v="28.6"/>
    <n v="35.31"/>
    <n v="1615.328"/>
  </r>
  <r>
    <s v="ORD-2023-704111"/>
    <d v="2023-05-17T00:00:00"/>
    <d v="2023-05-17T00:00:00"/>
    <d v="2023-06-15T00:00:00"/>
    <d v="2023-06-15T00:00:00"/>
    <n v="29"/>
    <n v="0"/>
    <s v="05-2023"/>
    <s v="Q2-2023"/>
    <d v="2023-01-07T00:00:00"/>
    <s v="01-2023"/>
    <s v="Africa"/>
    <s v="South Africa"/>
    <s v="Durban"/>
    <s v="Durban"/>
    <s v="Enterprise"/>
    <s v="Retail"/>
    <s v="Retail"/>
    <s v="K. Singh"/>
    <s v="K. Singh"/>
    <x v="1"/>
    <s v="Low"/>
    <s v="ACC-5206"/>
    <s v="C"/>
    <n v="40.89"/>
    <n v="62.82"/>
    <n v="62.82"/>
    <n v="0.129"/>
    <n v="0.129"/>
    <n v="0"/>
    <n v="17"/>
    <n v="930.17574000000002"/>
    <n v="695.13"/>
    <n v="235.04574000000002"/>
    <n v="0.25268960465470752"/>
    <n v="10929923.45921001"/>
    <n v="0.99855245846010887"/>
    <n v="0.129"/>
    <n v="22.1"/>
    <n v="44.979000000000006"/>
    <n v="1209.228462"/>
  </r>
  <r>
    <s v="ORD-2025-138578"/>
    <d v="2025-04-09T00:00:00"/>
    <d v="2025-04-09T00:00:00"/>
    <d v="2025-04-12T00:00:00"/>
    <d v="2025-04-12T00:00:00"/>
    <n v="3"/>
    <n v="0"/>
    <s v="04-2025"/>
    <s v="Q2-2025"/>
    <d v="2023-01-10T00:00:00"/>
    <s v="01-2023"/>
    <s v="Europe"/>
    <s v="France"/>
    <s v="Lyon"/>
    <s v="Lyon"/>
    <s v="Small Business"/>
    <s v="Distributor"/>
    <s v="Distributor"/>
    <s v="H. Kim"/>
    <s v="H. Kim"/>
    <x v="2"/>
    <s v="Low"/>
    <s v="MON-5276"/>
    <s v="C"/>
    <n v="86.68"/>
    <n v="213.32"/>
    <n v="213.32"/>
    <n v="3.7999999999999999E-2"/>
    <n v="3.7999999999999999E-2"/>
    <n v="0"/>
    <n v="8"/>
    <n v="1641.7107199999998"/>
    <n v="693.44"/>
    <n v="948.27071999999976"/>
    <n v="0.57761133459614611"/>
    <n v="10931565.169930011"/>
    <n v="0.99870244434808464"/>
    <n v="3.7999999999999999E-2"/>
    <n v="10.4"/>
    <n v="95.348000000000013"/>
    <n v="2134.2239359999999"/>
  </r>
  <r>
    <s v="ORD-2024-166150"/>
    <d v="2024-06-02T00:00:00"/>
    <d v="2024-06-02T00:00:00"/>
    <d v="2024-06-08T00:00:00"/>
    <d v="2024-06-08T00:00:00"/>
    <n v="6"/>
    <n v="0"/>
    <s v="06-2024"/>
    <s v="Q2-2024"/>
    <d v="2023-01-20T00:00:00"/>
    <s v="01-2023"/>
    <s v="Africa"/>
    <s v="Kenya"/>
    <s v="Kisumu"/>
    <s v="Kisumu"/>
    <s v="Consumer"/>
    <s v="Marketplace"/>
    <s v="Marketplace"/>
    <s v="A. Patel"/>
    <s v="A. Patel"/>
    <x v="1"/>
    <s v="Low"/>
    <s v="ACC-9820"/>
    <s v="C"/>
    <n v="292.94"/>
    <n v="356.55"/>
    <n v="356.55"/>
    <n v="0.22900000000000001"/>
    <n v="0.22900000000000001"/>
    <n v="1"/>
    <n v="2"/>
    <n v="549.80010000000004"/>
    <n v="585.88"/>
    <n v="36.079899999999952"/>
    <n v="6.5623669402751925E-2"/>
    <n v="10932114.970030012"/>
    <n v="0.99875267381616517"/>
    <n v="0.2"/>
    <n v="2.6"/>
    <n v="322.23400000000004"/>
    <n v="741.62400000000014"/>
  </r>
  <r>
    <s v="ORD-2025-926547"/>
    <d v="2025-03-11T00:00:00"/>
    <d v="2025-03-11T00:00:00"/>
    <d v="2025-03-26T00:00:00"/>
    <d v="2025-03-26T00:00:00"/>
    <n v="15"/>
    <n v="0"/>
    <s v="03-2025"/>
    <s v="Q1-2025"/>
    <d v="2023-01-21T00:00:00"/>
    <s v="01-2023"/>
    <s v="Europe"/>
    <s v="Germany"/>
    <s v="Berlin"/>
    <s v="Berlin"/>
    <s v="Small Business"/>
    <s v="Online"/>
    <s v="Online"/>
    <s v="I. Johnson"/>
    <s v="I. Johnson"/>
    <x v="6"/>
    <s v="Low"/>
    <s v="PHN-3007"/>
    <s v="C"/>
    <n v="116.97"/>
    <n v="140.82"/>
    <n v="140.82"/>
    <n v="0.122"/>
    <n v="0.122"/>
    <n v="0"/>
    <n v="5"/>
    <n v="618.19979999999987"/>
    <n v="584.85"/>
    <n v="33.349799999999846"/>
    <n v="5.3946636669891926E-2"/>
    <n v="10932733.169830011"/>
    <n v="0.99880915224736488"/>
    <n v="0.122"/>
    <n v="6.5"/>
    <n v="128.667"/>
    <n v="803.65973999999994"/>
  </r>
  <r>
    <s v="ORD-2024-260775"/>
    <d v="2024-10-17T00:00:00"/>
    <d v="2024-10-17T00:00:00"/>
    <d v="2024-11-06T00:00:00"/>
    <d v="2024-11-06T00:00:00"/>
    <n v="20"/>
    <n v="0"/>
    <s v="10-2024"/>
    <s v="Q4-2024"/>
    <d v="2023-01-29T00:00:00"/>
    <s v="01-2023"/>
    <s v="Asia"/>
    <s v="India"/>
    <s v="Bengaluru"/>
    <s v="Bengaluru"/>
    <s v="Enterprise"/>
    <s v="Distributor"/>
    <s v="Distributor"/>
    <s v="O. Wang"/>
    <s v="O. Wang"/>
    <x v="2"/>
    <s v="Low"/>
    <s v="MON-4330"/>
    <s v="C"/>
    <n v="72.94"/>
    <n v="106.3"/>
    <n v="106.3"/>
    <n v="0.29499999999999998"/>
    <n v="0.29499999999999998"/>
    <n v="1"/>
    <n v="8"/>
    <n v="599.53200000000004"/>
    <n v="583.52"/>
    <n v="16.012000000000057"/>
    <n v="2.6707498515508857E-2"/>
    <n v="10933332.701830011"/>
    <n v="0.99886392519749212"/>
    <n v="0.2"/>
    <n v="10.4"/>
    <n v="80.234000000000009"/>
    <n v="884.41600000000005"/>
  </r>
  <r>
    <s v="ORD-2024-866535"/>
    <d v="2024-12-04T00:00:00"/>
    <d v="2024-12-04T00:00:00"/>
    <d v="2024-12-12T00:00:00"/>
    <d v="2024-12-12T00:00:00"/>
    <n v="8"/>
    <n v="1"/>
    <s v="12-2024"/>
    <s v="Q4-2024"/>
    <d v="2023-01-21T00:00:00"/>
    <s v="01-2023"/>
    <s v="Europe"/>
    <s v="Germany"/>
    <s v="Frankfurt"/>
    <s v="Frankfurt"/>
    <s v="Enterprise"/>
    <s v="Marketplace"/>
    <s v="Marketplace"/>
    <s v="B. Chen"/>
    <s v="B. Chen"/>
    <x v="5"/>
    <s v="Low"/>
    <s v="PRN-5492"/>
    <s v="C"/>
    <n v="72.06"/>
    <n v="122.74"/>
    <n v="122.74"/>
    <n v="0.23799999999999999"/>
    <n v="0.23799999999999999"/>
    <n v="1"/>
    <n v="8"/>
    <n v="748.22303999999997"/>
    <n v="576.48"/>
    <n v="171.74303999999995"/>
    <n v="0.22953455162246802"/>
    <n v="10934080.92487001"/>
    <n v="0.99893228248826882"/>
    <n v="0.2"/>
    <n v="10.4"/>
    <n v="79.266000000000005"/>
    <n v="1021.1968000000002"/>
  </r>
  <r>
    <s v="ORD-2025-908258"/>
    <d v="2025-06-21T00:00:00"/>
    <d v="2025-06-21T00:00:00"/>
    <d v="2025-06-27T00:00:00"/>
    <d v="2025-06-27T00:00:00"/>
    <n v="6"/>
    <n v="0"/>
    <s v="06-2025"/>
    <s v="Q2-2025"/>
    <d v="2023-01-07T00:00:00"/>
    <s v="01-2023"/>
    <s v="Africa"/>
    <s v="South Africa"/>
    <s v="Durban"/>
    <s v="Durban"/>
    <s v="Enterprise"/>
    <s v="Distributor"/>
    <s v="Distributor"/>
    <s v="N. Brown"/>
    <s v="N. Brown"/>
    <x v="6"/>
    <s v="Low"/>
    <s v="PHN-3819"/>
    <s v="C"/>
    <n v="93.91"/>
    <n v="99.04"/>
    <n v="99.04"/>
    <n v="5.7000000000000002E-2"/>
    <n v="5.7000000000000002E-2"/>
    <n v="0"/>
    <n v="6"/>
    <n v="560.36831999999993"/>
    <n v="563.46"/>
    <n v="3.0916800000001103"/>
    <n v="5.5172283829323376E-3"/>
    <n v="10934641.29319001"/>
    <n v="0.99898347746375671"/>
    <n v="5.7000000000000002E-2"/>
    <n v="7.8000000000000007"/>
    <n v="103.301"/>
    <n v="728.47881600000017"/>
  </r>
  <r>
    <s v="ORD-2024-225829"/>
    <d v="2024-11-07T00:00:00"/>
    <d v="2024-11-07T00:00:00"/>
    <d v="2024-11-26T00:00:00"/>
    <d v="2024-11-26T00:00:00"/>
    <n v="19"/>
    <n v="0"/>
    <s v="11-2024"/>
    <s v="Q4-2024"/>
    <d v="2023-01-29T00:00:00"/>
    <s v="01-2023"/>
    <s v="Americas"/>
    <s v="Brazil"/>
    <s v="Rio de Janeiro"/>
    <s v="Rio de Janeiro"/>
    <s v="Non-Profit"/>
    <s v="Distributor"/>
    <s v="Distributor"/>
    <s v="J. Njeri"/>
    <s v="J. Njeri"/>
    <x v="5"/>
    <s v="Low"/>
    <s v="PRN-9960"/>
    <s v="C"/>
    <n v="55.35"/>
    <n v="128.68"/>
    <n v="128.68"/>
    <n v="0.128"/>
    <n v="0.128"/>
    <n v="0"/>
    <n v="10"/>
    <n v="1122.0896000000002"/>
    <n v="553.5"/>
    <n v="568.58960000000025"/>
    <n v="0.50672388372550647"/>
    <n v="10935763.38279001"/>
    <n v="0.99908599102049611"/>
    <n v="0.128"/>
    <n v="13"/>
    <n v="60.885000000000005"/>
    <n v="1458.71648"/>
  </r>
  <r>
    <s v="ORD-2023-274037"/>
    <d v="2023-08-15T00:00:00"/>
    <d v="2023-08-15T00:00:00"/>
    <d v="2023-08-25T00:00:00"/>
    <d v="2023-08-25T00:00:00"/>
    <n v="10"/>
    <n v="0"/>
    <s v="08-2023"/>
    <s v="Q3-2023"/>
    <d v="2023-01-20T00:00:00"/>
    <s v="01-2023"/>
    <s v="Africa"/>
    <s v="Kenya"/>
    <s v="Nairobi"/>
    <s v="Nairobi"/>
    <s v="Small Business"/>
    <s v="Retail"/>
    <s v="Retail"/>
    <s v="N. Brown"/>
    <s v="N. Brown"/>
    <x v="6"/>
    <s v="Low"/>
    <s v="PHN-1234"/>
    <s v="C"/>
    <n v="91.85"/>
    <n v="111.29"/>
    <n v="111.29"/>
    <n v="0"/>
    <n v="0"/>
    <n v="0"/>
    <n v="6"/>
    <n v="667.74"/>
    <n v="551.09999999999991"/>
    <n v="116.6400000000001"/>
    <n v="0.17467876718483258"/>
    <n v="10936431.122790011"/>
    <n v="0.99914699542012431"/>
    <n v="0"/>
    <n v="7.8000000000000007"/>
    <n v="101.035"/>
    <n v="868.06200000000013"/>
  </r>
  <r>
    <s v="ORD-2025-778145"/>
    <d v="2025-04-22T00:00:00"/>
    <d v="2025-04-22T00:00:00"/>
    <d v="2025-05-12T00:00:00"/>
    <d v="2025-05-12T00:00:00"/>
    <n v="20"/>
    <n v="0"/>
    <s v="04-2025"/>
    <s v="Q2-2025"/>
    <d v="2023-01-10T00:00:00"/>
    <s v="01-2023"/>
    <s v="Europe"/>
    <s v="France"/>
    <s v="Lyon"/>
    <s v="Lyon"/>
    <s v="Enterprise"/>
    <s v="Marketplace"/>
    <s v="Marketplace"/>
    <s v="K. Singh"/>
    <s v="K. Singh"/>
    <x v="2"/>
    <s v="Low"/>
    <s v="MON-9216"/>
    <s v="C"/>
    <n v="59.51"/>
    <n v="67.040000000000006"/>
    <n v="67.040000000000006"/>
    <n v="0.114"/>
    <n v="0.114"/>
    <n v="0"/>
    <n v="9"/>
    <n v="534.57695999999999"/>
    <n v="535.59"/>
    <n v="1.0130400000000463"/>
    <n v="1.8950311663264469E-3"/>
    <n v="10936965.69975001"/>
    <n v="0.99919583410958412"/>
    <n v="0.114"/>
    <n v="11.700000000000001"/>
    <n v="65.460999999999999"/>
    <n v="694.95004800000015"/>
  </r>
  <r>
    <s v="ORD-2025-828263"/>
    <d v="2025-05-17T00:00:00"/>
    <d v="2025-05-17T00:00:00"/>
    <d v="2025-05-30T00:00:00"/>
    <d v="2025-05-30T00:00:00"/>
    <n v="13"/>
    <n v="0"/>
    <s v="05-2025"/>
    <s v="Q2-2025"/>
    <d v="2023-01-13T00:00:00"/>
    <s v="01-2023"/>
    <s v="Africa"/>
    <s v="Nigeria"/>
    <s v="Lagos"/>
    <s v="Lagos"/>
    <s v="Consumer"/>
    <s v="Distributor"/>
    <s v="Distributor"/>
    <s v="F. Müller"/>
    <s v="F. Müller"/>
    <x v="1"/>
    <s v="Low"/>
    <s v="ACC-3349"/>
    <s v="C"/>
    <n v="66.400000000000006"/>
    <n v="141.43"/>
    <n v="141.43"/>
    <n v="0.107"/>
    <n v="0.107"/>
    <n v="0"/>
    <n v="8"/>
    <n v="1010.3759200000001"/>
    <n v="531.20000000000005"/>
    <n v="479.17592000000002"/>
    <n v="0.47425508715607551"/>
    <n v="10937976.075670009"/>
    <n v="0.99928814155918788"/>
    <n v="0.107"/>
    <n v="10.4"/>
    <n v="73.040000000000006"/>
    <n v="1313.4886960000001"/>
  </r>
  <r>
    <s v="ORD-2023-112666"/>
    <d v="2023-01-15T00:00:00"/>
    <d v="2023-01-13T00:00:00"/>
    <d v="2023-01-13T00:00:00"/>
    <d v="2023-01-15T00:00:00"/>
    <n v="2"/>
    <n v="0"/>
    <s v="01-2023"/>
    <s v="Q1-2023"/>
    <d v="2023-01-13T00:00:00"/>
    <s v="01-2023"/>
    <s v="Africa"/>
    <s v="Nigeria"/>
    <s v="Abuja"/>
    <s v="Abuja"/>
    <s v="Education"/>
    <s v="Online"/>
    <s v="Online"/>
    <s v="O. Wang"/>
    <s v="O. Wang"/>
    <x v="5"/>
    <s v="Low"/>
    <s v="PRN-6276"/>
    <s v="C"/>
    <n v="28.38"/>
    <n v="47.22"/>
    <n v="47.22"/>
    <n v="0.19400000000000001"/>
    <n v="0.19400000000000001"/>
    <n v="0"/>
    <n v="18"/>
    <n v="685.06776000000002"/>
    <n v="510.84"/>
    <n v="174.22776000000005"/>
    <n v="0.25432193743871417"/>
    <n v="10938661.143430009"/>
    <n v="0.99935072901449018"/>
    <n v="0.19400000000000001"/>
    <n v="23.400000000000002"/>
    <n v="31.218"/>
    <n v="890.58808800000008"/>
  </r>
  <r>
    <s v="ORD-2024-960952"/>
    <d v="2024-02-03T00:00:00"/>
    <d v="2024-02-03T00:00:00"/>
    <d v="2024-02-21T00:00:00"/>
    <d v="2024-02-21T00:00:00"/>
    <n v="18"/>
    <n v="0"/>
    <s v="02-2024"/>
    <s v="Q1-2024"/>
    <d v="2023-01-21T00:00:00"/>
    <s v="01-2023"/>
    <s v="Europe"/>
    <s v="Germany"/>
    <s v="Frankfurt"/>
    <s v="Frankfurt"/>
    <s v="Corporate"/>
    <s v="Retail"/>
    <s v="Retail"/>
    <s v="H. Kim"/>
    <s v="H. Kim"/>
    <x v="0"/>
    <s v="Low"/>
    <s v="CMP-9264"/>
    <s v="C"/>
    <n v="39.229999999999997"/>
    <n v="30.09"/>
    <n v="30.09"/>
    <n v="0.17699999999999999"/>
    <n v="0.17699999999999999"/>
    <n v="0"/>
    <n v="13"/>
    <n v="321.93290999999999"/>
    <n v="509.98999999999995"/>
    <n v="188.05708999999996"/>
    <n v="0.58414993981199359"/>
    <n v="10938983.07634001"/>
    <n v="0.99938014064760361"/>
    <n v="0.17699999999999999"/>
    <n v="16.900000000000002"/>
    <n v="43.152999999999999"/>
    <n v="418.51278300000001"/>
  </r>
  <r>
    <s v="ORD-2023-251563"/>
    <d v="2023-05-11T00:00:00"/>
    <d v="2023-05-11T00:00:00"/>
    <d v="2023-06-07T00:00:00"/>
    <d v="2023-06-07T00:00:00"/>
    <n v="27"/>
    <n v="1"/>
    <s v="05-2023"/>
    <s v="Q2-2023"/>
    <d v="2023-01-20T00:00:00"/>
    <s v="01-2023"/>
    <s v="Africa"/>
    <s v="Kenya"/>
    <s v="Mombasa"/>
    <s v="Mombasa"/>
    <s v="Corporate"/>
    <s v="Online"/>
    <s v="Online"/>
    <s v="J. Njeri"/>
    <s v="J. Njeri"/>
    <x v="6"/>
    <s v="Low"/>
    <s v="PHN-8970"/>
    <s v="C"/>
    <n v="12.85"/>
    <n v="15.41"/>
    <n v="15.41"/>
    <n v="0.13700000000000001"/>
    <n v="0.13700000000000001"/>
    <n v="0"/>
    <n v="39"/>
    <n v="518.65436999999997"/>
    <n v="501.15"/>
    <n v="17.504369999999994"/>
    <n v="3.3749585489851353E-2"/>
    <n v="10939501.730710011"/>
    <n v="0.99942752465703311"/>
    <n v="0.13700000000000001"/>
    <n v="50.7"/>
    <n v="14.135000000000002"/>
    <n v="674.25068099999999"/>
  </r>
  <r>
    <s v="ORD-2025-222035"/>
    <d v="2025-03-14T00:00:00"/>
    <d v="2025-03-14T00:00:00"/>
    <d v="2025-04-08T00:00:00"/>
    <d v="2025-04-08T00:00:00"/>
    <n v="25"/>
    <n v="1"/>
    <s v="03-2025"/>
    <s v="Q1-2025"/>
    <d v="2023-01-12T00:00:00"/>
    <s v="01-2023"/>
    <s v="Asia"/>
    <s v="China"/>
    <m/>
    <s v="Shanghai"/>
    <s v="Corporate"/>
    <s v="Distributor"/>
    <s v="Distributor"/>
    <s v="D. Smith"/>
    <s v="D. Smith"/>
    <x v="5"/>
    <s v="Low"/>
    <s v="PRN-5815"/>
    <s v="C"/>
    <n v="80.59"/>
    <n v="157.82"/>
    <n v="157.82"/>
    <n v="0.217"/>
    <n v="0.217"/>
    <n v="1"/>
    <n v="6"/>
    <n v="741.43835999999999"/>
    <n v="483.54"/>
    <n v="257.89835999999997"/>
    <n v="0.34783519967863541"/>
    <n v="10940243.169070011"/>
    <n v="0.99949526210276529"/>
    <n v="0.2"/>
    <n v="7.8000000000000007"/>
    <n v="88.649000000000015"/>
    <n v="984.79680000000008"/>
  </r>
  <r>
    <s v="ORD-2025-177994"/>
    <d v="2025-03-24T00:00:00"/>
    <d v="2025-03-24T00:00:00"/>
    <d v="2025-04-04T00:00:00"/>
    <d v="2025-04-04T00:00:00"/>
    <n v="11"/>
    <n v="1"/>
    <s v="03-2025"/>
    <s v="Q1-2025"/>
    <d v="2023-01-29T00:00:00"/>
    <s v="01-2023"/>
    <s v="Asia"/>
    <s v="India"/>
    <s v="Mumbai"/>
    <s v="Mumbai"/>
    <s v="Education"/>
    <s v="Marketplace"/>
    <s v="Marketplace"/>
    <s v="J. Njeri"/>
    <s v="J. Njeri"/>
    <x v="6"/>
    <s v="Low"/>
    <s v="PHN-4395"/>
    <s v="C"/>
    <n v="23.83"/>
    <n v="47.29"/>
    <n v="47.29"/>
    <n v="6.4000000000000001E-2"/>
    <n v="6.4000000000000001E-2"/>
    <n v="0"/>
    <n v="19"/>
    <n v="841.00536"/>
    <n v="452.77"/>
    <n v="388.23536000000001"/>
    <n v="0.46163244429262618"/>
    <n v="10941084.174430011"/>
    <n v="0.99957209594089236"/>
    <n v="6.4000000000000001E-2"/>
    <n v="24.7"/>
    <n v="26.213000000000001"/>
    <n v="1093.3069679999999"/>
  </r>
  <r>
    <s v="ORD-2023-258768"/>
    <d v="2023-06-29T00:00:00"/>
    <d v="2023-06-29T00:00:00"/>
    <d v="2023-07-02T00:00:00"/>
    <d v="2023-07-02T00:00:00"/>
    <n v="3"/>
    <n v="0"/>
    <s v="06-2023"/>
    <s v="Q2-2023"/>
    <d v="2023-03-03T00:00:00"/>
    <s v="03-2023"/>
    <s v="Asia"/>
    <s v="Japan"/>
    <s v="Nagoya"/>
    <s v="Nagoya"/>
    <s v="Education"/>
    <s v="Marketplace"/>
    <s v="Marketplace"/>
    <s v="F. Müller"/>
    <s v="F. Müller"/>
    <x v="2"/>
    <s v="Low"/>
    <s v="MON-2990"/>
    <s v="C"/>
    <n v="55.65"/>
    <n v="83.57"/>
    <n v="83.57"/>
    <n v="6.6000000000000003E-2"/>
    <n v="6.6000000000000003E-2"/>
    <n v="0"/>
    <n v="8"/>
    <n v="624.43503999999996"/>
    <n v="445.2"/>
    <n v="179.23503999999997"/>
    <n v="0.2870355257449998"/>
    <n v="10941708.609470012"/>
    <n v="0.99962914402056724"/>
    <n v="6.6000000000000003E-2"/>
    <n v="10.4"/>
    <n v="61.215000000000003"/>
    <n v="811.76555199999984"/>
  </r>
  <r>
    <s v="ORD-2023-340056"/>
    <d v="2023-04-26T00:00:00"/>
    <d v="2023-04-26T00:00:00"/>
    <d v="2023-04-26T00:00:00"/>
    <d v="2023-04-26T00:00:00"/>
    <n v="0"/>
    <n v="1"/>
    <s v="04-2023"/>
    <s v="Q2-2023"/>
    <d v="2023-01-10T00:00:00"/>
    <s v="01-2023"/>
    <s v="Europe"/>
    <s v="France"/>
    <s v="Marseille"/>
    <s v="Marseille"/>
    <s v="Consumer"/>
    <s v="Direct"/>
    <s v="Direct"/>
    <s v="M. Rossi"/>
    <s v="M. Rossi"/>
    <x v="0"/>
    <s v="Low"/>
    <s v="CMP-4945"/>
    <s v="C"/>
    <n v="81.489999999999995"/>
    <n v="113.08"/>
    <n v="113.08"/>
    <n v="0.121"/>
    <n v="0.121"/>
    <n v="0"/>
    <n v="5"/>
    <n v="496.98660000000001"/>
    <n v="407.45"/>
    <n v="89.536600000000021"/>
    <n v="0.18015898215364362"/>
    <n v="10942205.596070012"/>
    <n v="0.99967454847313308"/>
    <n v="0.121"/>
    <n v="6.5"/>
    <n v="89.638999999999996"/>
    <n v="646.08258000000001"/>
  </r>
  <r>
    <s v="ORD-2025-956101"/>
    <d v="2025-07-09T00:00:00"/>
    <d v="2025-07-09T00:00:00"/>
    <d v="2025-07-18T00:00:00"/>
    <d v="2025-07-18T00:00:00"/>
    <n v="9"/>
    <n v="1"/>
    <s v="07-2025"/>
    <s v="Q3-2025"/>
    <d v="2023-01-02T00:00:00"/>
    <s v="01-2023"/>
    <s v="Americas"/>
    <s v="Canada"/>
    <s v="Vancouver"/>
    <s v="Vancouver"/>
    <s v="Education"/>
    <s v="Distributor"/>
    <s v="Distributor"/>
    <s v="I. Johnson"/>
    <s v="I. Johnson"/>
    <x v="3"/>
    <s v="Low"/>
    <s v="LAP-2218"/>
    <s v="C"/>
    <n v="57.96"/>
    <n v="88.51"/>
    <n v="88.51"/>
    <n v="4.2999999999999997E-2"/>
    <n v="4.2999999999999997E-2"/>
    <n v="0"/>
    <n v="7"/>
    <n v="592.92849000000001"/>
    <n v="405.72"/>
    <n v="187.20848999999998"/>
    <n v="0.3157353595877978"/>
    <n v="10942798.524560012"/>
    <n v="0.99972871812981823"/>
    <n v="4.2999999999999997E-2"/>
    <n v="9.1"/>
    <n v="63.756000000000007"/>
    <n v="770.80703700000004"/>
  </r>
  <r>
    <s v="ORD-2025-728935"/>
    <d v="2025-02-28T00:00:00"/>
    <d v="2025-02-28T00:00:00"/>
    <d v="2025-03-10T00:00:00"/>
    <d v="2025-03-10T00:00:00"/>
    <n v="10"/>
    <n v="0"/>
    <s v="02-2025"/>
    <s v="Q1-2025"/>
    <d v="2023-03-03T00:00:00"/>
    <s v="03-2023"/>
    <s v="Asia"/>
    <s v="Japan"/>
    <s v="Osaka"/>
    <s v="Osaka"/>
    <s v="Education"/>
    <s v="Distributor"/>
    <s v="Distributor"/>
    <s v="N. Brown"/>
    <s v="N. Brown"/>
    <x v="3"/>
    <s v="Low"/>
    <s v="LAP-3017"/>
    <s v="C"/>
    <n v="51.86"/>
    <n v="45.98"/>
    <n v="45.98"/>
    <n v="0.17299999999999999"/>
    <n v="0.17299999999999999"/>
    <n v="0"/>
    <n v="7"/>
    <n v="266.17821999999995"/>
    <n v="363.02"/>
    <n v="96.841780000000028"/>
    <n v="0.3638230806412337"/>
    <n v="10943064.702780012"/>
    <n v="0.99975303604173782"/>
    <n v="0.17299999999999999"/>
    <n v="9.1"/>
    <n v="57.046000000000006"/>
    <n v="346.03168599999992"/>
  </r>
  <r>
    <s v="ORD-2025-946490"/>
    <d v="2025-04-22T00:00:00"/>
    <d v="2025-04-22T00:00:00"/>
    <d v="2025-05-02T00:00:00"/>
    <d v="2025-05-02T00:00:00"/>
    <n v="10"/>
    <n v="0"/>
    <s v="04-2025"/>
    <s v="Q2-2025"/>
    <d v="2023-01-21T00:00:00"/>
    <s v="01-2023"/>
    <s v="Europe"/>
    <s v="Germany"/>
    <s v="Berlin"/>
    <s v="Berlin"/>
    <s v="Corporate"/>
    <s v="Marketplace"/>
    <s v="Marketplace"/>
    <s v="C. Otieno"/>
    <s v="C. Otieno"/>
    <x v="2"/>
    <s v="Low"/>
    <s v="MON-2842"/>
    <s v="C"/>
    <n v="20.149999999999999"/>
    <n v="39.74"/>
    <n v="39.74"/>
    <n v="0.151"/>
    <n v="0.151"/>
    <n v="0"/>
    <n v="18"/>
    <n v="607.30668000000003"/>
    <n v="362.7"/>
    <n v="244.60668000000004"/>
    <n v="0.4027729120318585"/>
    <n v="10943672.009460011"/>
    <n v="0.9998085192828251"/>
    <n v="0.151"/>
    <n v="23.400000000000002"/>
    <n v="22.164999999999999"/>
    <n v="789.49868400000014"/>
  </r>
  <r>
    <s v="ORD-2025-488349"/>
    <d v="2025-04-23T00:00:00"/>
    <d v="2025-04-22T00:00:00"/>
    <d v="2025-04-22T00:00:00"/>
    <d v="2025-04-23T00:00:00"/>
    <n v="1"/>
    <n v="0"/>
    <s v="04-2025"/>
    <s v="Q2-2025"/>
    <d v="2023-01-13T00:00:00"/>
    <s v="01-2023"/>
    <s v="Americas"/>
    <s v="USA"/>
    <s v="San Francisco"/>
    <s v="San Francisco"/>
    <s v="Non-Profit"/>
    <s v="Distributor"/>
    <s v="Distributor"/>
    <s v="D. Smith"/>
    <s v="D. Smith"/>
    <x v="2"/>
    <s v="Low"/>
    <s v="MON-3371"/>
    <s v="C"/>
    <n v="23.24"/>
    <n v="44.57"/>
    <n v="44.57"/>
    <n v="0.215"/>
    <n v="0.215"/>
    <n v="1"/>
    <n v="15"/>
    <n v="524.81174999999996"/>
    <n v="348.59999999999997"/>
    <n v="176.21174999999999"/>
    <n v="0.33576182316802167"/>
    <n v="10944196.821210012"/>
    <n v="0.99985646582747822"/>
    <n v="0.2"/>
    <n v="19.5"/>
    <n v="25.564"/>
    <n v="695.29200000000003"/>
  </r>
  <r>
    <s v="ORD-2023-235230"/>
    <d v="2023-08-30T00:00:00"/>
    <d v="2023-08-30T00:00:00"/>
    <d v="2023-09-01T00:00:00"/>
    <d v="2023-09-01T00:00:00"/>
    <n v="2"/>
    <n v="0"/>
    <s v="08-2023"/>
    <s v="Q3-2023"/>
    <d v="2023-01-21T00:00:00"/>
    <s v="01-2023"/>
    <s v="Europe"/>
    <s v="Germany"/>
    <s v="Munich"/>
    <s v="Munich"/>
    <s v="Corporate"/>
    <s v="Direct"/>
    <s v="Direct"/>
    <s v="N. Brown"/>
    <s v="N. Brown"/>
    <x v="4"/>
    <s v="Low"/>
    <s v="NET-9989"/>
    <s v="C"/>
    <n v="44.42"/>
    <n v="41.9"/>
    <n v="41.9"/>
    <n v="0.14399999999999999"/>
    <n v="0.14399999999999999"/>
    <n v="0"/>
    <n v="6"/>
    <n v="215.19839999999996"/>
    <n v="266.52"/>
    <n v="51.321600000000018"/>
    <n v="0.23848504449847224"/>
    <n v="10944412.019610012"/>
    <n v="0.9998761262479906"/>
    <n v="0.14399999999999999"/>
    <n v="7.8000000000000007"/>
    <n v="48.862000000000009"/>
    <n v="279.75792000000001"/>
  </r>
  <r>
    <s v="ORD-2023-835226"/>
    <d v="2023-10-26T00:00:00"/>
    <d v="2023-10-26T00:00:00"/>
    <d v="2023-11-05T00:00:00"/>
    <d v="2023-11-05T00:00:00"/>
    <n v="10"/>
    <n v="0"/>
    <s v="10-2023"/>
    <s v="Q4-2023"/>
    <d v="2023-01-07T00:00:00"/>
    <s v="01-2023"/>
    <s v="Africa"/>
    <s v="South Africa"/>
    <s v="Cape Town"/>
    <s v="Cape Town"/>
    <s v="Non-Profit"/>
    <s v="Online"/>
    <s v="Online"/>
    <s v="I. Johnson"/>
    <s v="I. Johnson"/>
    <x v="3"/>
    <s v="Low"/>
    <s v="LAP-7320"/>
    <s v="C"/>
    <n v="20.38"/>
    <n v="42.56"/>
    <n v="42.56"/>
    <n v="7.1999999999999995E-2"/>
    <n v="7.1999999999999995E-2"/>
    <n v="0"/>
    <n v="11"/>
    <n v="434.45248000000004"/>
    <n v="224.17999999999998"/>
    <n v="210.27248000000006"/>
    <n v="0.48399419885921713"/>
    <n v="10944846.472090011"/>
    <n v="0.99991581761395554"/>
    <n v="7.1999999999999995E-2"/>
    <n v="14.3"/>
    <n v="22.417999999999999"/>
    <n v="564.78822400000013"/>
  </r>
  <r>
    <s v="ORD-2023-378676"/>
    <d v="2023-05-03T00:00:00"/>
    <d v="2023-05-03T00:00:00"/>
    <d v="2023-05-16T00:00:00"/>
    <d v="2023-05-16T00:00:00"/>
    <n v="13"/>
    <n v="0"/>
    <s v="05-2023"/>
    <s v="Q2-2023"/>
    <d v="2023-01-13T00:00:00"/>
    <s v="01-2023"/>
    <s v="Americas"/>
    <s v="USA"/>
    <s v="New York"/>
    <s v="New York"/>
    <s v="Corporate"/>
    <s v="Marketplace"/>
    <s v="Marketplace"/>
    <s v="L. Okafor"/>
    <s v="L. Okafor"/>
    <x v="6"/>
    <s v="Low"/>
    <s v="PHN-5366"/>
    <s v="C"/>
    <n v="64.5"/>
    <n v="123.62"/>
    <n v="123.62"/>
    <n v="0"/>
    <n v="0"/>
    <n v="0"/>
    <n v="3"/>
    <n v="370.86"/>
    <n v="193.5"/>
    <n v="177.36"/>
    <n v="0.47823976702798904"/>
    <n v="10945217.332090011"/>
    <n v="0.99994969920206778"/>
    <n v="0"/>
    <n v="3.9000000000000004"/>
    <n v="70.95"/>
    <n v="482.11800000000005"/>
  </r>
  <r>
    <s v="ORD-2025-262491"/>
    <d v="2025-08-01T00:00:00"/>
    <d v="2025-08-01T00:00:00"/>
    <d v="2025-08-16T00:00:00"/>
    <d v="2025-08-16T00:00:00"/>
    <n v="15"/>
    <n v="0"/>
    <s v="08-2025"/>
    <s v="Q3-2025"/>
    <d v="2023-01-29T00:00:00"/>
    <s v="01-2023"/>
    <s v="Asia"/>
    <s v="India"/>
    <m/>
    <s v="Delhi"/>
    <s v="Enterprise"/>
    <s v="Direct"/>
    <s v="Direct"/>
    <s v="O. Wang"/>
    <s v="O. Wang"/>
    <x v="2"/>
    <s v="Low"/>
    <s v="MON-1822"/>
    <s v="C"/>
    <n v="24.44"/>
    <n v="28.69"/>
    <n v="28.69"/>
    <n v="0.14599999999999999"/>
    <n v="0.14599999999999999"/>
    <n v="0"/>
    <n v="6"/>
    <n v="147.00756000000001"/>
    <n v="146.64000000000001"/>
    <n v="0.36755999999999744"/>
    <n v="2.5002795774584476E-3"/>
    <n v="10945364.339650011"/>
    <n v="0.99996312974080837"/>
    <n v="0.14599999999999999"/>
    <n v="7.8000000000000007"/>
    <n v="26.884000000000004"/>
    <n v="191.10982800000002"/>
  </r>
  <r>
    <s v="ORD-2024-207096"/>
    <d v="2024-03-26T00:00:00"/>
    <d v="2024-03-26T00:00:00"/>
    <d v="2024-04-05T00:00:00"/>
    <d v="2024-04-05T00:00:00"/>
    <n v="10"/>
    <n v="1"/>
    <s v="03-2024"/>
    <s v="Q1-2024"/>
    <d v="2023-01-13T00:00:00"/>
    <s v="01-2023"/>
    <s v="Americas"/>
    <s v="USA"/>
    <s v="Austin"/>
    <s v="Austin"/>
    <s v="Consumer"/>
    <s v="Direct"/>
    <s v="Direct"/>
    <s v="J. Njeri"/>
    <s v="J. Njeri"/>
    <x v="2"/>
    <s v="Low"/>
    <s v="MON-5444"/>
    <s v="C"/>
    <n v="5.66"/>
    <n v="4.22"/>
    <n v="4.22"/>
    <n v="0.11899999999999999"/>
    <n v="0.11899999999999999"/>
    <n v="0"/>
    <n v="18"/>
    <n v="66.920760000000001"/>
    <n v="101.88"/>
    <n v="34.959239999999994"/>
    <n v="0.52239753403876454"/>
    <n v="10945431.260410011"/>
    <n v="0.99996924358869299"/>
    <n v="0.11899999999999999"/>
    <n v="23.400000000000002"/>
    <n v="6.2260000000000009"/>
    <n v="86.996988000000002"/>
  </r>
  <r>
    <s v="ORD-2025-541048"/>
    <d v="2025-04-04T00:00:00"/>
    <d v="2025-04-04T00:00:00"/>
    <d v="2025-04-13T00:00:00"/>
    <d v="2025-04-13T00:00:00"/>
    <n v="9"/>
    <n v="0"/>
    <s v="04-2025"/>
    <s v="Q2-2025"/>
    <d v="2023-01-21T00:00:00"/>
    <s v="01-2023"/>
    <s v="Europe"/>
    <s v="Germany"/>
    <s v="Munich"/>
    <s v="Munich"/>
    <s v="Consumer"/>
    <s v="Marketplace"/>
    <s v="Marketplace"/>
    <s v="F. Müller"/>
    <s v="F. Müller"/>
    <x v="6"/>
    <s v="Low"/>
    <s v="PHN-3803"/>
    <s v="C"/>
    <n v="7.02"/>
    <n v="6.28"/>
    <n v="6.28"/>
    <n v="0.13400000000000001"/>
    <n v="0.13400000000000001"/>
    <n v="0"/>
    <n v="14"/>
    <n v="76.138720000000006"/>
    <n v="98.28"/>
    <n v="22.141279999999995"/>
    <n v="0.29080184169106066"/>
    <n v="10945507.399130011"/>
    <n v="0.99997619958489214"/>
    <n v="0.13400000000000001"/>
    <n v="18.2"/>
    <n v="7.7220000000000004"/>
    <n v="98.980336000000008"/>
  </r>
  <r>
    <s v="ORD-2023-286994"/>
    <d v="2023-02-24T00:00:00"/>
    <d v="2023-02-24T00:00:00"/>
    <d v="2023-03-09T00:00:00"/>
    <d v="2023-03-09T00:00:00"/>
    <n v="13"/>
    <n v="0"/>
    <s v="02-2023"/>
    <s v="Q1-2023"/>
    <d v="2023-01-13T00:00:00"/>
    <s v="01-2023"/>
    <s v="Americas"/>
    <s v="USA"/>
    <s v="New York"/>
    <s v="New York"/>
    <s v="Enterprise"/>
    <s v="Online"/>
    <s v="Online"/>
    <s v="M. Rossi"/>
    <s v="M. Rossi"/>
    <x v="0"/>
    <s v="Low"/>
    <s v="CMP-1632"/>
    <s v="C"/>
    <n v="6.85"/>
    <n v="10.18"/>
    <n v="10.18"/>
    <n v="4.7E-2"/>
    <n v="4.7E-2"/>
    <n v="0"/>
    <n v="10"/>
    <n v="97.0154"/>
    <n v="68.5"/>
    <n v="28.5154"/>
    <n v="0.2939265312517394"/>
    <n v="10945604.414530011"/>
    <n v="0.99998506286435984"/>
    <n v="4.7E-2"/>
    <n v="13"/>
    <n v="7.5350000000000001"/>
    <n v="126.12002"/>
  </r>
  <r>
    <s v="ORD-2024-516704"/>
    <d v="2024-03-01T00:00:00"/>
    <d v="2024-02-29T00:00:00"/>
    <d v="2024-02-29T00:00:00"/>
    <d v="2024-03-01T00:00:00"/>
    <n v="1"/>
    <n v="0"/>
    <s v="02-2024"/>
    <s v="Q1-2024"/>
    <d v="2023-01-29T00:00:00"/>
    <s v="01-2023"/>
    <s v="Americas"/>
    <s v="Brazil"/>
    <s v="São Paulo"/>
    <s v="São Paulo"/>
    <s v="Non-Profit"/>
    <s v="Direct"/>
    <s v="Direct"/>
    <s v="I. Johnson"/>
    <s v="I. Johnson"/>
    <x v="6"/>
    <s v="Low"/>
    <s v="PHN-7852"/>
    <s v="C"/>
    <n v="5.34"/>
    <n v="12.69"/>
    <n v="12.69"/>
    <n v="0.13200000000000001"/>
    <n v="0.13200000000000001"/>
    <n v="0"/>
    <n v="10"/>
    <n v="110.14919999999999"/>
    <n v="53.4"/>
    <n v="56.749199999999995"/>
    <n v="0.51520301554618642"/>
    <n v="10945714.563730011"/>
    <n v="0.99999512604136809"/>
    <n v="0.13200000000000001"/>
    <n v="13"/>
    <n v="5.8740000000000006"/>
    <n v="143.19396"/>
  </r>
  <r>
    <s v="ORD-2024-919471"/>
    <d v="2024-06-29T00:00:00"/>
    <d v="2024-06-29T00:00:00"/>
    <d v="2024-07-26T00:00:00"/>
    <d v="2024-07-26T00:00:00"/>
    <n v="27"/>
    <n v="0"/>
    <s v="06-2024"/>
    <s v="Q2-2024"/>
    <d v="2023-01-07T00:00:00"/>
    <s v="01-2023"/>
    <s v="Africa"/>
    <s v="South Africa"/>
    <s v="Durban"/>
    <s v="Durban"/>
    <s v="Enterprise"/>
    <s v="Distributor"/>
    <s v="Distributor"/>
    <s v="B. Chen"/>
    <s v="B. Chen"/>
    <x v="4"/>
    <s v="Low"/>
    <s v="NET-4241"/>
    <s v="C"/>
    <n v="5.36"/>
    <n v="4.37"/>
    <n v="4.37"/>
    <n v="0.11799999999999999"/>
    <n v="0.11799999999999999"/>
    <n v="0"/>
    <n v="9"/>
    <n v="34.689059999999998"/>
    <n v="48.24"/>
    <n v="13.550940000000004"/>
    <n v="0.39064016148030545"/>
    <n v="10945749.252790011"/>
    <n v="0.99999829521691397"/>
    <n v="0.11799999999999999"/>
    <n v="11.700000000000001"/>
    <n v="5.8960000000000008"/>
    <n v="45.095778000000003"/>
  </r>
  <r>
    <s v="ORD-2025-667201"/>
    <d v="2025-09-15T00:00:00"/>
    <d v="2025-09-15T00:00:00"/>
    <d v="2025-09-18T00:00:00"/>
    <d v="2025-09-18T00:00:00"/>
    <n v="3"/>
    <n v="1"/>
    <s v="09-2025"/>
    <s v="Q3-2025"/>
    <d v="2023-01-29T00:00:00"/>
    <s v="01-2023"/>
    <s v="Americas"/>
    <s v="Brazil"/>
    <s v="Rio de Janeiro"/>
    <s v="Rio de Janeiro"/>
    <s v="Non-Profit"/>
    <s v="Direct"/>
    <s v="Direct"/>
    <s v="L. Okafor"/>
    <s v="L. Okafor"/>
    <x v="1"/>
    <s v="Low"/>
    <s v="ACC-6777"/>
    <s v="C"/>
    <n v="5.5"/>
    <n v="5.92"/>
    <n v="5.92"/>
    <n v="0.21199999999999999"/>
    <n v="0.21199999999999999"/>
    <n v="1"/>
    <n v="4"/>
    <n v="18.659839999999999"/>
    <n v="22"/>
    <n v="3.3401600000000009"/>
    <n v="0.17900260666758133"/>
    <n v="10945767.912630012"/>
    <n v="0.99999999997076494"/>
    <n v="0.2"/>
    <n v="5.2"/>
    <n v="6.0500000000000007"/>
    <n v="24.627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995CE5-32E2-4404-A99B-6B2237C5B9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8" firstHeaderRow="1" firstDataRow="1" firstDataCol="1"/>
  <pivotFields count="35">
    <pivotField showAll="0"/>
    <pivotField numFmtId="14" showAll="0"/>
    <pivotField numFmtId="14" showAll="0"/>
    <pivotField numFmtId="14" showAll="0"/>
    <pivotField numFmtId="14" showAll="0"/>
    <pivotField numFmtId="2" showAll="0"/>
    <pivotField showAll="0"/>
    <pivotField showAll="0"/>
    <pivotField showAll="0"/>
    <pivotField numFmtId="14" showAll="0"/>
    <pivotField axis="axisRow" showAll="0">
      <items count="3">
        <item x="0"/>
        <item x="1"/>
        <item t="default"/>
      </items>
    </pivotField>
    <pivotField showAll="0"/>
    <pivotField axis="axisRow" showAll="0">
      <items count="13">
        <item x="9"/>
        <item x="0"/>
        <item x="10"/>
        <item x="11"/>
        <item x="4"/>
        <item x="3"/>
        <item x="7"/>
        <item x="5"/>
        <item x="2"/>
        <item x="8"/>
        <item x="1"/>
        <item x="6"/>
        <item t="default"/>
      </items>
    </pivotField>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10" showAll="0"/>
    <pivotField numFmtId="10" showAll="0"/>
    <pivotField showAll="0"/>
    <pivotField numFmtId="2" showAll="0"/>
    <pivotField dataField="1" numFmtId="2" showAll="0"/>
    <pivotField showAll="0"/>
    <pivotField numFmtId="2" showAll="0"/>
    <pivotField numFmtId="2" showAll="0"/>
  </pivotFields>
  <rowFields count="2">
    <field x="10"/>
    <field x="12"/>
  </rowFields>
  <rowItems count="15">
    <i>
      <x/>
    </i>
    <i r="1">
      <x/>
    </i>
    <i r="1">
      <x v="1"/>
    </i>
    <i r="1">
      <x v="2"/>
    </i>
    <i r="1">
      <x v="3"/>
    </i>
    <i r="1">
      <x v="4"/>
    </i>
    <i r="1">
      <x v="5"/>
    </i>
    <i r="1">
      <x v="7"/>
    </i>
    <i r="1">
      <x v="8"/>
    </i>
    <i r="1">
      <x v="9"/>
    </i>
    <i r="1">
      <x v="10"/>
    </i>
    <i r="1">
      <x v="11"/>
    </i>
    <i>
      <x v="1"/>
    </i>
    <i r="1">
      <x v="6"/>
    </i>
    <i t="grand">
      <x/>
    </i>
  </rowItems>
  <colItems count="1">
    <i/>
  </colItems>
  <dataFields count="1">
    <dataField name="Sum of GrossRevenue" fld="31" baseField="0" baseItem="0" numFmtId="2"/>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0" format="4" series="1">
      <pivotArea type="data" outline="0" fieldPosition="0">
        <references count="2">
          <reference field="4294967294" count="1" selected="0">
            <x v="0"/>
          </reference>
          <reference field="12" count="1" selected="0">
            <x v="4"/>
          </reference>
        </references>
      </pivotArea>
    </chartFormat>
    <chartFormat chart="0" format="5" series="1">
      <pivotArea type="data" outline="0" fieldPosition="0">
        <references count="2">
          <reference field="4294967294" count="1" selected="0">
            <x v="0"/>
          </reference>
          <reference field="12" count="1" selected="0">
            <x v="5"/>
          </reference>
        </references>
      </pivotArea>
    </chartFormat>
    <chartFormat chart="0" format="6" series="1">
      <pivotArea type="data" outline="0" fieldPosition="0">
        <references count="2">
          <reference field="4294967294" count="1" selected="0">
            <x v="0"/>
          </reference>
          <reference field="12" count="1" selected="0">
            <x v="6"/>
          </reference>
        </references>
      </pivotArea>
    </chartFormat>
    <chartFormat chart="0" format="7" series="1">
      <pivotArea type="data" outline="0" fieldPosition="0">
        <references count="2">
          <reference field="4294967294" count="1" selected="0">
            <x v="0"/>
          </reference>
          <reference field="12" count="1" selected="0">
            <x v="7"/>
          </reference>
        </references>
      </pivotArea>
    </chartFormat>
    <chartFormat chart="0" format="8" series="1">
      <pivotArea type="data" outline="0" fieldPosition="0">
        <references count="2">
          <reference field="4294967294" count="1" selected="0">
            <x v="0"/>
          </reference>
          <reference field="12" count="1" selected="0">
            <x v="8"/>
          </reference>
        </references>
      </pivotArea>
    </chartFormat>
    <chartFormat chart="0" format="9" series="1">
      <pivotArea type="data" outline="0" fieldPosition="0">
        <references count="2">
          <reference field="4294967294" count="1" selected="0">
            <x v="0"/>
          </reference>
          <reference field="12" count="1" selected="0">
            <x v="9"/>
          </reference>
        </references>
      </pivotArea>
    </chartFormat>
    <chartFormat chart="0" format="10" series="1">
      <pivotArea type="data" outline="0" fieldPosition="0">
        <references count="2">
          <reference field="4294967294" count="1" selected="0">
            <x v="0"/>
          </reference>
          <reference field="12" count="1" selected="0">
            <x v="10"/>
          </reference>
        </references>
      </pivotArea>
    </chartFormat>
    <chartFormat chart="0" format="11" series="1">
      <pivotArea type="data" outline="0" fieldPosition="0">
        <references count="2">
          <reference field="4294967294" count="1" selected="0">
            <x v="0"/>
          </reference>
          <reference field="1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AC1BD8-4B3B-4965-9541-010FCBD43CE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34" firstHeaderRow="1" firstDataRow="2" firstDataCol="1"/>
  <pivotFields count="40">
    <pivotField showAll="0"/>
    <pivotField numFmtId="14" showAll="0"/>
    <pivotField numFmtId="14" showAll="0">
      <items count="475">
        <item x="410"/>
        <item x="429"/>
        <item x="307"/>
        <item x="286"/>
        <item x="233"/>
        <item x="183"/>
        <item x="34"/>
        <item x="439"/>
        <item x="218"/>
        <item x="427"/>
        <item x="332"/>
        <item x="124"/>
        <item x="331"/>
        <item x="209"/>
        <item x="139"/>
        <item x="19"/>
        <item x="397"/>
        <item x="127"/>
        <item x="5"/>
        <item x="160"/>
        <item x="433"/>
        <item x="128"/>
        <item x="471"/>
        <item x="28"/>
        <item x="57"/>
        <item x="93"/>
        <item x="140"/>
        <item x="192"/>
        <item x="205"/>
        <item x="254"/>
        <item x="351"/>
        <item x="227"/>
        <item x="244"/>
        <item x="444"/>
        <item x="220"/>
        <item x="25"/>
        <item x="273"/>
        <item x="362"/>
        <item x="374"/>
        <item x="318"/>
        <item x="356"/>
        <item x="41"/>
        <item x="382"/>
        <item x="456"/>
        <item x="118"/>
        <item x="330"/>
        <item x="24"/>
        <item x="155"/>
        <item x="241"/>
        <item x="90"/>
        <item x="320"/>
        <item x="248"/>
        <item x="467"/>
        <item x="459"/>
        <item x="4"/>
        <item x="469"/>
        <item x="417"/>
        <item x="203"/>
        <item x="317"/>
        <item x="36"/>
        <item x="17"/>
        <item x="180"/>
        <item x="302"/>
        <item x="170"/>
        <item x="398"/>
        <item x="153"/>
        <item x="121"/>
        <item x="152"/>
        <item x="198"/>
        <item x="181"/>
        <item x="388"/>
        <item x="367"/>
        <item x="264"/>
        <item x="375"/>
        <item x="420"/>
        <item x="445"/>
        <item x="301"/>
        <item x="206"/>
        <item x="424"/>
        <item x="35"/>
        <item x="289"/>
        <item x="88"/>
        <item x="416"/>
        <item x="462"/>
        <item x="7"/>
        <item x="360"/>
        <item x="167"/>
        <item x="131"/>
        <item x="171"/>
        <item x="184"/>
        <item x="450"/>
        <item x="76"/>
        <item x="125"/>
        <item x="45"/>
        <item x="56"/>
        <item x="114"/>
        <item x="268"/>
        <item x="108"/>
        <item x="430"/>
        <item x="92"/>
        <item x="101"/>
        <item x="32"/>
        <item x="353"/>
        <item x="338"/>
        <item x="326"/>
        <item x="161"/>
        <item x="322"/>
        <item x="135"/>
        <item x="279"/>
        <item x="195"/>
        <item x="443"/>
        <item x="352"/>
        <item x="83"/>
        <item x="216"/>
        <item x="403"/>
        <item x="223"/>
        <item x="66"/>
        <item x="355"/>
        <item x="224"/>
        <item x="236"/>
        <item x="357"/>
        <item x="358"/>
        <item x="404"/>
        <item x="96"/>
        <item x="321"/>
        <item x="249"/>
        <item x="159"/>
        <item x="381"/>
        <item x="189"/>
        <item x="359"/>
        <item x="27"/>
        <item x="349"/>
        <item x="240"/>
        <item x="406"/>
        <item x="120"/>
        <item x="150"/>
        <item x="115"/>
        <item x="327"/>
        <item x="468"/>
        <item x="324"/>
        <item x="290"/>
        <item x="341"/>
        <item x="212"/>
        <item x="378"/>
        <item x="89"/>
        <item x="453"/>
        <item x="361"/>
        <item x="262"/>
        <item x="347"/>
        <item x="251"/>
        <item x="211"/>
        <item x="275"/>
        <item x="169"/>
        <item x="291"/>
        <item x="52"/>
        <item x="149"/>
        <item x="245"/>
        <item x="166"/>
        <item x="343"/>
        <item x="122"/>
        <item x="247"/>
        <item x="309"/>
        <item x="411"/>
        <item x="14"/>
        <item x="219"/>
        <item x="143"/>
        <item x="151"/>
        <item x="51"/>
        <item x="257"/>
        <item x="346"/>
        <item x="207"/>
        <item x="401"/>
        <item x="225"/>
        <item x="313"/>
        <item x="237"/>
        <item x="164"/>
        <item x="282"/>
        <item x="409"/>
        <item x="315"/>
        <item x="442"/>
        <item x="123"/>
        <item x="197"/>
        <item x="186"/>
        <item x="333"/>
        <item x="204"/>
        <item x="288"/>
        <item x="454"/>
        <item x="308"/>
        <item x="319"/>
        <item x="61"/>
        <item x="21"/>
        <item x="77"/>
        <item x="253"/>
        <item x="226"/>
        <item x="230"/>
        <item x="408"/>
        <item x="62"/>
        <item x="393"/>
        <item x="432"/>
        <item x="191"/>
        <item x="80"/>
        <item x="81"/>
        <item x="299"/>
        <item x="138"/>
        <item x="202"/>
        <item x="285"/>
        <item x="298"/>
        <item x="266"/>
        <item x="472"/>
        <item x="9"/>
        <item x="419"/>
        <item x="75"/>
        <item x="33"/>
        <item x="256"/>
        <item x="91"/>
        <item x="246"/>
        <item x="214"/>
        <item x="173"/>
        <item x="334"/>
        <item x="258"/>
        <item x="232"/>
        <item x="452"/>
        <item x="217"/>
        <item x="145"/>
        <item x="147"/>
        <item x="238"/>
        <item x="142"/>
        <item x="182"/>
        <item x="458"/>
        <item x="414"/>
        <item x="1"/>
        <item x="99"/>
        <item x="172"/>
        <item x="329"/>
        <item x="199"/>
        <item x="277"/>
        <item x="243"/>
        <item x="269"/>
        <item x="78"/>
        <item x="280"/>
        <item x="158"/>
        <item x="435"/>
        <item x="185"/>
        <item x="37"/>
        <item x="281"/>
        <item x="20"/>
        <item x="95"/>
        <item x="16"/>
        <item x="389"/>
        <item x="117"/>
        <item x="104"/>
        <item x="271"/>
        <item x="306"/>
        <item x="12"/>
        <item x="372"/>
        <item x="72"/>
        <item x="8"/>
        <item x="87"/>
        <item x="473"/>
        <item x="234"/>
        <item x="156"/>
        <item x="112"/>
        <item x="428"/>
        <item x="292"/>
        <item x="239"/>
        <item x="229"/>
        <item x="415"/>
        <item x="146"/>
        <item x="10"/>
        <item x="103"/>
        <item x="134"/>
        <item x="376"/>
        <item x="418"/>
        <item x="399"/>
        <item x="323"/>
        <item x="73"/>
        <item x="437"/>
        <item x="141"/>
        <item x="148"/>
        <item x="369"/>
        <item x="29"/>
        <item x="178"/>
        <item x="350"/>
        <item x="119"/>
        <item x="371"/>
        <item x="49"/>
        <item x="70"/>
        <item x="385"/>
        <item x="82"/>
        <item x="274"/>
        <item x="396"/>
        <item x="50"/>
        <item x="386"/>
        <item x="260"/>
        <item x="179"/>
        <item x="129"/>
        <item x="222"/>
        <item x="65"/>
        <item x="270"/>
        <item x="113"/>
        <item x="98"/>
        <item x="43"/>
        <item x="163"/>
        <item x="196"/>
        <item x="47"/>
        <item x="176"/>
        <item x="60"/>
        <item x="438"/>
        <item x="31"/>
        <item x="364"/>
        <item x="46"/>
        <item x="68"/>
        <item x="451"/>
        <item x="464"/>
        <item x="316"/>
        <item x="126"/>
        <item x="162"/>
        <item x="228"/>
        <item x="97"/>
        <item x="365"/>
        <item x="177"/>
        <item x="377"/>
        <item x="261"/>
        <item x="11"/>
        <item x="53"/>
        <item x="208"/>
        <item x="235"/>
        <item x="455"/>
        <item x="422"/>
        <item x="407"/>
        <item x="336"/>
        <item x="110"/>
        <item x="69"/>
        <item x="391"/>
        <item x="6"/>
        <item x="413"/>
        <item x="434"/>
        <item x="86"/>
        <item x="461"/>
        <item x="370"/>
        <item x="105"/>
        <item x="368"/>
        <item x="130"/>
        <item x="193"/>
        <item x="310"/>
        <item x="314"/>
        <item x="395"/>
        <item x="157"/>
        <item x="278"/>
        <item x="337"/>
        <item x="380"/>
        <item x="15"/>
        <item x="22"/>
        <item x="100"/>
        <item x="303"/>
        <item x="84"/>
        <item x="363"/>
        <item x="425"/>
        <item x="231"/>
        <item x="436"/>
        <item x="392"/>
        <item x="441"/>
        <item x="342"/>
        <item x="111"/>
        <item x="265"/>
        <item x="26"/>
        <item x="144"/>
        <item x="287"/>
        <item x="345"/>
        <item x="133"/>
        <item x="85"/>
        <item x="440"/>
        <item x="106"/>
        <item x="344"/>
        <item x="221"/>
        <item x="174"/>
        <item x="354"/>
        <item x="168"/>
        <item x="305"/>
        <item x="470"/>
        <item x="405"/>
        <item x="390"/>
        <item x="400"/>
        <item x="304"/>
        <item x="300"/>
        <item x="255"/>
        <item x="194"/>
        <item x="165"/>
        <item x="213"/>
        <item x="328"/>
        <item x="42"/>
        <item x="387"/>
        <item x="379"/>
        <item x="250"/>
        <item x="431"/>
        <item x="412"/>
        <item x="94"/>
        <item x="175"/>
        <item x="366"/>
        <item x="446"/>
        <item x="325"/>
        <item x="201"/>
        <item x="426"/>
        <item x="3"/>
        <item x="54"/>
        <item x="154"/>
        <item x="463"/>
        <item x="373"/>
        <item x="74"/>
        <item x="335"/>
        <item x="402"/>
        <item x="48"/>
        <item x="132"/>
        <item x="30"/>
        <item x="383"/>
        <item x="312"/>
        <item x="55"/>
        <item x="284"/>
        <item x="421"/>
        <item x="59"/>
        <item x="18"/>
        <item x="242"/>
        <item x="297"/>
        <item x="136"/>
        <item x="460"/>
        <item x="340"/>
        <item x="187"/>
        <item x="293"/>
        <item x="215"/>
        <item x="272"/>
        <item x="58"/>
        <item x="466"/>
        <item x="339"/>
        <item x="44"/>
        <item x="394"/>
        <item x="38"/>
        <item x="40"/>
        <item x="2"/>
        <item x="465"/>
        <item x="137"/>
        <item x="449"/>
        <item x="13"/>
        <item x="0"/>
        <item x="296"/>
        <item x="63"/>
        <item x="200"/>
        <item x="384"/>
        <item x="64"/>
        <item x="311"/>
        <item x="448"/>
        <item x="109"/>
        <item x="79"/>
        <item x="276"/>
        <item x="294"/>
        <item x="447"/>
        <item x="263"/>
        <item x="210"/>
        <item x="457"/>
        <item x="188"/>
        <item x="39"/>
        <item x="295"/>
        <item x="23"/>
        <item x="252"/>
        <item x="190"/>
        <item x="102"/>
        <item x="67"/>
        <item x="348"/>
        <item x="267"/>
        <item x="71"/>
        <item x="116"/>
        <item x="423"/>
        <item x="283"/>
        <item x="259"/>
        <item x="107"/>
        <item t="default"/>
      </items>
    </pivotField>
    <pivotField numFmtId="14" showAll="0"/>
    <pivotField numFmtId="14" showAll="0"/>
    <pivotField numFmtId="2" showAll="0"/>
    <pivotField showAll="0"/>
    <pivotField showAll="0">
      <items count="34">
        <item x="23"/>
        <item x="28"/>
        <item x="17"/>
        <item x="4"/>
        <item x="13"/>
        <item x="30"/>
        <item x="16"/>
        <item x="8"/>
        <item x="26"/>
        <item x="15"/>
        <item x="22"/>
        <item x="2"/>
        <item x="3"/>
        <item x="1"/>
        <item x="12"/>
        <item x="24"/>
        <item x="7"/>
        <item x="25"/>
        <item x="6"/>
        <item x="9"/>
        <item x="0"/>
        <item x="21"/>
        <item x="19"/>
        <item x="14"/>
        <item x="32"/>
        <item x="27"/>
        <item x="29"/>
        <item x="18"/>
        <item x="20"/>
        <item x="31"/>
        <item x="5"/>
        <item x="10"/>
        <item x="11"/>
        <item t="default"/>
      </items>
    </pivotField>
    <pivotField showAll="0"/>
    <pivotField numFmtId="14" showAll="0"/>
    <pivotField showAll="0"/>
    <pivotField showAll="0">
      <items count="5">
        <item x="2"/>
        <item x="0"/>
        <item x="3"/>
        <item x="1"/>
        <item t="default"/>
      </items>
    </pivotField>
    <pivotField showAll="0">
      <items count="13">
        <item x="9"/>
        <item x="0"/>
        <item x="10"/>
        <item x="11"/>
        <item x="4"/>
        <item x="3"/>
        <item x="7"/>
        <item x="5"/>
        <item x="2"/>
        <item x="8"/>
        <item x="1"/>
        <item x="6"/>
        <item t="default"/>
      </items>
    </pivotField>
    <pivotField showAll="0"/>
    <pivotField showAll="0"/>
    <pivotField showAll="0"/>
    <pivotField showAll="0"/>
    <pivotField showAll="0">
      <items count="6">
        <item x="3"/>
        <item x="4"/>
        <item x="2"/>
        <item x="0"/>
        <item x="1"/>
        <item t="default"/>
      </items>
    </pivotField>
    <pivotField showAll="0"/>
    <pivotField showAll="0">
      <items count="16">
        <item x="2"/>
        <item x="1"/>
        <item x="5"/>
        <item x="10"/>
        <item x="14"/>
        <item x="9"/>
        <item x="11"/>
        <item x="0"/>
        <item x="12"/>
        <item x="8"/>
        <item x="3"/>
        <item x="4"/>
        <item x="6"/>
        <item x="13"/>
        <item x="7"/>
        <item t="default"/>
      </items>
    </pivotField>
    <pivotField showAll="0">
      <items count="8">
        <item x="4"/>
        <item x="0"/>
        <item x="2"/>
        <item x="3"/>
        <item x="1"/>
        <item x="5"/>
        <item x="6"/>
        <item t="default"/>
      </items>
    </pivotField>
    <pivotField showAll="0"/>
    <pivotField axis="axisRow" showAll="0">
      <items count="631">
        <item x="583"/>
        <item x="343"/>
        <item x="470"/>
        <item x="337"/>
        <item x="125"/>
        <item x="272"/>
        <item x="99"/>
        <item x="428"/>
        <item x="422"/>
        <item x="315"/>
        <item x="118"/>
        <item x="420"/>
        <item x="170"/>
        <item x="620"/>
        <item x="220"/>
        <item x="503"/>
        <item x="362"/>
        <item x="462"/>
        <item x="268"/>
        <item x="345"/>
        <item x="391"/>
        <item x="409"/>
        <item x="331"/>
        <item x="25"/>
        <item x="581"/>
        <item x="436"/>
        <item x="165"/>
        <item x="589"/>
        <item x="351"/>
        <item x="250"/>
        <item x="592"/>
        <item x="421"/>
        <item x="202"/>
        <item x="171"/>
        <item x="446"/>
        <item x="431"/>
        <item x="336"/>
        <item x="352"/>
        <item x="508"/>
        <item x="332"/>
        <item x="210"/>
        <item x="70"/>
        <item x="564"/>
        <item x="502"/>
        <item x="132"/>
        <item x="588"/>
        <item x="378"/>
        <item x="473"/>
        <item x="247"/>
        <item x="193"/>
        <item x="79"/>
        <item x="591"/>
        <item x="412"/>
        <item x="133"/>
        <item x="301"/>
        <item x="495"/>
        <item x="131"/>
        <item x="263"/>
        <item x="288"/>
        <item x="156"/>
        <item x="10"/>
        <item m="1" x="629"/>
        <item x="522"/>
        <item x="94"/>
        <item x="320"/>
        <item x="293"/>
        <item x="551"/>
        <item x="280"/>
        <item x="72"/>
        <item x="397"/>
        <item x="246"/>
        <item x="459"/>
        <item x="63"/>
        <item x="544"/>
        <item x="497"/>
        <item x="164"/>
        <item x="266"/>
        <item x="393"/>
        <item x="223"/>
        <item x="195"/>
        <item x="245"/>
        <item x="88"/>
        <item x="36"/>
        <item x="189"/>
        <item x="42"/>
        <item x="417"/>
        <item x="163"/>
        <item x="611"/>
        <item x="443"/>
        <item x="560"/>
        <item x="85"/>
        <item x="253"/>
        <item x="458"/>
        <item x="565"/>
        <item x="278"/>
        <item x="127"/>
        <item x="625"/>
        <item x="52"/>
        <item x="232"/>
        <item x="16"/>
        <item x="27"/>
        <item x="566"/>
        <item x="460"/>
        <item x="455"/>
        <item x="255"/>
        <item x="152"/>
        <item x="579"/>
        <item x="477"/>
        <item x="139"/>
        <item x="537"/>
        <item x="214"/>
        <item x="155"/>
        <item x="488"/>
        <item x="367"/>
        <item x="18"/>
        <item x="385"/>
        <item x="159"/>
        <item x="6"/>
        <item x="218"/>
        <item x="386"/>
        <item x="147"/>
        <item x="292"/>
        <item x="469"/>
        <item x="168"/>
        <item x="130"/>
        <item x="209"/>
        <item x="615"/>
        <item x="284"/>
        <item x="46"/>
        <item x="407"/>
        <item x="558"/>
        <item x="498"/>
        <item x="381"/>
        <item x="324"/>
        <item x="450"/>
        <item x="594"/>
        <item x="573"/>
        <item x="328"/>
        <item x="427"/>
        <item x="227"/>
        <item x="222"/>
        <item x="595"/>
        <item x="382"/>
        <item x="124"/>
        <item x="539"/>
        <item x="92"/>
        <item x="577"/>
        <item x="161"/>
        <item x="291"/>
        <item x="364"/>
        <item x="604"/>
        <item x="123"/>
        <item x="181"/>
        <item x="505"/>
        <item x="447"/>
        <item x="380"/>
        <item x="311"/>
        <item x="211"/>
        <item x="82"/>
        <item x="314"/>
        <item x="31"/>
        <item x="457"/>
        <item x="276"/>
        <item x="274"/>
        <item x="490"/>
        <item x="317"/>
        <item x="200"/>
        <item x="429"/>
        <item x="413"/>
        <item x="349"/>
        <item x="516"/>
        <item x="0"/>
        <item x="150"/>
        <item x="618"/>
        <item x="142"/>
        <item x="226"/>
        <item x="445"/>
        <item x="601"/>
        <item x="590"/>
        <item x="45"/>
        <item x="44"/>
        <item x="271"/>
        <item x="297"/>
        <item x="188"/>
        <item x="438"/>
        <item x="20"/>
        <item x="366"/>
        <item x="530"/>
        <item x="203"/>
        <item x="309"/>
        <item x="609"/>
        <item x="384"/>
        <item x="365"/>
        <item x="175"/>
        <item x="531"/>
        <item x="519"/>
        <item x="621"/>
        <item x="67"/>
        <item x="535"/>
        <item x="59"/>
        <item x="135"/>
        <item x="54"/>
        <item x="528"/>
        <item x="208"/>
        <item x="283"/>
        <item x="144"/>
        <item x="556"/>
        <item x="7"/>
        <item x="339"/>
        <item x="50"/>
        <item x="456"/>
        <item x="361"/>
        <item x="464"/>
        <item x="277"/>
        <item x="80"/>
        <item x="419"/>
        <item x="439"/>
        <item x="191"/>
        <item x="158"/>
        <item x="403"/>
        <item x="306"/>
        <item x="205"/>
        <item x="515"/>
        <item x="29"/>
        <item x="228"/>
        <item x="183"/>
        <item x="17"/>
        <item x="262"/>
        <item x="281"/>
        <item x="111"/>
        <item x="479"/>
        <item x="395"/>
        <item x="97"/>
        <item x="282"/>
        <item x="616"/>
        <item x="259"/>
        <item x="38"/>
        <item x="107"/>
        <item x="466"/>
        <item x="154"/>
        <item x="500"/>
        <item x="15"/>
        <item x="213"/>
        <item x="254"/>
        <item x="192"/>
        <item x="517"/>
        <item x="81"/>
        <item x="22"/>
        <item x="2"/>
        <item x="325"/>
        <item x="122"/>
        <item x="201"/>
        <item x="109"/>
        <item x="252"/>
        <item x="399"/>
        <item x="160"/>
        <item x="481"/>
        <item x="251"/>
        <item x="290"/>
        <item x="138"/>
        <item x="151"/>
        <item x="487"/>
        <item x="435"/>
        <item x="468"/>
        <item x="415"/>
        <item x="492"/>
        <item x="137"/>
        <item x="623"/>
        <item x="286"/>
        <item x="305"/>
        <item x="4"/>
        <item x="390"/>
        <item x="400"/>
        <item x="376"/>
        <item x="561"/>
        <item x="153"/>
        <item x="607"/>
        <item x="461"/>
        <item x="605"/>
        <item x="449"/>
        <item x="323"/>
        <item x="126"/>
        <item x="114"/>
        <item x="285"/>
        <item x="613"/>
        <item x="294"/>
        <item x="167"/>
        <item x="486"/>
        <item x="372"/>
        <item x="596"/>
        <item x="394"/>
        <item x="236"/>
        <item x="572"/>
        <item x="541"/>
        <item x="608"/>
        <item x="225"/>
        <item x="93"/>
        <item x="295"/>
        <item x="190"/>
        <item x="96"/>
        <item x="143"/>
        <item x="411"/>
        <item x="416"/>
        <item x="11"/>
        <item x="480"/>
        <item x="437"/>
        <item x="580"/>
        <item x="37"/>
        <item x="229"/>
        <item x="627"/>
        <item x="389"/>
        <item x="430"/>
        <item x="240"/>
        <item x="396"/>
        <item x="270"/>
        <item x="242"/>
        <item x="335"/>
        <item x="103"/>
        <item x="101"/>
        <item x="5"/>
        <item x="273"/>
        <item x="166"/>
        <item x="267"/>
        <item x="3"/>
        <item x="347"/>
        <item x="471"/>
        <item x="574"/>
        <item x="388"/>
        <item x="444"/>
        <item x="257"/>
        <item x="511"/>
        <item x="575"/>
        <item x="121"/>
        <item x="489"/>
        <item x="375"/>
        <item x="493"/>
        <item x="547"/>
        <item x="76"/>
        <item x="105"/>
        <item x="553"/>
        <item x="134"/>
        <item x="499"/>
        <item x="454"/>
        <item x="322"/>
        <item x="467"/>
        <item x="612"/>
        <item x="310"/>
        <item x="235"/>
        <item x="545"/>
        <item x="23"/>
        <item x="60"/>
        <item x="176"/>
        <item x="49"/>
        <item x="148"/>
        <item x="593"/>
        <item x="104"/>
        <item x="28"/>
        <item x="298"/>
        <item x="346"/>
        <item x="13"/>
        <item x="106"/>
        <item x="56"/>
        <item x="478"/>
        <item x="585"/>
        <item x="373"/>
        <item x="51"/>
        <item x="402"/>
        <item x="91"/>
        <item x="1"/>
        <item x="141"/>
        <item x="557"/>
        <item x="90"/>
        <item x="549"/>
        <item x="356"/>
        <item x="534"/>
        <item x="177"/>
        <item x="513"/>
        <item x="582"/>
        <item x="199"/>
        <item x="224"/>
        <item x="398"/>
        <item x="40"/>
        <item x="279"/>
        <item x="256"/>
        <item x="533"/>
        <item x="313"/>
        <item x="35"/>
        <item x="33"/>
        <item x="237"/>
        <item x="243"/>
        <item x="363"/>
        <item x="628"/>
        <item x="110"/>
        <item x="423"/>
        <item x="108"/>
        <item x="32"/>
        <item x="19"/>
        <item x="57"/>
        <item x="341"/>
        <item x="68"/>
        <item x="571"/>
        <item x="215"/>
        <item x="86"/>
        <item x="9"/>
        <item x="527"/>
        <item x="8"/>
        <item x="275"/>
        <item x="34"/>
        <item x="587"/>
        <item x="355"/>
        <item x="58"/>
        <item x="578"/>
        <item x="414"/>
        <item x="98"/>
        <item x="185"/>
        <item x="212"/>
        <item x="258"/>
        <item x="452"/>
        <item x="383"/>
        <item x="369"/>
        <item x="569"/>
        <item x="392"/>
        <item x="287"/>
        <item x="340"/>
        <item x="559"/>
        <item x="432"/>
        <item x="540"/>
        <item x="342"/>
        <item x="74"/>
        <item x="387"/>
        <item x="405"/>
        <item x="78"/>
        <item x="374"/>
        <item x="542"/>
        <item x="619"/>
        <item x="194"/>
        <item x="472"/>
        <item x="198"/>
        <item x="622"/>
        <item x="358"/>
        <item x="71"/>
        <item x="603"/>
        <item x="562"/>
        <item x="157"/>
        <item x="379"/>
        <item x="529"/>
        <item x="87"/>
        <item x="483"/>
        <item x="146"/>
        <item x="233"/>
        <item x="532"/>
        <item x="162"/>
        <item x="307"/>
        <item x="448"/>
        <item x="485"/>
        <item x="465"/>
        <item x="113"/>
        <item x="538"/>
        <item x="606"/>
        <item x="441"/>
        <item x="197"/>
        <item x="261"/>
        <item x="330"/>
        <item x="206"/>
        <item x="368"/>
        <item x="626"/>
        <item x="610"/>
        <item x="491"/>
        <item x="241"/>
        <item x="302"/>
        <item x="552"/>
        <item x="597"/>
        <item x="482"/>
        <item x="169"/>
        <item x="43"/>
        <item x="312"/>
        <item x="89"/>
        <item x="546"/>
        <item x="136"/>
        <item x="62"/>
        <item x="329"/>
        <item x="408"/>
        <item x="617"/>
        <item x="494"/>
        <item x="406"/>
        <item x="318"/>
        <item x="48"/>
        <item x="184"/>
        <item x="484"/>
        <item x="83"/>
        <item x="377"/>
        <item x="554"/>
        <item x="370"/>
        <item x="186"/>
        <item x="526"/>
        <item x="73"/>
        <item x="525"/>
        <item x="204"/>
        <item x="474"/>
        <item x="353"/>
        <item x="308"/>
        <item x="182"/>
        <item x="116"/>
        <item x="47"/>
        <item x="433"/>
        <item x="119"/>
        <item x="624"/>
        <item x="244"/>
        <item x="102"/>
        <item x="512"/>
        <item x="404"/>
        <item x="319"/>
        <item x="334"/>
        <item x="26"/>
        <item x="269"/>
        <item x="567"/>
        <item x="75"/>
        <item x="65"/>
        <item x="128"/>
        <item x="614"/>
        <item x="426"/>
        <item x="299"/>
        <item x="115"/>
        <item x="173"/>
        <item x="207"/>
        <item x="12"/>
        <item x="178"/>
        <item x="338"/>
        <item x="239"/>
        <item x="548"/>
        <item x="555"/>
        <item x="129"/>
        <item x="303"/>
        <item x="117"/>
        <item x="77"/>
        <item x="327"/>
        <item x="14"/>
        <item x="442"/>
        <item x="174"/>
        <item x="563"/>
        <item x="187"/>
        <item x="234"/>
        <item x="53"/>
        <item x="304"/>
        <item x="30"/>
        <item x="296"/>
        <item x="434"/>
        <item x="401"/>
        <item x="120"/>
        <item x="145"/>
        <item x="476"/>
        <item x="440"/>
        <item x="100"/>
        <item x="238"/>
        <item x="300"/>
        <item x="504"/>
        <item x="568"/>
        <item x="496"/>
        <item x="321"/>
        <item x="576"/>
        <item x="264"/>
        <item x="359"/>
        <item x="451"/>
        <item x="84"/>
        <item x="543"/>
        <item x="316"/>
        <item x="463"/>
        <item x="196"/>
        <item x="219"/>
        <item x="69"/>
        <item x="510"/>
        <item x="506"/>
        <item x="475"/>
        <item x="249"/>
        <item x="348"/>
        <item x="61"/>
        <item x="599"/>
        <item x="550"/>
        <item x="230"/>
        <item x="453"/>
        <item x="149"/>
        <item x="524"/>
        <item x="600"/>
        <item x="64"/>
        <item x="248"/>
        <item x="55"/>
        <item x="410"/>
        <item x="602"/>
        <item x="21"/>
        <item x="598"/>
        <item x="357"/>
        <item x="360"/>
        <item x="536"/>
        <item x="289"/>
        <item x="265"/>
        <item x="418"/>
        <item x="140"/>
        <item x="523"/>
        <item x="24"/>
        <item x="425"/>
        <item x="66"/>
        <item x="112"/>
        <item x="260"/>
        <item x="520"/>
        <item x="231"/>
        <item x="514"/>
        <item x="570"/>
        <item x="333"/>
        <item x="507"/>
        <item x="518"/>
        <item x="180"/>
        <item x="501"/>
        <item x="521"/>
        <item x="326"/>
        <item x="586"/>
        <item x="371"/>
        <item x="41"/>
        <item x="354"/>
        <item x="221"/>
        <item x="172"/>
        <item x="350"/>
        <item x="39"/>
        <item x="179"/>
        <item x="95"/>
        <item x="217"/>
        <item x="344"/>
        <item x="424"/>
        <item x="509"/>
        <item x="584"/>
        <item x="216"/>
        <item t="default"/>
      </items>
    </pivotField>
    <pivotField axis="axisCol" showAll="0">
      <items count="4">
        <item x="0"/>
        <item x="1"/>
        <item x="2"/>
        <item t="default"/>
      </items>
    </pivotField>
    <pivotField numFmtId="2" showAll="0"/>
    <pivotField numFmtId="2" showAll="0"/>
    <pivotField numFmtId="2" showAll="0"/>
    <pivotField numFmtId="10" showAll="0"/>
    <pivotField numFmtId="10" showAll="0"/>
    <pivotField showAll="0"/>
    <pivotField numFmtId="2" showAll="0"/>
    <pivotField dataField="1" numFmtId="2" showAll="0"/>
    <pivotField showAll="0"/>
    <pivotField numFmtId="2" showAll="0"/>
    <pivotField numFmtId="2"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2"/>
  </rowFields>
  <rowItems count="6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t="grand">
      <x/>
    </i>
  </rowItems>
  <colFields count="1">
    <field x="23"/>
  </colFields>
  <colItems count="4">
    <i>
      <x/>
    </i>
    <i>
      <x v="1"/>
    </i>
    <i>
      <x v="2"/>
    </i>
    <i t="grand">
      <x/>
    </i>
  </colItems>
  <dataFields count="1">
    <dataField name="Sum of GrossRevenue" fld="31"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396ACF-6EED-44F8-8DF2-32C9F7BFE4A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G9" firstHeaderRow="1" firstDataRow="2" firstDataCol="1"/>
  <pivotFields count="40">
    <pivotField showAll="0"/>
    <pivotField numFmtId="14" showAll="0"/>
    <pivotField numFmtId="14" showAll="0">
      <items count="475">
        <item x="410"/>
        <item x="429"/>
        <item x="307"/>
        <item x="286"/>
        <item x="233"/>
        <item x="183"/>
        <item x="34"/>
        <item x="439"/>
        <item x="218"/>
        <item x="427"/>
        <item x="332"/>
        <item x="124"/>
        <item x="331"/>
        <item x="209"/>
        <item x="139"/>
        <item x="19"/>
        <item x="397"/>
        <item x="127"/>
        <item x="5"/>
        <item x="160"/>
        <item x="433"/>
        <item x="128"/>
        <item x="471"/>
        <item x="28"/>
        <item x="57"/>
        <item x="93"/>
        <item x="140"/>
        <item x="192"/>
        <item x="205"/>
        <item x="254"/>
        <item x="351"/>
        <item x="227"/>
        <item x="244"/>
        <item x="444"/>
        <item x="220"/>
        <item x="25"/>
        <item x="273"/>
        <item x="362"/>
        <item x="374"/>
        <item x="318"/>
        <item x="356"/>
        <item x="41"/>
        <item x="382"/>
        <item x="456"/>
        <item x="118"/>
        <item x="330"/>
        <item x="24"/>
        <item x="155"/>
        <item x="241"/>
        <item x="90"/>
        <item x="320"/>
        <item x="248"/>
        <item x="467"/>
        <item x="459"/>
        <item x="4"/>
        <item x="469"/>
        <item x="417"/>
        <item x="203"/>
        <item x="317"/>
        <item x="36"/>
        <item x="17"/>
        <item x="180"/>
        <item x="302"/>
        <item x="170"/>
        <item x="398"/>
        <item x="153"/>
        <item x="121"/>
        <item x="152"/>
        <item x="198"/>
        <item x="181"/>
        <item x="388"/>
        <item x="367"/>
        <item x="264"/>
        <item x="375"/>
        <item x="420"/>
        <item x="445"/>
        <item x="301"/>
        <item x="206"/>
        <item x="424"/>
        <item x="35"/>
        <item x="289"/>
        <item x="88"/>
        <item x="416"/>
        <item x="462"/>
        <item x="7"/>
        <item x="360"/>
        <item x="167"/>
        <item x="131"/>
        <item x="171"/>
        <item x="184"/>
        <item x="450"/>
        <item x="76"/>
        <item x="125"/>
        <item x="45"/>
        <item x="56"/>
        <item x="114"/>
        <item x="268"/>
        <item x="108"/>
        <item x="430"/>
        <item x="92"/>
        <item x="101"/>
        <item x="32"/>
        <item x="353"/>
        <item x="338"/>
        <item x="326"/>
        <item x="161"/>
        <item x="322"/>
        <item x="135"/>
        <item x="279"/>
        <item x="195"/>
        <item x="443"/>
        <item x="352"/>
        <item x="83"/>
        <item x="216"/>
        <item x="403"/>
        <item x="223"/>
        <item x="66"/>
        <item x="355"/>
        <item x="224"/>
        <item x="236"/>
        <item x="357"/>
        <item x="358"/>
        <item x="404"/>
        <item x="96"/>
        <item x="321"/>
        <item x="249"/>
        <item x="159"/>
        <item x="381"/>
        <item x="189"/>
        <item x="359"/>
        <item x="27"/>
        <item x="349"/>
        <item x="240"/>
        <item x="406"/>
        <item x="120"/>
        <item x="150"/>
        <item x="115"/>
        <item x="327"/>
        <item x="468"/>
        <item x="324"/>
        <item x="290"/>
        <item x="341"/>
        <item x="212"/>
        <item x="378"/>
        <item x="89"/>
        <item x="453"/>
        <item x="361"/>
        <item x="262"/>
        <item x="347"/>
        <item x="251"/>
        <item x="211"/>
        <item x="275"/>
        <item x="169"/>
        <item x="291"/>
        <item x="52"/>
        <item x="149"/>
        <item x="245"/>
        <item x="166"/>
        <item x="343"/>
        <item x="122"/>
        <item x="247"/>
        <item x="309"/>
        <item x="411"/>
        <item x="14"/>
        <item x="219"/>
        <item x="143"/>
        <item x="151"/>
        <item x="51"/>
        <item x="257"/>
        <item x="346"/>
        <item x="207"/>
        <item x="401"/>
        <item x="225"/>
        <item x="313"/>
        <item x="237"/>
        <item x="164"/>
        <item x="282"/>
        <item x="409"/>
        <item x="315"/>
        <item x="442"/>
        <item x="123"/>
        <item x="197"/>
        <item x="186"/>
        <item x="333"/>
        <item x="204"/>
        <item x="288"/>
        <item x="454"/>
        <item x="308"/>
        <item x="319"/>
        <item x="61"/>
        <item x="21"/>
        <item x="77"/>
        <item x="253"/>
        <item x="226"/>
        <item x="230"/>
        <item x="408"/>
        <item x="62"/>
        <item x="393"/>
        <item x="432"/>
        <item x="191"/>
        <item x="80"/>
        <item x="81"/>
        <item x="299"/>
        <item x="138"/>
        <item x="202"/>
        <item x="285"/>
        <item x="298"/>
        <item x="266"/>
        <item x="472"/>
        <item x="9"/>
        <item x="419"/>
        <item x="75"/>
        <item x="33"/>
        <item x="256"/>
        <item x="91"/>
        <item x="246"/>
        <item x="214"/>
        <item x="173"/>
        <item x="334"/>
        <item x="258"/>
        <item x="232"/>
        <item x="452"/>
        <item x="217"/>
        <item x="145"/>
        <item x="147"/>
        <item x="238"/>
        <item x="142"/>
        <item x="182"/>
        <item x="458"/>
        <item x="414"/>
        <item x="1"/>
        <item x="99"/>
        <item x="172"/>
        <item x="329"/>
        <item x="199"/>
        <item x="277"/>
        <item x="243"/>
        <item x="269"/>
        <item x="78"/>
        <item x="280"/>
        <item x="158"/>
        <item x="435"/>
        <item x="185"/>
        <item x="37"/>
        <item x="281"/>
        <item x="20"/>
        <item x="95"/>
        <item x="16"/>
        <item x="389"/>
        <item x="117"/>
        <item x="104"/>
        <item x="271"/>
        <item x="306"/>
        <item x="12"/>
        <item x="372"/>
        <item x="72"/>
        <item x="8"/>
        <item x="87"/>
        <item x="473"/>
        <item x="234"/>
        <item x="156"/>
        <item x="112"/>
        <item x="428"/>
        <item x="292"/>
        <item x="239"/>
        <item x="229"/>
        <item x="415"/>
        <item x="146"/>
        <item x="10"/>
        <item x="103"/>
        <item x="134"/>
        <item x="376"/>
        <item x="418"/>
        <item x="399"/>
        <item x="323"/>
        <item x="73"/>
        <item x="437"/>
        <item x="141"/>
        <item x="148"/>
        <item x="369"/>
        <item x="29"/>
        <item x="178"/>
        <item x="350"/>
        <item x="119"/>
        <item x="371"/>
        <item x="49"/>
        <item x="70"/>
        <item x="385"/>
        <item x="82"/>
        <item x="274"/>
        <item x="396"/>
        <item x="50"/>
        <item x="386"/>
        <item x="260"/>
        <item x="179"/>
        <item x="129"/>
        <item x="222"/>
        <item x="65"/>
        <item x="270"/>
        <item x="113"/>
        <item x="98"/>
        <item x="43"/>
        <item x="163"/>
        <item x="196"/>
        <item x="47"/>
        <item x="176"/>
        <item x="60"/>
        <item x="438"/>
        <item x="31"/>
        <item x="364"/>
        <item x="46"/>
        <item x="68"/>
        <item x="451"/>
        <item x="464"/>
        <item x="316"/>
        <item x="126"/>
        <item x="162"/>
        <item x="228"/>
        <item x="97"/>
        <item x="365"/>
        <item x="177"/>
        <item x="377"/>
        <item x="261"/>
        <item x="11"/>
        <item x="53"/>
        <item x="208"/>
        <item x="235"/>
        <item x="455"/>
        <item x="422"/>
        <item x="407"/>
        <item x="336"/>
        <item x="110"/>
        <item x="69"/>
        <item x="391"/>
        <item x="6"/>
        <item x="413"/>
        <item x="434"/>
        <item x="86"/>
        <item x="461"/>
        <item x="370"/>
        <item x="105"/>
        <item x="368"/>
        <item x="130"/>
        <item x="193"/>
        <item x="310"/>
        <item x="314"/>
        <item x="395"/>
        <item x="157"/>
        <item x="278"/>
        <item x="337"/>
        <item x="380"/>
        <item x="15"/>
        <item x="22"/>
        <item x="100"/>
        <item x="303"/>
        <item x="84"/>
        <item x="363"/>
        <item x="425"/>
        <item x="231"/>
        <item x="436"/>
        <item x="392"/>
        <item x="441"/>
        <item x="342"/>
        <item x="111"/>
        <item x="265"/>
        <item x="26"/>
        <item x="144"/>
        <item x="287"/>
        <item x="345"/>
        <item x="133"/>
        <item x="85"/>
        <item x="440"/>
        <item x="106"/>
        <item x="344"/>
        <item x="221"/>
        <item x="174"/>
        <item x="354"/>
        <item x="168"/>
        <item x="305"/>
        <item x="470"/>
        <item x="405"/>
        <item x="390"/>
        <item x="400"/>
        <item x="304"/>
        <item x="300"/>
        <item x="255"/>
        <item x="194"/>
        <item x="165"/>
        <item x="213"/>
        <item x="328"/>
        <item x="42"/>
        <item x="387"/>
        <item x="379"/>
        <item x="250"/>
        <item x="431"/>
        <item x="412"/>
        <item x="94"/>
        <item x="175"/>
        <item x="366"/>
        <item x="446"/>
        <item x="325"/>
        <item x="201"/>
        <item x="426"/>
        <item x="3"/>
        <item x="54"/>
        <item x="154"/>
        <item x="463"/>
        <item x="373"/>
        <item x="74"/>
        <item x="335"/>
        <item x="402"/>
        <item x="48"/>
        <item x="132"/>
        <item x="30"/>
        <item x="383"/>
        <item x="312"/>
        <item x="55"/>
        <item x="284"/>
        <item x="421"/>
        <item x="59"/>
        <item x="18"/>
        <item x="242"/>
        <item x="297"/>
        <item x="136"/>
        <item x="460"/>
        <item x="340"/>
        <item x="187"/>
        <item x="293"/>
        <item x="215"/>
        <item x="272"/>
        <item x="58"/>
        <item x="466"/>
        <item x="339"/>
        <item x="44"/>
        <item x="394"/>
        <item x="38"/>
        <item x="40"/>
        <item x="2"/>
        <item x="465"/>
        <item x="137"/>
        <item x="449"/>
        <item x="13"/>
        <item x="0"/>
        <item x="296"/>
        <item x="63"/>
        <item x="200"/>
        <item x="384"/>
        <item x="64"/>
        <item x="311"/>
        <item x="448"/>
        <item x="109"/>
        <item x="79"/>
        <item x="276"/>
        <item x="294"/>
        <item x="447"/>
        <item x="263"/>
        <item x="210"/>
        <item x="457"/>
        <item x="188"/>
        <item x="39"/>
        <item x="295"/>
        <item x="23"/>
        <item x="252"/>
        <item x="190"/>
        <item x="102"/>
        <item x="67"/>
        <item x="348"/>
        <item x="267"/>
        <item x="71"/>
        <item x="116"/>
        <item x="423"/>
        <item x="283"/>
        <item x="259"/>
        <item x="107"/>
        <item t="default"/>
      </items>
    </pivotField>
    <pivotField numFmtId="14" showAll="0"/>
    <pivotField numFmtId="14" showAll="0"/>
    <pivotField numFmtId="2" showAll="0"/>
    <pivotField showAll="0"/>
    <pivotField showAll="0">
      <items count="34">
        <item x="23"/>
        <item x="28"/>
        <item x="17"/>
        <item x="4"/>
        <item x="13"/>
        <item x="30"/>
        <item x="16"/>
        <item x="8"/>
        <item x="26"/>
        <item x="15"/>
        <item x="22"/>
        <item x="2"/>
        <item x="3"/>
        <item x="1"/>
        <item x="12"/>
        <item x="24"/>
        <item x="7"/>
        <item x="25"/>
        <item x="6"/>
        <item x="9"/>
        <item x="0"/>
        <item x="21"/>
        <item x="19"/>
        <item x="14"/>
        <item x="32"/>
        <item x="27"/>
        <item x="29"/>
        <item x="18"/>
        <item x="20"/>
        <item x="31"/>
        <item x="5"/>
        <item x="10"/>
        <item x="11"/>
        <item t="default"/>
      </items>
    </pivotField>
    <pivotField showAll="0"/>
    <pivotField numFmtId="14" showAll="0"/>
    <pivotField showAll="0"/>
    <pivotField axis="axisRow" showAll="0">
      <items count="5">
        <item x="2"/>
        <item x="0"/>
        <item x="3"/>
        <item x="1"/>
        <item t="default"/>
      </items>
    </pivotField>
    <pivotField showAll="0">
      <items count="13">
        <item x="9"/>
        <item x="0"/>
        <item x="10"/>
        <item x="11"/>
        <item x="4"/>
        <item x="3"/>
        <item x="7"/>
        <item x="5"/>
        <item x="2"/>
        <item x="8"/>
        <item x="1"/>
        <item x="6"/>
        <item t="default"/>
      </items>
    </pivotField>
    <pivotField showAll="0"/>
    <pivotField showAll="0"/>
    <pivotField showAll="0"/>
    <pivotField showAll="0"/>
    <pivotField axis="axisCol" showAll="0">
      <items count="6">
        <item x="3"/>
        <item x="4"/>
        <item x="2"/>
        <item x="0"/>
        <item x="1"/>
        <item t="default"/>
      </items>
    </pivotField>
    <pivotField showAll="0"/>
    <pivotField showAll="0">
      <items count="16">
        <item x="2"/>
        <item x="1"/>
        <item x="5"/>
        <item x="10"/>
        <item x="14"/>
        <item x="9"/>
        <item x="11"/>
        <item x="0"/>
        <item x="12"/>
        <item x="8"/>
        <item x="3"/>
        <item x="4"/>
        <item x="6"/>
        <item x="13"/>
        <item x="7"/>
        <item t="default"/>
      </items>
    </pivotField>
    <pivotField showAll="0">
      <items count="8">
        <item x="4"/>
        <item x="0"/>
        <item x="2"/>
        <item x="3"/>
        <item x="1"/>
        <item x="5"/>
        <item x="6"/>
        <item t="default"/>
      </items>
    </pivotField>
    <pivotField showAll="0"/>
    <pivotField showAll="0"/>
    <pivotField showAll="0"/>
    <pivotField numFmtId="2" showAll="0"/>
    <pivotField numFmtId="2" showAll="0"/>
    <pivotField numFmtId="2" showAll="0"/>
    <pivotField numFmtId="10" showAll="0"/>
    <pivotField numFmtId="10" showAll="0"/>
    <pivotField showAll="0"/>
    <pivotField numFmtId="2" showAll="0"/>
    <pivotField dataField="1" numFmtId="2" showAll="0"/>
    <pivotField showAll="0"/>
    <pivotField numFmtId="2" showAll="0"/>
    <pivotField numFmtId="2"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t="grand">
      <x/>
    </i>
  </rowItems>
  <colFields count="1">
    <field x="17"/>
  </colFields>
  <colItems count="6">
    <i>
      <x/>
    </i>
    <i>
      <x v="1"/>
    </i>
    <i>
      <x v="2"/>
    </i>
    <i>
      <x v="3"/>
    </i>
    <i>
      <x v="4"/>
    </i>
    <i t="grand">
      <x/>
    </i>
  </colItems>
  <dataFields count="1">
    <dataField name="Sum of GrossRevenue" fld="31" showDataAs="percentOfTotal" baseField="0" baseItem="0" numFmtId="10"/>
  </dataFields>
  <chartFormats count="5">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0" format="3" series="1">
      <pivotArea type="data" outline="0" fieldPosition="0">
        <references count="2">
          <reference field="4294967294" count="1" selected="0">
            <x v="0"/>
          </reference>
          <reference field="17" count="1" selected="0">
            <x v="3"/>
          </reference>
        </references>
      </pivotArea>
    </chartFormat>
    <chartFormat chart="0" format="4" series="1">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E84F26-A3E8-4443-8E84-E589D08C41E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7" firstHeaderRow="0" firstDataRow="1" firstDataCol="1"/>
  <pivotFields count="40">
    <pivotField showAll="0"/>
    <pivotField numFmtId="14" showAll="0"/>
    <pivotField numFmtId="14" showAll="0">
      <items count="475">
        <item x="410"/>
        <item x="429"/>
        <item x="307"/>
        <item x="286"/>
        <item x="233"/>
        <item x="183"/>
        <item x="34"/>
        <item x="439"/>
        <item x="218"/>
        <item x="427"/>
        <item x="332"/>
        <item x="124"/>
        <item x="331"/>
        <item x="209"/>
        <item x="139"/>
        <item x="19"/>
        <item x="397"/>
        <item x="127"/>
        <item x="5"/>
        <item x="160"/>
        <item x="433"/>
        <item x="128"/>
        <item x="471"/>
        <item x="28"/>
        <item x="57"/>
        <item x="93"/>
        <item x="140"/>
        <item x="192"/>
        <item x="205"/>
        <item x="254"/>
        <item x="351"/>
        <item x="227"/>
        <item x="244"/>
        <item x="444"/>
        <item x="220"/>
        <item x="25"/>
        <item x="273"/>
        <item x="362"/>
        <item x="374"/>
        <item x="318"/>
        <item x="356"/>
        <item x="41"/>
        <item x="382"/>
        <item x="456"/>
        <item x="118"/>
        <item x="330"/>
        <item x="24"/>
        <item x="155"/>
        <item x="241"/>
        <item x="90"/>
        <item x="320"/>
        <item x="248"/>
        <item x="467"/>
        <item x="459"/>
        <item x="4"/>
        <item x="469"/>
        <item x="417"/>
        <item x="203"/>
        <item x="317"/>
        <item x="36"/>
        <item x="17"/>
        <item x="180"/>
        <item x="302"/>
        <item x="170"/>
        <item x="398"/>
        <item x="153"/>
        <item x="121"/>
        <item x="152"/>
        <item x="198"/>
        <item x="181"/>
        <item x="388"/>
        <item x="367"/>
        <item x="264"/>
        <item x="375"/>
        <item x="420"/>
        <item x="445"/>
        <item x="301"/>
        <item x="206"/>
        <item x="424"/>
        <item x="35"/>
        <item x="289"/>
        <item x="88"/>
        <item x="416"/>
        <item x="462"/>
        <item x="7"/>
        <item x="360"/>
        <item x="167"/>
        <item x="131"/>
        <item x="171"/>
        <item x="184"/>
        <item x="450"/>
        <item x="76"/>
        <item x="125"/>
        <item x="45"/>
        <item x="56"/>
        <item x="114"/>
        <item x="268"/>
        <item x="108"/>
        <item x="430"/>
        <item x="92"/>
        <item x="101"/>
        <item x="32"/>
        <item x="353"/>
        <item x="338"/>
        <item x="326"/>
        <item x="161"/>
        <item x="322"/>
        <item x="135"/>
        <item x="279"/>
        <item x="195"/>
        <item x="443"/>
        <item x="352"/>
        <item x="83"/>
        <item x="216"/>
        <item x="403"/>
        <item x="223"/>
        <item x="66"/>
        <item x="355"/>
        <item x="224"/>
        <item x="236"/>
        <item x="357"/>
        <item x="358"/>
        <item x="404"/>
        <item x="96"/>
        <item x="321"/>
        <item x="249"/>
        <item x="159"/>
        <item x="381"/>
        <item x="189"/>
        <item x="359"/>
        <item x="27"/>
        <item x="349"/>
        <item x="240"/>
        <item x="406"/>
        <item x="120"/>
        <item x="150"/>
        <item x="115"/>
        <item x="327"/>
        <item x="468"/>
        <item x="324"/>
        <item x="290"/>
        <item x="341"/>
        <item x="212"/>
        <item x="378"/>
        <item x="89"/>
        <item x="453"/>
        <item x="361"/>
        <item x="262"/>
        <item x="347"/>
        <item x="251"/>
        <item x="211"/>
        <item x="275"/>
        <item x="169"/>
        <item x="291"/>
        <item x="52"/>
        <item x="149"/>
        <item x="245"/>
        <item x="166"/>
        <item x="343"/>
        <item x="122"/>
        <item x="247"/>
        <item x="309"/>
        <item x="411"/>
        <item x="14"/>
        <item x="219"/>
        <item x="143"/>
        <item x="151"/>
        <item x="51"/>
        <item x="257"/>
        <item x="346"/>
        <item x="207"/>
        <item x="401"/>
        <item x="225"/>
        <item x="313"/>
        <item x="237"/>
        <item x="164"/>
        <item x="282"/>
        <item x="409"/>
        <item x="315"/>
        <item x="442"/>
        <item x="123"/>
        <item x="197"/>
        <item x="186"/>
        <item x="333"/>
        <item x="204"/>
        <item x="288"/>
        <item x="454"/>
        <item x="308"/>
        <item x="319"/>
        <item x="61"/>
        <item x="21"/>
        <item x="77"/>
        <item x="253"/>
        <item x="226"/>
        <item x="230"/>
        <item x="408"/>
        <item x="62"/>
        <item x="393"/>
        <item x="432"/>
        <item x="191"/>
        <item x="80"/>
        <item x="81"/>
        <item x="299"/>
        <item x="138"/>
        <item x="202"/>
        <item x="285"/>
        <item x="298"/>
        <item x="266"/>
        <item x="472"/>
        <item x="9"/>
        <item x="419"/>
        <item x="75"/>
        <item x="33"/>
        <item x="256"/>
        <item x="91"/>
        <item x="246"/>
        <item x="214"/>
        <item x="173"/>
        <item x="334"/>
        <item x="258"/>
        <item x="232"/>
        <item x="452"/>
        <item x="217"/>
        <item x="145"/>
        <item x="147"/>
        <item x="238"/>
        <item x="142"/>
        <item x="182"/>
        <item x="458"/>
        <item x="414"/>
        <item x="1"/>
        <item x="99"/>
        <item x="172"/>
        <item x="329"/>
        <item x="199"/>
        <item x="277"/>
        <item x="243"/>
        <item x="269"/>
        <item x="78"/>
        <item x="280"/>
        <item x="158"/>
        <item x="435"/>
        <item x="185"/>
        <item x="37"/>
        <item x="281"/>
        <item x="20"/>
        <item x="95"/>
        <item x="16"/>
        <item x="389"/>
        <item x="117"/>
        <item x="104"/>
        <item x="271"/>
        <item x="306"/>
        <item x="12"/>
        <item x="372"/>
        <item x="72"/>
        <item x="8"/>
        <item x="87"/>
        <item x="473"/>
        <item x="234"/>
        <item x="156"/>
        <item x="112"/>
        <item x="428"/>
        <item x="292"/>
        <item x="239"/>
        <item x="229"/>
        <item x="415"/>
        <item x="146"/>
        <item x="10"/>
        <item x="103"/>
        <item x="134"/>
        <item x="376"/>
        <item x="418"/>
        <item x="399"/>
        <item x="323"/>
        <item x="73"/>
        <item x="437"/>
        <item x="141"/>
        <item x="148"/>
        <item x="369"/>
        <item x="29"/>
        <item x="178"/>
        <item x="350"/>
        <item x="119"/>
        <item x="371"/>
        <item x="49"/>
        <item x="70"/>
        <item x="385"/>
        <item x="82"/>
        <item x="274"/>
        <item x="396"/>
        <item x="50"/>
        <item x="386"/>
        <item x="260"/>
        <item x="179"/>
        <item x="129"/>
        <item x="222"/>
        <item x="65"/>
        <item x="270"/>
        <item x="113"/>
        <item x="98"/>
        <item x="43"/>
        <item x="163"/>
        <item x="196"/>
        <item x="47"/>
        <item x="176"/>
        <item x="60"/>
        <item x="438"/>
        <item x="31"/>
        <item x="364"/>
        <item x="46"/>
        <item x="68"/>
        <item x="451"/>
        <item x="464"/>
        <item x="316"/>
        <item x="126"/>
        <item x="162"/>
        <item x="228"/>
        <item x="97"/>
        <item x="365"/>
        <item x="177"/>
        <item x="377"/>
        <item x="261"/>
        <item x="11"/>
        <item x="53"/>
        <item x="208"/>
        <item x="235"/>
        <item x="455"/>
        <item x="422"/>
        <item x="407"/>
        <item x="336"/>
        <item x="110"/>
        <item x="69"/>
        <item x="391"/>
        <item x="6"/>
        <item x="413"/>
        <item x="434"/>
        <item x="86"/>
        <item x="461"/>
        <item x="370"/>
        <item x="105"/>
        <item x="368"/>
        <item x="130"/>
        <item x="193"/>
        <item x="310"/>
        <item x="314"/>
        <item x="395"/>
        <item x="157"/>
        <item x="278"/>
        <item x="337"/>
        <item x="380"/>
        <item x="15"/>
        <item x="22"/>
        <item x="100"/>
        <item x="303"/>
        <item x="84"/>
        <item x="363"/>
        <item x="425"/>
        <item x="231"/>
        <item x="436"/>
        <item x="392"/>
        <item x="441"/>
        <item x="342"/>
        <item x="111"/>
        <item x="265"/>
        <item x="26"/>
        <item x="144"/>
        <item x="287"/>
        <item x="345"/>
        <item x="133"/>
        <item x="85"/>
        <item x="440"/>
        <item x="106"/>
        <item x="344"/>
        <item x="221"/>
        <item x="174"/>
        <item x="354"/>
        <item x="168"/>
        <item x="305"/>
        <item x="470"/>
        <item x="405"/>
        <item x="390"/>
        <item x="400"/>
        <item x="304"/>
        <item x="300"/>
        <item x="255"/>
        <item x="194"/>
        <item x="165"/>
        <item x="213"/>
        <item x="328"/>
        <item x="42"/>
        <item x="387"/>
        <item x="379"/>
        <item x="250"/>
        <item x="431"/>
        <item x="412"/>
        <item x="94"/>
        <item x="175"/>
        <item x="366"/>
        <item x="446"/>
        <item x="325"/>
        <item x="201"/>
        <item x="426"/>
        <item x="3"/>
        <item x="54"/>
        <item x="154"/>
        <item x="463"/>
        <item x="373"/>
        <item x="74"/>
        <item x="335"/>
        <item x="402"/>
        <item x="48"/>
        <item x="132"/>
        <item x="30"/>
        <item x="383"/>
        <item x="312"/>
        <item x="55"/>
        <item x="284"/>
        <item x="421"/>
        <item x="59"/>
        <item x="18"/>
        <item x="242"/>
        <item x="297"/>
        <item x="136"/>
        <item x="460"/>
        <item x="340"/>
        <item x="187"/>
        <item x="293"/>
        <item x="215"/>
        <item x="272"/>
        <item x="58"/>
        <item x="466"/>
        <item x="339"/>
        <item x="44"/>
        <item x="394"/>
        <item x="38"/>
        <item x="40"/>
        <item x="2"/>
        <item x="465"/>
        <item x="137"/>
        <item x="449"/>
        <item x="13"/>
        <item x="0"/>
        <item x="296"/>
        <item x="63"/>
        <item x="200"/>
        <item x="384"/>
        <item x="64"/>
        <item x="311"/>
        <item x="448"/>
        <item x="109"/>
        <item x="79"/>
        <item x="276"/>
        <item x="294"/>
        <item x="447"/>
        <item x="263"/>
        <item x="210"/>
        <item x="457"/>
        <item x="188"/>
        <item x="39"/>
        <item x="295"/>
        <item x="23"/>
        <item x="252"/>
        <item x="190"/>
        <item x="102"/>
        <item x="67"/>
        <item x="348"/>
        <item x="267"/>
        <item x="71"/>
        <item x="116"/>
        <item x="423"/>
        <item x="283"/>
        <item x="259"/>
        <item x="107"/>
        <item t="default"/>
      </items>
    </pivotField>
    <pivotField numFmtId="14" showAll="0"/>
    <pivotField numFmtId="14" showAll="0"/>
    <pivotField numFmtId="2" showAll="0"/>
    <pivotField showAll="0"/>
    <pivotField showAll="0">
      <items count="34">
        <item x="23"/>
        <item x="28"/>
        <item x="17"/>
        <item x="4"/>
        <item x="13"/>
        <item x="30"/>
        <item x="16"/>
        <item x="8"/>
        <item x="26"/>
        <item x="15"/>
        <item x="22"/>
        <item x="2"/>
        <item x="3"/>
        <item x="1"/>
        <item x="12"/>
        <item x="24"/>
        <item x="7"/>
        <item x="25"/>
        <item x="6"/>
        <item x="9"/>
        <item x="0"/>
        <item x="21"/>
        <item x="19"/>
        <item x="14"/>
        <item x="32"/>
        <item x="27"/>
        <item x="29"/>
        <item x="18"/>
        <item x="20"/>
        <item x="31"/>
        <item x="5"/>
        <item x="10"/>
        <item x="11"/>
        <item t="default"/>
      </items>
    </pivotField>
    <pivotField showAll="0"/>
    <pivotField numFmtId="14" showAll="0"/>
    <pivotField showAll="0"/>
    <pivotField showAll="0">
      <items count="5">
        <item x="2"/>
        <item x="0"/>
        <item x="3"/>
        <item x="1"/>
        <item t="default"/>
      </items>
    </pivotField>
    <pivotField showAll="0">
      <items count="13">
        <item x="9"/>
        <item x="0"/>
        <item x="10"/>
        <item x="11"/>
        <item x="4"/>
        <item x="3"/>
        <item x="7"/>
        <item x="5"/>
        <item x="2"/>
        <item x="8"/>
        <item x="1"/>
        <item x="6"/>
        <item t="default"/>
      </items>
    </pivotField>
    <pivotField showAll="0"/>
    <pivotField showAll="0"/>
    <pivotField showAll="0"/>
    <pivotField showAll="0"/>
    <pivotField showAll="0">
      <items count="6">
        <item x="3"/>
        <item x="4"/>
        <item x="2"/>
        <item x="0"/>
        <item x="1"/>
        <item t="default"/>
      </items>
    </pivotField>
    <pivotField axis="axisRow" showAll="0" measureFilter="1">
      <items count="17">
        <item x="6"/>
        <item x="1"/>
        <item x="5"/>
        <item x="11"/>
        <item x="15"/>
        <item x="10"/>
        <item x="12"/>
        <item x="0"/>
        <item x="13"/>
        <item x="9"/>
        <item x="3"/>
        <item x="4"/>
        <item x="7"/>
        <item x="14"/>
        <item x="8"/>
        <item x="2"/>
        <item t="default"/>
      </items>
    </pivotField>
    <pivotField showAll="0">
      <items count="16">
        <item x="2"/>
        <item x="1"/>
        <item x="5"/>
        <item x="10"/>
        <item x="14"/>
        <item x="9"/>
        <item x="11"/>
        <item x="0"/>
        <item x="12"/>
        <item x="8"/>
        <item x="3"/>
        <item x="4"/>
        <item x="6"/>
        <item x="13"/>
        <item x="7"/>
        <item t="default"/>
      </items>
    </pivotField>
    <pivotField showAll="0">
      <items count="8">
        <item x="4"/>
        <item x="0"/>
        <item x="2"/>
        <item x="3"/>
        <item x="1"/>
        <item x="5"/>
        <item x="6"/>
        <item t="default"/>
      </items>
    </pivotField>
    <pivotField showAll="0"/>
    <pivotField showAll="0"/>
    <pivotField showAll="0"/>
    <pivotField numFmtId="2" showAll="0"/>
    <pivotField numFmtId="2" showAll="0"/>
    <pivotField numFmtId="2" showAll="0"/>
    <pivotField numFmtId="10" showAll="0"/>
    <pivotField numFmtId="10" showAll="0"/>
    <pivotField showAll="0"/>
    <pivotField numFmtId="2" showAll="0"/>
    <pivotField dataField="1" numFmtId="2" showAll="0"/>
    <pivotField showAll="0"/>
    <pivotField dataField="1" numFmtId="2" showAll="0"/>
    <pivotField numFmtId="2"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8"/>
  </rowFields>
  <rowItems count="4">
    <i>
      <x v="1"/>
    </i>
    <i>
      <x v="10"/>
    </i>
    <i>
      <x v="12"/>
    </i>
    <i t="grand">
      <x/>
    </i>
  </rowItems>
  <colFields count="1">
    <field x="-2"/>
  </colFields>
  <colItems count="2">
    <i>
      <x/>
    </i>
    <i i="1">
      <x v="1"/>
    </i>
  </colItems>
  <dataFields count="2">
    <dataField name="Sum of GrossRevenue" fld="31" baseField="0" baseItem="0" numFmtId="2"/>
    <dataField name="Sum of GrossProfit" fld="33"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64AC27-9FBC-463F-88D8-B7323134EBE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19" firstHeaderRow="0" firstDataRow="1" firstDataCol="1"/>
  <pivotFields count="40">
    <pivotField showAll="0"/>
    <pivotField numFmtId="14" showAll="0"/>
    <pivotField numFmtId="14" showAll="0">
      <items count="475">
        <item x="410"/>
        <item x="429"/>
        <item x="307"/>
        <item x="286"/>
        <item x="233"/>
        <item x="183"/>
        <item x="34"/>
        <item x="439"/>
        <item x="218"/>
        <item x="427"/>
        <item x="332"/>
        <item x="124"/>
        <item x="331"/>
        <item x="209"/>
        <item x="139"/>
        <item x="19"/>
        <item x="397"/>
        <item x="127"/>
        <item x="5"/>
        <item x="160"/>
        <item x="433"/>
        <item x="128"/>
        <item x="471"/>
        <item x="28"/>
        <item x="57"/>
        <item x="93"/>
        <item x="140"/>
        <item x="192"/>
        <item x="205"/>
        <item x="254"/>
        <item x="351"/>
        <item x="227"/>
        <item x="244"/>
        <item x="444"/>
        <item x="220"/>
        <item x="25"/>
        <item x="273"/>
        <item x="362"/>
        <item x="374"/>
        <item x="318"/>
        <item x="356"/>
        <item x="41"/>
        <item x="382"/>
        <item x="456"/>
        <item x="118"/>
        <item x="330"/>
        <item x="24"/>
        <item x="155"/>
        <item x="241"/>
        <item x="90"/>
        <item x="320"/>
        <item x="248"/>
        <item x="467"/>
        <item x="459"/>
        <item x="4"/>
        <item x="469"/>
        <item x="417"/>
        <item x="203"/>
        <item x="317"/>
        <item x="36"/>
        <item x="17"/>
        <item x="180"/>
        <item x="302"/>
        <item x="170"/>
        <item x="398"/>
        <item x="153"/>
        <item x="121"/>
        <item x="152"/>
        <item x="198"/>
        <item x="181"/>
        <item x="388"/>
        <item x="367"/>
        <item x="264"/>
        <item x="375"/>
        <item x="420"/>
        <item x="445"/>
        <item x="301"/>
        <item x="206"/>
        <item x="424"/>
        <item x="35"/>
        <item x="289"/>
        <item x="88"/>
        <item x="416"/>
        <item x="462"/>
        <item x="7"/>
        <item x="360"/>
        <item x="167"/>
        <item x="131"/>
        <item x="171"/>
        <item x="184"/>
        <item x="450"/>
        <item x="76"/>
        <item x="125"/>
        <item x="45"/>
        <item x="56"/>
        <item x="114"/>
        <item x="268"/>
        <item x="108"/>
        <item x="430"/>
        <item x="92"/>
        <item x="101"/>
        <item x="32"/>
        <item x="353"/>
        <item x="338"/>
        <item x="326"/>
        <item x="161"/>
        <item x="322"/>
        <item x="135"/>
        <item x="279"/>
        <item x="195"/>
        <item x="443"/>
        <item x="352"/>
        <item x="83"/>
        <item x="216"/>
        <item x="403"/>
        <item x="223"/>
        <item x="66"/>
        <item x="355"/>
        <item x="224"/>
        <item x="236"/>
        <item x="357"/>
        <item x="358"/>
        <item x="404"/>
        <item x="96"/>
        <item x="321"/>
        <item x="249"/>
        <item x="159"/>
        <item x="381"/>
        <item x="189"/>
        <item x="359"/>
        <item x="27"/>
        <item x="349"/>
        <item x="240"/>
        <item x="406"/>
        <item x="120"/>
        <item x="150"/>
        <item x="115"/>
        <item x="327"/>
        <item x="468"/>
        <item x="324"/>
        <item x="290"/>
        <item x="341"/>
        <item x="212"/>
        <item x="378"/>
        <item x="89"/>
        <item x="453"/>
        <item x="361"/>
        <item x="262"/>
        <item x="347"/>
        <item x="251"/>
        <item x="211"/>
        <item x="275"/>
        <item x="169"/>
        <item x="291"/>
        <item x="52"/>
        <item x="149"/>
        <item x="245"/>
        <item x="166"/>
        <item x="343"/>
        <item x="122"/>
        <item x="247"/>
        <item x="309"/>
        <item x="411"/>
        <item x="14"/>
        <item x="219"/>
        <item x="143"/>
        <item x="151"/>
        <item x="51"/>
        <item x="257"/>
        <item x="346"/>
        <item x="207"/>
        <item x="401"/>
        <item x="225"/>
        <item x="313"/>
        <item x="237"/>
        <item x="164"/>
        <item x="282"/>
        <item x="409"/>
        <item x="315"/>
        <item x="442"/>
        <item x="123"/>
        <item x="197"/>
        <item x="186"/>
        <item x="333"/>
        <item x="204"/>
        <item x="288"/>
        <item x="454"/>
        <item x="308"/>
        <item x="319"/>
        <item x="61"/>
        <item x="21"/>
        <item x="77"/>
        <item x="253"/>
        <item x="226"/>
        <item x="230"/>
        <item x="408"/>
        <item x="62"/>
        <item x="393"/>
        <item x="432"/>
        <item x="191"/>
        <item x="80"/>
        <item x="81"/>
        <item x="299"/>
        <item x="138"/>
        <item x="202"/>
        <item x="285"/>
        <item x="298"/>
        <item x="266"/>
        <item x="472"/>
        <item x="9"/>
        <item x="419"/>
        <item x="75"/>
        <item x="33"/>
        <item x="256"/>
        <item x="91"/>
        <item x="246"/>
        <item x="214"/>
        <item x="173"/>
        <item x="334"/>
        <item x="258"/>
        <item x="232"/>
        <item x="452"/>
        <item x="217"/>
        <item x="145"/>
        <item x="147"/>
        <item x="238"/>
        <item x="142"/>
        <item x="182"/>
        <item x="458"/>
        <item x="414"/>
        <item x="1"/>
        <item x="99"/>
        <item x="172"/>
        <item x="329"/>
        <item x="199"/>
        <item x="277"/>
        <item x="243"/>
        <item x="269"/>
        <item x="78"/>
        <item x="280"/>
        <item x="158"/>
        <item x="435"/>
        <item x="185"/>
        <item x="37"/>
        <item x="281"/>
        <item x="20"/>
        <item x="95"/>
        <item x="16"/>
        <item x="389"/>
        <item x="117"/>
        <item x="104"/>
        <item x="271"/>
        <item x="306"/>
        <item x="12"/>
        <item x="372"/>
        <item x="72"/>
        <item x="8"/>
        <item x="87"/>
        <item x="473"/>
        <item x="234"/>
        <item x="156"/>
        <item x="112"/>
        <item x="428"/>
        <item x="292"/>
        <item x="239"/>
        <item x="229"/>
        <item x="415"/>
        <item x="146"/>
        <item x="10"/>
        <item x="103"/>
        <item x="134"/>
        <item x="376"/>
        <item x="418"/>
        <item x="399"/>
        <item x="323"/>
        <item x="73"/>
        <item x="437"/>
        <item x="141"/>
        <item x="148"/>
        <item x="369"/>
        <item x="29"/>
        <item x="178"/>
        <item x="350"/>
        <item x="119"/>
        <item x="371"/>
        <item x="49"/>
        <item x="70"/>
        <item x="385"/>
        <item x="82"/>
        <item x="274"/>
        <item x="396"/>
        <item x="50"/>
        <item x="386"/>
        <item x="260"/>
        <item x="179"/>
        <item x="129"/>
        <item x="222"/>
        <item x="65"/>
        <item x="270"/>
        <item x="113"/>
        <item x="98"/>
        <item x="43"/>
        <item x="163"/>
        <item x="196"/>
        <item x="47"/>
        <item x="176"/>
        <item x="60"/>
        <item x="438"/>
        <item x="31"/>
        <item x="364"/>
        <item x="46"/>
        <item x="68"/>
        <item x="451"/>
        <item x="464"/>
        <item x="316"/>
        <item x="126"/>
        <item x="162"/>
        <item x="228"/>
        <item x="97"/>
        <item x="365"/>
        <item x="177"/>
        <item x="377"/>
        <item x="261"/>
        <item x="11"/>
        <item x="53"/>
        <item x="208"/>
        <item x="235"/>
        <item x="455"/>
        <item x="422"/>
        <item x="407"/>
        <item x="336"/>
        <item x="110"/>
        <item x="69"/>
        <item x="391"/>
        <item x="6"/>
        <item x="413"/>
        <item x="434"/>
        <item x="86"/>
        <item x="461"/>
        <item x="370"/>
        <item x="105"/>
        <item x="368"/>
        <item x="130"/>
        <item x="193"/>
        <item x="310"/>
        <item x="314"/>
        <item x="395"/>
        <item x="157"/>
        <item x="278"/>
        <item x="337"/>
        <item x="380"/>
        <item x="15"/>
        <item x="22"/>
        <item x="100"/>
        <item x="303"/>
        <item x="84"/>
        <item x="363"/>
        <item x="425"/>
        <item x="231"/>
        <item x="436"/>
        <item x="392"/>
        <item x="441"/>
        <item x="342"/>
        <item x="111"/>
        <item x="265"/>
        <item x="26"/>
        <item x="144"/>
        <item x="287"/>
        <item x="345"/>
        <item x="133"/>
        <item x="85"/>
        <item x="440"/>
        <item x="106"/>
        <item x="344"/>
        <item x="221"/>
        <item x="174"/>
        <item x="354"/>
        <item x="168"/>
        <item x="305"/>
        <item x="470"/>
        <item x="405"/>
        <item x="390"/>
        <item x="400"/>
        <item x="304"/>
        <item x="300"/>
        <item x="255"/>
        <item x="194"/>
        <item x="165"/>
        <item x="213"/>
        <item x="328"/>
        <item x="42"/>
        <item x="387"/>
        <item x="379"/>
        <item x="250"/>
        <item x="431"/>
        <item x="412"/>
        <item x="94"/>
        <item x="175"/>
        <item x="366"/>
        <item x="446"/>
        <item x="325"/>
        <item x="201"/>
        <item x="426"/>
        <item x="3"/>
        <item x="54"/>
        <item x="154"/>
        <item x="463"/>
        <item x="373"/>
        <item x="74"/>
        <item x="335"/>
        <item x="402"/>
        <item x="48"/>
        <item x="132"/>
        <item x="30"/>
        <item x="383"/>
        <item x="312"/>
        <item x="55"/>
        <item x="284"/>
        <item x="421"/>
        <item x="59"/>
        <item x="18"/>
        <item x="242"/>
        <item x="297"/>
        <item x="136"/>
        <item x="460"/>
        <item x="340"/>
        <item x="187"/>
        <item x="293"/>
        <item x="215"/>
        <item x="272"/>
        <item x="58"/>
        <item x="466"/>
        <item x="339"/>
        <item x="44"/>
        <item x="394"/>
        <item x="38"/>
        <item x="40"/>
        <item x="2"/>
        <item x="465"/>
        <item x="137"/>
        <item x="449"/>
        <item x="13"/>
        <item x="0"/>
        <item x="296"/>
        <item x="63"/>
        <item x="200"/>
        <item x="384"/>
        <item x="64"/>
        <item x="311"/>
        <item x="448"/>
        <item x="109"/>
        <item x="79"/>
        <item x="276"/>
        <item x="294"/>
        <item x="447"/>
        <item x="263"/>
        <item x="210"/>
        <item x="457"/>
        <item x="188"/>
        <item x="39"/>
        <item x="295"/>
        <item x="23"/>
        <item x="252"/>
        <item x="190"/>
        <item x="102"/>
        <item x="67"/>
        <item x="348"/>
        <item x="267"/>
        <item x="71"/>
        <item x="116"/>
        <item x="423"/>
        <item x="283"/>
        <item x="259"/>
        <item x="107"/>
        <item t="default"/>
      </items>
    </pivotField>
    <pivotField numFmtId="14" showAll="0"/>
    <pivotField numFmtId="14" showAll="0"/>
    <pivotField numFmtId="2" showAll="0"/>
    <pivotField showAll="0"/>
    <pivotField showAll="0">
      <items count="34">
        <item x="23"/>
        <item x="28"/>
        <item x="17"/>
        <item x="4"/>
        <item x="13"/>
        <item x="30"/>
        <item x="16"/>
        <item x="8"/>
        <item x="26"/>
        <item x="15"/>
        <item x="22"/>
        <item x="2"/>
        <item x="3"/>
        <item x="1"/>
        <item x="12"/>
        <item x="24"/>
        <item x="7"/>
        <item x="25"/>
        <item x="6"/>
        <item x="9"/>
        <item x="0"/>
        <item x="21"/>
        <item x="19"/>
        <item x="14"/>
        <item x="32"/>
        <item x="27"/>
        <item x="29"/>
        <item x="18"/>
        <item x="20"/>
        <item x="31"/>
        <item x="5"/>
        <item x="10"/>
        <item x="11"/>
        <item t="default"/>
      </items>
    </pivotField>
    <pivotField showAll="0"/>
    <pivotField numFmtId="14" showAll="0"/>
    <pivotField showAll="0"/>
    <pivotField showAll="0">
      <items count="5">
        <item x="2"/>
        <item x="0"/>
        <item x="3"/>
        <item x="1"/>
        <item t="default"/>
      </items>
    </pivotField>
    <pivotField showAll="0">
      <items count="13">
        <item x="9"/>
        <item x="0"/>
        <item x="10"/>
        <item x="11"/>
        <item x="4"/>
        <item x="3"/>
        <item x="7"/>
        <item x="5"/>
        <item x="2"/>
        <item x="8"/>
        <item x="1"/>
        <item x="6"/>
        <item t="default"/>
      </items>
    </pivotField>
    <pivotField showAll="0"/>
    <pivotField showAll="0"/>
    <pivotField showAll="0"/>
    <pivotField showAll="0"/>
    <pivotField showAll="0">
      <items count="6">
        <item x="3"/>
        <item x="4"/>
        <item x="2"/>
        <item x="0"/>
        <item x="1"/>
        <item t="default"/>
      </items>
    </pivotField>
    <pivotField showAll="0"/>
    <pivotField axis="axisRow" showAll="0">
      <items count="16">
        <item x="2"/>
        <item x="1"/>
        <item x="5"/>
        <item x="10"/>
        <item x="14"/>
        <item x="9"/>
        <item x="11"/>
        <item x="0"/>
        <item x="12"/>
        <item x="8"/>
        <item x="3"/>
        <item x="4"/>
        <item x="6"/>
        <item x="13"/>
        <item x="7"/>
        <item t="default"/>
      </items>
    </pivotField>
    <pivotField showAll="0">
      <items count="8">
        <item x="4"/>
        <item x="0"/>
        <item x="2"/>
        <item x="3"/>
        <item x="1"/>
        <item x="5"/>
        <item x="6"/>
        <item t="default"/>
      </items>
    </pivotField>
    <pivotField showAll="0"/>
    <pivotField showAll="0"/>
    <pivotField showAll="0"/>
    <pivotField numFmtId="2" showAll="0"/>
    <pivotField numFmtId="2" showAll="0"/>
    <pivotField numFmtId="2" showAll="0"/>
    <pivotField numFmtId="10" showAll="0"/>
    <pivotField numFmtId="10" showAll="0"/>
    <pivotField showAll="0"/>
    <pivotField numFmtId="2" showAll="0"/>
    <pivotField dataField="1" numFmtId="2" showAll="0"/>
    <pivotField showAll="0"/>
    <pivotField dataField="1" numFmtId="2" showAll="0"/>
    <pivotField numFmtId="2"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9"/>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GrossRevenue" fld="31" baseField="0" baseItem="0" numFmtId="2"/>
    <dataField name="Sum of GrossProfit" fld="33"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E63CE9-4BAF-4C3F-AA82-2DB31E08447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40">
    <pivotField showAll="0"/>
    <pivotField numFmtId="14" showAll="0"/>
    <pivotField numFmtId="14" showAll="0">
      <items count="475">
        <item x="410"/>
        <item x="429"/>
        <item x="307"/>
        <item x="286"/>
        <item x="233"/>
        <item x="183"/>
        <item x="34"/>
        <item x="439"/>
        <item x="218"/>
        <item x="427"/>
        <item x="332"/>
        <item x="124"/>
        <item x="331"/>
        <item x="209"/>
        <item x="139"/>
        <item x="19"/>
        <item x="397"/>
        <item x="127"/>
        <item x="5"/>
        <item x="160"/>
        <item x="433"/>
        <item x="128"/>
        <item x="471"/>
        <item x="28"/>
        <item x="57"/>
        <item x="93"/>
        <item x="140"/>
        <item x="192"/>
        <item x="205"/>
        <item x="254"/>
        <item x="351"/>
        <item x="227"/>
        <item x="244"/>
        <item x="444"/>
        <item x="220"/>
        <item x="25"/>
        <item x="273"/>
        <item x="362"/>
        <item x="374"/>
        <item x="318"/>
        <item x="356"/>
        <item x="41"/>
        <item x="382"/>
        <item x="456"/>
        <item x="118"/>
        <item x="330"/>
        <item x="24"/>
        <item x="155"/>
        <item x="241"/>
        <item x="90"/>
        <item x="320"/>
        <item x="248"/>
        <item x="467"/>
        <item x="459"/>
        <item x="4"/>
        <item x="469"/>
        <item x="417"/>
        <item x="203"/>
        <item x="317"/>
        <item x="36"/>
        <item x="17"/>
        <item x="180"/>
        <item x="302"/>
        <item x="170"/>
        <item x="398"/>
        <item x="153"/>
        <item x="121"/>
        <item x="152"/>
        <item x="198"/>
        <item x="181"/>
        <item x="388"/>
        <item x="367"/>
        <item x="264"/>
        <item x="375"/>
        <item x="420"/>
        <item x="445"/>
        <item x="301"/>
        <item x="206"/>
        <item x="424"/>
        <item x="35"/>
        <item x="289"/>
        <item x="88"/>
        <item x="416"/>
        <item x="462"/>
        <item x="7"/>
        <item x="360"/>
        <item x="167"/>
        <item x="131"/>
        <item x="171"/>
        <item x="184"/>
        <item x="450"/>
        <item x="76"/>
        <item x="125"/>
        <item x="45"/>
        <item x="56"/>
        <item x="114"/>
        <item x="268"/>
        <item x="108"/>
        <item x="430"/>
        <item x="92"/>
        <item x="101"/>
        <item x="32"/>
        <item x="353"/>
        <item x="338"/>
        <item x="326"/>
        <item x="161"/>
        <item x="322"/>
        <item x="135"/>
        <item x="279"/>
        <item x="195"/>
        <item x="443"/>
        <item x="352"/>
        <item x="83"/>
        <item x="216"/>
        <item x="403"/>
        <item x="223"/>
        <item x="66"/>
        <item x="355"/>
        <item x="224"/>
        <item x="236"/>
        <item x="357"/>
        <item x="358"/>
        <item x="404"/>
        <item x="96"/>
        <item x="321"/>
        <item x="249"/>
        <item x="159"/>
        <item x="381"/>
        <item x="189"/>
        <item x="359"/>
        <item x="27"/>
        <item x="349"/>
        <item x="240"/>
        <item x="406"/>
        <item x="120"/>
        <item x="150"/>
        <item x="115"/>
        <item x="327"/>
        <item x="468"/>
        <item x="324"/>
        <item x="290"/>
        <item x="341"/>
        <item x="212"/>
        <item x="378"/>
        <item x="89"/>
        <item x="453"/>
        <item x="361"/>
        <item x="262"/>
        <item x="347"/>
        <item x="251"/>
        <item x="211"/>
        <item x="275"/>
        <item x="169"/>
        <item x="291"/>
        <item x="52"/>
        <item x="149"/>
        <item x="245"/>
        <item x="166"/>
        <item x="343"/>
        <item x="122"/>
        <item x="247"/>
        <item x="309"/>
        <item x="411"/>
        <item x="14"/>
        <item x="219"/>
        <item x="143"/>
        <item x="151"/>
        <item x="51"/>
        <item x="257"/>
        <item x="346"/>
        <item x="207"/>
        <item x="401"/>
        <item x="225"/>
        <item x="313"/>
        <item x="237"/>
        <item x="164"/>
        <item x="282"/>
        <item x="409"/>
        <item x="315"/>
        <item x="442"/>
        <item x="123"/>
        <item x="197"/>
        <item x="186"/>
        <item x="333"/>
        <item x="204"/>
        <item x="288"/>
        <item x="454"/>
        <item x="308"/>
        <item x="319"/>
        <item x="61"/>
        <item x="21"/>
        <item x="77"/>
        <item x="253"/>
        <item x="226"/>
        <item x="230"/>
        <item x="408"/>
        <item x="62"/>
        <item x="393"/>
        <item x="432"/>
        <item x="191"/>
        <item x="80"/>
        <item x="81"/>
        <item x="299"/>
        <item x="138"/>
        <item x="202"/>
        <item x="285"/>
        <item x="298"/>
        <item x="266"/>
        <item x="472"/>
        <item x="9"/>
        <item x="419"/>
        <item x="75"/>
        <item x="33"/>
        <item x="256"/>
        <item x="91"/>
        <item x="246"/>
        <item x="214"/>
        <item x="173"/>
        <item x="334"/>
        <item x="258"/>
        <item x="232"/>
        <item x="452"/>
        <item x="217"/>
        <item x="145"/>
        <item x="147"/>
        <item x="238"/>
        <item x="142"/>
        <item x="182"/>
        <item x="458"/>
        <item x="414"/>
        <item x="1"/>
        <item x="99"/>
        <item x="172"/>
        <item x="329"/>
        <item x="199"/>
        <item x="277"/>
        <item x="243"/>
        <item x="269"/>
        <item x="78"/>
        <item x="280"/>
        <item x="158"/>
        <item x="435"/>
        <item x="185"/>
        <item x="37"/>
        <item x="281"/>
        <item x="20"/>
        <item x="95"/>
        <item x="16"/>
        <item x="389"/>
        <item x="117"/>
        <item x="104"/>
        <item x="271"/>
        <item x="306"/>
        <item x="12"/>
        <item x="372"/>
        <item x="72"/>
        <item x="8"/>
        <item x="87"/>
        <item x="473"/>
        <item x="234"/>
        <item x="156"/>
        <item x="112"/>
        <item x="428"/>
        <item x="292"/>
        <item x="239"/>
        <item x="229"/>
        <item x="415"/>
        <item x="146"/>
        <item x="10"/>
        <item x="103"/>
        <item x="134"/>
        <item x="376"/>
        <item x="418"/>
        <item x="399"/>
        <item x="323"/>
        <item x="73"/>
        <item x="437"/>
        <item x="141"/>
        <item x="148"/>
        <item x="369"/>
        <item x="29"/>
        <item x="178"/>
        <item x="350"/>
        <item x="119"/>
        <item x="371"/>
        <item x="49"/>
        <item x="70"/>
        <item x="385"/>
        <item x="82"/>
        <item x="274"/>
        <item x="396"/>
        <item x="50"/>
        <item x="386"/>
        <item x="260"/>
        <item x="179"/>
        <item x="129"/>
        <item x="222"/>
        <item x="65"/>
        <item x="270"/>
        <item x="113"/>
        <item x="98"/>
        <item x="43"/>
        <item x="163"/>
        <item x="196"/>
        <item x="47"/>
        <item x="176"/>
        <item x="60"/>
        <item x="438"/>
        <item x="31"/>
        <item x="364"/>
        <item x="46"/>
        <item x="68"/>
        <item x="451"/>
        <item x="464"/>
        <item x="316"/>
        <item x="126"/>
        <item x="162"/>
        <item x="228"/>
        <item x="97"/>
        <item x="365"/>
        <item x="177"/>
        <item x="377"/>
        <item x="261"/>
        <item x="11"/>
        <item x="53"/>
        <item x="208"/>
        <item x="235"/>
        <item x="455"/>
        <item x="422"/>
        <item x="407"/>
        <item x="336"/>
        <item x="110"/>
        <item x="69"/>
        <item x="391"/>
        <item x="6"/>
        <item x="413"/>
        <item x="434"/>
        <item x="86"/>
        <item x="461"/>
        <item x="370"/>
        <item x="105"/>
        <item x="368"/>
        <item x="130"/>
        <item x="193"/>
        <item x="310"/>
        <item x="314"/>
        <item x="395"/>
        <item x="157"/>
        <item x="278"/>
        <item x="337"/>
        <item x="380"/>
        <item x="15"/>
        <item x="22"/>
        <item x="100"/>
        <item x="303"/>
        <item x="84"/>
        <item x="363"/>
        <item x="425"/>
        <item x="231"/>
        <item x="436"/>
        <item x="392"/>
        <item x="441"/>
        <item x="342"/>
        <item x="111"/>
        <item x="265"/>
        <item x="26"/>
        <item x="144"/>
        <item x="287"/>
        <item x="345"/>
        <item x="133"/>
        <item x="85"/>
        <item x="440"/>
        <item x="106"/>
        <item x="344"/>
        <item x="221"/>
        <item x="174"/>
        <item x="354"/>
        <item x="168"/>
        <item x="305"/>
        <item x="470"/>
        <item x="405"/>
        <item x="390"/>
        <item x="400"/>
        <item x="304"/>
        <item x="300"/>
        <item x="255"/>
        <item x="194"/>
        <item x="165"/>
        <item x="213"/>
        <item x="328"/>
        <item x="42"/>
        <item x="387"/>
        <item x="379"/>
        <item x="250"/>
        <item x="431"/>
        <item x="412"/>
        <item x="94"/>
        <item x="175"/>
        <item x="366"/>
        <item x="446"/>
        <item x="325"/>
        <item x="201"/>
        <item x="426"/>
        <item x="3"/>
        <item x="54"/>
        <item x="154"/>
        <item x="463"/>
        <item x="373"/>
        <item x="74"/>
        <item x="335"/>
        <item x="402"/>
        <item x="48"/>
        <item x="132"/>
        <item x="30"/>
        <item x="383"/>
        <item x="312"/>
        <item x="55"/>
        <item x="284"/>
        <item x="421"/>
        <item x="59"/>
        <item x="18"/>
        <item x="242"/>
        <item x="297"/>
        <item x="136"/>
        <item x="460"/>
        <item x="340"/>
        <item x="187"/>
        <item x="293"/>
        <item x="215"/>
        <item x="272"/>
        <item x="58"/>
        <item x="466"/>
        <item x="339"/>
        <item x="44"/>
        <item x="394"/>
        <item x="38"/>
        <item x="40"/>
        <item x="2"/>
        <item x="465"/>
        <item x="137"/>
        <item x="449"/>
        <item x="13"/>
        <item x="0"/>
        <item x="296"/>
        <item x="63"/>
        <item x="200"/>
        <item x="384"/>
        <item x="64"/>
        <item x="311"/>
        <item x="448"/>
        <item x="109"/>
        <item x="79"/>
        <item x="276"/>
        <item x="294"/>
        <item x="447"/>
        <item x="263"/>
        <item x="210"/>
        <item x="457"/>
        <item x="188"/>
        <item x="39"/>
        <item x="295"/>
        <item x="23"/>
        <item x="252"/>
        <item x="190"/>
        <item x="102"/>
        <item x="67"/>
        <item x="348"/>
        <item x="267"/>
        <item x="71"/>
        <item x="116"/>
        <item x="423"/>
        <item x="283"/>
        <item x="259"/>
        <item x="107"/>
        <item t="default"/>
      </items>
    </pivotField>
    <pivotField numFmtId="14" showAll="0"/>
    <pivotField numFmtId="14" showAll="0"/>
    <pivotField numFmtId="2" showAll="0"/>
    <pivotField showAll="0"/>
    <pivotField showAll="0">
      <items count="34">
        <item x="23"/>
        <item x="28"/>
        <item x="17"/>
        <item x="4"/>
        <item x="13"/>
        <item x="30"/>
        <item x="16"/>
        <item x="8"/>
        <item x="26"/>
        <item x="15"/>
        <item x="22"/>
        <item x="2"/>
        <item x="3"/>
        <item x="1"/>
        <item x="12"/>
        <item x="24"/>
        <item x="7"/>
        <item x="25"/>
        <item x="6"/>
        <item x="9"/>
        <item x="0"/>
        <item x="21"/>
        <item x="19"/>
        <item x="14"/>
        <item x="32"/>
        <item x="27"/>
        <item x="29"/>
        <item x="18"/>
        <item x="20"/>
        <item x="31"/>
        <item x="5"/>
        <item x="10"/>
        <item x="11"/>
        <item t="default"/>
      </items>
    </pivotField>
    <pivotField showAll="0"/>
    <pivotField numFmtId="14" showAll="0"/>
    <pivotField showAll="0"/>
    <pivotField showAll="0">
      <items count="5">
        <item x="2"/>
        <item x="0"/>
        <item x="3"/>
        <item x="1"/>
        <item t="default"/>
      </items>
    </pivotField>
    <pivotField showAll="0">
      <items count="13">
        <item x="9"/>
        <item x="0"/>
        <item x="10"/>
        <item x="11"/>
        <item x="4"/>
        <item x="3"/>
        <item x="7"/>
        <item x="5"/>
        <item x="2"/>
        <item x="8"/>
        <item x="1"/>
        <item x="6"/>
        <item t="default"/>
      </items>
    </pivotField>
    <pivotField showAll="0"/>
    <pivotField showAll="0"/>
    <pivotField showAll="0"/>
    <pivotField showAll="0"/>
    <pivotField showAll="0">
      <items count="6">
        <item x="3"/>
        <item x="4"/>
        <item x="2"/>
        <item x="0"/>
        <item x="1"/>
        <item t="default"/>
      </items>
    </pivotField>
    <pivotField showAll="0"/>
    <pivotField showAll="0">
      <items count="16">
        <item x="2"/>
        <item x="1"/>
        <item x="5"/>
        <item x="10"/>
        <item x="14"/>
        <item x="9"/>
        <item x="11"/>
        <item x="0"/>
        <item x="12"/>
        <item x="8"/>
        <item x="3"/>
        <item x="4"/>
        <item x="6"/>
        <item x="13"/>
        <item x="7"/>
        <item t="default"/>
      </items>
    </pivotField>
    <pivotField showAll="0">
      <items count="8">
        <item x="4"/>
        <item x="0"/>
        <item x="2"/>
        <item x="3"/>
        <item x="1"/>
        <item x="5"/>
        <item x="6"/>
        <item t="default"/>
      </items>
    </pivotField>
    <pivotField showAll="0"/>
    <pivotField showAll="0"/>
    <pivotField showAll="0"/>
    <pivotField numFmtId="2" showAll="0"/>
    <pivotField numFmtId="2" showAll="0"/>
    <pivotField numFmtId="2" showAll="0"/>
    <pivotField numFmtId="10" showAll="0"/>
    <pivotField numFmtId="10" showAll="0"/>
    <pivotField showAll="0"/>
    <pivotField numFmtId="2" showAll="0"/>
    <pivotField dataField="1" numFmtId="2" showAll="0"/>
    <pivotField showAll="0"/>
    <pivotField numFmtId="2" showAll="0"/>
    <pivotField numFmtId="2" showAll="0"/>
    <pivotField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7"/>
  </rowFields>
  <rowItems count="13">
    <i>
      <x v="1"/>
    </i>
    <i>
      <x v="2"/>
    </i>
    <i>
      <x v="3"/>
    </i>
    <i>
      <x v="4"/>
    </i>
    <i>
      <x v="5"/>
    </i>
    <i>
      <x v="6"/>
    </i>
    <i>
      <x v="7"/>
    </i>
    <i>
      <x v="8"/>
    </i>
    <i>
      <x v="9"/>
    </i>
    <i>
      <x v="10"/>
    </i>
    <i>
      <x v="11"/>
    </i>
    <i>
      <x v="12"/>
    </i>
    <i t="grand">
      <x/>
    </i>
  </rowItems>
  <colItems count="1">
    <i/>
  </colItems>
  <dataFields count="1">
    <dataField name="Sum of GrossRevenue" fld="31"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401F75-8E87-4D75-B159-F8B64C555B8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10" firstHeaderRow="1" firstDataRow="2" firstDataCol="1"/>
  <pivotFields count="40">
    <pivotField showAll="0"/>
    <pivotField numFmtId="14" showAll="0"/>
    <pivotField numFmtId="14" showAll="0">
      <items count="475">
        <item x="410"/>
        <item x="429"/>
        <item x="307"/>
        <item x="286"/>
        <item x="233"/>
        <item x="183"/>
        <item x="34"/>
        <item x="439"/>
        <item x="218"/>
        <item x="427"/>
        <item x="332"/>
        <item x="124"/>
        <item x="331"/>
        <item x="209"/>
        <item x="139"/>
        <item x="19"/>
        <item x="397"/>
        <item x="127"/>
        <item x="5"/>
        <item x="160"/>
        <item x="433"/>
        <item x="128"/>
        <item x="471"/>
        <item x="28"/>
        <item x="57"/>
        <item x="93"/>
        <item x="140"/>
        <item x="192"/>
        <item x="205"/>
        <item x="254"/>
        <item x="351"/>
        <item x="227"/>
        <item x="244"/>
        <item x="444"/>
        <item x="220"/>
        <item x="25"/>
        <item x="273"/>
        <item x="362"/>
        <item x="374"/>
        <item x="318"/>
        <item x="356"/>
        <item x="41"/>
        <item x="382"/>
        <item x="456"/>
        <item x="118"/>
        <item x="330"/>
        <item x="24"/>
        <item x="155"/>
        <item x="241"/>
        <item x="90"/>
        <item x="320"/>
        <item x="248"/>
        <item x="467"/>
        <item x="459"/>
        <item x="4"/>
        <item x="469"/>
        <item x="417"/>
        <item x="203"/>
        <item x="317"/>
        <item x="36"/>
        <item x="17"/>
        <item x="180"/>
        <item x="302"/>
        <item x="170"/>
        <item x="398"/>
        <item x="153"/>
        <item x="121"/>
        <item x="152"/>
        <item x="198"/>
        <item x="181"/>
        <item x="388"/>
        <item x="367"/>
        <item x="264"/>
        <item x="375"/>
        <item x="420"/>
        <item x="445"/>
        <item x="301"/>
        <item x="206"/>
        <item x="424"/>
        <item x="35"/>
        <item x="289"/>
        <item x="88"/>
        <item x="416"/>
        <item x="462"/>
        <item x="7"/>
        <item x="360"/>
        <item x="167"/>
        <item x="131"/>
        <item x="171"/>
        <item x="184"/>
        <item x="450"/>
        <item x="76"/>
        <item x="125"/>
        <item x="45"/>
        <item x="56"/>
        <item x="114"/>
        <item x="268"/>
        <item x="108"/>
        <item x="430"/>
        <item x="92"/>
        <item x="101"/>
        <item x="32"/>
        <item x="353"/>
        <item x="338"/>
        <item x="326"/>
        <item x="161"/>
        <item x="322"/>
        <item x="135"/>
        <item x="279"/>
        <item x="195"/>
        <item x="443"/>
        <item x="352"/>
        <item x="83"/>
        <item x="216"/>
        <item x="403"/>
        <item x="223"/>
        <item x="66"/>
        <item x="355"/>
        <item x="224"/>
        <item x="236"/>
        <item x="357"/>
        <item x="358"/>
        <item x="404"/>
        <item x="96"/>
        <item x="321"/>
        <item x="249"/>
        <item x="159"/>
        <item x="381"/>
        <item x="189"/>
        <item x="359"/>
        <item x="27"/>
        <item x="349"/>
        <item x="240"/>
        <item x="406"/>
        <item x="120"/>
        <item x="150"/>
        <item x="115"/>
        <item x="327"/>
        <item x="468"/>
        <item x="324"/>
        <item x="290"/>
        <item x="341"/>
        <item x="212"/>
        <item x="378"/>
        <item x="89"/>
        <item x="453"/>
        <item x="361"/>
        <item x="262"/>
        <item x="347"/>
        <item x="251"/>
        <item x="211"/>
        <item x="275"/>
        <item x="169"/>
        <item x="291"/>
        <item x="52"/>
        <item x="149"/>
        <item x="245"/>
        <item x="166"/>
        <item x="343"/>
        <item x="122"/>
        <item x="247"/>
        <item x="309"/>
        <item x="411"/>
        <item x="14"/>
        <item x="219"/>
        <item x="143"/>
        <item x="151"/>
        <item x="51"/>
        <item x="257"/>
        <item x="346"/>
        <item x="207"/>
        <item x="401"/>
        <item x="225"/>
        <item x="313"/>
        <item x="237"/>
        <item x="164"/>
        <item x="282"/>
        <item x="409"/>
        <item x="315"/>
        <item x="442"/>
        <item x="123"/>
        <item x="197"/>
        <item x="186"/>
        <item x="333"/>
        <item x="204"/>
        <item x="288"/>
        <item x="454"/>
        <item x="308"/>
        <item x="319"/>
        <item x="61"/>
        <item x="21"/>
        <item x="77"/>
        <item x="253"/>
        <item x="226"/>
        <item x="230"/>
        <item x="408"/>
        <item x="62"/>
        <item x="393"/>
        <item x="432"/>
        <item x="191"/>
        <item x="80"/>
        <item x="81"/>
        <item x="299"/>
        <item x="138"/>
        <item x="202"/>
        <item x="285"/>
        <item x="298"/>
        <item x="266"/>
        <item x="472"/>
        <item x="9"/>
        <item x="419"/>
        <item x="75"/>
        <item x="33"/>
        <item x="256"/>
        <item x="91"/>
        <item x="246"/>
        <item x="214"/>
        <item x="173"/>
        <item x="334"/>
        <item x="258"/>
        <item x="232"/>
        <item x="452"/>
        <item x="217"/>
        <item x="145"/>
        <item x="147"/>
        <item x="238"/>
        <item x="142"/>
        <item x="182"/>
        <item x="458"/>
        <item x="414"/>
        <item x="1"/>
        <item x="99"/>
        <item x="172"/>
        <item x="329"/>
        <item x="199"/>
        <item x="277"/>
        <item x="243"/>
        <item x="269"/>
        <item x="78"/>
        <item x="280"/>
        <item x="158"/>
        <item x="435"/>
        <item x="185"/>
        <item x="37"/>
        <item x="281"/>
        <item x="20"/>
        <item x="95"/>
        <item x="16"/>
        <item x="389"/>
        <item x="117"/>
        <item x="104"/>
        <item x="271"/>
        <item x="306"/>
        <item x="12"/>
        <item x="372"/>
        <item x="72"/>
        <item x="8"/>
        <item x="87"/>
        <item x="473"/>
        <item x="234"/>
        <item x="156"/>
        <item x="112"/>
        <item x="428"/>
        <item x="292"/>
        <item x="239"/>
        <item x="229"/>
        <item x="415"/>
        <item x="146"/>
        <item x="10"/>
        <item x="103"/>
        <item x="134"/>
        <item x="376"/>
        <item x="418"/>
        <item x="399"/>
        <item x="323"/>
        <item x="73"/>
        <item x="437"/>
        <item x="141"/>
        <item x="148"/>
        <item x="369"/>
        <item x="29"/>
        <item x="178"/>
        <item x="350"/>
        <item x="119"/>
        <item x="371"/>
        <item x="49"/>
        <item x="70"/>
        <item x="385"/>
        <item x="82"/>
        <item x="274"/>
        <item x="396"/>
        <item x="50"/>
        <item x="386"/>
        <item x="260"/>
        <item x="179"/>
        <item x="129"/>
        <item x="222"/>
        <item x="65"/>
        <item x="270"/>
        <item x="113"/>
        <item x="98"/>
        <item x="43"/>
        <item x="163"/>
        <item x="196"/>
        <item x="47"/>
        <item x="176"/>
        <item x="60"/>
        <item x="438"/>
        <item x="31"/>
        <item x="364"/>
        <item x="46"/>
        <item x="68"/>
        <item x="451"/>
        <item x="464"/>
        <item x="316"/>
        <item x="126"/>
        <item x="162"/>
        <item x="228"/>
        <item x="97"/>
        <item x="365"/>
        <item x="177"/>
        <item x="377"/>
        <item x="261"/>
        <item x="11"/>
        <item x="53"/>
        <item x="208"/>
        <item x="235"/>
        <item x="455"/>
        <item x="422"/>
        <item x="407"/>
        <item x="336"/>
        <item x="110"/>
        <item x="69"/>
        <item x="391"/>
        <item x="6"/>
        <item x="413"/>
        <item x="434"/>
        <item x="86"/>
        <item x="461"/>
        <item x="370"/>
        <item x="105"/>
        <item x="368"/>
        <item x="130"/>
        <item x="193"/>
        <item x="310"/>
        <item x="314"/>
        <item x="395"/>
        <item x="157"/>
        <item x="278"/>
        <item x="337"/>
        <item x="380"/>
        <item x="15"/>
        <item x="22"/>
        <item x="100"/>
        <item x="303"/>
        <item x="84"/>
        <item x="363"/>
        <item x="425"/>
        <item x="231"/>
        <item x="436"/>
        <item x="392"/>
        <item x="441"/>
        <item x="342"/>
        <item x="111"/>
        <item x="265"/>
        <item x="26"/>
        <item x="144"/>
        <item x="287"/>
        <item x="345"/>
        <item x="133"/>
        <item x="85"/>
        <item x="440"/>
        <item x="106"/>
        <item x="344"/>
        <item x="221"/>
        <item x="174"/>
        <item x="354"/>
        <item x="168"/>
        <item x="305"/>
        <item x="470"/>
        <item x="405"/>
        <item x="390"/>
        <item x="400"/>
        <item x="304"/>
        <item x="300"/>
        <item x="255"/>
        <item x="194"/>
        <item x="165"/>
        <item x="213"/>
        <item x="328"/>
        <item x="42"/>
        <item x="387"/>
        <item x="379"/>
        <item x="250"/>
        <item x="431"/>
        <item x="412"/>
        <item x="94"/>
        <item x="175"/>
        <item x="366"/>
        <item x="446"/>
        <item x="325"/>
        <item x="201"/>
        <item x="426"/>
        <item x="3"/>
        <item x="54"/>
        <item x="154"/>
        <item x="463"/>
        <item x="373"/>
        <item x="74"/>
        <item x="335"/>
        <item x="402"/>
        <item x="48"/>
        <item x="132"/>
        <item x="30"/>
        <item x="383"/>
        <item x="312"/>
        <item x="55"/>
        <item x="284"/>
        <item x="421"/>
        <item x="59"/>
        <item x="18"/>
        <item x="242"/>
        <item x="297"/>
        <item x="136"/>
        <item x="460"/>
        <item x="340"/>
        <item x="187"/>
        <item x="293"/>
        <item x="215"/>
        <item x="272"/>
        <item x="58"/>
        <item x="466"/>
        <item x="339"/>
        <item x="44"/>
        <item x="394"/>
        <item x="38"/>
        <item x="40"/>
        <item x="2"/>
        <item x="465"/>
        <item x="137"/>
        <item x="449"/>
        <item x="13"/>
        <item x="0"/>
        <item x="296"/>
        <item x="63"/>
        <item x="200"/>
        <item x="384"/>
        <item x="64"/>
        <item x="311"/>
        <item x="448"/>
        <item x="109"/>
        <item x="79"/>
        <item x="276"/>
        <item x="294"/>
        <item x="447"/>
        <item x="263"/>
        <item x="210"/>
        <item x="457"/>
        <item x="188"/>
        <item x="39"/>
        <item x="295"/>
        <item x="23"/>
        <item x="252"/>
        <item x="190"/>
        <item x="102"/>
        <item x="67"/>
        <item x="348"/>
        <item x="267"/>
        <item x="71"/>
        <item x="116"/>
        <item x="423"/>
        <item x="283"/>
        <item x="259"/>
        <item x="107"/>
        <item t="default"/>
      </items>
    </pivotField>
    <pivotField numFmtId="14" showAll="0"/>
    <pivotField numFmtId="14" showAll="0"/>
    <pivotField numFmtId="2" showAll="0"/>
    <pivotField showAll="0"/>
    <pivotField showAll="0">
      <items count="34">
        <item x="23"/>
        <item x="28"/>
        <item x="17"/>
        <item x="4"/>
        <item x="13"/>
        <item x="30"/>
        <item x="16"/>
        <item x="8"/>
        <item x="26"/>
        <item x="15"/>
        <item x="22"/>
        <item x="2"/>
        <item x="3"/>
        <item x="1"/>
        <item x="12"/>
        <item x="24"/>
        <item x="7"/>
        <item x="25"/>
        <item x="6"/>
        <item x="9"/>
        <item x="0"/>
        <item x="21"/>
        <item x="19"/>
        <item x="14"/>
        <item x="32"/>
        <item x="27"/>
        <item x="29"/>
        <item x="18"/>
        <item x="20"/>
        <item x="31"/>
        <item x="5"/>
        <item x="10"/>
        <item x="11"/>
        <item t="default"/>
      </items>
    </pivotField>
    <pivotField showAll="0"/>
    <pivotField numFmtId="14" showAll="0"/>
    <pivotField showAll="0"/>
    <pivotField axis="axisCol" showAll="0">
      <items count="5">
        <item x="2"/>
        <item x="0"/>
        <item x="3"/>
        <item x="1"/>
        <item t="default"/>
      </items>
    </pivotField>
    <pivotField showAll="0">
      <items count="13">
        <item x="9"/>
        <item x="0"/>
        <item x="10"/>
        <item x="11"/>
        <item x="4"/>
        <item x="3"/>
        <item x="7"/>
        <item x="5"/>
        <item x="2"/>
        <item x="8"/>
        <item x="1"/>
        <item x="6"/>
        <item t="default"/>
      </items>
    </pivotField>
    <pivotField showAll="0"/>
    <pivotField showAll="0"/>
    <pivotField showAll="0"/>
    <pivotField showAll="0"/>
    <pivotField axis="axisRow" showAll="0">
      <items count="6">
        <item x="3"/>
        <item x="4"/>
        <item x="2"/>
        <item x="0"/>
        <item x="1"/>
        <item t="default"/>
      </items>
    </pivotField>
    <pivotField showAll="0"/>
    <pivotField showAll="0">
      <items count="16">
        <item x="2"/>
        <item x="1"/>
        <item x="5"/>
        <item x="10"/>
        <item x="14"/>
        <item x="9"/>
        <item x="11"/>
        <item x="0"/>
        <item x="12"/>
        <item x="8"/>
        <item x="3"/>
        <item x="4"/>
        <item x="6"/>
        <item x="13"/>
        <item x="7"/>
        <item t="default"/>
      </items>
    </pivotField>
    <pivotField showAll="0">
      <items count="8">
        <item x="4"/>
        <item x="0"/>
        <item x="2"/>
        <item x="3"/>
        <item x="1"/>
        <item x="5"/>
        <item x="6"/>
        <item t="default"/>
      </items>
    </pivotField>
    <pivotField showAll="0"/>
    <pivotField showAll="0"/>
    <pivotField showAll="0"/>
    <pivotField numFmtId="2" showAll="0"/>
    <pivotField numFmtId="2" showAll="0"/>
    <pivotField numFmtId="2" showAll="0"/>
    <pivotField numFmtId="10" showAll="0"/>
    <pivotField numFmtId="10" showAll="0"/>
    <pivotField showAll="0"/>
    <pivotField numFmtId="2" showAll="0"/>
    <pivotField numFmtId="2" showAll="0"/>
    <pivotField showAll="0"/>
    <pivotField dataField="1" numFmtId="2" showAll="0"/>
    <pivotField numFmtId="2" showAll="0"/>
    <pivotField showAll="0"/>
    <pivotField numFmtId="10" showAll="0"/>
    <pivotField showAll="0" defaultSubtotal="0"/>
    <pivotField showAll="0" defaultSubtotal="0"/>
    <pivotField showAll="0" defaultSubtotal="0">
      <items count="5">
        <item x="0"/>
        <item x="1"/>
        <item x="2"/>
        <item x="3"/>
        <item x="4"/>
      </items>
    </pivotField>
  </pivotFields>
  <rowFields count="1">
    <field x="17"/>
  </rowFields>
  <rowItems count="6">
    <i>
      <x/>
    </i>
    <i>
      <x v="1"/>
    </i>
    <i>
      <x v="2"/>
    </i>
    <i>
      <x v="3"/>
    </i>
    <i>
      <x v="4"/>
    </i>
    <i t="grand">
      <x/>
    </i>
  </rowItems>
  <colFields count="1">
    <field x="11"/>
  </colFields>
  <colItems count="5">
    <i>
      <x/>
    </i>
    <i>
      <x v="1"/>
    </i>
    <i>
      <x v="2"/>
    </i>
    <i>
      <x v="3"/>
    </i>
    <i t="grand">
      <x/>
    </i>
  </colItems>
  <dataFields count="1">
    <dataField name="Sum of GrossProfit" fld="33" baseField="0" baseItem="0" numFmtId="2"/>
  </dataFields>
  <chartFormats count="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4" format="8" series="1">
      <pivotArea type="data" outline="0" fieldPosition="0">
        <references count="2">
          <reference field="4294967294" count="1" selected="0">
            <x v="0"/>
          </reference>
          <reference field="11" count="1" selected="0">
            <x v="0"/>
          </reference>
        </references>
      </pivotArea>
    </chartFormat>
    <chartFormat chart="4" format="9" series="1">
      <pivotArea type="data" outline="0" fieldPosition="0">
        <references count="2">
          <reference field="4294967294" count="1" selected="0">
            <x v="0"/>
          </reference>
          <reference field="11" count="1" selected="0">
            <x v="1"/>
          </reference>
        </references>
      </pivotArea>
    </chartFormat>
    <chartFormat chart="4" format="10" series="1">
      <pivotArea type="data" outline="0" fieldPosition="0">
        <references count="2">
          <reference field="4294967294" count="1" selected="0">
            <x v="0"/>
          </reference>
          <reference field="11" count="1" selected="0">
            <x v="2"/>
          </reference>
        </references>
      </pivotArea>
    </chartFormat>
    <chartFormat chart="4" format="11"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C3748A-DA31-46B1-848E-4C69F9B3C98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40">
    <pivotField showAll="0"/>
    <pivotField numFmtId="14" showAll="0"/>
    <pivotField numFmtId="14" showAll="0">
      <items count="475">
        <item x="410"/>
        <item x="429"/>
        <item x="307"/>
        <item x="286"/>
        <item x="233"/>
        <item x="183"/>
        <item x="34"/>
        <item x="439"/>
        <item x="218"/>
        <item x="427"/>
        <item x="332"/>
        <item x="124"/>
        <item x="331"/>
        <item x="209"/>
        <item x="139"/>
        <item x="19"/>
        <item x="397"/>
        <item x="127"/>
        <item x="5"/>
        <item x="160"/>
        <item x="433"/>
        <item x="128"/>
        <item x="471"/>
        <item x="28"/>
        <item x="57"/>
        <item x="93"/>
        <item x="140"/>
        <item x="192"/>
        <item x="205"/>
        <item x="254"/>
        <item x="351"/>
        <item x="227"/>
        <item x="244"/>
        <item x="444"/>
        <item x="220"/>
        <item x="25"/>
        <item x="273"/>
        <item x="362"/>
        <item x="374"/>
        <item x="318"/>
        <item x="356"/>
        <item x="41"/>
        <item x="382"/>
        <item x="456"/>
        <item x="118"/>
        <item x="330"/>
        <item x="24"/>
        <item x="155"/>
        <item x="241"/>
        <item x="90"/>
        <item x="320"/>
        <item x="248"/>
        <item x="467"/>
        <item x="459"/>
        <item x="4"/>
        <item x="469"/>
        <item x="417"/>
        <item x="203"/>
        <item x="317"/>
        <item x="36"/>
        <item x="17"/>
        <item x="180"/>
        <item x="302"/>
        <item x="170"/>
        <item x="398"/>
        <item x="153"/>
        <item x="121"/>
        <item x="152"/>
        <item x="198"/>
        <item x="181"/>
        <item x="388"/>
        <item x="367"/>
        <item x="264"/>
        <item x="375"/>
        <item x="420"/>
        <item x="445"/>
        <item x="301"/>
        <item x="206"/>
        <item x="424"/>
        <item x="35"/>
        <item x="289"/>
        <item x="88"/>
        <item x="416"/>
        <item x="462"/>
        <item x="7"/>
        <item x="360"/>
        <item x="167"/>
        <item x="131"/>
        <item x="171"/>
        <item x="184"/>
        <item x="450"/>
        <item x="76"/>
        <item x="125"/>
        <item x="45"/>
        <item x="56"/>
        <item x="114"/>
        <item x="268"/>
        <item x="108"/>
        <item x="430"/>
        <item x="92"/>
        <item x="101"/>
        <item x="32"/>
        <item x="353"/>
        <item x="338"/>
        <item x="326"/>
        <item x="161"/>
        <item x="322"/>
        <item x="135"/>
        <item x="279"/>
        <item x="195"/>
        <item x="443"/>
        <item x="352"/>
        <item x="83"/>
        <item x="216"/>
        <item x="403"/>
        <item x="223"/>
        <item x="66"/>
        <item x="355"/>
        <item x="224"/>
        <item x="236"/>
        <item x="357"/>
        <item x="358"/>
        <item x="404"/>
        <item x="96"/>
        <item x="321"/>
        <item x="249"/>
        <item x="159"/>
        <item x="381"/>
        <item x="189"/>
        <item x="359"/>
        <item x="27"/>
        <item x="349"/>
        <item x="240"/>
        <item x="406"/>
        <item x="120"/>
        <item x="150"/>
        <item x="115"/>
        <item x="327"/>
        <item x="468"/>
        <item x="324"/>
        <item x="290"/>
        <item x="341"/>
        <item x="212"/>
        <item x="378"/>
        <item x="89"/>
        <item x="453"/>
        <item x="361"/>
        <item x="262"/>
        <item x="347"/>
        <item x="251"/>
        <item x="211"/>
        <item x="275"/>
        <item x="169"/>
        <item x="291"/>
        <item x="52"/>
        <item x="149"/>
        <item x="245"/>
        <item x="166"/>
        <item x="343"/>
        <item x="122"/>
        <item x="247"/>
        <item x="309"/>
        <item x="411"/>
        <item x="14"/>
        <item x="219"/>
        <item x="143"/>
        <item x="151"/>
        <item x="51"/>
        <item x="257"/>
        <item x="346"/>
        <item x="207"/>
        <item x="401"/>
        <item x="225"/>
        <item x="313"/>
        <item x="237"/>
        <item x="164"/>
        <item x="282"/>
        <item x="409"/>
        <item x="315"/>
        <item x="442"/>
        <item x="123"/>
        <item x="197"/>
        <item x="186"/>
        <item x="333"/>
        <item x="204"/>
        <item x="288"/>
        <item x="454"/>
        <item x="308"/>
        <item x="319"/>
        <item x="61"/>
        <item x="21"/>
        <item x="77"/>
        <item x="253"/>
        <item x="226"/>
        <item x="230"/>
        <item x="408"/>
        <item x="62"/>
        <item x="393"/>
        <item x="432"/>
        <item x="191"/>
        <item x="80"/>
        <item x="81"/>
        <item x="299"/>
        <item x="138"/>
        <item x="202"/>
        <item x="285"/>
        <item x="298"/>
        <item x="266"/>
        <item x="472"/>
        <item x="9"/>
        <item x="419"/>
        <item x="75"/>
        <item x="33"/>
        <item x="256"/>
        <item x="91"/>
        <item x="246"/>
        <item x="214"/>
        <item x="173"/>
        <item x="334"/>
        <item x="258"/>
        <item x="232"/>
        <item x="452"/>
        <item x="217"/>
        <item x="145"/>
        <item x="147"/>
        <item x="238"/>
        <item x="142"/>
        <item x="182"/>
        <item x="458"/>
        <item x="414"/>
        <item x="1"/>
        <item x="99"/>
        <item x="172"/>
        <item x="329"/>
        <item x="199"/>
        <item x="277"/>
        <item x="243"/>
        <item x="269"/>
        <item x="78"/>
        <item x="280"/>
        <item x="158"/>
        <item x="435"/>
        <item x="185"/>
        <item x="37"/>
        <item x="281"/>
        <item x="20"/>
        <item x="95"/>
        <item x="16"/>
        <item x="389"/>
        <item x="117"/>
        <item x="104"/>
        <item x="271"/>
        <item x="306"/>
        <item x="12"/>
        <item x="372"/>
        <item x="72"/>
        <item x="8"/>
        <item x="87"/>
        <item x="473"/>
        <item x="234"/>
        <item x="156"/>
        <item x="112"/>
        <item x="428"/>
        <item x="292"/>
        <item x="239"/>
        <item x="229"/>
        <item x="415"/>
        <item x="146"/>
        <item x="10"/>
        <item x="103"/>
        <item x="134"/>
        <item x="376"/>
        <item x="418"/>
        <item x="399"/>
        <item x="323"/>
        <item x="73"/>
        <item x="437"/>
        <item x="141"/>
        <item x="148"/>
        <item x="369"/>
        <item x="29"/>
        <item x="178"/>
        <item x="350"/>
        <item x="119"/>
        <item x="371"/>
        <item x="49"/>
        <item x="70"/>
        <item x="385"/>
        <item x="82"/>
        <item x="274"/>
        <item x="396"/>
        <item x="50"/>
        <item x="386"/>
        <item x="260"/>
        <item x="179"/>
        <item x="129"/>
        <item x="222"/>
        <item x="65"/>
        <item x="270"/>
        <item x="113"/>
        <item x="98"/>
        <item x="43"/>
        <item x="163"/>
        <item x="196"/>
        <item x="47"/>
        <item x="176"/>
        <item x="60"/>
        <item x="438"/>
        <item x="31"/>
        <item x="364"/>
        <item x="46"/>
        <item x="68"/>
        <item x="451"/>
        <item x="464"/>
        <item x="316"/>
        <item x="126"/>
        <item x="162"/>
        <item x="228"/>
        <item x="97"/>
        <item x="365"/>
        <item x="177"/>
        <item x="377"/>
        <item x="261"/>
        <item x="11"/>
        <item x="53"/>
        <item x="208"/>
        <item x="235"/>
        <item x="455"/>
        <item x="422"/>
        <item x="407"/>
        <item x="336"/>
        <item x="110"/>
        <item x="69"/>
        <item x="391"/>
        <item x="6"/>
        <item x="413"/>
        <item x="434"/>
        <item x="86"/>
        <item x="461"/>
        <item x="370"/>
        <item x="105"/>
        <item x="368"/>
        <item x="130"/>
        <item x="193"/>
        <item x="310"/>
        <item x="314"/>
        <item x="395"/>
        <item x="157"/>
        <item x="278"/>
        <item x="337"/>
        <item x="380"/>
        <item x="15"/>
        <item x="22"/>
        <item x="100"/>
        <item x="303"/>
        <item x="84"/>
        <item x="363"/>
        <item x="425"/>
        <item x="231"/>
        <item x="436"/>
        <item x="392"/>
        <item x="441"/>
        <item x="342"/>
        <item x="111"/>
        <item x="265"/>
        <item x="26"/>
        <item x="144"/>
        <item x="287"/>
        <item x="345"/>
        <item x="133"/>
        <item x="85"/>
        <item x="440"/>
        <item x="106"/>
        <item x="344"/>
        <item x="221"/>
        <item x="174"/>
        <item x="354"/>
        <item x="168"/>
        <item x="305"/>
        <item x="470"/>
        <item x="405"/>
        <item x="390"/>
        <item x="400"/>
        <item x="304"/>
        <item x="300"/>
        <item x="255"/>
        <item x="194"/>
        <item x="165"/>
        <item x="213"/>
        <item x="328"/>
        <item x="42"/>
        <item x="387"/>
        <item x="379"/>
        <item x="250"/>
        <item x="431"/>
        <item x="412"/>
        <item x="94"/>
        <item x="175"/>
        <item x="366"/>
        <item x="446"/>
        <item x="325"/>
        <item x="201"/>
        <item x="426"/>
        <item x="3"/>
        <item x="54"/>
        <item x="154"/>
        <item x="463"/>
        <item x="373"/>
        <item x="74"/>
        <item x="335"/>
        <item x="402"/>
        <item x="48"/>
        <item x="132"/>
        <item x="30"/>
        <item x="383"/>
        <item x="312"/>
        <item x="55"/>
        <item x="284"/>
        <item x="421"/>
        <item x="59"/>
        <item x="18"/>
        <item x="242"/>
        <item x="297"/>
        <item x="136"/>
        <item x="460"/>
        <item x="340"/>
        <item x="187"/>
        <item x="293"/>
        <item x="215"/>
        <item x="272"/>
        <item x="58"/>
        <item x="466"/>
        <item x="339"/>
        <item x="44"/>
        <item x="394"/>
        <item x="38"/>
        <item x="40"/>
        <item x="2"/>
        <item x="465"/>
        <item x="137"/>
        <item x="449"/>
        <item x="13"/>
        <item x="0"/>
        <item x="296"/>
        <item x="63"/>
        <item x="200"/>
        <item x="384"/>
        <item x="64"/>
        <item x="311"/>
        <item x="448"/>
        <item x="109"/>
        <item x="79"/>
        <item x="276"/>
        <item x="294"/>
        <item x="447"/>
        <item x="263"/>
        <item x="210"/>
        <item x="457"/>
        <item x="188"/>
        <item x="39"/>
        <item x="295"/>
        <item x="23"/>
        <item x="252"/>
        <item x="190"/>
        <item x="102"/>
        <item x="67"/>
        <item x="348"/>
        <item x="267"/>
        <item x="71"/>
        <item x="116"/>
        <item x="423"/>
        <item x="283"/>
        <item x="259"/>
        <item x="107"/>
        <item t="default"/>
      </items>
    </pivotField>
    <pivotField numFmtId="14" showAll="0"/>
    <pivotField numFmtId="14" showAll="0"/>
    <pivotField numFmtId="2" showAll="0"/>
    <pivotField showAll="0"/>
    <pivotField showAll="0">
      <items count="34">
        <item x="23"/>
        <item x="28"/>
        <item x="17"/>
        <item x="4"/>
        <item x="13"/>
        <item x="30"/>
        <item x="16"/>
        <item x="8"/>
        <item x="26"/>
        <item x="15"/>
        <item x="22"/>
        <item x="2"/>
        <item x="3"/>
        <item x="1"/>
        <item x="12"/>
        <item x="24"/>
        <item x="7"/>
        <item x="25"/>
        <item x="6"/>
        <item x="9"/>
        <item x="0"/>
        <item x="21"/>
        <item x="19"/>
        <item x="14"/>
        <item x="32"/>
        <item x="27"/>
        <item x="29"/>
        <item x="18"/>
        <item x="20"/>
        <item x="31"/>
        <item x="5"/>
        <item x="10"/>
        <item x="11"/>
        <item t="default"/>
      </items>
    </pivotField>
    <pivotField showAll="0"/>
    <pivotField numFmtId="14" showAll="0"/>
    <pivotField showAll="0"/>
    <pivotField showAll="0">
      <items count="5">
        <item x="2"/>
        <item x="0"/>
        <item x="3"/>
        <item x="1"/>
        <item t="default"/>
      </items>
    </pivotField>
    <pivotField showAll="0">
      <items count="13">
        <item x="9"/>
        <item x="0"/>
        <item x="10"/>
        <item x="11"/>
        <item x="4"/>
        <item x="3"/>
        <item x="7"/>
        <item x="5"/>
        <item x="2"/>
        <item x="8"/>
        <item x="1"/>
        <item x="6"/>
        <item t="default"/>
      </items>
    </pivotField>
    <pivotField showAll="0"/>
    <pivotField showAll="0"/>
    <pivotField showAll="0"/>
    <pivotField showAll="0"/>
    <pivotField showAll="0">
      <items count="6">
        <item x="3"/>
        <item x="4"/>
        <item x="2"/>
        <item x="0"/>
        <item x="1"/>
        <item t="default"/>
      </items>
    </pivotField>
    <pivotField showAll="0"/>
    <pivotField showAll="0">
      <items count="16">
        <item x="2"/>
        <item x="1"/>
        <item x="5"/>
        <item x="10"/>
        <item x="14"/>
        <item x="9"/>
        <item x="11"/>
        <item x="0"/>
        <item x="12"/>
        <item x="8"/>
        <item x="3"/>
        <item x="4"/>
        <item x="6"/>
        <item x="13"/>
        <item x="7"/>
        <item t="default"/>
      </items>
    </pivotField>
    <pivotField showAll="0">
      <items count="8">
        <item x="4"/>
        <item x="0"/>
        <item x="2"/>
        <item x="3"/>
        <item x="1"/>
        <item x="5"/>
        <item x="6"/>
        <item t="default"/>
      </items>
    </pivotField>
    <pivotField showAll="0"/>
    <pivotField axis="axisRow" showAll="0" measureFilter="1" sortType="descending">
      <items count="631">
        <item x="216"/>
        <item x="584"/>
        <item x="509"/>
        <item x="424"/>
        <item x="344"/>
        <item x="217"/>
        <item x="95"/>
        <item x="179"/>
        <item x="39"/>
        <item x="350"/>
        <item x="172"/>
        <item x="221"/>
        <item x="354"/>
        <item x="41"/>
        <item x="371"/>
        <item x="586"/>
        <item x="326"/>
        <item x="521"/>
        <item x="501"/>
        <item x="180"/>
        <item x="518"/>
        <item x="507"/>
        <item x="333"/>
        <item x="570"/>
        <item x="514"/>
        <item x="231"/>
        <item x="520"/>
        <item x="260"/>
        <item x="112"/>
        <item x="66"/>
        <item x="425"/>
        <item x="24"/>
        <item x="523"/>
        <item x="140"/>
        <item x="418"/>
        <item x="265"/>
        <item x="289"/>
        <item x="536"/>
        <item x="360"/>
        <item x="357"/>
        <item x="598"/>
        <item x="21"/>
        <item x="602"/>
        <item x="410"/>
        <item x="55"/>
        <item x="248"/>
        <item x="64"/>
        <item x="600"/>
        <item x="524"/>
        <item x="149"/>
        <item x="453"/>
        <item x="230"/>
        <item x="550"/>
        <item x="599"/>
        <item x="61"/>
        <item x="348"/>
        <item x="249"/>
        <item x="475"/>
        <item x="506"/>
        <item x="510"/>
        <item x="69"/>
        <item x="219"/>
        <item x="196"/>
        <item x="463"/>
        <item x="316"/>
        <item x="543"/>
        <item x="84"/>
        <item x="451"/>
        <item x="359"/>
        <item x="264"/>
        <item x="576"/>
        <item x="321"/>
        <item x="496"/>
        <item x="568"/>
        <item x="504"/>
        <item x="300"/>
        <item x="238"/>
        <item x="100"/>
        <item x="440"/>
        <item x="476"/>
        <item x="145"/>
        <item x="120"/>
        <item x="401"/>
        <item x="434"/>
        <item x="296"/>
        <item x="30"/>
        <item x="304"/>
        <item x="53"/>
        <item x="234"/>
        <item x="187"/>
        <item x="563"/>
        <item x="174"/>
        <item x="442"/>
        <item x="14"/>
        <item x="327"/>
        <item x="77"/>
        <item x="117"/>
        <item x="303"/>
        <item x="129"/>
        <item x="555"/>
        <item x="548"/>
        <item x="239"/>
        <item x="338"/>
        <item x="178"/>
        <item x="12"/>
        <item x="207"/>
        <item x="173"/>
        <item x="115"/>
        <item x="299"/>
        <item x="426"/>
        <item x="614"/>
        <item x="128"/>
        <item x="65"/>
        <item x="75"/>
        <item x="567"/>
        <item x="269"/>
        <item x="26"/>
        <item x="334"/>
        <item x="319"/>
        <item x="404"/>
        <item x="512"/>
        <item x="102"/>
        <item x="244"/>
        <item x="624"/>
        <item x="119"/>
        <item x="433"/>
        <item x="47"/>
        <item x="116"/>
        <item x="182"/>
        <item x="308"/>
        <item x="353"/>
        <item x="474"/>
        <item x="204"/>
        <item x="525"/>
        <item x="73"/>
        <item x="526"/>
        <item x="186"/>
        <item x="370"/>
        <item x="554"/>
        <item x="377"/>
        <item x="83"/>
        <item x="484"/>
        <item x="184"/>
        <item x="48"/>
        <item x="318"/>
        <item x="406"/>
        <item x="494"/>
        <item x="617"/>
        <item x="408"/>
        <item x="329"/>
        <item x="62"/>
        <item x="136"/>
        <item x="546"/>
        <item x="89"/>
        <item x="312"/>
        <item x="43"/>
        <item x="169"/>
        <item x="482"/>
        <item x="597"/>
        <item x="552"/>
        <item x="302"/>
        <item x="241"/>
        <item x="491"/>
        <item x="610"/>
        <item x="626"/>
        <item x="368"/>
        <item x="206"/>
        <item x="330"/>
        <item x="261"/>
        <item x="197"/>
        <item x="441"/>
        <item x="606"/>
        <item x="538"/>
        <item x="113"/>
        <item x="465"/>
        <item x="485"/>
        <item x="448"/>
        <item x="307"/>
        <item x="162"/>
        <item x="532"/>
        <item x="233"/>
        <item x="146"/>
        <item x="483"/>
        <item x="87"/>
        <item x="529"/>
        <item x="379"/>
        <item x="157"/>
        <item x="562"/>
        <item x="603"/>
        <item x="71"/>
        <item x="358"/>
        <item x="622"/>
        <item x="198"/>
        <item x="472"/>
        <item x="194"/>
        <item x="619"/>
        <item x="542"/>
        <item x="374"/>
        <item x="78"/>
        <item x="405"/>
        <item x="387"/>
        <item x="74"/>
        <item x="342"/>
        <item x="540"/>
        <item x="432"/>
        <item x="559"/>
        <item x="340"/>
        <item x="287"/>
        <item x="392"/>
        <item x="569"/>
        <item x="369"/>
        <item x="383"/>
        <item x="452"/>
        <item x="258"/>
        <item x="212"/>
        <item x="185"/>
        <item x="98"/>
        <item x="414"/>
        <item x="578"/>
        <item x="58"/>
        <item x="355"/>
        <item x="587"/>
        <item x="34"/>
        <item x="275"/>
        <item x="8"/>
        <item x="527"/>
        <item x="9"/>
        <item x="86"/>
        <item x="215"/>
        <item x="571"/>
        <item x="68"/>
        <item x="341"/>
        <item x="57"/>
        <item x="19"/>
        <item x="32"/>
        <item x="108"/>
        <item x="423"/>
        <item x="110"/>
        <item x="628"/>
        <item x="363"/>
        <item x="243"/>
        <item x="237"/>
        <item x="33"/>
        <item x="35"/>
        <item x="313"/>
        <item x="533"/>
        <item x="256"/>
        <item x="279"/>
        <item x="40"/>
        <item x="398"/>
        <item x="224"/>
        <item x="199"/>
        <item x="582"/>
        <item x="513"/>
        <item x="177"/>
        <item x="534"/>
        <item x="356"/>
        <item x="549"/>
        <item x="90"/>
        <item x="557"/>
        <item x="141"/>
        <item x="1"/>
        <item x="91"/>
        <item x="402"/>
        <item x="51"/>
        <item x="373"/>
        <item x="585"/>
        <item x="478"/>
        <item x="56"/>
        <item x="106"/>
        <item x="13"/>
        <item x="346"/>
        <item x="298"/>
        <item x="28"/>
        <item x="104"/>
        <item x="593"/>
        <item x="148"/>
        <item x="49"/>
        <item x="176"/>
        <item x="60"/>
        <item x="23"/>
        <item x="545"/>
        <item x="235"/>
        <item x="310"/>
        <item x="612"/>
        <item x="467"/>
        <item x="322"/>
        <item x="454"/>
        <item x="499"/>
        <item x="134"/>
        <item x="553"/>
        <item x="105"/>
        <item x="76"/>
        <item x="547"/>
        <item x="493"/>
        <item x="375"/>
        <item x="489"/>
        <item x="121"/>
        <item x="575"/>
        <item x="511"/>
        <item x="257"/>
        <item x="444"/>
        <item x="388"/>
        <item x="574"/>
        <item x="471"/>
        <item x="347"/>
        <item x="3"/>
        <item x="267"/>
        <item x="166"/>
        <item x="273"/>
        <item x="5"/>
        <item x="101"/>
        <item x="103"/>
        <item x="335"/>
        <item x="242"/>
        <item x="270"/>
        <item x="396"/>
        <item x="240"/>
        <item x="430"/>
        <item x="389"/>
        <item x="627"/>
        <item x="229"/>
        <item x="37"/>
        <item x="580"/>
        <item x="437"/>
        <item x="480"/>
        <item x="11"/>
        <item x="416"/>
        <item x="411"/>
        <item x="143"/>
        <item x="96"/>
        <item x="190"/>
        <item x="295"/>
        <item x="93"/>
        <item x="225"/>
        <item x="608"/>
        <item x="541"/>
        <item x="572"/>
        <item x="236"/>
        <item x="394"/>
        <item x="596"/>
        <item x="372"/>
        <item x="486"/>
        <item x="167"/>
        <item x="294"/>
        <item x="613"/>
        <item x="285"/>
        <item x="114"/>
        <item x="126"/>
        <item x="323"/>
        <item x="449"/>
        <item x="605"/>
        <item x="461"/>
        <item x="607"/>
        <item x="153"/>
        <item x="561"/>
        <item x="376"/>
        <item x="400"/>
        <item x="390"/>
        <item x="4"/>
        <item x="305"/>
        <item x="286"/>
        <item x="623"/>
        <item x="137"/>
        <item x="492"/>
        <item x="415"/>
        <item x="468"/>
        <item x="435"/>
        <item x="487"/>
        <item x="151"/>
        <item x="138"/>
        <item x="290"/>
        <item x="251"/>
        <item x="481"/>
        <item x="160"/>
        <item x="399"/>
        <item x="252"/>
        <item x="109"/>
        <item x="201"/>
        <item x="122"/>
        <item x="325"/>
        <item x="2"/>
        <item x="22"/>
        <item x="81"/>
        <item x="517"/>
        <item x="192"/>
        <item x="254"/>
        <item x="213"/>
        <item x="15"/>
        <item x="500"/>
        <item x="154"/>
        <item x="466"/>
        <item x="107"/>
        <item x="38"/>
        <item x="259"/>
        <item x="616"/>
        <item x="282"/>
        <item x="97"/>
        <item x="395"/>
        <item x="479"/>
        <item x="111"/>
        <item x="281"/>
        <item x="262"/>
        <item x="17"/>
        <item x="183"/>
        <item x="228"/>
        <item x="29"/>
        <item x="515"/>
        <item x="205"/>
        <item x="306"/>
        <item x="403"/>
        <item x="158"/>
        <item x="191"/>
        <item x="439"/>
        <item x="419"/>
        <item x="80"/>
        <item x="277"/>
        <item x="464"/>
        <item x="361"/>
        <item x="456"/>
        <item x="50"/>
        <item x="339"/>
        <item x="7"/>
        <item x="556"/>
        <item x="144"/>
        <item x="283"/>
        <item x="208"/>
        <item x="528"/>
        <item x="54"/>
        <item x="135"/>
        <item x="59"/>
        <item x="535"/>
        <item x="67"/>
        <item x="621"/>
        <item x="519"/>
        <item x="531"/>
        <item x="175"/>
        <item x="365"/>
        <item x="384"/>
        <item x="609"/>
        <item x="309"/>
        <item x="203"/>
        <item x="530"/>
        <item x="366"/>
        <item x="20"/>
        <item x="438"/>
        <item x="188"/>
        <item x="297"/>
        <item x="271"/>
        <item x="44"/>
        <item x="45"/>
        <item x="590"/>
        <item x="601"/>
        <item x="445"/>
        <item x="226"/>
        <item x="142"/>
        <item x="618"/>
        <item x="150"/>
        <item x="0"/>
        <item x="516"/>
        <item x="349"/>
        <item x="413"/>
        <item x="429"/>
        <item x="200"/>
        <item x="317"/>
        <item x="490"/>
        <item x="274"/>
        <item x="276"/>
        <item x="457"/>
        <item x="31"/>
        <item x="314"/>
        <item x="82"/>
        <item x="211"/>
        <item x="311"/>
        <item x="380"/>
        <item x="447"/>
        <item x="505"/>
        <item x="181"/>
        <item x="123"/>
        <item x="604"/>
        <item x="364"/>
        <item x="291"/>
        <item x="161"/>
        <item x="577"/>
        <item x="92"/>
        <item x="539"/>
        <item x="124"/>
        <item x="382"/>
        <item x="595"/>
        <item x="222"/>
        <item x="227"/>
        <item x="427"/>
        <item x="328"/>
        <item x="573"/>
        <item x="594"/>
        <item x="450"/>
        <item x="324"/>
        <item x="381"/>
        <item x="498"/>
        <item x="558"/>
        <item x="407"/>
        <item x="46"/>
        <item x="284"/>
        <item x="615"/>
        <item x="209"/>
        <item x="130"/>
        <item x="168"/>
        <item x="469"/>
        <item x="292"/>
        <item x="147"/>
        <item x="386"/>
        <item x="218"/>
        <item x="6"/>
        <item x="159"/>
        <item x="385"/>
        <item x="18"/>
        <item x="367"/>
        <item x="488"/>
        <item x="155"/>
        <item x="214"/>
        <item x="537"/>
        <item x="139"/>
        <item x="477"/>
        <item x="579"/>
        <item x="152"/>
        <item x="255"/>
        <item x="455"/>
        <item x="460"/>
        <item x="566"/>
        <item x="27"/>
        <item x="16"/>
        <item x="232"/>
        <item x="52"/>
        <item x="625"/>
        <item x="127"/>
        <item x="278"/>
        <item x="565"/>
        <item x="458"/>
        <item x="253"/>
        <item x="85"/>
        <item x="560"/>
        <item x="443"/>
        <item x="611"/>
        <item x="163"/>
        <item x="417"/>
        <item x="42"/>
        <item x="189"/>
        <item x="36"/>
        <item x="88"/>
        <item x="245"/>
        <item x="195"/>
        <item x="223"/>
        <item x="393"/>
        <item x="266"/>
        <item x="164"/>
        <item x="497"/>
        <item x="544"/>
        <item x="63"/>
        <item x="459"/>
        <item x="246"/>
        <item x="397"/>
        <item x="72"/>
        <item x="280"/>
        <item x="551"/>
        <item x="293"/>
        <item x="320"/>
        <item x="94"/>
        <item x="522"/>
        <item m="1" x="629"/>
        <item x="10"/>
        <item x="156"/>
        <item x="288"/>
        <item x="263"/>
        <item x="131"/>
        <item x="495"/>
        <item x="301"/>
        <item x="133"/>
        <item x="412"/>
        <item x="591"/>
        <item x="79"/>
        <item x="193"/>
        <item x="247"/>
        <item x="473"/>
        <item x="378"/>
        <item x="588"/>
        <item x="132"/>
        <item x="502"/>
        <item x="564"/>
        <item x="70"/>
        <item x="210"/>
        <item x="332"/>
        <item x="508"/>
        <item x="352"/>
        <item x="336"/>
        <item x="431"/>
        <item x="446"/>
        <item x="171"/>
        <item x="202"/>
        <item x="421"/>
        <item x="592"/>
        <item x="250"/>
        <item x="351"/>
        <item x="589"/>
        <item x="165"/>
        <item x="436"/>
        <item x="581"/>
        <item x="25"/>
        <item x="331"/>
        <item x="409"/>
        <item x="391"/>
        <item x="345"/>
        <item x="268"/>
        <item x="462"/>
        <item x="362"/>
        <item x="503"/>
        <item x="220"/>
        <item x="620"/>
        <item x="170"/>
        <item x="420"/>
        <item x="118"/>
        <item x="315"/>
        <item x="422"/>
        <item x="428"/>
        <item x="99"/>
        <item x="272"/>
        <item x="125"/>
        <item x="337"/>
        <item x="470"/>
        <item x="343"/>
        <item x="583"/>
        <item t="default"/>
      </items>
    </pivotField>
    <pivotField showAll="0"/>
    <pivotField numFmtId="2" showAll="0"/>
    <pivotField numFmtId="2" showAll="0"/>
    <pivotField numFmtId="2" showAll="0"/>
    <pivotField numFmtId="10" showAll="0"/>
    <pivotField numFmtId="10" showAll="0"/>
    <pivotField showAll="0"/>
    <pivotField numFmtId="2" showAll="0"/>
    <pivotField dataField="1" numFmtId="2" showAll="0"/>
    <pivotField showAll="0"/>
    <pivotField numFmtId="2" showAll="0"/>
    <pivotField numFmtId="2" showAll="0"/>
    <pivotField showAll="0"/>
    <pivotField numFmtId="10" showAll="0"/>
    <pivotField showAll="0" defaultSubtotal="0"/>
    <pivotField showAll="0" defaultSubtotal="0"/>
    <pivotField showAll="0" defaultSubtotal="0">
      <items count="5">
        <item x="0"/>
        <item x="1"/>
        <item x="2"/>
        <item x="3"/>
        <item x="4"/>
      </items>
    </pivotField>
  </pivotFields>
  <rowFields count="1">
    <field x="22"/>
  </rowFields>
  <rowItems count="11">
    <i>
      <x v="224"/>
    </i>
    <i>
      <x v="226"/>
    </i>
    <i>
      <x v="261"/>
    </i>
    <i>
      <x v="306"/>
    </i>
    <i>
      <x v="310"/>
    </i>
    <i>
      <x v="359"/>
    </i>
    <i>
      <x v="381"/>
    </i>
    <i>
      <x v="422"/>
    </i>
    <i>
      <x v="458"/>
    </i>
    <i>
      <x v="512"/>
    </i>
    <i t="grand">
      <x/>
    </i>
  </rowItems>
  <colItems count="1">
    <i/>
  </colItems>
  <dataFields count="1">
    <dataField name="Sum of GrossRevenue" fld="31" baseField="0" baseItem="0" numFmtId="2"/>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BC4BB4-D7F1-4780-B0A1-5B56675F360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2" firstHeaderRow="1" firstDataRow="2" firstDataCol="1"/>
  <pivotFields count="37">
    <pivotField showAll="0"/>
    <pivotField numFmtId="14" showAll="0"/>
    <pivotField numFmtId="14" showAll="0"/>
    <pivotField numFmtId="14" showAll="0"/>
    <pivotField numFmtId="14" showAll="0"/>
    <pivotField numFmtId="2" showAll="0"/>
    <pivotField dataField="1" numFmtId="1" showAll="0"/>
    <pivotField showAll="0"/>
    <pivotField showAll="0"/>
    <pivotField numFmtId="14" showAll="0"/>
    <pivotField showAll="0"/>
    <pivotField showAll="0"/>
    <pivotField axis="axisCol" showAll="0">
      <items count="13">
        <item x="9"/>
        <item x="0"/>
        <item x="10"/>
        <item x="11"/>
        <item x="4"/>
        <item x="3"/>
        <item x="7"/>
        <item x="5"/>
        <item x="2"/>
        <item x="8"/>
        <item x="1"/>
        <item x="6"/>
        <item t="default"/>
      </items>
    </pivotField>
    <pivotField showAll="0"/>
    <pivotField showAll="0"/>
    <pivotField showAll="0"/>
    <pivotField showAll="0"/>
    <pivotField showAll="0"/>
    <pivotField showAll="0"/>
    <pivotField showAll="0"/>
    <pivotField axis="axisRow" showAll="0">
      <items count="8">
        <item x="4"/>
        <item x="0"/>
        <item x="2"/>
        <item x="3"/>
        <item x="1"/>
        <item x="5"/>
        <item x="6"/>
        <item t="default"/>
      </items>
    </pivotField>
    <pivotField showAll="0"/>
    <pivotField showAll="0"/>
    <pivotField showAll="0"/>
    <pivotField numFmtId="2" showAll="0"/>
    <pivotField numFmtId="2" showAll="0"/>
    <pivotField numFmtId="2" showAll="0"/>
    <pivotField numFmtId="10" showAll="0"/>
    <pivotField numFmtId="10" showAll="0"/>
    <pivotField showAll="0"/>
    <pivotField numFmtId="2" showAll="0"/>
    <pivotField numFmtId="2" showAll="0"/>
    <pivotField showAll="0"/>
    <pivotField numFmtId="2" showAll="0"/>
    <pivotField numFmtId="2" showAll="0"/>
    <pivotField showAll="0"/>
    <pivotField numFmtId="10" showAll="0"/>
  </pivotFields>
  <rowFields count="1">
    <field x="20"/>
  </rowFields>
  <rowItems count="8">
    <i>
      <x/>
    </i>
    <i>
      <x v="1"/>
    </i>
    <i>
      <x v="2"/>
    </i>
    <i>
      <x v="3"/>
    </i>
    <i>
      <x v="4"/>
    </i>
    <i>
      <x v="5"/>
    </i>
    <i>
      <x v="6"/>
    </i>
    <i t="grand">
      <x/>
    </i>
  </rowItems>
  <colFields count="1">
    <field x="12"/>
  </colFields>
  <colItems count="13">
    <i>
      <x/>
    </i>
    <i>
      <x v="1"/>
    </i>
    <i>
      <x v="2"/>
    </i>
    <i>
      <x v="3"/>
    </i>
    <i>
      <x v="4"/>
    </i>
    <i>
      <x v="5"/>
    </i>
    <i>
      <x v="6"/>
    </i>
    <i>
      <x v="7"/>
    </i>
    <i>
      <x v="8"/>
    </i>
    <i>
      <x v="9"/>
    </i>
    <i>
      <x v="10"/>
    </i>
    <i>
      <x v="11"/>
    </i>
    <i t="grand">
      <x/>
    </i>
  </colItems>
  <dataFields count="1">
    <dataField name="Average of MetTarget" fld="6" subtotal="average" baseField="2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51A5BB-1B86-499E-8426-0F6DD96566A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21" firstHeaderRow="1" firstDataRow="3" firstDataCol="1"/>
  <pivotFields count="37">
    <pivotField dataField="1" showAll="0"/>
    <pivotField numFmtId="14" showAll="0"/>
    <pivotField numFmtId="14" showAll="0"/>
    <pivotField numFmtId="14" showAll="0"/>
    <pivotField numFmtId="14" showAll="0"/>
    <pivotField numFmtId="2" showAll="0"/>
    <pivotField numFmtId="1" showAll="0"/>
    <pivotField showAll="0"/>
    <pivotField showAll="0"/>
    <pivotField numFmtId="14" showAll="0"/>
    <pivotField showAll="0"/>
    <pivotField axis="axisCol" showAll="0">
      <items count="5">
        <item x="2"/>
        <item x="0"/>
        <item x="3"/>
        <item x="1"/>
        <item t="default"/>
      </items>
    </pivotField>
    <pivotField showAll="0"/>
    <pivotField showAll="0"/>
    <pivotField showAll="0"/>
    <pivotField showAll="0"/>
    <pivotField showAll="0"/>
    <pivotField showAll="0"/>
    <pivotField showAll="0"/>
    <pivotField axis="axisRow" showAll="0">
      <items count="16">
        <item x="2"/>
        <item x="1"/>
        <item x="5"/>
        <item x="10"/>
        <item x="14"/>
        <item x="9"/>
        <item x="11"/>
        <item x="0"/>
        <item x="12"/>
        <item x="8"/>
        <item x="3"/>
        <item x="4"/>
        <item x="6"/>
        <item x="13"/>
        <item x="7"/>
        <item t="default"/>
      </items>
    </pivotField>
    <pivotField showAll="0"/>
    <pivotField showAll="0"/>
    <pivotField showAll="0"/>
    <pivotField showAll="0"/>
    <pivotField numFmtId="2" showAll="0"/>
    <pivotField numFmtId="2" showAll="0"/>
    <pivotField numFmtId="2" showAll="0"/>
    <pivotField numFmtId="10" showAll="0"/>
    <pivotField numFmtId="10" showAll="0"/>
    <pivotField dataField="1" showAll="0"/>
    <pivotField numFmtId="2" showAll="0"/>
    <pivotField numFmtId="2" showAll="0"/>
    <pivotField showAll="0"/>
    <pivotField numFmtId="2" showAll="0"/>
    <pivotField numFmtId="2" showAll="0"/>
    <pivotField showAll="0"/>
    <pivotField numFmtId="10" showAll="0"/>
  </pivotFields>
  <rowFields count="1">
    <field x="19"/>
  </rowFields>
  <rowItems count="16">
    <i>
      <x/>
    </i>
    <i>
      <x v="1"/>
    </i>
    <i>
      <x v="2"/>
    </i>
    <i>
      <x v="3"/>
    </i>
    <i>
      <x v="4"/>
    </i>
    <i>
      <x v="5"/>
    </i>
    <i>
      <x v="6"/>
    </i>
    <i>
      <x v="7"/>
    </i>
    <i>
      <x v="8"/>
    </i>
    <i>
      <x v="9"/>
    </i>
    <i>
      <x v="10"/>
    </i>
    <i>
      <x v="11"/>
    </i>
    <i>
      <x v="12"/>
    </i>
    <i>
      <x v="13"/>
    </i>
    <i>
      <x v="14"/>
    </i>
    <i t="grand">
      <x/>
    </i>
  </rowItems>
  <colFields count="2">
    <field x="11"/>
    <field x="-2"/>
  </colFields>
  <colItems count="10">
    <i>
      <x/>
      <x/>
    </i>
    <i r="1" i="1">
      <x v="1"/>
    </i>
    <i>
      <x v="1"/>
      <x/>
    </i>
    <i r="1" i="1">
      <x v="1"/>
    </i>
    <i>
      <x v="2"/>
      <x/>
    </i>
    <i r="1" i="1">
      <x v="1"/>
    </i>
    <i>
      <x v="3"/>
      <x/>
    </i>
    <i r="1" i="1">
      <x v="1"/>
    </i>
    <i t="grand">
      <x/>
    </i>
    <i t="grand" i="1">
      <x/>
    </i>
  </colItems>
  <dataFields count="2">
    <dataField name="Average of HighestDscnt" fld="29" subtotal="average" baseField="19" baseItem="5" numFmtId="10"/>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B082AE8-72ED-4B71-AABE-4A295912A86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1" firstHeaderRow="1" firstDataRow="1" firstDataCol="1"/>
  <pivotFields count="41">
    <pivotField showAll="0"/>
    <pivotField numFmtId="14" showAll="0"/>
    <pivotField numFmtId="14" showAll="0"/>
    <pivotField numFmtId="14" showAll="0"/>
    <pivotField numFmtId="14" showAll="0"/>
    <pivotField numFmtId="1" showAll="0"/>
    <pivotField numFmtId="1"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8">
        <item x="1"/>
        <item x="0"/>
        <item x="3"/>
        <item x="2"/>
        <item x="4"/>
        <item x="6"/>
        <item x="5"/>
        <item t="default"/>
      </items>
    </pivotField>
    <pivotField showAll="0"/>
    <pivotField showAll="0"/>
    <pivotField showAll="0"/>
    <pivotField numFmtId="2" showAll="0"/>
    <pivotField numFmtId="2" showAll="0"/>
    <pivotField numFmtId="2" showAll="0"/>
    <pivotField numFmtId="10" showAll="0"/>
    <pivotField numFmtId="10" showAll="0"/>
    <pivotField numFmtId="1" showAll="0"/>
    <pivotField numFmtId="1" showAll="0"/>
    <pivotField dataField="1" numFmtId="2" showAll="0"/>
    <pivotField showAll="0"/>
    <pivotField numFmtId="2" showAll="0"/>
    <pivotField numFmtId="2" showAll="0"/>
    <pivotField showAll="0"/>
    <pivotField numFmtId="10" showAll="0"/>
    <pivotField numFmtId="9" showAll="0"/>
    <pivotField showAll="0"/>
    <pivotField showAll="0"/>
    <pivotField showAll="0"/>
  </pivotFields>
  <rowFields count="1">
    <field x="20"/>
  </rowFields>
  <rowItems count="8">
    <i>
      <x/>
    </i>
    <i>
      <x v="1"/>
    </i>
    <i>
      <x v="2"/>
    </i>
    <i>
      <x v="3"/>
    </i>
    <i>
      <x v="4"/>
    </i>
    <i>
      <x v="5"/>
    </i>
    <i>
      <x v="6"/>
    </i>
    <i t="grand">
      <x/>
    </i>
  </rowItems>
  <colItems count="1">
    <i/>
  </colItems>
  <dataFields count="1">
    <dataField name="Sum of GrossRevenue" fld="31"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9F7D6E-4B46-4741-9F5A-E2627E437517}" sourceName="Region">
  <pivotTables>
    <pivotTable tabId="12" name="PivotTable3"/>
    <pivotTable tabId="7" name="PivotTable5"/>
    <pivotTable tabId="5" name="PivotTable3"/>
    <pivotTable tabId="11" name="PivotTable2"/>
    <pivotTable tabId="10" name="PivotTable1"/>
    <pivotTable tabId="4" name="PivotTable2"/>
    <pivotTable tabId="6" name="PivotTable4"/>
  </pivotTables>
  <data>
    <tabular pivotCacheId="1957908869">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60134D8-CB84-40F1-B4AC-7A4A358D25A9}" sourceName="Country">
  <pivotTables>
    <pivotTable tabId="12" name="PivotTable3"/>
    <pivotTable tabId="7" name="PivotTable5"/>
    <pivotTable tabId="5" name="PivotTable3"/>
    <pivotTable tabId="11" name="PivotTable2"/>
    <pivotTable tabId="10" name="PivotTable1"/>
    <pivotTable tabId="4" name="PivotTable2"/>
    <pivotTable tabId="6" name="PivotTable4"/>
  </pivotTables>
  <data>
    <tabular pivotCacheId="1957908869">
      <items count="12">
        <i x="9" s="1"/>
        <i x="0" s="1"/>
        <i x="10" s="1"/>
        <i x="11" s="1"/>
        <i x="4" s="1"/>
        <i x="3" s="1"/>
        <i x="7" s="1"/>
        <i x="5" s="1"/>
        <i x="2" s="1"/>
        <i x="8" s="1"/>
        <i x="1"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Channel" xr10:uid="{FB5315DF-6F4C-41E0-88B6-1679DDE3C12C}" sourceName="NewChannel">
  <pivotTables>
    <pivotTable tabId="12" name="PivotTable3"/>
    <pivotTable tabId="7" name="PivotTable5"/>
    <pivotTable tabId="5" name="PivotTable3"/>
    <pivotTable tabId="11" name="PivotTable2"/>
    <pivotTable tabId="10" name="PivotTable1"/>
    <pivotTable tabId="4" name="PivotTable2"/>
    <pivotTable tabId="6" name="PivotTable4"/>
  </pivotTables>
  <data>
    <tabular pivotCacheId="1957908869">
      <items count="5">
        <i x="3" s="1"/>
        <i x="4"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123A2408-D40A-437A-BE48-53FFEFD19D59}" sourceName="ProductCategory">
  <pivotTables>
    <pivotTable tabId="12" name="PivotTable3"/>
    <pivotTable tabId="7" name="PivotTable5"/>
    <pivotTable tabId="5" name="PivotTable3"/>
    <pivotTable tabId="11" name="PivotTable2"/>
    <pivotTable tabId="10" name="PivotTable1"/>
    <pivotTable tabId="4" name="PivotTable2"/>
    <pivotTable tabId="6" name="PivotTable4"/>
  </pivotTables>
  <data>
    <tabular pivotCacheId="1957908869">
      <items count="7">
        <i x="4" s="1"/>
        <i x="0" s="1"/>
        <i x="2" s="1"/>
        <i x="3" s="1"/>
        <i x="1" s="1"/>
        <i x="5"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Salesperson" xr10:uid="{212D608E-A271-4DFA-8578-8C01D7720138}" sourceName="NewSalesperson">
  <pivotTables>
    <pivotTable tabId="12" name="PivotTable3"/>
    <pivotTable tabId="7" name="PivotTable5"/>
    <pivotTable tabId="5" name="PivotTable3"/>
    <pivotTable tabId="11" name="PivotTable2"/>
    <pivotTable tabId="10" name="PivotTable1"/>
    <pivotTable tabId="4" name="PivotTable2"/>
    <pivotTable tabId="6" name="PivotTable4"/>
  </pivotTables>
  <data>
    <tabular pivotCacheId="1957908869">
      <items count="15">
        <i x="2" s="1"/>
        <i x="1" s="1"/>
        <i x="5" s="1"/>
        <i x="10" s="1"/>
        <i x="14" s="1"/>
        <i x="9" s="1"/>
        <i x="11" s="1"/>
        <i x="0" s="1"/>
        <i x="12" s="1"/>
        <i x="8" s="1"/>
        <i x="3" s="1"/>
        <i x="4" s="1"/>
        <i x="6" s="1"/>
        <i x="13" s="1"/>
        <i x="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C070248-C08E-4D09-A457-4EB077CC63DE}" sourceName="Month">
  <pivotTables>
    <pivotTable tabId="12" name="PivotTable3"/>
    <pivotTable tabId="7" name="PivotTable5"/>
    <pivotTable tabId="5" name="PivotTable3"/>
    <pivotTable tabId="11" name="PivotTable2"/>
    <pivotTable tabId="10" name="PivotTable1"/>
    <pivotTable tabId="4" name="PivotTable2"/>
    <pivotTable tabId="6" name="PivotTable4"/>
  </pivotTables>
  <data>
    <tabular pivotCacheId="1957908869">
      <items count="33">
        <i x="23" s="1"/>
        <i x="28" s="1"/>
        <i x="17" s="1"/>
        <i x="4" s="1"/>
        <i x="13" s="1"/>
        <i x="30" s="1"/>
        <i x="16" s="1"/>
        <i x="8" s="1"/>
        <i x="26" s="1"/>
        <i x="15" s="1"/>
        <i x="22" s="1"/>
        <i x="2" s="1"/>
        <i x="3" s="1"/>
        <i x="1" s="1"/>
        <i x="12" s="1"/>
        <i x="24" s="1"/>
        <i x="7" s="1"/>
        <i x="25" s="1"/>
        <i x="6" s="1"/>
        <i x="9" s="1"/>
        <i x="0" s="1"/>
        <i x="21" s="1"/>
        <i x="19" s="1"/>
        <i x="14" s="1"/>
        <i x="32" s="1"/>
        <i x="27" s="1"/>
        <i x="29" s="1"/>
        <i x="18" s="1"/>
        <i x="20" s="1"/>
        <i x="31" s="1"/>
        <i x="5"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6495CB7-049B-4961-BCB0-23590F987F63}" cache="Slicer_Region" caption="Region" startItem="2" rowHeight="234950"/>
  <slicer name="Country 1" xr10:uid="{24D7B176-AC54-4DF2-ADF1-E8300D78C1FE}" cache="Slicer_Country" caption="Country" startItem="3" rowHeight="234950"/>
  <slicer name="NewChannel 1" xr10:uid="{47B49364-EF71-461C-9B83-804D9F9815A6}" cache="Slicer_NewChannel" caption="NewChannel" rowHeight="234950"/>
  <slicer name="ProductCategory 1" xr10:uid="{85D2C75B-1A57-4E04-A826-078FF33E6F84}" cache="Slicer_ProductCategory" caption="ProductCategory" startItem="3" rowHeight="234950"/>
  <slicer name="NewSalesperson 1" xr10:uid="{01F3F9FB-E4C3-4C09-BA15-E81FDAD704B6}" cache="Slicer_NewSalesperson" caption="NewSalesperson" startItem="3" rowHeight="234950"/>
  <slicer name="Month 1" xr10:uid="{BA5B263E-9F20-4DF3-8CCD-56C1F8C4BA37}"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EDA097-3FAB-49AF-A6C8-3858290920B6}" name="Table1" displayName="Table1" ref="A1:AO633" totalsRowShown="0" headerRowDxfId="23">
  <autoFilter ref="A1:AO633" xr:uid="{00000000-0001-0000-0000-000000000000}"/>
  <sortState xmlns:xlrd2="http://schemas.microsoft.com/office/spreadsheetml/2017/richdata2" ref="A2:AO633">
    <sortCondition descending="1" ref="AG1:AG633"/>
  </sortState>
  <tableColumns count="41">
    <tableColumn id="1" xr3:uid="{A07EE175-D623-449C-875B-9C479997F4FA}" name="OrderID"/>
    <tableColumn id="2" xr3:uid="{148481CE-D052-4B54-87BD-ED8376911262}" name="OrderDate" dataDxfId="22"/>
    <tableColumn id="3" xr3:uid="{6B7CB090-2E69-48F5-8E54-44AB06E4EE9A}" name="NewOrderDate" dataDxfId="21">
      <calculatedColumnFormula>IF(D2&lt;B2,D2,B2)</calculatedColumnFormula>
    </tableColumn>
    <tableColumn id="4" xr3:uid="{1F02F0EC-8D08-4A26-9196-13E412D269CD}" name="RequiredDate" dataDxfId="20"/>
    <tableColumn id="5" xr3:uid="{5BEA3C14-085C-4686-A8E5-E59315A04D12}" name="NewRequiredDate" dataDxfId="19">
      <calculatedColumnFormula>IF(D2&lt;B2,B2,D2)</calculatedColumnFormula>
    </tableColumn>
    <tableColumn id="6" xr3:uid="{4986380E-9030-4D17-8439-4934A366C7E8}" name="LeadTimedays" dataDxfId="18">
      <calculatedColumnFormula>E2-C2</calculatedColumnFormula>
    </tableColumn>
    <tableColumn id="7" xr3:uid="{3F3E6DF8-9A73-4B53-B840-E64FA91B5FC6}" name="MetTarget" dataDxfId="17"/>
    <tableColumn id="8" xr3:uid="{F5FE5EE8-1560-40B7-8573-E78D5C25E7E3}" name="Month" dataDxfId="16">
      <calculatedColumnFormula>TEXT(C2,"MM-YYYY")</calculatedColumnFormula>
    </tableColumn>
    <tableColumn id="9" xr3:uid="{A09AAA08-9DE0-45F8-9C97-07C6C974CE68}" name="Quarters" dataDxfId="15">
      <calculatedColumnFormula>"Q"&amp;ROUNDUP(MONTH(H2)/3,0)&amp;"-"&amp;YEAR(H2)</calculatedColumnFormula>
    </tableColumn>
    <tableColumn id="10" xr3:uid="{3AAAF05A-D785-4DBF-82A7-06C2CBE18B57}" name="FirstOrderDate" dataDxfId="14">
      <calculatedColumnFormula>_xlfn.MINIFS(C:C,M:M,M2)</calculatedColumnFormula>
    </tableColumn>
    <tableColumn id="11" xr3:uid="{218076A2-F48B-4FD3-92BF-34FBD6CF3321}" name="FirstOrderMonth" dataDxfId="13">
      <calculatedColumnFormula>TEXT(J2,"MM-YYYY")</calculatedColumnFormula>
    </tableColumn>
    <tableColumn id="12" xr3:uid="{68646245-930E-47BF-B808-EEAD9D5585D2}" name="Region"/>
    <tableColumn id="13" xr3:uid="{ADD58191-B646-4780-9540-AFC38AF0F23F}" name="Country"/>
    <tableColumn id="14" xr3:uid="{51AB58ED-5BC2-464F-BCCD-009C8A71883F}" name="City"/>
    <tableColumn id="15" xr3:uid="{F1A6D8F3-72EB-4D3A-A8BA-616DD90EAD76}" name="NewCity">
      <calculatedColumnFormula>IF(N2="",_xlfn.XLOOKUP(M2,M:M,N:N),N2)</calculatedColumnFormula>
    </tableColumn>
    <tableColumn id="16" xr3:uid="{8978EF07-32B5-4100-A802-DA64A5C9C9D5}" name="CustomerSegment"/>
    <tableColumn id="17" xr3:uid="{3B601371-8F4C-4BBB-92FA-6A04B752BD10}" name="Channel"/>
    <tableColumn id="18" xr3:uid="{064AFF59-F27E-4C32-B696-3246760CA2F4}" name="NewChannel">
      <calculatedColumnFormula>IF(Q2="",_xlfn.XLOOKUP(M2,M:M,Q:Q),Q2)</calculatedColumnFormula>
    </tableColumn>
    <tableColumn id="19" xr3:uid="{24B5F053-383A-42CC-B7D8-1C540177EA4E}" name="Salesperson"/>
    <tableColumn id="20" xr3:uid="{B071C0BE-CBC6-498C-A391-543C66B03AB6}" name="NewSalesperson">
      <calculatedColumnFormula>IF(S2="",_xlfn.XLOOKUP(L2,L:L,S:S),S2)</calculatedColumnFormula>
    </tableColumn>
    <tableColumn id="21" xr3:uid="{152FBBFD-F1DA-4F88-B605-A375D45D1BF2}" name="ProductCategory"/>
    <tableColumn id="22" xr3:uid="{2142C157-1060-4D7B-BD6E-E99E106138CA}" name="PriceBand">
      <calculatedColumnFormula>IF(AA2&lt;815.0987,"Low",IF(AA2&lt;1640.058,"Medium","High"))</calculatedColumnFormula>
    </tableColumn>
    <tableColumn id="23" xr3:uid="{9CC8816C-247B-4740-9183-8B645DCC9E8C}" name="SKU"/>
    <tableColumn id="24" xr3:uid="{16FA3350-3341-4503-859A-DA250680C9F0}" name="SKUcategory">
      <calculatedColumnFormula>IF(AK2&lt;=80%,"A",IF(AK2&lt;=95%,"B","C"))</calculatedColumnFormula>
    </tableColumn>
    <tableColumn id="25" xr3:uid="{A97FC39B-CB0C-4089-9E55-FB1B96B6250B}" name="UnitCost" dataDxfId="12"/>
    <tableColumn id="26" xr3:uid="{5D9105F6-FD71-4AE4-A8B6-7ED0439EEF40}" name="UnitPrice" dataDxfId="11"/>
    <tableColumn id="27" xr3:uid="{5BEB57C1-E036-4E5B-837F-E7CEE7FE48EC}" name="NewUnitPrice" dataDxfId="10">
      <calculatedColumnFormula>ABS(Z2)</calculatedColumnFormula>
    </tableColumn>
    <tableColumn id="28" xr3:uid="{37A1F5CA-DD36-48E3-891C-72E64C5D73B1}" name="DiscountPct" dataDxfId="9"/>
    <tableColumn id="29" xr3:uid="{29E4E1D1-697C-4D86-A642-EBA6599B86F6}" name="NewDiscountPct" dataDxfId="8">
      <calculatedColumnFormula>MIN(AB2,30%)</calculatedColumnFormula>
    </tableColumn>
    <tableColumn id="30" xr3:uid="{32DDCB2C-3F11-426F-84C1-DAE186DB0545}" name="HighestDscnt" dataDxfId="7">
      <calculatedColumnFormula>IF(AC2&gt;20%,1,0)</calculatedColumnFormula>
    </tableColumn>
    <tableColumn id="31" xr3:uid="{67CE63DF-A59C-4E77-83B2-B7E66E4F4D56}" name="Quantity" dataDxfId="6"/>
    <tableColumn id="32" xr3:uid="{0258FDE0-9B7A-495C-9B22-D8A75C32845E}" name="GrossRevenue" dataDxfId="5">
      <calculatedColumnFormula>AA2*AE2*(1-AC2)</calculatedColumnFormula>
    </tableColumn>
    <tableColumn id="33" xr3:uid="{9D676874-7268-4321-922D-A6684B606464}" name="CostOfGoods">
      <calculatedColumnFormula>Y2*AE2</calculatedColumnFormula>
    </tableColumn>
    <tableColumn id="34" xr3:uid="{CC537D4C-7CB0-4928-A60E-88B14627C8A3}" name="GrossProfit" dataDxfId="4">
      <calculatedColumnFormula>ABS(AF2-AG2)</calculatedColumnFormula>
    </tableColumn>
    <tableColumn id="35" xr3:uid="{E41599ED-DE64-441C-9DF6-D1C4BC431AA8}" name="MarginPct" dataDxfId="3">
      <calculatedColumnFormula>IF(AF2=0,0,AH2/AF2)</calculatedColumnFormula>
    </tableColumn>
    <tableColumn id="36" xr3:uid="{4C53D935-CA0D-4673-AC61-4F42442B5548}" name="C.Rev" dataDxfId="2">
      <calculatedColumnFormula>AJ1+AF2</calculatedColumnFormula>
    </tableColumn>
    <tableColumn id="37" xr3:uid="{DD4496A1-A324-41CD-B831-050F7D4512D3}" name="C.Pct" dataDxfId="1">
      <calculatedColumnFormula>AJ2/SUM(AF:AF)</calculatedColumnFormula>
    </tableColumn>
    <tableColumn id="38" xr3:uid="{4DC25A42-1FDC-43A1-85DC-719E9BAF87DB}" name="ScenarioDiscount" dataDxfId="0">
      <calculatedColumnFormula>MIN(AC2,'What-If Analysis'!$B$2)</calculatedColumnFormula>
    </tableColumn>
    <tableColumn id="39" xr3:uid="{1C5180DA-4244-4BBF-92B1-F159109BA685}" name="ScenarioQuantity">
      <calculatedColumnFormula>AE2*(1+'What-If Analysis'!$B$3)</calculatedColumnFormula>
    </tableColumn>
    <tableColumn id="40" xr3:uid="{661BE2F0-2A03-4C8D-8A17-CF5359236F88}" name="ScenarioUnitCost">
      <calculatedColumnFormula>Y2*(1+'What-If Analysis'!$B$4)</calculatedColumnFormula>
    </tableColumn>
    <tableColumn id="41" xr3:uid="{5F5FD753-6D7C-4964-834D-083C9F80FBCC}" name="ScenarioRevenue">
      <calculatedColumnFormula>AA2*AM2*(1-AL2)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1F3C1-86C1-4C35-B8FB-96AC12A0F5AE}">
  <dimension ref="A3:B18"/>
  <sheetViews>
    <sheetView workbookViewId="0">
      <selection activeCell="A11" sqref="A11"/>
    </sheetView>
  </sheetViews>
  <sheetFormatPr defaultRowHeight="14.4" x14ac:dyDescent="0.3"/>
  <cols>
    <col min="1" max="1" width="18" bestFit="1" customWidth="1"/>
    <col min="2" max="2" width="19.5546875" bestFit="1" customWidth="1"/>
    <col min="3" max="6" width="9.5546875" bestFit="1" customWidth="1"/>
    <col min="7" max="7" width="10.5546875" bestFit="1" customWidth="1"/>
    <col min="8" max="10" width="9.5546875" bestFit="1" customWidth="1"/>
    <col min="11" max="11" width="11.33203125" bestFit="1" customWidth="1"/>
    <col min="12" max="12" width="14.77734375" bestFit="1" customWidth="1"/>
    <col min="13" max="13" width="9.5546875" bestFit="1" customWidth="1"/>
    <col min="14" max="14" width="11.5546875" bestFit="1" customWidth="1"/>
  </cols>
  <sheetData>
    <row r="3" spans="1:2" x14ac:dyDescent="0.3">
      <c r="A3" s="10" t="s">
        <v>1438</v>
      </c>
      <c r="B3" t="s">
        <v>1442</v>
      </c>
    </row>
    <row r="4" spans="1:2" x14ac:dyDescent="0.3">
      <c r="A4" s="11" t="s">
        <v>1439</v>
      </c>
      <c r="B4" s="5">
        <v>10090675.892629998</v>
      </c>
    </row>
    <row r="5" spans="1:2" x14ac:dyDescent="0.3">
      <c r="A5" s="12" t="s">
        <v>655</v>
      </c>
      <c r="B5" s="5">
        <v>1037851.9729800003</v>
      </c>
    </row>
    <row r="6" spans="1:2" x14ac:dyDescent="0.3">
      <c r="A6" s="12" t="s">
        <v>653</v>
      </c>
      <c r="B6" s="5">
        <v>882622.97854000004</v>
      </c>
    </row>
    <row r="7" spans="1:2" x14ac:dyDescent="0.3">
      <c r="A7" s="12" t="s">
        <v>659</v>
      </c>
      <c r="B7" s="5">
        <v>899054.11212000018</v>
      </c>
    </row>
    <row r="8" spans="1:2" x14ac:dyDescent="0.3">
      <c r="A8" s="12" t="s">
        <v>657</v>
      </c>
      <c r="B8" s="5">
        <v>758280.91688999999</v>
      </c>
    </row>
    <row r="9" spans="1:2" x14ac:dyDescent="0.3">
      <c r="A9" s="12" t="s">
        <v>656</v>
      </c>
      <c r="B9" s="5">
        <v>929424.88821999973</v>
      </c>
    </row>
    <row r="10" spans="1:2" x14ac:dyDescent="0.3">
      <c r="A10" s="12" t="s">
        <v>654</v>
      </c>
      <c r="B10" s="5">
        <v>1092333.4174999997</v>
      </c>
    </row>
    <row r="11" spans="1:2" x14ac:dyDescent="0.3">
      <c r="A11" s="12" t="s">
        <v>650</v>
      </c>
      <c r="B11" s="5">
        <v>947364.86621000012</v>
      </c>
    </row>
    <row r="12" spans="1:2" x14ac:dyDescent="0.3">
      <c r="A12" s="12" t="s">
        <v>651</v>
      </c>
      <c r="B12" s="5">
        <v>881838.67690999992</v>
      </c>
    </row>
    <row r="13" spans="1:2" x14ac:dyDescent="0.3">
      <c r="A13" s="12" t="s">
        <v>661</v>
      </c>
      <c r="B13" s="5">
        <v>779927.34477999981</v>
      </c>
    </row>
    <row r="14" spans="1:2" x14ac:dyDescent="0.3">
      <c r="A14" s="12" t="s">
        <v>658</v>
      </c>
      <c r="B14" s="5">
        <v>1113282.1308999998</v>
      </c>
    </row>
    <row r="15" spans="1:2" x14ac:dyDescent="0.3">
      <c r="A15" s="12" t="s">
        <v>660</v>
      </c>
      <c r="B15" s="5">
        <v>768694.58757999993</v>
      </c>
    </row>
    <row r="16" spans="1:2" x14ac:dyDescent="0.3">
      <c r="A16" s="11" t="s">
        <v>1440</v>
      </c>
      <c r="B16" s="5">
        <v>855073.36047999992</v>
      </c>
    </row>
    <row r="17" spans="1:2" x14ac:dyDescent="0.3">
      <c r="A17" s="12" t="s">
        <v>652</v>
      </c>
      <c r="B17" s="5">
        <v>855073.36047999992</v>
      </c>
    </row>
    <row r="18" spans="1:2" x14ac:dyDescent="0.3">
      <c r="A18" s="11" t="s">
        <v>1441</v>
      </c>
      <c r="B18" s="5">
        <v>10945749.253109997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2FFC9-C7F3-4B1B-B07A-40555FE3E564}">
  <dimension ref="A3:E634"/>
  <sheetViews>
    <sheetView workbookViewId="0">
      <selection activeCell="A7" sqref="A7"/>
    </sheetView>
  </sheetViews>
  <sheetFormatPr defaultRowHeight="14.4" x14ac:dyDescent="0.3"/>
  <cols>
    <col min="1" max="1" width="19.5546875" bestFit="1" customWidth="1"/>
    <col min="2" max="2" width="15.5546875" bestFit="1" customWidth="1"/>
    <col min="3" max="3" width="10.5546875" bestFit="1" customWidth="1"/>
    <col min="4" max="4" width="9.5546875" bestFit="1" customWidth="1"/>
    <col min="5" max="5" width="11.5546875" bestFit="1" customWidth="1"/>
  </cols>
  <sheetData>
    <row r="3" spans="1:5" x14ac:dyDescent="0.3">
      <c r="A3" s="10" t="s">
        <v>1442</v>
      </c>
      <c r="B3" s="10" t="s">
        <v>1443</v>
      </c>
    </row>
    <row r="4" spans="1:5" x14ac:dyDescent="0.3">
      <c r="A4" s="10" t="s">
        <v>1438</v>
      </c>
      <c r="B4" t="s">
        <v>1447</v>
      </c>
      <c r="C4" t="s">
        <v>1448</v>
      </c>
      <c r="D4" t="s">
        <v>1449</v>
      </c>
      <c r="E4" t="s">
        <v>1441</v>
      </c>
    </row>
    <row r="5" spans="1:5" x14ac:dyDescent="0.3">
      <c r="A5" s="11" t="s">
        <v>873</v>
      </c>
      <c r="B5" s="5"/>
      <c r="C5" s="5"/>
      <c r="D5" s="5">
        <v>1446.9507000000001</v>
      </c>
      <c r="E5" s="5">
        <v>1446.9507000000001</v>
      </c>
    </row>
    <row r="6" spans="1:5" x14ac:dyDescent="0.3">
      <c r="A6" s="11" t="s">
        <v>1355</v>
      </c>
      <c r="B6" s="5"/>
      <c r="C6" s="5">
        <v>10693.88488</v>
      </c>
      <c r="D6" s="5"/>
      <c r="E6" s="5">
        <v>10693.88488</v>
      </c>
    </row>
    <row r="7" spans="1:5" x14ac:dyDescent="0.3">
      <c r="A7" s="11" t="s">
        <v>1067</v>
      </c>
      <c r="B7" s="5"/>
      <c r="C7" s="5"/>
      <c r="D7" s="5">
        <v>5610.0923999999995</v>
      </c>
      <c r="E7" s="5">
        <v>5610.0923999999995</v>
      </c>
    </row>
    <row r="8" spans="1:5" x14ac:dyDescent="0.3">
      <c r="A8" s="11" t="s">
        <v>1149</v>
      </c>
      <c r="B8" s="5"/>
      <c r="C8" s="5">
        <v>10893.6232</v>
      </c>
      <c r="D8" s="5"/>
      <c r="E8" s="5">
        <v>10893.6232</v>
      </c>
    </row>
    <row r="9" spans="1:5" x14ac:dyDescent="0.3">
      <c r="A9" s="11" t="s">
        <v>1074</v>
      </c>
      <c r="B9" s="5">
        <v>27465.647999999997</v>
      </c>
      <c r="C9" s="5"/>
      <c r="D9" s="5"/>
      <c r="E9" s="5">
        <v>27465.647999999997</v>
      </c>
    </row>
    <row r="10" spans="1:5" x14ac:dyDescent="0.3">
      <c r="A10" s="11" t="s">
        <v>1128</v>
      </c>
      <c r="B10" s="5">
        <v>14431.738420000001</v>
      </c>
      <c r="C10" s="5"/>
      <c r="D10" s="5"/>
      <c r="E10" s="5">
        <v>14431.738420000001</v>
      </c>
    </row>
    <row r="11" spans="1:5" x14ac:dyDescent="0.3">
      <c r="A11" s="11" t="s">
        <v>1175</v>
      </c>
      <c r="B11" s="5">
        <v>31513.085009999999</v>
      </c>
      <c r="C11" s="5"/>
      <c r="D11" s="5"/>
      <c r="E11" s="5">
        <v>31513.085009999999</v>
      </c>
    </row>
    <row r="12" spans="1:5" x14ac:dyDescent="0.3">
      <c r="A12" s="11" t="s">
        <v>1027</v>
      </c>
      <c r="B12" s="5"/>
      <c r="C12" s="5">
        <v>7382.1450000000004</v>
      </c>
      <c r="D12" s="5"/>
      <c r="E12" s="5">
        <v>7382.1450000000004</v>
      </c>
    </row>
    <row r="13" spans="1:5" x14ac:dyDescent="0.3">
      <c r="A13" s="11" t="s">
        <v>1225</v>
      </c>
      <c r="B13" s="5"/>
      <c r="C13" s="5">
        <v>7507.4514899999995</v>
      </c>
      <c r="D13" s="5"/>
      <c r="E13" s="5">
        <v>7507.4514899999995</v>
      </c>
    </row>
    <row r="14" spans="1:5" x14ac:dyDescent="0.3">
      <c r="A14" s="11" t="s">
        <v>1321</v>
      </c>
      <c r="B14" s="5"/>
      <c r="C14" s="5">
        <v>12040.64352</v>
      </c>
      <c r="D14" s="5"/>
      <c r="E14" s="5">
        <v>12040.64352</v>
      </c>
    </row>
    <row r="15" spans="1:5" x14ac:dyDescent="0.3">
      <c r="A15" s="11" t="s">
        <v>941</v>
      </c>
      <c r="B15" s="5">
        <v>28386.015839999996</v>
      </c>
      <c r="C15" s="5"/>
      <c r="D15" s="5"/>
      <c r="E15" s="5">
        <v>28386.015839999996</v>
      </c>
    </row>
    <row r="16" spans="1:5" x14ac:dyDescent="0.3">
      <c r="A16" s="11" t="s">
        <v>748</v>
      </c>
      <c r="B16" s="5"/>
      <c r="C16" s="5">
        <v>7578.84</v>
      </c>
      <c r="D16" s="5"/>
      <c r="E16" s="5">
        <v>7578.84</v>
      </c>
    </row>
    <row r="17" spans="1:5" x14ac:dyDescent="0.3">
      <c r="A17" s="11" t="s">
        <v>1212</v>
      </c>
      <c r="B17" s="5">
        <v>22620.859800000002</v>
      </c>
      <c r="C17" s="5"/>
      <c r="D17" s="5"/>
      <c r="E17" s="5">
        <v>22620.859800000002</v>
      </c>
    </row>
    <row r="18" spans="1:5" x14ac:dyDescent="0.3">
      <c r="A18" s="11" t="s">
        <v>792</v>
      </c>
      <c r="B18" s="5"/>
      <c r="C18" s="5"/>
      <c r="D18" s="5">
        <v>272.98599999999999</v>
      </c>
      <c r="E18" s="5">
        <v>272.98599999999999</v>
      </c>
    </row>
    <row r="19" spans="1:5" x14ac:dyDescent="0.3">
      <c r="A19" s="11" t="s">
        <v>995</v>
      </c>
      <c r="B19" s="5">
        <v>17964.4038</v>
      </c>
      <c r="C19" s="5"/>
      <c r="D19" s="5"/>
      <c r="E19" s="5">
        <v>17964.4038</v>
      </c>
    </row>
    <row r="20" spans="1:5" x14ac:dyDescent="0.3">
      <c r="A20" s="11" t="s">
        <v>793</v>
      </c>
      <c r="B20" s="5"/>
      <c r="C20" s="5"/>
      <c r="D20" s="5">
        <v>4569.8508000000002</v>
      </c>
      <c r="E20" s="5">
        <v>4569.8508000000002</v>
      </c>
    </row>
    <row r="21" spans="1:5" x14ac:dyDescent="0.3">
      <c r="A21" s="11" t="s">
        <v>1059</v>
      </c>
      <c r="B21" s="5"/>
      <c r="C21" s="5">
        <v>9829.0483199999999</v>
      </c>
      <c r="D21" s="5"/>
      <c r="E21" s="5">
        <v>9829.0483199999999</v>
      </c>
    </row>
    <row r="22" spans="1:5" x14ac:dyDescent="0.3">
      <c r="A22" s="11" t="s">
        <v>837</v>
      </c>
      <c r="B22" s="5"/>
      <c r="C22" s="5"/>
      <c r="D22" s="5">
        <v>5960.3340000000007</v>
      </c>
      <c r="E22" s="5">
        <v>5960.3340000000007</v>
      </c>
    </row>
    <row r="23" spans="1:5" x14ac:dyDescent="0.3">
      <c r="A23" s="11" t="s">
        <v>904</v>
      </c>
      <c r="B23" s="5">
        <v>14549.029120000001</v>
      </c>
      <c r="C23" s="5"/>
      <c r="D23" s="5"/>
      <c r="E23" s="5">
        <v>14549.029120000001</v>
      </c>
    </row>
    <row r="24" spans="1:5" x14ac:dyDescent="0.3">
      <c r="A24" s="11" t="s">
        <v>804</v>
      </c>
      <c r="B24" s="5"/>
      <c r="C24" s="5">
        <v>10647.727199999999</v>
      </c>
      <c r="D24" s="5"/>
      <c r="E24" s="5">
        <v>10647.727199999999</v>
      </c>
    </row>
    <row r="25" spans="1:5" x14ac:dyDescent="0.3">
      <c r="A25" s="11" t="s">
        <v>1231</v>
      </c>
      <c r="B25" s="5"/>
      <c r="C25" s="5">
        <v>8644.6696000000011</v>
      </c>
      <c r="D25" s="5"/>
      <c r="E25" s="5">
        <v>8644.6696000000011</v>
      </c>
    </row>
    <row r="26" spans="1:5" x14ac:dyDescent="0.3">
      <c r="A26" s="11" t="s">
        <v>1150</v>
      </c>
      <c r="B26" s="5"/>
      <c r="C26" s="5">
        <v>7969.4615000000003</v>
      </c>
      <c r="D26" s="5"/>
      <c r="E26" s="5">
        <v>7969.4615000000003</v>
      </c>
    </row>
    <row r="27" spans="1:5" x14ac:dyDescent="0.3">
      <c r="A27" s="11" t="s">
        <v>1046</v>
      </c>
      <c r="B27" s="5"/>
      <c r="C27" s="5">
        <v>11283.400799999999</v>
      </c>
      <c r="D27" s="5"/>
      <c r="E27" s="5">
        <v>11283.400799999999</v>
      </c>
    </row>
    <row r="28" spans="1:5" x14ac:dyDescent="0.3">
      <c r="A28" s="11" t="s">
        <v>1053</v>
      </c>
      <c r="B28" s="5">
        <v>53034.364139999991</v>
      </c>
      <c r="C28" s="5"/>
      <c r="D28" s="5"/>
      <c r="E28" s="5">
        <v>53034.364139999991</v>
      </c>
    </row>
    <row r="29" spans="1:5" x14ac:dyDescent="0.3">
      <c r="A29" s="11" t="s">
        <v>1223</v>
      </c>
      <c r="B29" s="5"/>
      <c r="C29" s="5"/>
      <c r="D29" s="5">
        <v>1547.3500000000001</v>
      </c>
      <c r="E29" s="5">
        <v>1547.3500000000001</v>
      </c>
    </row>
    <row r="30" spans="1:5" x14ac:dyDescent="0.3">
      <c r="A30" s="11" t="s">
        <v>1066</v>
      </c>
      <c r="B30" s="5"/>
      <c r="C30" s="5">
        <v>7105.3528000000006</v>
      </c>
      <c r="D30" s="5"/>
      <c r="E30" s="5">
        <v>7105.3528000000006</v>
      </c>
    </row>
    <row r="31" spans="1:5" x14ac:dyDescent="0.3">
      <c r="A31" s="11" t="s">
        <v>1089</v>
      </c>
      <c r="B31" s="5">
        <v>23195.01828</v>
      </c>
      <c r="C31" s="5"/>
      <c r="D31" s="5"/>
      <c r="E31" s="5">
        <v>23195.01828</v>
      </c>
    </row>
    <row r="32" spans="1:5" x14ac:dyDescent="0.3">
      <c r="A32" s="11" t="s">
        <v>1250</v>
      </c>
      <c r="B32" s="5"/>
      <c r="C32" s="5"/>
      <c r="D32" s="5">
        <v>1010.3759200000001</v>
      </c>
      <c r="E32" s="5">
        <v>1010.3759200000001</v>
      </c>
    </row>
    <row r="33" spans="1:5" x14ac:dyDescent="0.3">
      <c r="A33" s="11" t="s">
        <v>919</v>
      </c>
      <c r="B33" s="5"/>
      <c r="C33" s="5">
        <v>10388.429999999998</v>
      </c>
      <c r="D33" s="5"/>
      <c r="E33" s="5">
        <v>10388.429999999998</v>
      </c>
    </row>
    <row r="34" spans="1:5" x14ac:dyDescent="0.3">
      <c r="A34" s="11" t="s">
        <v>1279</v>
      </c>
      <c r="B34" s="5">
        <v>15530.929919999999</v>
      </c>
      <c r="C34" s="5"/>
      <c r="D34" s="5"/>
      <c r="E34" s="5">
        <v>15530.929919999999</v>
      </c>
    </row>
    <row r="35" spans="1:5" x14ac:dyDescent="0.3">
      <c r="A35" s="11" t="s">
        <v>955</v>
      </c>
      <c r="B35" s="5"/>
      <c r="C35" s="5"/>
      <c r="D35" s="5">
        <v>908.03700000000003</v>
      </c>
      <c r="E35" s="5">
        <v>908.03700000000003</v>
      </c>
    </row>
    <row r="36" spans="1:5" x14ac:dyDescent="0.3">
      <c r="A36" s="11" t="s">
        <v>993</v>
      </c>
      <c r="B36" s="5"/>
      <c r="C36" s="5">
        <v>7568.9632000000001</v>
      </c>
      <c r="D36" s="5"/>
      <c r="E36" s="5">
        <v>7568.9632000000001</v>
      </c>
    </row>
    <row r="37" spans="1:5" x14ac:dyDescent="0.3">
      <c r="A37" s="11" t="s">
        <v>1184</v>
      </c>
      <c r="B37" s="5">
        <v>19628.476999999999</v>
      </c>
      <c r="C37" s="5"/>
      <c r="D37" s="5"/>
      <c r="E37" s="5">
        <v>19628.476999999999</v>
      </c>
    </row>
    <row r="38" spans="1:5" x14ac:dyDescent="0.3">
      <c r="A38" s="11" t="s">
        <v>1255</v>
      </c>
      <c r="B38" s="5">
        <v>22526.66</v>
      </c>
      <c r="C38" s="5"/>
      <c r="D38" s="5"/>
      <c r="E38" s="5">
        <v>22526.66</v>
      </c>
    </row>
    <row r="39" spans="1:5" x14ac:dyDescent="0.3">
      <c r="A39" s="11" t="s">
        <v>1310</v>
      </c>
      <c r="B39" s="5"/>
      <c r="C39" s="5">
        <v>6732.4334000000008</v>
      </c>
      <c r="D39" s="5"/>
      <c r="E39" s="5">
        <v>6732.4334000000008</v>
      </c>
    </row>
    <row r="40" spans="1:5" x14ac:dyDescent="0.3">
      <c r="A40" s="11" t="s">
        <v>1004</v>
      </c>
      <c r="B40" s="5"/>
      <c r="C40" s="5">
        <v>7235.2134999999998</v>
      </c>
      <c r="D40" s="5"/>
      <c r="E40" s="5">
        <v>7235.2134999999998</v>
      </c>
    </row>
    <row r="41" spans="1:5" x14ac:dyDescent="0.3">
      <c r="A41" s="11" t="s">
        <v>756</v>
      </c>
      <c r="B41" s="5"/>
      <c r="C41" s="5">
        <v>10936.992</v>
      </c>
      <c r="D41" s="5"/>
      <c r="E41" s="5">
        <v>10936.992</v>
      </c>
    </row>
    <row r="42" spans="1:5" x14ac:dyDescent="0.3">
      <c r="A42" s="11" t="s">
        <v>892</v>
      </c>
      <c r="B42" s="5"/>
      <c r="C42" s="5">
        <v>10382.65884</v>
      </c>
      <c r="D42" s="5"/>
      <c r="E42" s="5">
        <v>10382.65884</v>
      </c>
    </row>
    <row r="43" spans="1:5" x14ac:dyDescent="0.3">
      <c r="A43" s="11" t="s">
        <v>865</v>
      </c>
      <c r="B43" s="5"/>
      <c r="C43" s="5"/>
      <c r="D43" s="5">
        <v>4417.8334199999999</v>
      </c>
      <c r="E43" s="5">
        <v>4417.8334199999999</v>
      </c>
    </row>
    <row r="44" spans="1:5" x14ac:dyDescent="0.3">
      <c r="A44" s="11" t="s">
        <v>888</v>
      </c>
      <c r="B44" s="5"/>
      <c r="C44" s="5">
        <v>11015.510400000003</v>
      </c>
      <c r="D44" s="5"/>
      <c r="E44" s="5">
        <v>11015.510400000003</v>
      </c>
    </row>
    <row r="45" spans="1:5" x14ac:dyDescent="0.3">
      <c r="A45" s="11" t="s">
        <v>1024</v>
      </c>
      <c r="B45" s="5">
        <v>19066.045319999997</v>
      </c>
      <c r="C45" s="5"/>
      <c r="D45" s="5"/>
      <c r="E45" s="5">
        <v>19066.045319999997</v>
      </c>
    </row>
    <row r="46" spans="1:5" x14ac:dyDescent="0.3">
      <c r="A46" s="11" t="s">
        <v>810</v>
      </c>
      <c r="B46" s="5">
        <v>35396.277799999996</v>
      </c>
      <c r="C46" s="5"/>
      <c r="D46" s="5"/>
      <c r="E46" s="5">
        <v>35396.277799999996</v>
      </c>
    </row>
    <row r="47" spans="1:5" x14ac:dyDescent="0.3">
      <c r="A47" s="11" t="s">
        <v>847</v>
      </c>
      <c r="B47" s="5"/>
      <c r="C47" s="5"/>
      <c r="D47" s="5">
        <v>2117.4834999999998</v>
      </c>
      <c r="E47" s="5">
        <v>2117.4834999999998</v>
      </c>
    </row>
    <row r="48" spans="1:5" x14ac:dyDescent="0.3">
      <c r="A48" s="11" t="s">
        <v>1303</v>
      </c>
      <c r="B48" s="5"/>
      <c r="C48" s="5"/>
      <c r="D48" s="5">
        <v>4577.1480000000001</v>
      </c>
      <c r="E48" s="5">
        <v>4577.1480000000001</v>
      </c>
    </row>
    <row r="49" spans="1:5" x14ac:dyDescent="0.3">
      <c r="A49" s="11" t="s">
        <v>921</v>
      </c>
      <c r="B49" s="5">
        <v>26759.28775</v>
      </c>
      <c r="C49" s="5"/>
      <c r="D49" s="5"/>
      <c r="E49" s="5">
        <v>26759.28775</v>
      </c>
    </row>
    <row r="50" spans="1:5" x14ac:dyDescent="0.3">
      <c r="A50" s="11" t="s">
        <v>1352</v>
      </c>
      <c r="B50" s="5"/>
      <c r="C50" s="5"/>
      <c r="D50" s="5">
        <v>1030.7574</v>
      </c>
      <c r="E50" s="5">
        <v>1030.7574</v>
      </c>
    </row>
    <row r="51" spans="1:5" x14ac:dyDescent="0.3">
      <c r="A51" s="11" t="s">
        <v>1322</v>
      </c>
      <c r="B51" s="5"/>
      <c r="C51" s="5">
        <v>9022.35</v>
      </c>
      <c r="D51" s="5"/>
      <c r="E51" s="5">
        <v>9022.35</v>
      </c>
    </row>
    <row r="52" spans="1:5" x14ac:dyDescent="0.3">
      <c r="A52" s="11" t="s">
        <v>961</v>
      </c>
      <c r="B52" s="5"/>
      <c r="C52" s="5"/>
      <c r="D52" s="5">
        <v>5533.6230000000005</v>
      </c>
      <c r="E52" s="5">
        <v>5533.6230000000005</v>
      </c>
    </row>
    <row r="53" spans="1:5" x14ac:dyDescent="0.3">
      <c r="A53" s="11" t="s">
        <v>1286</v>
      </c>
      <c r="B53" s="5">
        <v>15860.782080000001</v>
      </c>
      <c r="C53" s="5"/>
      <c r="D53" s="5"/>
      <c r="E53" s="5">
        <v>15860.782080000001</v>
      </c>
    </row>
    <row r="54" spans="1:5" x14ac:dyDescent="0.3">
      <c r="A54" s="11" t="s">
        <v>1285</v>
      </c>
      <c r="B54" s="5">
        <v>20163.409200000002</v>
      </c>
      <c r="C54" s="5"/>
      <c r="D54" s="5"/>
      <c r="E54" s="5">
        <v>20163.409200000002</v>
      </c>
    </row>
    <row r="55" spans="1:5" x14ac:dyDescent="0.3">
      <c r="A55" s="11" t="s">
        <v>831</v>
      </c>
      <c r="B55" s="5">
        <v>34139.159999999996</v>
      </c>
      <c r="C55" s="5"/>
      <c r="D55" s="5"/>
      <c r="E55" s="5">
        <v>34139.159999999996</v>
      </c>
    </row>
    <row r="56" spans="1:5" x14ac:dyDescent="0.3">
      <c r="A56" s="11" t="s">
        <v>1194</v>
      </c>
      <c r="B56" s="5"/>
      <c r="C56" s="5"/>
      <c r="D56" s="5">
        <v>930.17574000000002</v>
      </c>
      <c r="E56" s="5">
        <v>930.17574000000002</v>
      </c>
    </row>
    <row r="57" spans="1:5" x14ac:dyDescent="0.3">
      <c r="A57" s="11" t="s">
        <v>948</v>
      </c>
      <c r="B57" s="5"/>
      <c r="C57" s="5">
        <v>7854.6693599999999</v>
      </c>
      <c r="D57" s="5"/>
      <c r="E57" s="5">
        <v>7854.6693599999999</v>
      </c>
    </row>
    <row r="58" spans="1:5" x14ac:dyDescent="0.3">
      <c r="A58" s="11" t="s">
        <v>1086</v>
      </c>
      <c r="B58" s="5">
        <v>26552.60298</v>
      </c>
      <c r="C58" s="5"/>
      <c r="D58" s="5"/>
      <c r="E58" s="5">
        <v>26552.60298</v>
      </c>
    </row>
    <row r="59" spans="1:5" x14ac:dyDescent="0.3">
      <c r="A59" s="11" t="s">
        <v>1033</v>
      </c>
      <c r="B59" s="5"/>
      <c r="C59" s="5">
        <v>12699.28</v>
      </c>
      <c r="D59" s="5"/>
      <c r="E59" s="5">
        <v>12699.28</v>
      </c>
    </row>
    <row r="60" spans="1:5" x14ac:dyDescent="0.3">
      <c r="A60" s="11" t="s">
        <v>791</v>
      </c>
      <c r="B60" s="5"/>
      <c r="C60" s="5"/>
      <c r="D60" s="5">
        <v>4790.1068000000005</v>
      </c>
      <c r="E60" s="5">
        <v>4790.1068000000005</v>
      </c>
    </row>
    <row r="61" spans="1:5" x14ac:dyDescent="0.3">
      <c r="A61" s="11" t="s">
        <v>1022</v>
      </c>
      <c r="B61" s="5">
        <v>26765.040239999998</v>
      </c>
      <c r="C61" s="5"/>
      <c r="D61" s="5"/>
      <c r="E61" s="5">
        <v>26765.040239999998</v>
      </c>
    </row>
    <row r="62" spans="1:5" x14ac:dyDescent="0.3">
      <c r="A62" s="11" t="s">
        <v>784</v>
      </c>
      <c r="B62" s="5">
        <v>14894.903999999999</v>
      </c>
      <c r="C62" s="5"/>
      <c r="D62" s="5"/>
      <c r="E62" s="5">
        <v>14894.903999999999</v>
      </c>
    </row>
    <row r="63" spans="1:5" x14ac:dyDescent="0.3">
      <c r="A63" s="11" t="s">
        <v>881</v>
      </c>
      <c r="B63" s="5"/>
      <c r="C63" s="5">
        <v>13321.14</v>
      </c>
      <c r="D63" s="5"/>
      <c r="E63" s="5">
        <v>13321.14</v>
      </c>
    </row>
    <row r="64" spans="1:5" x14ac:dyDescent="0.3">
      <c r="A64" s="11" t="s">
        <v>1171</v>
      </c>
      <c r="B64" s="5">
        <v>24278.849280000002</v>
      </c>
      <c r="C64" s="5"/>
      <c r="D64" s="5"/>
      <c r="E64" s="5">
        <v>24278.849280000002</v>
      </c>
    </row>
    <row r="65" spans="1:5" x14ac:dyDescent="0.3">
      <c r="A65" s="11" t="s">
        <v>1080</v>
      </c>
      <c r="B65" s="5">
        <v>79082.507010000001</v>
      </c>
      <c r="C65" s="5"/>
      <c r="D65" s="5"/>
      <c r="E65" s="5">
        <v>79082.507010000001</v>
      </c>
    </row>
    <row r="66" spans="1:5" x14ac:dyDescent="0.3">
      <c r="A66" s="11" t="s">
        <v>1092</v>
      </c>
      <c r="B66" s="5"/>
      <c r="C66" s="5"/>
      <c r="D66" s="5">
        <v>4071.8</v>
      </c>
      <c r="E66" s="5">
        <v>4071.8</v>
      </c>
    </row>
    <row r="67" spans="1:5" x14ac:dyDescent="0.3">
      <c r="A67" s="11" t="s">
        <v>876</v>
      </c>
      <c r="B67" s="5">
        <v>32086.37586</v>
      </c>
      <c r="C67" s="5"/>
      <c r="D67" s="5"/>
      <c r="E67" s="5">
        <v>32086.37586</v>
      </c>
    </row>
    <row r="68" spans="1:5" x14ac:dyDescent="0.3">
      <c r="A68" s="11" t="s">
        <v>1227</v>
      </c>
      <c r="B68" s="5"/>
      <c r="C68" s="5">
        <v>11859.695119999998</v>
      </c>
      <c r="D68" s="5"/>
      <c r="E68" s="5">
        <v>11859.695119999998</v>
      </c>
    </row>
    <row r="69" spans="1:5" x14ac:dyDescent="0.3">
      <c r="A69" s="11" t="s">
        <v>1291</v>
      </c>
      <c r="B69" s="5"/>
      <c r="C69" s="5">
        <v>13108.78584</v>
      </c>
      <c r="D69" s="5"/>
      <c r="E69" s="5">
        <v>13108.78584</v>
      </c>
    </row>
    <row r="70" spans="1:5" x14ac:dyDescent="0.3">
      <c r="A70" s="11" t="s">
        <v>1199</v>
      </c>
      <c r="B70" s="5"/>
      <c r="C70" s="5"/>
      <c r="D70" s="5">
        <v>2719.8567000000003</v>
      </c>
      <c r="E70" s="5">
        <v>2719.8567000000003</v>
      </c>
    </row>
    <row r="71" spans="1:5" x14ac:dyDescent="0.3">
      <c r="A71" s="11" t="s">
        <v>1338</v>
      </c>
      <c r="B71" s="5">
        <v>13856.52411</v>
      </c>
      <c r="C71" s="5"/>
      <c r="D71" s="5"/>
      <c r="E71" s="5">
        <v>13856.52411</v>
      </c>
    </row>
    <row r="72" spans="1:5" x14ac:dyDescent="0.3">
      <c r="A72" s="11" t="s">
        <v>1094</v>
      </c>
      <c r="B72" s="5">
        <v>35167.7448</v>
      </c>
      <c r="C72" s="5"/>
      <c r="D72" s="5"/>
      <c r="E72" s="5">
        <v>35167.7448</v>
      </c>
    </row>
    <row r="73" spans="1:5" x14ac:dyDescent="0.3">
      <c r="A73" s="11" t="s">
        <v>1326</v>
      </c>
      <c r="B73" s="5"/>
      <c r="C73" s="5">
        <v>8366.02</v>
      </c>
      <c r="D73" s="5"/>
      <c r="E73" s="5">
        <v>8366.02</v>
      </c>
    </row>
    <row r="74" spans="1:5" x14ac:dyDescent="0.3">
      <c r="A74" s="11" t="s">
        <v>744</v>
      </c>
      <c r="B74" s="5">
        <v>16006.14344</v>
      </c>
      <c r="C74" s="5"/>
      <c r="D74" s="5"/>
      <c r="E74" s="5">
        <v>16006.14344</v>
      </c>
    </row>
    <row r="75" spans="1:5" x14ac:dyDescent="0.3">
      <c r="A75" s="11" t="s">
        <v>1011</v>
      </c>
      <c r="B75" s="5"/>
      <c r="C75" s="5"/>
      <c r="D75" s="5">
        <v>6066.54648</v>
      </c>
      <c r="E75" s="5">
        <v>6066.54648</v>
      </c>
    </row>
    <row r="76" spans="1:5" x14ac:dyDescent="0.3">
      <c r="A76" s="11" t="s">
        <v>752</v>
      </c>
      <c r="B76" s="5">
        <v>38096.18406</v>
      </c>
      <c r="C76" s="5"/>
      <c r="D76" s="5"/>
      <c r="E76" s="5">
        <v>38096.18406</v>
      </c>
    </row>
    <row r="77" spans="1:5" x14ac:dyDescent="0.3">
      <c r="A77" s="11" t="s">
        <v>1072</v>
      </c>
      <c r="B77" s="5"/>
      <c r="C77" s="5"/>
      <c r="D77" s="5">
        <v>3021.5016000000001</v>
      </c>
      <c r="E77" s="5">
        <v>3021.5016000000001</v>
      </c>
    </row>
    <row r="78" spans="1:5" x14ac:dyDescent="0.3">
      <c r="A78" s="11" t="s">
        <v>1275</v>
      </c>
      <c r="B78" s="5"/>
      <c r="C78" s="5"/>
      <c r="D78" s="5">
        <v>4737.2198399999997</v>
      </c>
      <c r="E78" s="5">
        <v>4737.2198399999997</v>
      </c>
    </row>
    <row r="79" spans="1:5" x14ac:dyDescent="0.3">
      <c r="A79" s="11" t="s">
        <v>1026</v>
      </c>
      <c r="B79" s="5">
        <v>23375.594060000003</v>
      </c>
      <c r="C79" s="5"/>
      <c r="D79" s="5"/>
      <c r="E79" s="5">
        <v>23375.594060000003</v>
      </c>
    </row>
    <row r="80" spans="1:5" x14ac:dyDescent="0.3">
      <c r="A80" s="11" t="s">
        <v>1188</v>
      </c>
      <c r="B80" s="5">
        <v>14752.706080000002</v>
      </c>
      <c r="C80" s="5"/>
      <c r="D80" s="5"/>
      <c r="E80" s="5">
        <v>14752.706080000002</v>
      </c>
    </row>
    <row r="81" spans="1:5" x14ac:dyDescent="0.3">
      <c r="A81" s="11" t="s">
        <v>759</v>
      </c>
      <c r="B81" s="5"/>
      <c r="C81" s="5">
        <v>8596.2905599999995</v>
      </c>
      <c r="D81" s="5"/>
      <c r="E81" s="5">
        <v>8596.2905599999995</v>
      </c>
    </row>
    <row r="82" spans="1:5" x14ac:dyDescent="0.3">
      <c r="A82" s="11" t="s">
        <v>943</v>
      </c>
      <c r="B82" s="5">
        <v>17847.907199999998</v>
      </c>
      <c r="C82" s="5"/>
      <c r="D82" s="5"/>
      <c r="E82" s="5">
        <v>17847.907199999998</v>
      </c>
    </row>
    <row r="83" spans="1:5" x14ac:dyDescent="0.3">
      <c r="A83" s="11" t="s">
        <v>827</v>
      </c>
      <c r="B83" s="5">
        <v>20079.343620000003</v>
      </c>
      <c r="C83" s="5"/>
      <c r="D83" s="5"/>
      <c r="E83" s="5">
        <v>20079.343620000003</v>
      </c>
    </row>
    <row r="84" spans="1:5" x14ac:dyDescent="0.3">
      <c r="A84" s="11" t="s">
        <v>800</v>
      </c>
      <c r="B84" s="5">
        <v>16013.681599999998</v>
      </c>
      <c r="C84" s="5"/>
      <c r="D84" s="5"/>
      <c r="E84" s="5">
        <v>16013.681599999998</v>
      </c>
    </row>
    <row r="85" spans="1:5" x14ac:dyDescent="0.3">
      <c r="A85" s="11" t="s">
        <v>811</v>
      </c>
      <c r="B85" s="5">
        <v>33062.236480000007</v>
      </c>
      <c r="C85" s="5"/>
      <c r="D85" s="5"/>
      <c r="E85" s="5">
        <v>33062.236480000007</v>
      </c>
    </row>
    <row r="86" spans="1:5" x14ac:dyDescent="0.3">
      <c r="A86" s="11" t="s">
        <v>1288</v>
      </c>
      <c r="B86" s="5">
        <v>46450.26</v>
      </c>
      <c r="C86" s="5"/>
      <c r="D86" s="5"/>
      <c r="E86" s="5">
        <v>46450.26</v>
      </c>
    </row>
    <row r="87" spans="1:5" x14ac:dyDescent="0.3">
      <c r="A87" s="11" t="s">
        <v>1270</v>
      </c>
      <c r="B87" s="5">
        <v>20430.771599999996</v>
      </c>
      <c r="C87" s="5"/>
      <c r="D87" s="5"/>
      <c r="E87" s="5">
        <v>20430.771599999996</v>
      </c>
    </row>
    <row r="88" spans="1:5" x14ac:dyDescent="0.3">
      <c r="A88" s="11" t="s">
        <v>1040</v>
      </c>
      <c r="B88" s="5">
        <v>43084.872000000003</v>
      </c>
      <c r="C88" s="5"/>
      <c r="D88" s="5"/>
      <c r="E88" s="5">
        <v>43084.872000000003</v>
      </c>
    </row>
    <row r="89" spans="1:5" x14ac:dyDescent="0.3">
      <c r="A89" s="11" t="s">
        <v>916</v>
      </c>
      <c r="B89" s="5"/>
      <c r="C89" s="5">
        <v>7689.4560000000001</v>
      </c>
      <c r="D89" s="5"/>
      <c r="E89" s="5">
        <v>7689.4560000000001</v>
      </c>
    </row>
    <row r="90" spans="1:5" x14ac:dyDescent="0.3">
      <c r="A90" s="11" t="s">
        <v>1142</v>
      </c>
      <c r="B90" s="5">
        <v>23668.560000000001</v>
      </c>
      <c r="C90" s="5"/>
      <c r="D90" s="5"/>
      <c r="E90" s="5">
        <v>23668.560000000001</v>
      </c>
    </row>
    <row r="91" spans="1:5" x14ac:dyDescent="0.3">
      <c r="A91" s="11" t="s">
        <v>843</v>
      </c>
      <c r="B91" s="5"/>
      <c r="C91" s="5"/>
      <c r="D91" s="5">
        <v>549.80010000000004</v>
      </c>
      <c r="E91" s="5">
        <v>549.80010000000004</v>
      </c>
    </row>
    <row r="92" spans="1:5" x14ac:dyDescent="0.3">
      <c r="A92" s="11" t="s">
        <v>809</v>
      </c>
      <c r="B92" s="5"/>
      <c r="C92" s="5">
        <v>6874.4828600000001</v>
      </c>
      <c r="D92" s="5"/>
      <c r="E92" s="5">
        <v>6874.4828600000001</v>
      </c>
    </row>
    <row r="93" spans="1:5" x14ac:dyDescent="0.3">
      <c r="A93" s="11" t="s">
        <v>903</v>
      </c>
      <c r="B93" s="5"/>
      <c r="C93" s="5"/>
      <c r="D93" s="5">
        <v>2316.2621999999997</v>
      </c>
      <c r="E93" s="5">
        <v>2316.2621999999997</v>
      </c>
    </row>
    <row r="94" spans="1:5" x14ac:dyDescent="0.3">
      <c r="A94" s="11" t="s">
        <v>1247</v>
      </c>
      <c r="B94" s="5">
        <v>33308.550000000003</v>
      </c>
      <c r="C94" s="5"/>
      <c r="D94" s="5"/>
      <c r="E94" s="5">
        <v>33308.550000000003</v>
      </c>
    </row>
    <row r="95" spans="1:5" x14ac:dyDescent="0.3">
      <c r="A95" s="11" t="s">
        <v>1205</v>
      </c>
      <c r="B95" s="5">
        <v>15374.563199999999</v>
      </c>
      <c r="C95" s="5"/>
      <c r="D95" s="5"/>
      <c r="E95" s="5">
        <v>15374.563199999999</v>
      </c>
    </row>
    <row r="96" spans="1:5" x14ac:dyDescent="0.3">
      <c r="A96" s="11" t="s">
        <v>1313</v>
      </c>
      <c r="B96" s="5"/>
      <c r="C96" s="5"/>
      <c r="D96" s="5">
        <v>6137.8019999999988</v>
      </c>
      <c r="E96" s="5">
        <v>6137.8019999999988</v>
      </c>
    </row>
    <row r="97" spans="1:5" x14ac:dyDescent="0.3">
      <c r="A97" s="11" t="s">
        <v>1341</v>
      </c>
      <c r="B97" s="5"/>
      <c r="C97" s="5"/>
      <c r="D97" s="5">
        <v>2077.46</v>
      </c>
      <c r="E97" s="5">
        <v>2077.46</v>
      </c>
    </row>
    <row r="98" spans="1:5" x14ac:dyDescent="0.3">
      <c r="A98" s="11" t="s">
        <v>1358</v>
      </c>
      <c r="B98" s="5">
        <v>13983.752729999998</v>
      </c>
      <c r="C98" s="5"/>
      <c r="D98" s="5"/>
      <c r="E98" s="5">
        <v>13983.752729999998</v>
      </c>
    </row>
    <row r="99" spans="1:5" x14ac:dyDescent="0.3">
      <c r="A99" s="11" t="s">
        <v>768</v>
      </c>
      <c r="B99" s="5">
        <v>27331.829999999998</v>
      </c>
      <c r="C99" s="5"/>
      <c r="D99" s="5"/>
      <c r="E99" s="5">
        <v>27331.829999999998</v>
      </c>
    </row>
    <row r="100" spans="1:5" x14ac:dyDescent="0.3">
      <c r="A100" s="11" t="s">
        <v>906</v>
      </c>
      <c r="B100" s="5"/>
      <c r="C100" s="5"/>
      <c r="D100" s="5">
        <v>97.0154</v>
      </c>
      <c r="E100" s="5">
        <v>97.0154</v>
      </c>
    </row>
    <row r="101" spans="1:5" x14ac:dyDescent="0.3">
      <c r="A101" s="11" t="s">
        <v>1361</v>
      </c>
      <c r="B101" s="5">
        <v>40476.013200000001</v>
      </c>
      <c r="C101" s="5"/>
      <c r="D101" s="5"/>
      <c r="E101" s="5">
        <v>40476.013200000001</v>
      </c>
    </row>
    <row r="102" spans="1:5" x14ac:dyDescent="0.3">
      <c r="A102" s="11" t="s">
        <v>1135</v>
      </c>
      <c r="B102" s="5">
        <v>16946.091840000001</v>
      </c>
      <c r="C102" s="5"/>
      <c r="D102" s="5"/>
      <c r="E102" s="5">
        <v>16946.091840000001</v>
      </c>
    </row>
    <row r="103" spans="1:5" x14ac:dyDescent="0.3">
      <c r="A103" s="11" t="s">
        <v>860</v>
      </c>
      <c r="B103" s="5">
        <v>65111.38614000001</v>
      </c>
      <c r="C103" s="5"/>
      <c r="D103" s="5"/>
      <c r="E103" s="5">
        <v>65111.38614000001</v>
      </c>
    </row>
    <row r="104" spans="1:5" x14ac:dyDescent="0.3">
      <c r="A104" s="11" t="s">
        <v>1125</v>
      </c>
      <c r="B104" s="5">
        <v>52361.645000000004</v>
      </c>
      <c r="C104" s="5"/>
      <c r="D104" s="5"/>
      <c r="E104" s="5">
        <v>52361.645000000004</v>
      </c>
    </row>
    <row r="105" spans="1:5" x14ac:dyDescent="0.3">
      <c r="A105" s="11" t="s">
        <v>858</v>
      </c>
      <c r="B105" s="5"/>
      <c r="C105" s="5"/>
      <c r="D105" s="5">
        <v>2072.9258400000003</v>
      </c>
      <c r="E105" s="5">
        <v>2072.9258400000003</v>
      </c>
    </row>
    <row r="106" spans="1:5" x14ac:dyDescent="0.3">
      <c r="A106" s="11" t="s">
        <v>1218</v>
      </c>
      <c r="B106" s="5"/>
      <c r="C106" s="5"/>
      <c r="D106" s="5">
        <v>6063.2517199999993</v>
      </c>
      <c r="E106" s="5">
        <v>6063.2517199999993</v>
      </c>
    </row>
    <row r="107" spans="1:5" x14ac:dyDescent="0.3">
      <c r="A107" s="11" t="s">
        <v>1257</v>
      </c>
      <c r="B107" s="5"/>
      <c r="C107" s="5"/>
      <c r="D107" s="5">
        <v>6435.2555999999995</v>
      </c>
      <c r="E107" s="5">
        <v>6435.2555999999995</v>
      </c>
    </row>
    <row r="108" spans="1:5" x14ac:dyDescent="0.3">
      <c r="A108" s="11" t="s">
        <v>1111</v>
      </c>
      <c r="B108" s="5">
        <v>15348.702599999999</v>
      </c>
      <c r="C108" s="5"/>
      <c r="D108" s="5"/>
      <c r="E108" s="5">
        <v>15348.702599999999</v>
      </c>
    </row>
    <row r="109" spans="1:5" x14ac:dyDescent="0.3">
      <c r="A109" s="11" t="s">
        <v>758</v>
      </c>
      <c r="B109" s="5">
        <v>24894.430559999997</v>
      </c>
      <c r="C109" s="5"/>
      <c r="D109" s="5"/>
      <c r="E109" s="5">
        <v>24894.430559999997</v>
      </c>
    </row>
    <row r="110" spans="1:5" x14ac:dyDescent="0.3">
      <c r="A110" s="11" t="s">
        <v>821</v>
      </c>
      <c r="B110" s="5"/>
      <c r="C110" s="5"/>
      <c r="D110" s="5">
        <v>1654.8966000000003</v>
      </c>
      <c r="E110" s="5">
        <v>1654.8966000000003</v>
      </c>
    </row>
    <row r="111" spans="1:5" x14ac:dyDescent="0.3">
      <c r="A111" s="11" t="s">
        <v>816</v>
      </c>
      <c r="B111" s="5"/>
      <c r="C111" s="5"/>
      <c r="D111" s="5">
        <v>5331.6696000000002</v>
      </c>
      <c r="E111" s="5">
        <v>5331.6696000000002</v>
      </c>
    </row>
    <row r="112" spans="1:5" x14ac:dyDescent="0.3">
      <c r="A112" s="11" t="s">
        <v>1058</v>
      </c>
      <c r="B112" s="5">
        <v>26015.449459999996</v>
      </c>
      <c r="C112" s="5"/>
      <c r="D112" s="5"/>
      <c r="E112" s="5">
        <v>26015.449459999996</v>
      </c>
    </row>
    <row r="113" spans="1:5" x14ac:dyDescent="0.3">
      <c r="A113" s="11" t="s">
        <v>1244</v>
      </c>
      <c r="B113" s="5"/>
      <c r="C113" s="5"/>
      <c r="D113" s="5">
        <v>3525.5505600000001</v>
      </c>
      <c r="E113" s="5">
        <v>3525.5505600000001</v>
      </c>
    </row>
    <row r="114" spans="1:5" x14ac:dyDescent="0.3">
      <c r="A114" s="11" t="s">
        <v>1101</v>
      </c>
      <c r="B114" s="5">
        <v>18554.370299999999</v>
      </c>
      <c r="C114" s="5"/>
      <c r="D114" s="5"/>
      <c r="E114" s="5">
        <v>18554.370299999999</v>
      </c>
    </row>
    <row r="115" spans="1:5" x14ac:dyDescent="0.3">
      <c r="A115" s="11" t="s">
        <v>1192</v>
      </c>
      <c r="B115" s="5">
        <v>24321.57</v>
      </c>
      <c r="C115" s="5"/>
      <c r="D115" s="5"/>
      <c r="E115" s="5">
        <v>24321.57</v>
      </c>
    </row>
    <row r="116" spans="1:5" x14ac:dyDescent="0.3">
      <c r="A116" s="11" t="s">
        <v>746</v>
      </c>
      <c r="B116" s="5"/>
      <c r="C116" s="5"/>
      <c r="D116" s="5">
        <v>4968.5039999999999</v>
      </c>
      <c r="E116" s="5">
        <v>4968.5039999999999</v>
      </c>
    </row>
    <row r="117" spans="1:5" x14ac:dyDescent="0.3">
      <c r="A117" s="11" t="s">
        <v>870</v>
      </c>
      <c r="B117" s="5"/>
      <c r="C117" s="5">
        <v>9698.1638399999993</v>
      </c>
      <c r="D117" s="5"/>
      <c r="E117" s="5">
        <v>9698.1638399999993</v>
      </c>
    </row>
    <row r="118" spans="1:5" x14ac:dyDescent="0.3">
      <c r="A118" s="11" t="s">
        <v>743</v>
      </c>
      <c r="B118" s="5">
        <v>60928.502359999999</v>
      </c>
      <c r="C118" s="5"/>
      <c r="D118" s="5"/>
      <c r="E118" s="5">
        <v>60928.502359999999</v>
      </c>
    </row>
    <row r="119" spans="1:5" x14ac:dyDescent="0.3">
      <c r="A119" s="11" t="s">
        <v>1028</v>
      </c>
      <c r="B119" s="5"/>
      <c r="C119" s="5">
        <v>8903.4839999999986</v>
      </c>
      <c r="D119" s="5"/>
      <c r="E119" s="5">
        <v>8903.4839999999986</v>
      </c>
    </row>
    <row r="120" spans="1:5" x14ac:dyDescent="0.3">
      <c r="A120" s="11" t="s">
        <v>891</v>
      </c>
      <c r="B120" s="5">
        <v>24147.922500000001</v>
      </c>
      <c r="C120" s="5"/>
      <c r="D120" s="5"/>
      <c r="E120" s="5">
        <v>24147.922500000001</v>
      </c>
    </row>
    <row r="121" spans="1:5" x14ac:dyDescent="0.3">
      <c r="A121" s="11" t="s">
        <v>1198</v>
      </c>
      <c r="B121" s="5">
        <v>84136.119600000005</v>
      </c>
      <c r="C121" s="5"/>
      <c r="D121" s="5"/>
      <c r="E121" s="5">
        <v>84136.119600000005</v>
      </c>
    </row>
    <row r="122" spans="1:5" x14ac:dyDescent="0.3">
      <c r="A122" s="11" t="s">
        <v>944</v>
      </c>
      <c r="B122" s="5">
        <v>18061.204320000004</v>
      </c>
      <c r="C122" s="5"/>
      <c r="D122" s="5"/>
      <c r="E122" s="5">
        <v>18061.204320000004</v>
      </c>
    </row>
    <row r="123" spans="1:5" x14ac:dyDescent="0.3">
      <c r="A123" s="11" t="s">
        <v>1049</v>
      </c>
      <c r="B123" s="5"/>
      <c r="C123" s="5">
        <v>8780.5809000000008</v>
      </c>
      <c r="D123" s="5"/>
      <c r="E123" s="5">
        <v>8780.5809000000008</v>
      </c>
    </row>
    <row r="124" spans="1:5" x14ac:dyDescent="0.3">
      <c r="A124" s="11" t="s">
        <v>1201</v>
      </c>
      <c r="B124" s="5">
        <v>25269.09</v>
      </c>
      <c r="C124" s="5"/>
      <c r="D124" s="5"/>
      <c r="E124" s="5">
        <v>25269.09</v>
      </c>
    </row>
    <row r="125" spans="1:5" x14ac:dyDescent="0.3">
      <c r="A125" s="11" t="s">
        <v>819</v>
      </c>
      <c r="B125" s="5"/>
      <c r="C125" s="5">
        <v>13146.470699999998</v>
      </c>
      <c r="D125" s="5"/>
      <c r="E125" s="5">
        <v>13146.470699999998</v>
      </c>
    </row>
    <row r="126" spans="1:5" x14ac:dyDescent="0.3">
      <c r="A126" s="11" t="s">
        <v>895</v>
      </c>
      <c r="B126" s="5"/>
      <c r="C126" s="5"/>
      <c r="D126" s="5">
        <v>5650.1744000000008</v>
      </c>
      <c r="E126" s="5">
        <v>5650.1744000000008</v>
      </c>
    </row>
    <row r="127" spans="1:5" x14ac:dyDescent="0.3">
      <c r="A127" s="11" t="s">
        <v>994</v>
      </c>
      <c r="B127" s="5">
        <v>22882.675440000003</v>
      </c>
      <c r="C127" s="5"/>
      <c r="D127" s="5"/>
      <c r="E127" s="5">
        <v>22882.675440000003</v>
      </c>
    </row>
    <row r="128" spans="1:5" x14ac:dyDescent="0.3">
      <c r="A128" s="11" t="s">
        <v>1082</v>
      </c>
      <c r="B128" s="5">
        <v>27158.894079999998</v>
      </c>
      <c r="C128" s="5"/>
      <c r="D128" s="5"/>
      <c r="E128" s="5">
        <v>27158.894079999998</v>
      </c>
    </row>
    <row r="129" spans="1:5" x14ac:dyDescent="0.3">
      <c r="A129" s="11" t="s">
        <v>990</v>
      </c>
      <c r="B129" s="5">
        <v>19073.059649999999</v>
      </c>
      <c r="C129" s="5"/>
      <c r="D129" s="5"/>
      <c r="E129" s="5">
        <v>19073.059649999999</v>
      </c>
    </row>
    <row r="130" spans="1:5" x14ac:dyDescent="0.3">
      <c r="A130" s="11" t="s">
        <v>1307</v>
      </c>
      <c r="B130" s="5"/>
      <c r="C130" s="5"/>
      <c r="D130" s="5">
        <v>496.98660000000001</v>
      </c>
      <c r="E130" s="5">
        <v>496.98660000000001</v>
      </c>
    </row>
    <row r="131" spans="1:5" x14ac:dyDescent="0.3">
      <c r="A131" s="11" t="s">
        <v>954</v>
      </c>
      <c r="B131" s="5">
        <v>13519.529099999998</v>
      </c>
      <c r="C131" s="5"/>
      <c r="D131" s="5"/>
      <c r="E131" s="5">
        <v>13519.529099999998</v>
      </c>
    </row>
    <row r="132" spans="1:5" x14ac:dyDescent="0.3">
      <c r="A132" s="11" t="s">
        <v>1351</v>
      </c>
      <c r="B132" s="5">
        <v>41419.524249999995</v>
      </c>
      <c r="C132" s="5"/>
      <c r="D132" s="5"/>
      <c r="E132" s="5">
        <v>41419.524249999995</v>
      </c>
    </row>
    <row r="133" spans="1:5" x14ac:dyDescent="0.3">
      <c r="A133" s="11" t="s">
        <v>1328</v>
      </c>
      <c r="B133" s="5"/>
      <c r="C133" s="5">
        <v>8128.5187499999993</v>
      </c>
      <c r="D133" s="5"/>
      <c r="E133" s="5">
        <v>8128.5187499999993</v>
      </c>
    </row>
    <row r="134" spans="1:5" x14ac:dyDescent="0.3">
      <c r="A134" s="11" t="s">
        <v>1060</v>
      </c>
      <c r="B134" s="5"/>
      <c r="C134" s="5"/>
      <c r="D134" s="5">
        <v>2373.9623200000001</v>
      </c>
      <c r="E134" s="5">
        <v>2373.9623200000001</v>
      </c>
    </row>
    <row r="135" spans="1:5" x14ac:dyDescent="0.3">
      <c r="A135" s="11" t="s">
        <v>808</v>
      </c>
      <c r="B135" s="5"/>
      <c r="C135" s="5"/>
      <c r="D135" s="5">
        <v>4717.72</v>
      </c>
      <c r="E135" s="5">
        <v>4717.72</v>
      </c>
    </row>
    <row r="136" spans="1:5" x14ac:dyDescent="0.3">
      <c r="A136" s="11" t="s">
        <v>905</v>
      </c>
      <c r="B136" s="5"/>
      <c r="C136" s="5">
        <v>8928.9795999999988</v>
      </c>
      <c r="D136" s="5"/>
      <c r="E136" s="5">
        <v>8928.9795999999988</v>
      </c>
    </row>
    <row r="137" spans="1:5" x14ac:dyDescent="0.3">
      <c r="A137" s="11" t="s">
        <v>1323</v>
      </c>
      <c r="B137" s="5"/>
      <c r="C137" s="5">
        <v>11742.8703</v>
      </c>
      <c r="D137" s="5"/>
      <c r="E137" s="5">
        <v>11742.8703</v>
      </c>
    </row>
    <row r="138" spans="1:5" x14ac:dyDescent="0.3">
      <c r="A138" s="11" t="s">
        <v>1224</v>
      </c>
      <c r="B138" s="5"/>
      <c r="C138" s="5">
        <v>6664.0999999999995</v>
      </c>
      <c r="D138" s="5"/>
      <c r="E138" s="5">
        <v>6664.0999999999995</v>
      </c>
    </row>
    <row r="139" spans="1:5" x14ac:dyDescent="0.3">
      <c r="A139" s="11" t="s">
        <v>1252</v>
      </c>
      <c r="B139" s="5"/>
      <c r="C139" s="5"/>
      <c r="D139" s="5">
        <v>855.72881999999993</v>
      </c>
      <c r="E139" s="5">
        <v>855.72881999999993</v>
      </c>
    </row>
    <row r="140" spans="1:5" x14ac:dyDescent="0.3">
      <c r="A140" s="11" t="s">
        <v>1197</v>
      </c>
      <c r="B140" s="5"/>
      <c r="C140" s="5"/>
      <c r="D140" s="5">
        <v>1808.04592</v>
      </c>
      <c r="E140" s="5">
        <v>1808.04592</v>
      </c>
    </row>
    <row r="141" spans="1:5" x14ac:dyDescent="0.3">
      <c r="A141" s="11" t="s">
        <v>812</v>
      </c>
      <c r="B141" s="5"/>
      <c r="C141" s="5">
        <v>21787.936199999996</v>
      </c>
      <c r="D141" s="5"/>
      <c r="E141" s="5">
        <v>21787.936199999996</v>
      </c>
    </row>
    <row r="142" spans="1:5" x14ac:dyDescent="0.3">
      <c r="A142" s="11" t="s">
        <v>1253</v>
      </c>
      <c r="B142" s="5"/>
      <c r="C142" s="5">
        <v>7399.4832000000006</v>
      </c>
      <c r="D142" s="5"/>
      <c r="E142" s="5">
        <v>7399.4832000000006</v>
      </c>
    </row>
    <row r="143" spans="1:5" x14ac:dyDescent="0.3">
      <c r="A143" s="11" t="s">
        <v>1298</v>
      </c>
      <c r="B143" s="5">
        <v>17540.201120000002</v>
      </c>
      <c r="C143" s="5"/>
      <c r="D143" s="5"/>
      <c r="E143" s="5">
        <v>17540.201120000002</v>
      </c>
    </row>
    <row r="144" spans="1:5" x14ac:dyDescent="0.3">
      <c r="A144" s="11" t="s">
        <v>778</v>
      </c>
      <c r="B144" s="5">
        <v>17930.494560000003</v>
      </c>
      <c r="C144" s="5"/>
      <c r="D144" s="5"/>
      <c r="E144" s="5">
        <v>17930.494560000003</v>
      </c>
    </row>
    <row r="145" spans="1:5" x14ac:dyDescent="0.3">
      <c r="A145" s="11" t="s">
        <v>861</v>
      </c>
      <c r="B145" s="5"/>
      <c r="C145" s="5"/>
      <c r="D145" s="5">
        <v>853.32276999999988</v>
      </c>
      <c r="E145" s="5">
        <v>853.32276999999988</v>
      </c>
    </row>
    <row r="146" spans="1:5" x14ac:dyDescent="0.3">
      <c r="A146" s="11" t="s">
        <v>859</v>
      </c>
      <c r="B146" s="5"/>
      <c r="C146" s="5">
        <v>8909.8587200000002</v>
      </c>
      <c r="D146" s="5"/>
      <c r="E146" s="5">
        <v>8909.8587200000002</v>
      </c>
    </row>
    <row r="147" spans="1:5" x14ac:dyDescent="0.3">
      <c r="A147" s="11" t="s">
        <v>844</v>
      </c>
      <c r="B147" s="5">
        <v>27676.35</v>
      </c>
      <c r="C147" s="5"/>
      <c r="D147" s="5"/>
      <c r="E147" s="5">
        <v>27676.35</v>
      </c>
    </row>
    <row r="148" spans="1:5" x14ac:dyDescent="0.3">
      <c r="A148" s="11" t="s">
        <v>1302</v>
      </c>
      <c r="B148" s="5"/>
      <c r="C148" s="5"/>
      <c r="D148" s="5">
        <v>3378.1478400000001</v>
      </c>
      <c r="E148" s="5">
        <v>3378.1478400000001</v>
      </c>
    </row>
    <row r="149" spans="1:5" x14ac:dyDescent="0.3">
      <c r="A149" s="11" t="s">
        <v>1238</v>
      </c>
      <c r="B149" s="5">
        <v>32335.21802</v>
      </c>
      <c r="C149" s="5"/>
      <c r="D149" s="5"/>
      <c r="E149" s="5">
        <v>32335.21802</v>
      </c>
    </row>
    <row r="150" spans="1:5" x14ac:dyDescent="0.3">
      <c r="A150" s="11" t="s">
        <v>1193</v>
      </c>
      <c r="B150" s="5"/>
      <c r="C150" s="5"/>
      <c r="D150" s="5">
        <v>1662.6945600000001</v>
      </c>
      <c r="E150" s="5">
        <v>1662.6945600000001</v>
      </c>
    </row>
    <row r="151" spans="1:5" x14ac:dyDescent="0.3">
      <c r="A151" s="11" t="s">
        <v>1185</v>
      </c>
      <c r="B151" s="5">
        <v>23694.405119999999</v>
      </c>
      <c r="C151" s="5"/>
      <c r="D151" s="5"/>
      <c r="E151" s="5">
        <v>23694.405119999999</v>
      </c>
    </row>
    <row r="152" spans="1:5" x14ac:dyDescent="0.3">
      <c r="A152" s="11" t="s">
        <v>1131</v>
      </c>
      <c r="B152" s="5"/>
      <c r="C152" s="5">
        <v>13185.543</v>
      </c>
      <c r="D152" s="5"/>
      <c r="E152" s="5">
        <v>13185.543</v>
      </c>
    </row>
    <row r="153" spans="1:5" x14ac:dyDescent="0.3">
      <c r="A153" s="11" t="s">
        <v>764</v>
      </c>
      <c r="B153" s="5"/>
      <c r="C153" s="5">
        <v>9805.8573800000013</v>
      </c>
      <c r="D153" s="5"/>
      <c r="E153" s="5">
        <v>9805.8573800000013</v>
      </c>
    </row>
    <row r="154" spans="1:5" x14ac:dyDescent="0.3">
      <c r="A154" s="11" t="s">
        <v>964</v>
      </c>
      <c r="B154" s="5"/>
      <c r="C154" s="5"/>
      <c r="D154" s="5">
        <v>667.15008</v>
      </c>
      <c r="E154" s="5">
        <v>667.15008</v>
      </c>
    </row>
    <row r="155" spans="1:5" x14ac:dyDescent="0.3">
      <c r="A155" s="11" t="s">
        <v>795</v>
      </c>
      <c r="B155" s="5">
        <v>27701.570400000001</v>
      </c>
      <c r="C155" s="5"/>
      <c r="D155" s="5"/>
      <c r="E155" s="5">
        <v>27701.570400000001</v>
      </c>
    </row>
    <row r="156" spans="1:5" x14ac:dyDescent="0.3">
      <c r="A156" s="11" t="s">
        <v>1099</v>
      </c>
      <c r="B156" s="5">
        <v>21584.693520000001</v>
      </c>
      <c r="C156" s="5"/>
      <c r="D156" s="5"/>
      <c r="E156" s="5">
        <v>21584.693520000001</v>
      </c>
    </row>
    <row r="157" spans="1:5" x14ac:dyDescent="0.3">
      <c r="A157" s="11" t="s">
        <v>956</v>
      </c>
      <c r="B157" s="5"/>
      <c r="C157" s="5"/>
      <c r="D157" s="5">
        <v>4503.4363999999996</v>
      </c>
      <c r="E157" s="5">
        <v>4503.4363999999996</v>
      </c>
    </row>
    <row r="158" spans="1:5" x14ac:dyDescent="0.3">
      <c r="A158" s="11" t="s">
        <v>940</v>
      </c>
      <c r="B158" s="5"/>
      <c r="C158" s="5">
        <v>6702.3501999999999</v>
      </c>
      <c r="D158" s="5"/>
      <c r="E158" s="5">
        <v>6702.3501999999999</v>
      </c>
    </row>
    <row r="159" spans="1:5" x14ac:dyDescent="0.3">
      <c r="A159" s="11" t="s">
        <v>803</v>
      </c>
      <c r="B159" s="5"/>
      <c r="C159" s="5">
        <v>8930.7124999999996</v>
      </c>
      <c r="D159" s="5"/>
      <c r="E159" s="5">
        <v>8930.7124999999996</v>
      </c>
    </row>
    <row r="160" spans="1:5" x14ac:dyDescent="0.3">
      <c r="A160" s="11" t="s">
        <v>984</v>
      </c>
      <c r="B160" s="5"/>
      <c r="C160" s="5">
        <v>12186.368600000002</v>
      </c>
      <c r="D160" s="5"/>
      <c r="E160" s="5">
        <v>12186.368600000002</v>
      </c>
    </row>
    <row r="161" spans="1:5" x14ac:dyDescent="0.3">
      <c r="A161" s="11" t="s">
        <v>770</v>
      </c>
      <c r="B161" s="5">
        <v>18957.37689</v>
      </c>
      <c r="C161" s="5"/>
      <c r="D161" s="5"/>
      <c r="E161" s="5">
        <v>18957.37689</v>
      </c>
    </row>
    <row r="162" spans="1:5" x14ac:dyDescent="0.3">
      <c r="A162" s="11" t="s">
        <v>794</v>
      </c>
      <c r="B162" s="5">
        <v>33687.501800000005</v>
      </c>
      <c r="C162" s="5"/>
      <c r="D162" s="5"/>
      <c r="E162" s="5">
        <v>33687.501800000005</v>
      </c>
    </row>
    <row r="163" spans="1:5" x14ac:dyDescent="0.3">
      <c r="A163" s="11" t="s">
        <v>839</v>
      </c>
      <c r="B163" s="5"/>
      <c r="C163" s="5">
        <v>12080.215199999999</v>
      </c>
      <c r="D163" s="5"/>
      <c r="E163" s="5">
        <v>12080.215199999999</v>
      </c>
    </row>
    <row r="164" spans="1:5" x14ac:dyDescent="0.3">
      <c r="A164" s="11" t="s">
        <v>1245</v>
      </c>
      <c r="B164" s="5">
        <v>50296.415399999998</v>
      </c>
      <c r="C164" s="5"/>
      <c r="D164" s="5"/>
      <c r="E164" s="5">
        <v>50296.415399999998</v>
      </c>
    </row>
    <row r="165" spans="1:5" x14ac:dyDescent="0.3">
      <c r="A165" s="11" t="s">
        <v>835</v>
      </c>
      <c r="B165" s="5"/>
      <c r="C165" s="5"/>
      <c r="D165" s="5">
        <v>6324.5775999999996</v>
      </c>
      <c r="E165" s="5">
        <v>6324.5775999999996</v>
      </c>
    </row>
    <row r="166" spans="1:5" x14ac:dyDescent="0.3">
      <c r="A166" s="11" t="s">
        <v>820</v>
      </c>
      <c r="B166" s="5">
        <v>14197.064400000001</v>
      </c>
      <c r="C166" s="5"/>
      <c r="D166" s="5"/>
      <c r="E166" s="5">
        <v>14197.064400000001</v>
      </c>
    </row>
    <row r="167" spans="1:5" x14ac:dyDescent="0.3">
      <c r="A167" s="11" t="s">
        <v>968</v>
      </c>
      <c r="B167" s="5">
        <v>14269.848599999999</v>
      </c>
      <c r="C167" s="5"/>
      <c r="D167" s="5"/>
      <c r="E167" s="5">
        <v>14269.848599999999</v>
      </c>
    </row>
    <row r="168" spans="1:5" x14ac:dyDescent="0.3">
      <c r="A168" s="11" t="s">
        <v>734</v>
      </c>
      <c r="B168" s="5"/>
      <c r="C168" s="5"/>
      <c r="D168" s="5">
        <v>4866.3287999999993</v>
      </c>
      <c r="E168" s="5">
        <v>4866.3287999999993</v>
      </c>
    </row>
    <row r="169" spans="1:5" x14ac:dyDescent="0.3">
      <c r="A169" s="11" t="s">
        <v>771</v>
      </c>
      <c r="B169" s="5"/>
      <c r="C169" s="5">
        <v>11995.153920000001</v>
      </c>
      <c r="D169" s="5"/>
      <c r="E169" s="5">
        <v>11995.153920000001</v>
      </c>
    </row>
    <row r="170" spans="1:5" x14ac:dyDescent="0.3">
      <c r="A170" s="11" t="s">
        <v>1127</v>
      </c>
      <c r="B170" s="5">
        <v>19800.88896</v>
      </c>
      <c r="C170" s="5"/>
      <c r="D170" s="5"/>
      <c r="E170" s="5">
        <v>19800.88896</v>
      </c>
    </row>
    <row r="171" spans="1:5" x14ac:dyDescent="0.3">
      <c r="A171" s="11" t="s">
        <v>1170</v>
      </c>
      <c r="B171" s="5"/>
      <c r="C171" s="5">
        <v>7340.3891399999993</v>
      </c>
      <c r="D171" s="5"/>
      <c r="E171" s="5">
        <v>7340.3891399999993</v>
      </c>
    </row>
    <row r="172" spans="1:5" x14ac:dyDescent="0.3">
      <c r="A172" s="11" t="s">
        <v>1137</v>
      </c>
      <c r="B172" s="5"/>
      <c r="C172" s="5">
        <v>7832.0010999999995</v>
      </c>
      <c r="D172" s="5"/>
      <c r="E172" s="5">
        <v>7832.0010999999995</v>
      </c>
    </row>
    <row r="173" spans="1:5" x14ac:dyDescent="0.3">
      <c r="A173" s="11" t="s">
        <v>1023</v>
      </c>
      <c r="B173" s="5"/>
      <c r="C173" s="5">
        <v>10456.416880000001</v>
      </c>
      <c r="D173" s="5"/>
      <c r="E173" s="5">
        <v>10456.416880000001</v>
      </c>
    </row>
    <row r="174" spans="1:5" x14ac:dyDescent="0.3">
      <c r="A174" s="11" t="s">
        <v>1210</v>
      </c>
      <c r="B174" s="5"/>
      <c r="C174" s="5"/>
      <c r="D174" s="5">
        <v>4212.3745999999992</v>
      </c>
      <c r="E174" s="5">
        <v>4212.3745999999992</v>
      </c>
    </row>
    <row r="175" spans="1:5" x14ac:dyDescent="0.3">
      <c r="A175" s="11" t="s">
        <v>971</v>
      </c>
      <c r="B175" s="5">
        <v>139277.83032000001</v>
      </c>
      <c r="C175" s="5"/>
      <c r="D175" s="5"/>
      <c r="E175" s="5">
        <v>139277.83032000001</v>
      </c>
    </row>
    <row r="176" spans="1:5" x14ac:dyDescent="0.3">
      <c r="A176" s="11" t="s">
        <v>1319</v>
      </c>
      <c r="B176" s="5">
        <v>25131.155999999999</v>
      </c>
      <c r="C176" s="5"/>
      <c r="D176" s="5"/>
      <c r="E176" s="5">
        <v>25131.155999999999</v>
      </c>
    </row>
    <row r="177" spans="1:5" x14ac:dyDescent="0.3">
      <c r="A177" s="11" t="s">
        <v>911</v>
      </c>
      <c r="B177" s="5"/>
      <c r="C177" s="5"/>
      <c r="D177" s="5">
        <v>321.93290999999999</v>
      </c>
      <c r="E177" s="5">
        <v>321.93290999999999</v>
      </c>
    </row>
    <row r="178" spans="1:5" x14ac:dyDescent="0.3">
      <c r="A178" s="11" t="s">
        <v>1034</v>
      </c>
      <c r="B178" s="5">
        <v>25577.274079999999</v>
      </c>
      <c r="C178" s="5"/>
      <c r="D178" s="5"/>
      <c r="E178" s="5">
        <v>25577.274079999999</v>
      </c>
    </row>
    <row r="179" spans="1:5" x14ac:dyDescent="0.3">
      <c r="A179" s="11" t="s">
        <v>1001</v>
      </c>
      <c r="B179" s="5">
        <v>17594.028880000002</v>
      </c>
      <c r="C179" s="5"/>
      <c r="D179" s="5"/>
      <c r="E179" s="5">
        <v>17594.028880000002</v>
      </c>
    </row>
    <row r="180" spans="1:5" x14ac:dyDescent="0.3">
      <c r="A180" s="11" t="s">
        <v>1293</v>
      </c>
      <c r="B180" s="5"/>
      <c r="C180" s="5">
        <v>6766.9829999999993</v>
      </c>
      <c r="D180" s="5"/>
      <c r="E180" s="5">
        <v>6766.9829999999993</v>
      </c>
    </row>
    <row r="181" spans="1:5" x14ac:dyDescent="0.3">
      <c r="A181" s="11" t="s">
        <v>1057</v>
      </c>
      <c r="B181" s="5"/>
      <c r="C181" s="5"/>
      <c r="D181" s="5">
        <v>703.2428000000001</v>
      </c>
      <c r="E181" s="5">
        <v>703.2428000000001</v>
      </c>
    </row>
    <row r="182" spans="1:5" x14ac:dyDescent="0.3">
      <c r="A182" s="11" t="s">
        <v>1209</v>
      </c>
      <c r="B182" s="5"/>
      <c r="C182" s="5"/>
      <c r="D182" s="5">
        <v>1009.2969000000002</v>
      </c>
      <c r="E182" s="5">
        <v>1009.2969000000002</v>
      </c>
    </row>
    <row r="183" spans="1:5" x14ac:dyDescent="0.3">
      <c r="A183" s="11" t="s">
        <v>1211</v>
      </c>
      <c r="B183" s="5">
        <v>41914.215840000004</v>
      </c>
      <c r="C183" s="5"/>
      <c r="D183" s="5"/>
      <c r="E183" s="5">
        <v>41914.215840000004</v>
      </c>
    </row>
    <row r="184" spans="1:5" x14ac:dyDescent="0.3">
      <c r="A184" s="11" t="s">
        <v>1267</v>
      </c>
      <c r="B184" s="5">
        <v>42433.254400000005</v>
      </c>
      <c r="C184" s="5"/>
      <c r="D184" s="5"/>
      <c r="E184" s="5">
        <v>42433.254400000005</v>
      </c>
    </row>
    <row r="185" spans="1:5" x14ac:dyDescent="0.3">
      <c r="A185" s="11" t="s">
        <v>900</v>
      </c>
      <c r="B185" s="5">
        <v>14448.298699999998</v>
      </c>
      <c r="C185" s="5"/>
      <c r="D185" s="5"/>
      <c r="E185" s="5">
        <v>14448.298699999998</v>
      </c>
    </row>
    <row r="186" spans="1:5" x14ac:dyDescent="0.3">
      <c r="A186" s="11" t="s">
        <v>879</v>
      </c>
      <c r="B186" s="5"/>
      <c r="C186" s="5">
        <v>12954.358080000002</v>
      </c>
      <c r="D186" s="5"/>
      <c r="E186" s="5">
        <v>12954.358080000002</v>
      </c>
    </row>
    <row r="187" spans="1:5" x14ac:dyDescent="0.3">
      <c r="A187" s="11" t="s">
        <v>1029</v>
      </c>
      <c r="B187" s="5">
        <v>20455.985130000001</v>
      </c>
      <c r="C187" s="5"/>
      <c r="D187" s="5"/>
      <c r="E187" s="5">
        <v>20455.985130000001</v>
      </c>
    </row>
    <row r="188" spans="1:5" x14ac:dyDescent="0.3">
      <c r="A188" s="11" t="s">
        <v>749</v>
      </c>
      <c r="B188" s="5"/>
      <c r="C188" s="5">
        <v>7090.5672000000004</v>
      </c>
      <c r="D188" s="5"/>
      <c r="E188" s="5">
        <v>7090.5672000000004</v>
      </c>
    </row>
    <row r="189" spans="1:5" x14ac:dyDescent="0.3">
      <c r="A189" s="11" t="s">
        <v>1261</v>
      </c>
      <c r="B189" s="5">
        <v>58526.83122</v>
      </c>
      <c r="C189" s="5"/>
      <c r="D189" s="5"/>
      <c r="E189" s="5">
        <v>58526.83122</v>
      </c>
    </row>
    <row r="190" spans="1:5" x14ac:dyDescent="0.3">
      <c r="A190" s="11" t="s">
        <v>1179</v>
      </c>
      <c r="B190" s="5"/>
      <c r="C190" s="5">
        <v>9771.4483199999995</v>
      </c>
      <c r="D190" s="5"/>
      <c r="E190" s="5">
        <v>9771.4483199999995</v>
      </c>
    </row>
    <row r="191" spans="1:5" x14ac:dyDescent="0.3">
      <c r="A191" s="11" t="s">
        <v>1316</v>
      </c>
      <c r="B191" s="5"/>
      <c r="C191" s="5"/>
      <c r="D191" s="5">
        <v>3823.6151599999998</v>
      </c>
      <c r="E191" s="5">
        <v>3823.6151599999998</v>
      </c>
    </row>
    <row r="192" spans="1:5" x14ac:dyDescent="0.3">
      <c r="A192" s="11" t="s">
        <v>1273</v>
      </c>
      <c r="B192" s="5">
        <v>19581.87</v>
      </c>
      <c r="C192" s="5"/>
      <c r="D192" s="5"/>
      <c r="E192" s="5">
        <v>19581.87</v>
      </c>
    </row>
    <row r="193" spans="1:5" x14ac:dyDescent="0.3">
      <c r="A193" s="11" t="s">
        <v>1083</v>
      </c>
      <c r="B193" s="5"/>
      <c r="C193" s="5">
        <v>12236.874600000001</v>
      </c>
      <c r="D193" s="5"/>
      <c r="E193" s="5">
        <v>12236.874600000001</v>
      </c>
    </row>
    <row r="194" spans="1:5" x14ac:dyDescent="0.3">
      <c r="A194" s="11" t="s">
        <v>853</v>
      </c>
      <c r="B194" s="5"/>
      <c r="C194" s="5"/>
      <c r="D194" s="5">
        <v>592.92849000000001</v>
      </c>
      <c r="E194" s="5">
        <v>592.92849000000001</v>
      </c>
    </row>
    <row r="195" spans="1:5" x14ac:dyDescent="0.3">
      <c r="A195" s="11" t="s">
        <v>1013</v>
      </c>
      <c r="B195" s="5"/>
      <c r="C195" s="5">
        <v>8907.6924999999992</v>
      </c>
      <c r="D195" s="5"/>
      <c r="E195" s="5">
        <v>8907.6924999999992</v>
      </c>
    </row>
    <row r="196" spans="1:5" x14ac:dyDescent="0.3">
      <c r="A196" s="11" t="s">
        <v>980</v>
      </c>
      <c r="B196" s="5"/>
      <c r="C196" s="5">
        <v>9774.3888000000006</v>
      </c>
      <c r="D196" s="5"/>
      <c r="E196" s="5">
        <v>9774.3888000000006</v>
      </c>
    </row>
    <row r="197" spans="1:5" x14ac:dyDescent="0.3">
      <c r="A197" s="11" t="s">
        <v>1118</v>
      </c>
      <c r="B197" s="5">
        <v>22064.910300000003</v>
      </c>
      <c r="C197" s="5"/>
      <c r="D197" s="5"/>
      <c r="E197" s="5">
        <v>22064.910300000003</v>
      </c>
    </row>
    <row r="198" spans="1:5" x14ac:dyDescent="0.3">
      <c r="A198" s="11" t="s">
        <v>973</v>
      </c>
      <c r="B198" s="5"/>
      <c r="C198" s="5"/>
      <c r="D198" s="5">
        <v>3823.5108</v>
      </c>
      <c r="E198" s="5">
        <v>3823.5108</v>
      </c>
    </row>
    <row r="199" spans="1:5" x14ac:dyDescent="0.3">
      <c r="A199" s="11" t="s">
        <v>1104</v>
      </c>
      <c r="B199" s="5"/>
      <c r="C199" s="5"/>
      <c r="D199" s="5">
        <v>4133.25108</v>
      </c>
      <c r="E199" s="5">
        <v>4133.25108</v>
      </c>
    </row>
    <row r="200" spans="1:5" x14ac:dyDescent="0.3">
      <c r="A200" s="11" t="s">
        <v>1363</v>
      </c>
      <c r="B200" s="5"/>
      <c r="C200" s="5"/>
      <c r="D200" s="5">
        <v>266.17821999999995</v>
      </c>
      <c r="E200" s="5">
        <v>266.17821999999995</v>
      </c>
    </row>
    <row r="201" spans="1:5" x14ac:dyDescent="0.3">
      <c r="A201" s="11" t="s">
        <v>1215</v>
      </c>
      <c r="B201" s="5">
        <v>36161.097000000002</v>
      </c>
      <c r="C201" s="5"/>
      <c r="D201" s="5"/>
      <c r="E201" s="5">
        <v>36161.097000000002</v>
      </c>
    </row>
    <row r="202" spans="1:5" x14ac:dyDescent="0.3">
      <c r="A202" s="11" t="s">
        <v>880</v>
      </c>
      <c r="B202" s="5"/>
      <c r="C202" s="5"/>
      <c r="D202" s="5">
        <v>3562.9028999999996</v>
      </c>
      <c r="E202" s="5">
        <v>3562.9028999999996</v>
      </c>
    </row>
    <row r="203" spans="1:5" x14ac:dyDescent="0.3">
      <c r="A203" s="11" t="s">
        <v>753</v>
      </c>
      <c r="B203" s="5">
        <v>39263.702919999996</v>
      </c>
      <c r="C203" s="5"/>
      <c r="D203" s="5"/>
      <c r="E203" s="5">
        <v>39263.702919999996</v>
      </c>
    </row>
    <row r="204" spans="1:5" x14ac:dyDescent="0.3">
      <c r="A204" s="11" t="s">
        <v>798</v>
      </c>
      <c r="B204" s="5">
        <v>26304.275999999998</v>
      </c>
      <c r="C204" s="5"/>
      <c r="D204" s="5"/>
      <c r="E204" s="5">
        <v>26304.275999999998</v>
      </c>
    </row>
    <row r="205" spans="1:5" x14ac:dyDescent="0.3">
      <c r="A205" s="11" t="s">
        <v>998</v>
      </c>
      <c r="B205" s="5">
        <v>40139.874619999995</v>
      </c>
      <c r="C205" s="5"/>
      <c r="D205" s="5"/>
      <c r="E205" s="5">
        <v>40139.874619999995</v>
      </c>
    </row>
    <row r="206" spans="1:5" x14ac:dyDescent="0.3">
      <c r="A206" s="11" t="s">
        <v>1241</v>
      </c>
      <c r="B206" s="5"/>
      <c r="C206" s="5"/>
      <c r="D206" s="5">
        <v>3921.1744000000008</v>
      </c>
      <c r="E206" s="5">
        <v>3921.1744000000008</v>
      </c>
    </row>
    <row r="207" spans="1:5" x14ac:dyDescent="0.3">
      <c r="A207" s="11" t="s">
        <v>1305</v>
      </c>
      <c r="B207" s="5">
        <v>19139.594240000002</v>
      </c>
      <c r="C207" s="5"/>
      <c r="D207" s="5"/>
      <c r="E207" s="5">
        <v>19139.594240000002</v>
      </c>
    </row>
    <row r="208" spans="1:5" x14ac:dyDescent="0.3">
      <c r="A208" s="11" t="s">
        <v>1079</v>
      </c>
      <c r="B208" s="5">
        <v>13637.287999999999</v>
      </c>
      <c r="C208" s="5"/>
      <c r="D208" s="5"/>
      <c r="E208" s="5">
        <v>13637.287999999999</v>
      </c>
    </row>
    <row r="209" spans="1:5" x14ac:dyDescent="0.3">
      <c r="A209" s="11" t="s">
        <v>833</v>
      </c>
      <c r="B209" s="5">
        <v>25502.910479999999</v>
      </c>
      <c r="C209" s="5"/>
      <c r="D209" s="5"/>
      <c r="E209" s="5">
        <v>25502.910479999999</v>
      </c>
    </row>
    <row r="210" spans="1:5" x14ac:dyDescent="0.3">
      <c r="A210" s="11" t="s">
        <v>787</v>
      </c>
      <c r="B210" s="5"/>
      <c r="C210" s="5"/>
      <c r="D210" s="5">
        <v>2518.8755800000004</v>
      </c>
      <c r="E210" s="5">
        <v>2518.8755800000004</v>
      </c>
    </row>
    <row r="211" spans="1:5" x14ac:dyDescent="0.3">
      <c r="A211" s="11" t="s">
        <v>1096</v>
      </c>
      <c r="B211" s="5">
        <v>82514.711519999997</v>
      </c>
      <c r="C211" s="5"/>
      <c r="D211" s="5"/>
      <c r="E211" s="5">
        <v>82514.711519999997</v>
      </c>
    </row>
    <row r="212" spans="1:5" x14ac:dyDescent="0.3">
      <c r="A212" s="11" t="s">
        <v>1248</v>
      </c>
      <c r="B212" s="5"/>
      <c r="C212" s="5">
        <v>10859.64</v>
      </c>
      <c r="D212" s="5"/>
      <c r="E212" s="5">
        <v>10859.64</v>
      </c>
    </row>
    <row r="213" spans="1:5" x14ac:dyDescent="0.3">
      <c r="A213" s="11" t="s">
        <v>1315</v>
      </c>
      <c r="B213" s="5">
        <v>40563.321749999996</v>
      </c>
      <c r="C213" s="5"/>
      <c r="D213" s="5"/>
      <c r="E213" s="5">
        <v>40563.321749999996</v>
      </c>
    </row>
    <row r="214" spans="1:5" x14ac:dyDescent="0.3">
      <c r="A214" s="11" t="s">
        <v>805</v>
      </c>
      <c r="B214" s="5"/>
      <c r="C214" s="5"/>
      <c r="D214" s="5">
        <v>6393.0952799999995</v>
      </c>
      <c r="E214" s="5">
        <v>6393.0952799999995</v>
      </c>
    </row>
    <row r="215" spans="1:5" x14ac:dyDescent="0.3">
      <c r="A215" s="11" t="s">
        <v>1043</v>
      </c>
      <c r="B215" s="5"/>
      <c r="C215" s="5">
        <v>9847.2358600000007</v>
      </c>
      <c r="D215" s="5"/>
      <c r="E215" s="5">
        <v>9847.2358600000007</v>
      </c>
    </row>
    <row r="216" spans="1:5" x14ac:dyDescent="0.3">
      <c r="A216" s="11" t="s">
        <v>1038</v>
      </c>
      <c r="B216" s="5"/>
      <c r="C216" s="5"/>
      <c r="D216" s="5">
        <v>5932.7856000000002</v>
      </c>
      <c r="E216" s="5">
        <v>5932.7856000000002</v>
      </c>
    </row>
    <row r="217" spans="1:5" x14ac:dyDescent="0.3">
      <c r="A217" s="11" t="s">
        <v>1276</v>
      </c>
      <c r="B217" s="5">
        <v>14114.068500000001</v>
      </c>
      <c r="C217" s="5"/>
      <c r="D217" s="5"/>
      <c r="E217" s="5">
        <v>14114.068500000001</v>
      </c>
    </row>
    <row r="218" spans="1:5" x14ac:dyDescent="0.3">
      <c r="A218" s="11" t="s">
        <v>976</v>
      </c>
      <c r="B218" s="5">
        <v>34082.864639999993</v>
      </c>
      <c r="C218" s="5"/>
      <c r="D218" s="5"/>
      <c r="E218" s="5">
        <v>34082.864639999993</v>
      </c>
    </row>
    <row r="219" spans="1:5" x14ac:dyDescent="0.3">
      <c r="A219" s="11" t="s">
        <v>1191</v>
      </c>
      <c r="B219" s="5"/>
      <c r="C219" s="5">
        <v>7643.2649999999994</v>
      </c>
      <c r="D219" s="5"/>
      <c r="E219" s="5">
        <v>7643.2649999999994</v>
      </c>
    </row>
    <row r="220" spans="1:5" x14ac:dyDescent="0.3">
      <c r="A220" s="11" t="s">
        <v>1337</v>
      </c>
      <c r="B220" s="5"/>
      <c r="C220" s="5">
        <v>7071.6331400000008</v>
      </c>
      <c r="D220" s="5"/>
      <c r="E220" s="5">
        <v>7071.6331400000008</v>
      </c>
    </row>
    <row r="221" spans="1:5" x14ac:dyDescent="0.3">
      <c r="A221" s="11" t="s">
        <v>757</v>
      </c>
      <c r="B221" s="5">
        <v>20225.2248</v>
      </c>
      <c r="C221" s="5"/>
      <c r="D221" s="5"/>
      <c r="E221" s="5">
        <v>20225.2248</v>
      </c>
    </row>
    <row r="222" spans="1:5" x14ac:dyDescent="0.3">
      <c r="A222" s="11" t="s">
        <v>989</v>
      </c>
      <c r="B222" s="5">
        <v>24161.205600000001</v>
      </c>
      <c r="C222" s="5"/>
      <c r="D222" s="5"/>
      <c r="E222" s="5">
        <v>24161.205600000001</v>
      </c>
    </row>
    <row r="223" spans="1:5" x14ac:dyDescent="0.3">
      <c r="A223" s="11" t="s">
        <v>1242</v>
      </c>
      <c r="B223" s="5"/>
      <c r="C223" s="5">
        <v>8297.4286000000011</v>
      </c>
      <c r="D223" s="5"/>
      <c r="E223" s="5">
        <v>8297.4286000000011</v>
      </c>
    </row>
    <row r="224" spans="1:5" x14ac:dyDescent="0.3">
      <c r="A224" s="11" t="s">
        <v>838</v>
      </c>
      <c r="B224" s="5"/>
      <c r="C224" s="5">
        <v>12335.654849999999</v>
      </c>
      <c r="D224" s="5"/>
      <c r="E224" s="5">
        <v>12335.654849999999</v>
      </c>
    </row>
    <row r="225" spans="1:5" x14ac:dyDescent="0.3">
      <c r="A225" s="11" t="s">
        <v>924</v>
      </c>
      <c r="B225" s="5">
        <v>19542.975350000001</v>
      </c>
      <c r="C225" s="5"/>
      <c r="D225" s="5"/>
      <c r="E225" s="5">
        <v>19542.975350000001</v>
      </c>
    </row>
    <row r="226" spans="1:5" x14ac:dyDescent="0.3">
      <c r="A226" s="11" t="s">
        <v>1297</v>
      </c>
      <c r="B226" s="5"/>
      <c r="C226" s="5"/>
      <c r="D226" s="5">
        <v>4229.4321199999995</v>
      </c>
      <c r="E226" s="5">
        <v>4229.4321199999995</v>
      </c>
    </row>
    <row r="227" spans="1:5" x14ac:dyDescent="0.3">
      <c r="A227" s="11" t="s">
        <v>1121</v>
      </c>
      <c r="B227" s="5">
        <v>65066.934229999999</v>
      </c>
      <c r="C227" s="5"/>
      <c r="D227" s="5"/>
      <c r="E227" s="5">
        <v>65066.934229999999</v>
      </c>
    </row>
    <row r="228" spans="1:5" x14ac:dyDescent="0.3">
      <c r="A228" s="11" t="s">
        <v>985</v>
      </c>
      <c r="B228" s="5">
        <v>17453.3436</v>
      </c>
      <c r="C228" s="5"/>
      <c r="D228" s="5"/>
      <c r="E228" s="5">
        <v>17453.3436</v>
      </c>
    </row>
    <row r="229" spans="1:5" x14ac:dyDescent="0.3">
      <c r="A229" s="11" t="s">
        <v>885</v>
      </c>
      <c r="B229" s="5">
        <v>21572.590500000002</v>
      </c>
      <c r="C229" s="5"/>
      <c r="D229" s="5"/>
      <c r="E229" s="5">
        <v>21572.590500000002</v>
      </c>
    </row>
    <row r="230" spans="1:5" x14ac:dyDescent="0.3">
      <c r="A230" s="11" t="s">
        <v>1254</v>
      </c>
      <c r="B230" s="5">
        <v>64192.976999999999</v>
      </c>
      <c r="C230" s="5"/>
      <c r="D230" s="5"/>
      <c r="E230" s="5">
        <v>64192.976999999999</v>
      </c>
    </row>
    <row r="231" spans="1:5" x14ac:dyDescent="0.3">
      <c r="A231" s="11" t="s">
        <v>1327</v>
      </c>
      <c r="B231" s="5">
        <v>14910.609600000002</v>
      </c>
      <c r="C231" s="5"/>
      <c r="D231" s="5"/>
      <c r="E231" s="5">
        <v>14910.609600000002</v>
      </c>
    </row>
    <row r="232" spans="1:5" x14ac:dyDescent="0.3">
      <c r="A232" s="11" t="s">
        <v>1102</v>
      </c>
      <c r="B232" s="5">
        <v>13784.586000000001</v>
      </c>
      <c r="C232" s="5"/>
      <c r="D232" s="5"/>
      <c r="E232" s="5">
        <v>13784.586000000001</v>
      </c>
    </row>
    <row r="233" spans="1:5" x14ac:dyDescent="0.3">
      <c r="A233" s="11" t="s">
        <v>790</v>
      </c>
      <c r="B233" s="5">
        <v>29659.68995</v>
      </c>
      <c r="C233" s="5"/>
      <c r="D233" s="5"/>
      <c r="E233" s="5">
        <v>29659.68995</v>
      </c>
    </row>
    <row r="234" spans="1:5" x14ac:dyDescent="0.3">
      <c r="A234" s="11" t="s">
        <v>1143</v>
      </c>
      <c r="B234" s="5"/>
      <c r="C234" s="5"/>
      <c r="D234" s="5">
        <v>5323.9903199999999</v>
      </c>
      <c r="E234" s="5">
        <v>5323.9903199999999</v>
      </c>
    </row>
    <row r="235" spans="1:5" x14ac:dyDescent="0.3">
      <c r="A235" s="11" t="s">
        <v>1009</v>
      </c>
      <c r="B235" s="5"/>
      <c r="C235" s="5">
        <v>8567.3924999999999</v>
      </c>
      <c r="D235" s="5"/>
      <c r="E235" s="5">
        <v>8567.3924999999999</v>
      </c>
    </row>
    <row r="236" spans="1:5" x14ac:dyDescent="0.3">
      <c r="A236" s="11" t="s">
        <v>907</v>
      </c>
      <c r="B236" s="5">
        <v>31556.187599999997</v>
      </c>
      <c r="C236" s="5"/>
      <c r="D236" s="5"/>
      <c r="E236" s="5">
        <v>31556.187599999997</v>
      </c>
    </row>
    <row r="237" spans="1:5" x14ac:dyDescent="0.3">
      <c r="A237" s="11" t="s">
        <v>836</v>
      </c>
      <c r="B237" s="5">
        <v>13669.81</v>
      </c>
      <c r="C237" s="5"/>
      <c r="D237" s="5"/>
      <c r="E237" s="5">
        <v>13669.81</v>
      </c>
    </row>
    <row r="238" spans="1:5" x14ac:dyDescent="0.3">
      <c r="A238" s="11" t="s">
        <v>1122</v>
      </c>
      <c r="B238" s="5"/>
      <c r="C238" s="5"/>
      <c r="D238" s="5">
        <v>434.45248000000004</v>
      </c>
      <c r="E238" s="5">
        <v>434.45248000000004</v>
      </c>
    </row>
    <row r="239" spans="1:5" x14ac:dyDescent="0.3">
      <c r="A239" s="11" t="s">
        <v>1268</v>
      </c>
      <c r="B239" s="5">
        <v>15155.326800000001</v>
      </c>
      <c r="C239" s="5"/>
      <c r="D239" s="5"/>
      <c r="E239" s="5">
        <v>15155.326800000001</v>
      </c>
    </row>
    <row r="240" spans="1:5" x14ac:dyDescent="0.3">
      <c r="A240" s="11" t="s">
        <v>1299</v>
      </c>
      <c r="B240" s="5">
        <v>44173.627960000005</v>
      </c>
      <c r="C240" s="5"/>
      <c r="D240" s="5"/>
      <c r="E240" s="5">
        <v>44173.627960000005</v>
      </c>
    </row>
    <row r="241" spans="1:5" x14ac:dyDescent="0.3">
      <c r="A241" s="11" t="s">
        <v>1159</v>
      </c>
      <c r="B241" s="5">
        <v>30435.614999999998</v>
      </c>
      <c r="C241" s="5"/>
      <c r="D241" s="5"/>
      <c r="E241" s="5">
        <v>30435.614999999998</v>
      </c>
    </row>
    <row r="242" spans="1:5" x14ac:dyDescent="0.3">
      <c r="A242" s="11" t="s">
        <v>786</v>
      </c>
      <c r="B242" s="5"/>
      <c r="C242" s="5"/>
      <c r="D242" s="5">
        <v>5785.8</v>
      </c>
      <c r="E242" s="5">
        <v>5785.8</v>
      </c>
    </row>
    <row r="243" spans="1:5" x14ac:dyDescent="0.3">
      <c r="A243" s="11" t="s">
        <v>926</v>
      </c>
      <c r="B243" s="5">
        <v>24374.594880000001</v>
      </c>
      <c r="C243" s="5"/>
      <c r="D243" s="5"/>
      <c r="E243" s="5">
        <v>24374.594880000001</v>
      </c>
    </row>
    <row r="244" spans="1:5" x14ac:dyDescent="0.3">
      <c r="A244" s="11" t="s">
        <v>1141</v>
      </c>
      <c r="B244" s="5"/>
      <c r="C244" s="5"/>
      <c r="D244" s="5">
        <v>4679.7141600000004</v>
      </c>
      <c r="E244" s="5">
        <v>4679.7141600000004</v>
      </c>
    </row>
    <row r="245" spans="1:5" x14ac:dyDescent="0.3">
      <c r="A245" s="11" t="s">
        <v>851</v>
      </c>
      <c r="B245" s="5">
        <v>65119.329599999997</v>
      </c>
      <c r="C245" s="5"/>
      <c r="D245" s="5"/>
      <c r="E245" s="5">
        <v>65119.329599999997</v>
      </c>
    </row>
    <row r="246" spans="1:5" x14ac:dyDescent="0.3">
      <c r="A246" s="11" t="s">
        <v>1130</v>
      </c>
      <c r="B246" s="5">
        <v>18641.222160000001</v>
      </c>
      <c r="C246" s="5"/>
      <c r="D246" s="5"/>
      <c r="E246" s="5">
        <v>18641.222160000001</v>
      </c>
    </row>
    <row r="247" spans="1:5" x14ac:dyDescent="0.3">
      <c r="A247" s="11" t="s">
        <v>1158</v>
      </c>
      <c r="B247" s="5">
        <v>15366.983199999999</v>
      </c>
      <c r="C247" s="5"/>
      <c r="D247" s="5"/>
      <c r="E247" s="5">
        <v>15366.983199999999</v>
      </c>
    </row>
    <row r="248" spans="1:5" x14ac:dyDescent="0.3">
      <c r="A248" s="11" t="s">
        <v>806</v>
      </c>
      <c r="B248" s="5">
        <v>20171.63305</v>
      </c>
      <c r="C248" s="5"/>
      <c r="D248" s="5"/>
      <c r="E248" s="5">
        <v>20171.63305</v>
      </c>
    </row>
    <row r="249" spans="1:5" x14ac:dyDescent="0.3">
      <c r="A249" s="11" t="s">
        <v>739</v>
      </c>
      <c r="B249" s="5"/>
      <c r="C249" s="5"/>
      <c r="D249" s="5">
        <v>4141.7599999999993</v>
      </c>
      <c r="E249" s="5">
        <v>4141.7599999999993</v>
      </c>
    </row>
    <row r="250" spans="1:5" x14ac:dyDescent="0.3">
      <c r="A250" s="11" t="s">
        <v>1332</v>
      </c>
      <c r="B250" s="5">
        <v>33938.142760000002</v>
      </c>
      <c r="C250" s="5"/>
      <c r="D250" s="5"/>
      <c r="E250" s="5">
        <v>33938.142760000002</v>
      </c>
    </row>
    <row r="251" spans="1:5" x14ac:dyDescent="0.3">
      <c r="A251" s="11" t="s">
        <v>1164</v>
      </c>
      <c r="B251" s="5">
        <v>58057.65</v>
      </c>
      <c r="C251" s="5"/>
      <c r="D251" s="5"/>
      <c r="E251" s="5">
        <v>58057.65</v>
      </c>
    </row>
    <row r="252" spans="1:5" x14ac:dyDescent="0.3">
      <c r="A252" s="11" t="s">
        <v>1155</v>
      </c>
      <c r="B252" s="5">
        <v>102122.94203999999</v>
      </c>
      <c r="C252" s="5"/>
      <c r="D252" s="5"/>
      <c r="E252" s="5">
        <v>102122.94203999999</v>
      </c>
    </row>
    <row r="253" spans="1:5" x14ac:dyDescent="0.3">
      <c r="A253" s="11" t="s">
        <v>1017</v>
      </c>
      <c r="B253" s="5"/>
      <c r="C253" s="5">
        <v>11696.156879999999</v>
      </c>
      <c r="D253" s="5"/>
      <c r="E253" s="5">
        <v>11696.156879999999</v>
      </c>
    </row>
    <row r="254" spans="1:5" x14ac:dyDescent="0.3">
      <c r="A254" s="11" t="s">
        <v>1063</v>
      </c>
      <c r="B254" s="5">
        <v>27756.432000000001</v>
      </c>
      <c r="C254" s="5"/>
      <c r="D254" s="5"/>
      <c r="E254" s="5">
        <v>27756.432000000001</v>
      </c>
    </row>
    <row r="255" spans="1:5" x14ac:dyDescent="0.3">
      <c r="A255" s="11" t="s">
        <v>1120</v>
      </c>
      <c r="B255" s="5">
        <v>19773.362699999998</v>
      </c>
      <c r="C255" s="5"/>
      <c r="D255" s="5"/>
      <c r="E255" s="5">
        <v>19773.362699999998</v>
      </c>
    </row>
    <row r="256" spans="1:5" x14ac:dyDescent="0.3">
      <c r="A256" s="11" t="s">
        <v>845</v>
      </c>
      <c r="B256" s="5">
        <v>30151.675319999998</v>
      </c>
      <c r="C256" s="5"/>
      <c r="D256" s="5"/>
      <c r="E256" s="5">
        <v>30151.675319999998</v>
      </c>
    </row>
    <row r="257" spans="1:5" x14ac:dyDescent="0.3">
      <c r="A257" s="11" t="s">
        <v>958</v>
      </c>
      <c r="B257" s="5">
        <v>15490.527</v>
      </c>
      <c r="C257" s="5"/>
      <c r="D257" s="5"/>
      <c r="E257" s="5">
        <v>15490.527</v>
      </c>
    </row>
    <row r="258" spans="1:5" x14ac:dyDescent="0.3">
      <c r="A258" s="11" t="s">
        <v>866</v>
      </c>
      <c r="B258" s="5"/>
      <c r="C258" s="5">
        <v>8336.8896000000004</v>
      </c>
      <c r="D258" s="5"/>
      <c r="E258" s="5">
        <v>8336.8896000000004</v>
      </c>
    </row>
    <row r="259" spans="1:5" x14ac:dyDescent="0.3">
      <c r="A259" s="11" t="s">
        <v>754</v>
      </c>
      <c r="B259" s="5">
        <v>23782.310720000001</v>
      </c>
      <c r="C259" s="5"/>
      <c r="D259" s="5"/>
      <c r="E259" s="5">
        <v>23782.310720000001</v>
      </c>
    </row>
    <row r="260" spans="1:5" x14ac:dyDescent="0.3">
      <c r="A260" s="11" t="s">
        <v>1136</v>
      </c>
      <c r="B260" s="5"/>
      <c r="C260" s="5"/>
      <c r="D260" s="5">
        <v>5250.4239000000007</v>
      </c>
      <c r="E260" s="5">
        <v>5250.4239000000007</v>
      </c>
    </row>
    <row r="261" spans="1:5" x14ac:dyDescent="0.3">
      <c r="A261" s="11" t="s">
        <v>1018</v>
      </c>
      <c r="B261" s="5">
        <v>15505.479600000001</v>
      </c>
      <c r="C261" s="5"/>
      <c r="D261" s="5"/>
      <c r="E261" s="5">
        <v>15505.479600000001</v>
      </c>
    </row>
    <row r="262" spans="1:5" x14ac:dyDescent="0.3">
      <c r="A262" s="11" t="s">
        <v>767</v>
      </c>
      <c r="B262" s="5"/>
      <c r="C262" s="5">
        <v>13218.5</v>
      </c>
      <c r="D262" s="5"/>
      <c r="E262" s="5">
        <v>13218.5</v>
      </c>
    </row>
    <row r="263" spans="1:5" x14ac:dyDescent="0.3">
      <c r="A263" s="11" t="s">
        <v>1073</v>
      </c>
      <c r="B263" s="5">
        <v>26106.613960000002</v>
      </c>
      <c r="C263" s="5"/>
      <c r="D263" s="5"/>
      <c r="E263" s="5">
        <v>26106.613960000002</v>
      </c>
    </row>
    <row r="264" spans="1:5" x14ac:dyDescent="0.3">
      <c r="A264" s="11" t="s">
        <v>1300</v>
      </c>
      <c r="B264" s="5">
        <v>25079.480689999997</v>
      </c>
      <c r="C264" s="5"/>
      <c r="D264" s="5"/>
      <c r="E264" s="5">
        <v>25079.480689999997</v>
      </c>
    </row>
    <row r="265" spans="1:5" x14ac:dyDescent="0.3">
      <c r="A265" s="11" t="s">
        <v>1048</v>
      </c>
      <c r="B265" s="5"/>
      <c r="C265" s="5"/>
      <c r="D265" s="5">
        <v>5032.4433599999993</v>
      </c>
      <c r="E265" s="5">
        <v>5032.4433599999993</v>
      </c>
    </row>
    <row r="266" spans="1:5" x14ac:dyDescent="0.3">
      <c r="A266" s="11" t="s">
        <v>1005</v>
      </c>
      <c r="B266" s="5"/>
      <c r="C266" s="5">
        <v>7120.6486400000003</v>
      </c>
      <c r="D266" s="5"/>
      <c r="E266" s="5">
        <v>7120.6486400000003</v>
      </c>
    </row>
    <row r="267" spans="1:5" x14ac:dyDescent="0.3">
      <c r="A267" s="11" t="s">
        <v>1325</v>
      </c>
      <c r="B267" s="5"/>
      <c r="C267" s="5"/>
      <c r="D267" s="5">
        <v>5725.6496000000006</v>
      </c>
      <c r="E267" s="5">
        <v>5725.6496000000006</v>
      </c>
    </row>
    <row r="268" spans="1:5" x14ac:dyDescent="0.3">
      <c r="A268" s="11" t="s">
        <v>950</v>
      </c>
      <c r="B268" s="5"/>
      <c r="C268" s="5">
        <v>7738.9596900000006</v>
      </c>
      <c r="D268" s="5"/>
      <c r="E268" s="5">
        <v>7738.9596900000006</v>
      </c>
    </row>
    <row r="269" spans="1:5" x14ac:dyDescent="0.3">
      <c r="A269" s="11" t="s">
        <v>920</v>
      </c>
      <c r="B269" s="5"/>
      <c r="C269" s="5"/>
      <c r="D269" s="5">
        <v>4831.9464600000001</v>
      </c>
      <c r="E269" s="5">
        <v>4831.9464600000001</v>
      </c>
    </row>
    <row r="270" spans="1:5" x14ac:dyDescent="0.3">
      <c r="A270" s="11" t="s">
        <v>939</v>
      </c>
      <c r="B270" s="5">
        <v>26131.70736</v>
      </c>
      <c r="C270" s="5"/>
      <c r="D270" s="5"/>
      <c r="E270" s="5">
        <v>26131.70736</v>
      </c>
    </row>
    <row r="271" spans="1:5" x14ac:dyDescent="0.3">
      <c r="A271" s="11" t="s">
        <v>830</v>
      </c>
      <c r="B271" s="5"/>
      <c r="C271" s="5"/>
      <c r="D271" s="5">
        <v>147.00756000000001</v>
      </c>
      <c r="E271" s="5">
        <v>147.00756000000001</v>
      </c>
    </row>
    <row r="272" spans="1:5" x14ac:dyDescent="0.3">
      <c r="A272" s="11" t="s">
        <v>1138</v>
      </c>
      <c r="B272" s="5"/>
      <c r="C272" s="5">
        <v>13437.300239999999</v>
      </c>
      <c r="D272" s="5"/>
      <c r="E272" s="5">
        <v>13437.300239999999</v>
      </c>
    </row>
    <row r="273" spans="1:5" x14ac:dyDescent="0.3">
      <c r="A273" s="11" t="s">
        <v>901</v>
      </c>
      <c r="B273" s="5"/>
      <c r="C273" s="5">
        <v>12413.98458</v>
      </c>
      <c r="D273" s="5"/>
      <c r="E273" s="5">
        <v>12413.98458</v>
      </c>
    </row>
    <row r="274" spans="1:5" x14ac:dyDescent="0.3">
      <c r="A274" s="11" t="s">
        <v>874</v>
      </c>
      <c r="B274" s="5">
        <v>87404.929919999995</v>
      </c>
      <c r="C274" s="5"/>
      <c r="D274" s="5"/>
      <c r="E274" s="5">
        <v>87404.929919999995</v>
      </c>
    </row>
    <row r="275" spans="1:5" x14ac:dyDescent="0.3">
      <c r="A275" s="11" t="s">
        <v>802</v>
      </c>
      <c r="B275" s="5"/>
      <c r="C275" s="5">
        <v>8671.7354400000004</v>
      </c>
      <c r="D275" s="5"/>
      <c r="E275" s="5">
        <v>8671.7354400000004</v>
      </c>
    </row>
    <row r="276" spans="1:5" x14ac:dyDescent="0.3">
      <c r="A276" s="11" t="s">
        <v>1206</v>
      </c>
      <c r="B276" s="5"/>
      <c r="C276" s="5">
        <v>8330.2513199999994</v>
      </c>
      <c r="D276" s="5"/>
      <c r="E276" s="5">
        <v>8330.2513199999994</v>
      </c>
    </row>
    <row r="277" spans="1:5" x14ac:dyDescent="0.3">
      <c r="A277" s="11" t="s">
        <v>1243</v>
      </c>
      <c r="B277" s="5"/>
      <c r="C277" s="5">
        <v>9232.2830599999998</v>
      </c>
      <c r="D277" s="5"/>
      <c r="E277" s="5">
        <v>9232.2830599999998</v>
      </c>
    </row>
    <row r="278" spans="1:5" x14ac:dyDescent="0.3">
      <c r="A278" s="11" t="s">
        <v>951</v>
      </c>
      <c r="B278" s="5"/>
      <c r="C278" s="5"/>
      <c r="D278" s="5">
        <v>2231.6467200000002</v>
      </c>
      <c r="E278" s="5">
        <v>2231.6467200000002</v>
      </c>
    </row>
    <row r="279" spans="1:5" x14ac:dyDescent="0.3">
      <c r="A279" s="11" t="s">
        <v>849</v>
      </c>
      <c r="B279" s="5">
        <v>24523.006720000001</v>
      </c>
      <c r="C279" s="5"/>
      <c r="D279" s="5"/>
      <c r="E279" s="5">
        <v>24523.006720000001</v>
      </c>
    </row>
    <row r="280" spans="1:5" x14ac:dyDescent="0.3">
      <c r="A280" s="11" t="s">
        <v>981</v>
      </c>
      <c r="B280" s="5"/>
      <c r="C280" s="5"/>
      <c r="D280" s="5">
        <v>607.30668000000003</v>
      </c>
      <c r="E280" s="5">
        <v>607.30668000000003</v>
      </c>
    </row>
    <row r="281" spans="1:5" x14ac:dyDescent="0.3">
      <c r="A281" s="11" t="s">
        <v>1331</v>
      </c>
      <c r="B281" s="5"/>
      <c r="C281" s="5"/>
      <c r="D281" s="5">
        <v>5962.1422499999999</v>
      </c>
      <c r="E281" s="5">
        <v>5962.1422499999999</v>
      </c>
    </row>
    <row r="282" spans="1:5" x14ac:dyDescent="0.3">
      <c r="A282" s="11" t="s">
        <v>823</v>
      </c>
      <c r="B282" s="5"/>
      <c r="C282" s="5"/>
      <c r="D282" s="5">
        <v>624.43503999999996</v>
      </c>
      <c r="E282" s="5">
        <v>624.43503999999996</v>
      </c>
    </row>
    <row r="283" spans="1:5" x14ac:dyDescent="0.3">
      <c r="A283" s="11" t="s">
        <v>1062</v>
      </c>
      <c r="B283" s="5"/>
      <c r="C283" s="5">
        <v>6667.9199999999983</v>
      </c>
      <c r="D283" s="5"/>
      <c r="E283" s="5">
        <v>6667.9199999999983</v>
      </c>
    </row>
    <row r="284" spans="1:5" x14ac:dyDescent="0.3">
      <c r="A284" s="11" t="s">
        <v>983</v>
      </c>
      <c r="B284" s="5"/>
      <c r="C284" s="5">
        <v>11813.604160000001</v>
      </c>
      <c r="D284" s="5"/>
      <c r="E284" s="5">
        <v>11813.604160000001</v>
      </c>
    </row>
    <row r="285" spans="1:5" x14ac:dyDescent="0.3">
      <c r="A285" s="11" t="s">
        <v>869</v>
      </c>
      <c r="B285" s="5">
        <v>27370.540859999997</v>
      </c>
      <c r="C285" s="5"/>
      <c r="D285" s="5"/>
      <c r="E285" s="5">
        <v>27370.540859999997</v>
      </c>
    </row>
    <row r="286" spans="1:5" x14ac:dyDescent="0.3">
      <c r="A286" s="11" t="s">
        <v>1007</v>
      </c>
      <c r="B286" s="5">
        <v>29536.716</v>
      </c>
      <c r="C286" s="5"/>
      <c r="D286" s="5"/>
      <c r="E286" s="5">
        <v>29536.716</v>
      </c>
    </row>
    <row r="287" spans="1:5" x14ac:dyDescent="0.3">
      <c r="A287" s="11" t="s">
        <v>1161</v>
      </c>
      <c r="B287" s="5"/>
      <c r="C287" s="5">
        <v>13450.74</v>
      </c>
      <c r="D287" s="5"/>
      <c r="E287" s="5">
        <v>13450.74</v>
      </c>
    </row>
    <row r="288" spans="1:5" x14ac:dyDescent="0.3">
      <c r="A288" s="11" t="s">
        <v>817</v>
      </c>
      <c r="B288" s="5"/>
      <c r="C288" s="5"/>
      <c r="D288" s="5">
        <v>524.81174999999996</v>
      </c>
      <c r="E288" s="5">
        <v>524.81174999999996</v>
      </c>
    </row>
    <row r="289" spans="1:5" x14ac:dyDescent="0.3">
      <c r="A289" s="11" t="s">
        <v>1132</v>
      </c>
      <c r="B289" s="5"/>
      <c r="C289" s="5">
        <v>12972.00222</v>
      </c>
      <c r="D289" s="5"/>
      <c r="E289" s="5">
        <v>12972.00222</v>
      </c>
    </row>
    <row r="290" spans="1:5" x14ac:dyDescent="0.3">
      <c r="A290" s="11" t="s">
        <v>855</v>
      </c>
      <c r="B290" s="5">
        <v>22983.34563</v>
      </c>
      <c r="C290" s="5"/>
      <c r="D290" s="5"/>
      <c r="E290" s="5">
        <v>22983.34563</v>
      </c>
    </row>
    <row r="291" spans="1:5" x14ac:dyDescent="0.3">
      <c r="A291" s="11" t="s">
        <v>1359</v>
      </c>
      <c r="B291" s="5"/>
      <c r="C291" s="5"/>
      <c r="D291" s="5">
        <v>5096.4790800000001</v>
      </c>
      <c r="E291" s="5">
        <v>5096.4790800000001</v>
      </c>
    </row>
    <row r="292" spans="1:5" x14ac:dyDescent="0.3">
      <c r="A292" s="11" t="s">
        <v>1152</v>
      </c>
      <c r="B292" s="5"/>
      <c r="C292" s="5">
        <v>9509.2865999999995</v>
      </c>
      <c r="D292" s="5"/>
      <c r="E292" s="5">
        <v>9509.2865999999995</v>
      </c>
    </row>
    <row r="293" spans="1:5" x14ac:dyDescent="0.3">
      <c r="A293" s="11" t="s">
        <v>1349</v>
      </c>
      <c r="B293" s="5"/>
      <c r="C293" s="5"/>
      <c r="D293" s="5">
        <v>846.34703999999988</v>
      </c>
      <c r="E293" s="5">
        <v>846.34703999999988</v>
      </c>
    </row>
    <row r="294" spans="1:5" x14ac:dyDescent="0.3">
      <c r="A294" s="11" t="s">
        <v>923</v>
      </c>
      <c r="B294" s="5"/>
      <c r="C294" s="5">
        <v>8590.7094000000016</v>
      </c>
      <c r="D294" s="5"/>
      <c r="E294" s="5">
        <v>8590.7094000000016</v>
      </c>
    </row>
    <row r="295" spans="1:5" x14ac:dyDescent="0.3">
      <c r="A295" s="11" t="s">
        <v>1085</v>
      </c>
      <c r="B295" s="5">
        <v>16487.22781</v>
      </c>
      <c r="C295" s="5"/>
      <c r="D295" s="5"/>
      <c r="E295" s="5">
        <v>16487.22781</v>
      </c>
    </row>
    <row r="296" spans="1:5" x14ac:dyDescent="0.3">
      <c r="A296" s="11" t="s">
        <v>1283</v>
      </c>
      <c r="B296" s="5"/>
      <c r="C296" s="5"/>
      <c r="D296" s="5">
        <v>1846.8040799999999</v>
      </c>
      <c r="E296" s="5">
        <v>1846.8040799999999</v>
      </c>
    </row>
    <row r="297" spans="1:5" x14ac:dyDescent="0.3">
      <c r="A297" s="11" t="s">
        <v>1031</v>
      </c>
      <c r="B297" s="5"/>
      <c r="C297" s="5"/>
      <c r="D297" s="5">
        <v>3190.8713200000002</v>
      </c>
      <c r="E297" s="5">
        <v>3190.8713200000002</v>
      </c>
    </row>
    <row r="298" spans="1:5" x14ac:dyDescent="0.3">
      <c r="A298" s="11" t="s">
        <v>785</v>
      </c>
      <c r="B298" s="5"/>
      <c r="C298" s="5"/>
      <c r="D298" s="5">
        <v>599.53200000000004</v>
      </c>
      <c r="E298" s="5">
        <v>599.53200000000004</v>
      </c>
    </row>
    <row r="299" spans="1:5" x14ac:dyDescent="0.3">
      <c r="A299" s="11" t="s">
        <v>986</v>
      </c>
      <c r="B299" s="5">
        <v>17689.623</v>
      </c>
      <c r="C299" s="5"/>
      <c r="D299" s="5"/>
      <c r="E299" s="5">
        <v>17689.623</v>
      </c>
    </row>
    <row r="300" spans="1:5" x14ac:dyDescent="0.3">
      <c r="A300" s="11" t="s">
        <v>1106</v>
      </c>
      <c r="B300" s="5">
        <v>32280.32474</v>
      </c>
      <c r="C300" s="5"/>
      <c r="D300" s="5"/>
      <c r="E300" s="5">
        <v>32280.32474</v>
      </c>
    </row>
    <row r="301" spans="1:5" x14ac:dyDescent="0.3">
      <c r="A301" s="11" t="s">
        <v>1166</v>
      </c>
      <c r="B301" s="5"/>
      <c r="C301" s="5">
        <v>12967.958640000001</v>
      </c>
      <c r="D301" s="5"/>
      <c r="E301" s="5">
        <v>12967.958640000001</v>
      </c>
    </row>
    <row r="302" spans="1:5" x14ac:dyDescent="0.3">
      <c r="A302" s="11" t="s">
        <v>1233</v>
      </c>
      <c r="B302" s="5">
        <v>20332.775539999999</v>
      </c>
      <c r="C302" s="5"/>
      <c r="D302" s="5"/>
      <c r="E302" s="5">
        <v>20332.775539999999</v>
      </c>
    </row>
    <row r="303" spans="1:5" x14ac:dyDescent="0.3">
      <c r="A303" s="11" t="s">
        <v>789</v>
      </c>
      <c r="B303" s="5">
        <v>31680.795320000001</v>
      </c>
      <c r="C303" s="5"/>
      <c r="D303" s="5"/>
      <c r="E303" s="5">
        <v>31680.795320000001</v>
      </c>
    </row>
    <row r="304" spans="1:5" x14ac:dyDescent="0.3">
      <c r="A304" s="11" t="s">
        <v>938</v>
      </c>
      <c r="B304" s="5">
        <v>25553.782800000001</v>
      </c>
      <c r="C304" s="5"/>
      <c r="D304" s="5"/>
      <c r="E304" s="5">
        <v>25553.782800000001</v>
      </c>
    </row>
    <row r="305" spans="1:5" x14ac:dyDescent="0.3">
      <c r="A305" s="11" t="s">
        <v>1190</v>
      </c>
      <c r="B305" s="5"/>
      <c r="C305" s="5">
        <v>7854.6931199999999</v>
      </c>
      <c r="D305" s="5"/>
      <c r="E305" s="5">
        <v>7854.6931199999999</v>
      </c>
    </row>
    <row r="306" spans="1:5" x14ac:dyDescent="0.3">
      <c r="A306" s="11" t="s">
        <v>864</v>
      </c>
      <c r="B306" s="5"/>
      <c r="C306" s="5">
        <v>7703.8640800000003</v>
      </c>
      <c r="D306" s="5"/>
      <c r="E306" s="5">
        <v>7703.8640800000003</v>
      </c>
    </row>
    <row r="307" spans="1:5" x14ac:dyDescent="0.3">
      <c r="A307" s="11" t="s">
        <v>797</v>
      </c>
      <c r="B307" s="5">
        <v>72665.817450000002</v>
      </c>
      <c r="C307" s="5"/>
      <c r="D307" s="5"/>
      <c r="E307" s="5">
        <v>72665.817450000002</v>
      </c>
    </row>
    <row r="308" spans="1:5" x14ac:dyDescent="0.3">
      <c r="A308" s="11" t="s">
        <v>967</v>
      </c>
      <c r="B308" s="5"/>
      <c r="C308" s="5"/>
      <c r="D308" s="5">
        <v>5280.8577599999999</v>
      </c>
      <c r="E308" s="5">
        <v>5280.8577599999999</v>
      </c>
    </row>
    <row r="309" spans="1:5" x14ac:dyDescent="0.3">
      <c r="A309" s="11" t="s">
        <v>912</v>
      </c>
      <c r="B309" s="5"/>
      <c r="C309" s="5">
        <v>7098.5495999999994</v>
      </c>
      <c r="D309" s="5"/>
      <c r="E309" s="5">
        <v>7098.5495999999994</v>
      </c>
    </row>
    <row r="310" spans="1:5" x14ac:dyDescent="0.3">
      <c r="A310" s="11" t="s">
        <v>1039</v>
      </c>
      <c r="B310" s="5"/>
      <c r="C310" s="5"/>
      <c r="D310" s="5">
        <v>1641.7107199999998</v>
      </c>
      <c r="E310" s="5">
        <v>1641.7107199999998</v>
      </c>
    </row>
    <row r="311" spans="1:5" x14ac:dyDescent="0.3">
      <c r="A311" s="11" t="s">
        <v>1181</v>
      </c>
      <c r="B311" s="5">
        <v>45547.183360000003</v>
      </c>
      <c r="C311" s="5"/>
      <c r="D311" s="5"/>
      <c r="E311" s="5">
        <v>45547.183360000003</v>
      </c>
    </row>
    <row r="312" spans="1:5" x14ac:dyDescent="0.3">
      <c r="A312" s="11" t="s">
        <v>1014</v>
      </c>
      <c r="B312" s="5">
        <v>17441.021520000002</v>
      </c>
      <c r="C312" s="5"/>
      <c r="D312" s="5"/>
      <c r="E312" s="5">
        <v>17441.021520000002</v>
      </c>
    </row>
    <row r="313" spans="1:5" x14ac:dyDescent="0.3">
      <c r="A313" s="11" t="s">
        <v>1032</v>
      </c>
      <c r="B313" s="5"/>
      <c r="C313" s="5"/>
      <c r="D313" s="5">
        <v>66.920760000000001</v>
      </c>
      <c r="E313" s="5">
        <v>66.920760000000001</v>
      </c>
    </row>
    <row r="314" spans="1:5" x14ac:dyDescent="0.3">
      <c r="A314" s="11" t="s">
        <v>917</v>
      </c>
      <c r="B314" s="5"/>
      <c r="C314" s="5">
        <v>8698.8768300000011</v>
      </c>
      <c r="D314" s="5"/>
      <c r="E314" s="5">
        <v>8698.8768300000011</v>
      </c>
    </row>
    <row r="315" spans="1:5" x14ac:dyDescent="0.3">
      <c r="A315" s="11" t="s">
        <v>1097</v>
      </c>
      <c r="B315" s="5"/>
      <c r="C315" s="5">
        <v>7327.9533600000004</v>
      </c>
      <c r="D315" s="5"/>
      <c r="E315" s="5">
        <v>7327.9533600000004</v>
      </c>
    </row>
    <row r="316" spans="1:5" x14ac:dyDescent="0.3">
      <c r="A316" s="11" t="s">
        <v>1123</v>
      </c>
      <c r="B316" s="5">
        <v>16142.527829999999</v>
      </c>
      <c r="C316" s="5"/>
      <c r="D316" s="5"/>
      <c r="E316" s="5">
        <v>16142.527829999999</v>
      </c>
    </row>
    <row r="317" spans="1:5" x14ac:dyDescent="0.3">
      <c r="A317" s="11" t="s">
        <v>1295</v>
      </c>
      <c r="B317" s="5"/>
      <c r="C317" s="5">
        <v>8520.2954399999999</v>
      </c>
      <c r="D317" s="5"/>
      <c r="E317" s="5">
        <v>8520.2954399999999</v>
      </c>
    </row>
    <row r="318" spans="1:5" x14ac:dyDescent="0.3">
      <c r="A318" s="11" t="s">
        <v>1306</v>
      </c>
      <c r="B318" s="5">
        <v>14466.95104</v>
      </c>
      <c r="C318" s="5"/>
      <c r="D318" s="5"/>
      <c r="E318" s="5">
        <v>14466.95104</v>
      </c>
    </row>
    <row r="319" spans="1:5" x14ac:dyDescent="0.3">
      <c r="A319" s="11" t="s">
        <v>1256</v>
      </c>
      <c r="B319" s="5">
        <v>16121.273400000002</v>
      </c>
      <c r="C319" s="5"/>
      <c r="D319" s="5"/>
      <c r="E319" s="5">
        <v>16121.273400000002</v>
      </c>
    </row>
    <row r="320" spans="1:5" x14ac:dyDescent="0.3">
      <c r="A320" s="11" t="s">
        <v>1281</v>
      </c>
      <c r="B320" s="5"/>
      <c r="C320" s="5">
        <v>10937.519999999999</v>
      </c>
      <c r="D320" s="5"/>
      <c r="E320" s="5">
        <v>10937.519999999999</v>
      </c>
    </row>
    <row r="321" spans="1:5" x14ac:dyDescent="0.3">
      <c r="A321" s="11" t="s">
        <v>1044</v>
      </c>
      <c r="B321" s="5">
        <v>30799.273800000003</v>
      </c>
      <c r="C321" s="5"/>
      <c r="D321" s="5"/>
      <c r="E321" s="5">
        <v>30799.273800000003</v>
      </c>
    </row>
    <row r="322" spans="1:5" x14ac:dyDescent="0.3">
      <c r="A322" s="11" t="s">
        <v>929</v>
      </c>
      <c r="B322" s="5">
        <v>31191.64716</v>
      </c>
      <c r="C322" s="5"/>
      <c r="D322" s="5"/>
      <c r="E322" s="5">
        <v>31191.64716</v>
      </c>
    </row>
    <row r="323" spans="1:5" x14ac:dyDescent="0.3">
      <c r="A323" s="11" t="s">
        <v>899</v>
      </c>
      <c r="B323" s="5">
        <v>85637.740319999997</v>
      </c>
      <c r="C323" s="5"/>
      <c r="D323" s="5"/>
      <c r="E323" s="5">
        <v>85637.740319999997</v>
      </c>
    </row>
    <row r="324" spans="1:5" x14ac:dyDescent="0.3">
      <c r="A324" s="11" t="s">
        <v>801</v>
      </c>
      <c r="B324" s="5">
        <v>14287.896349999999</v>
      </c>
      <c r="C324" s="5"/>
      <c r="D324" s="5"/>
      <c r="E324" s="5">
        <v>14287.896349999999</v>
      </c>
    </row>
    <row r="325" spans="1:5" x14ac:dyDescent="0.3">
      <c r="A325" s="11" t="s">
        <v>1187</v>
      </c>
      <c r="B325" s="5">
        <v>23132.398349999996</v>
      </c>
      <c r="C325" s="5"/>
      <c r="D325" s="5"/>
      <c r="E325" s="5">
        <v>23132.398349999996</v>
      </c>
    </row>
    <row r="326" spans="1:5" x14ac:dyDescent="0.3">
      <c r="A326" s="11" t="s">
        <v>742</v>
      </c>
      <c r="B326" s="5">
        <v>14714.12934</v>
      </c>
      <c r="C326" s="5"/>
      <c r="D326" s="5"/>
      <c r="E326" s="5">
        <v>14714.12934</v>
      </c>
    </row>
    <row r="327" spans="1:5" x14ac:dyDescent="0.3">
      <c r="A327" s="11" t="s">
        <v>909</v>
      </c>
      <c r="B327" s="5">
        <v>92715.25</v>
      </c>
      <c r="C327" s="5"/>
      <c r="D327" s="5"/>
      <c r="E327" s="5">
        <v>92715.25</v>
      </c>
    </row>
    <row r="328" spans="1:5" x14ac:dyDescent="0.3">
      <c r="A328" s="11" t="s">
        <v>1290</v>
      </c>
      <c r="B328" s="5"/>
      <c r="C328" s="5">
        <v>10519.776450000001</v>
      </c>
      <c r="D328" s="5"/>
      <c r="E328" s="5">
        <v>10519.776450000001</v>
      </c>
    </row>
    <row r="329" spans="1:5" x14ac:dyDescent="0.3">
      <c r="A329" s="11" t="s">
        <v>1180</v>
      </c>
      <c r="B329" s="5"/>
      <c r="C329" s="5"/>
      <c r="D329" s="5">
        <v>5565.3272500000003</v>
      </c>
      <c r="E329" s="5">
        <v>5565.3272500000003</v>
      </c>
    </row>
    <row r="330" spans="1:5" x14ac:dyDescent="0.3">
      <c r="A330" s="11" t="s">
        <v>1314</v>
      </c>
      <c r="B330" s="5"/>
      <c r="C330" s="5"/>
      <c r="D330" s="5">
        <v>1801.4076000000002</v>
      </c>
      <c r="E330" s="5">
        <v>1801.4076000000002</v>
      </c>
    </row>
    <row r="331" spans="1:5" x14ac:dyDescent="0.3">
      <c r="A331" s="11" t="s">
        <v>925</v>
      </c>
      <c r="B331" s="5"/>
      <c r="C331" s="5">
        <v>8763.2849999999999</v>
      </c>
      <c r="D331" s="5"/>
      <c r="E331" s="5">
        <v>8763.2849999999999</v>
      </c>
    </row>
    <row r="332" spans="1:5" x14ac:dyDescent="0.3">
      <c r="A332" s="11" t="s">
        <v>902</v>
      </c>
      <c r="B332" s="5"/>
      <c r="C332" s="5">
        <v>6824.2884000000004</v>
      </c>
      <c r="D332" s="5"/>
      <c r="E332" s="5">
        <v>6824.2884000000004</v>
      </c>
    </row>
    <row r="333" spans="1:5" x14ac:dyDescent="0.3">
      <c r="A333" s="11" t="s">
        <v>1117</v>
      </c>
      <c r="B333" s="5">
        <v>15257.51748</v>
      </c>
      <c r="C333" s="5"/>
      <c r="D333" s="5"/>
      <c r="E333" s="5">
        <v>15257.51748</v>
      </c>
    </row>
    <row r="334" spans="1:5" x14ac:dyDescent="0.3">
      <c r="A334" s="11" t="s">
        <v>992</v>
      </c>
      <c r="B334" s="5"/>
      <c r="C334" s="5"/>
      <c r="D334" s="5">
        <v>4375.3620000000001</v>
      </c>
      <c r="E334" s="5">
        <v>4375.3620000000001</v>
      </c>
    </row>
    <row r="335" spans="1:5" x14ac:dyDescent="0.3">
      <c r="A335" s="11" t="s">
        <v>945</v>
      </c>
      <c r="B335" s="5"/>
      <c r="C335" s="5"/>
      <c r="D335" s="5">
        <v>1774.8072</v>
      </c>
      <c r="E335" s="5">
        <v>1774.8072</v>
      </c>
    </row>
    <row r="336" spans="1:5" x14ac:dyDescent="0.3">
      <c r="A336" s="11" t="s">
        <v>922</v>
      </c>
      <c r="B336" s="5">
        <v>28072.190160000002</v>
      </c>
      <c r="C336" s="5"/>
      <c r="D336" s="5"/>
      <c r="E336" s="5">
        <v>28072.190160000002</v>
      </c>
    </row>
    <row r="337" spans="1:5" x14ac:dyDescent="0.3">
      <c r="A337" s="11" t="s">
        <v>813</v>
      </c>
      <c r="B337" s="5"/>
      <c r="C337" s="5"/>
      <c r="D337" s="5">
        <v>4877.1379800000004</v>
      </c>
      <c r="E337" s="5">
        <v>4877.1379800000004</v>
      </c>
    </row>
    <row r="338" spans="1:5" x14ac:dyDescent="0.3">
      <c r="A338" s="11" t="s">
        <v>1344</v>
      </c>
      <c r="B338" s="5"/>
      <c r="C338" s="5">
        <v>9256.14</v>
      </c>
      <c r="D338" s="5"/>
      <c r="E338" s="5">
        <v>9256.14</v>
      </c>
    </row>
    <row r="339" spans="1:5" x14ac:dyDescent="0.3">
      <c r="A339" s="11" t="s">
        <v>1278</v>
      </c>
      <c r="B339" s="5"/>
      <c r="C339" s="5"/>
      <c r="D339" s="5">
        <v>4826.5396199999996</v>
      </c>
      <c r="E339" s="5">
        <v>4826.5396199999996</v>
      </c>
    </row>
    <row r="340" spans="1:5" x14ac:dyDescent="0.3">
      <c r="A340" s="11" t="s">
        <v>740</v>
      </c>
      <c r="B340" s="5"/>
      <c r="C340" s="5"/>
      <c r="D340" s="5">
        <v>2886.4496399999998</v>
      </c>
      <c r="E340" s="5">
        <v>2886.4496399999998</v>
      </c>
    </row>
    <row r="341" spans="1:5" x14ac:dyDescent="0.3">
      <c r="A341" s="11" t="s">
        <v>1006</v>
      </c>
      <c r="B341" s="5">
        <v>34632.106319999999</v>
      </c>
      <c r="C341" s="5"/>
      <c r="D341" s="5"/>
      <c r="E341" s="5">
        <v>34632.106319999999</v>
      </c>
    </row>
    <row r="342" spans="1:5" x14ac:dyDescent="0.3">
      <c r="A342" s="11" t="s">
        <v>1274</v>
      </c>
      <c r="B342" s="5">
        <v>30652.403519999996</v>
      </c>
      <c r="C342" s="5"/>
      <c r="D342" s="5"/>
      <c r="E342" s="5">
        <v>30652.403519999996</v>
      </c>
    </row>
    <row r="343" spans="1:5" x14ac:dyDescent="0.3">
      <c r="A343" s="11" t="s">
        <v>1165</v>
      </c>
      <c r="B343" s="5"/>
      <c r="C343" s="5"/>
      <c r="D343" s="5">
        <v>2627.6239999999998</v>
      </c>
      <c r="E343" s="5">
        <v>2627.6239999999998</v>
      </c>
    </row>
    <row r="344" spans="1:5" x14ac:dyDescent="0.3">
      <c r="A344" s="11" t="s">
        <v>918</v>
      </c>
      <c r="B344" s="5">
        <v>26408.63841</v>
      </c>
      <c r="C344" s="5"/>
      <c r="D344" s="5"/>
      <c r="E344" s="5">
        <v>26408.63841</v>
      </c>
    </row>
    <row r="345" spans="1:5" x14ac:dyDescent="0.3">
      <c r="A345" s="11" t="s">
        <v>1228</v>
      </c>
      <c r="B345" s="5"/>
      <c r="C345" s="5"/>
      <c r="D345" s="5">
        <v>4682.9519799999998</v>
      </c>
      <c r="E345" s="5">
        <v>4682.9519799999998</v>
      </c>
    </row>
    <row r="346" spans="1:5" x14ac:dyDescent="0.3">
      <c r="A346" s="11" t="s">
        <v>988</v>
      </c>
      <c r="B346" s="5"/>
      <c r="C346" s="5"/>
      <c r="D346" s="5">
        <v>6468.2751599999992</v>
      </c>
      <c r="E346" s="5">
        <v>6468.2751599999992</v>
      </c>
    </row>
    <row r="347" spans="1:5" x14ac:dyDescent="0.3">
      <c r="A347" s="11" t="s">
        <v>822</v>
      </c>
      <c r="B347" s="5"/>
      <c r="C347" s="5">
        <v>11842.8464</v>
      </c>
      <c r="D347" s="5"/>
      <c r="E347" s="5">
        <v>11842.8464</v>
      </c>
    </row>
    <row r="348" spans="1:5" x14ac:dyDescent="0.3">
      <c r="A348" s="11" t="s">
        <v>852</v>
      </c>
      <c r="B348" s="5"/>
      <c r="C348" s="5"/>
      <c r="D348" s="5">
        <v>5769.2758000000003</v>
      </c>
      <c r="E348" s="5">
        <v>5769.2758000000003</v>
      </c>
    </row>
    <row r="349" spans="1:5" x14ac:dyDescent="0.3">
      <c r="A349" s="11" t="s">
        <v>1265</v>
      </c>
      <c r="B349" s="5"/>
      <c r="C349" s="5"/>
      <c r="D349" s="5">
        <v>534.57695999999999</v>
      </c>
      <c r="E349" s="5">
        <v>534.57695999999999</v>
      </c>
    </row>
    <row r="350" spans="1:5" x14ac:dyDescent="0.3">
      <c r="A350" s="11" t="s">
        <v>897</v>
      </c>
      <c r="B350" s="5"/>
      <c r="C350" s="5">
        <v>12194.714</v>
      </c>
      <c r="D350" s="5"/>
      <c r="E350" s="5">
        <v>12194.714</v>
      </c>
    </row>
    <row r="351" spans="1:5" x14ac:dyDescent="0.3">
      <c r="A351" s="11" t="s">
        <v>1232</v>
      </c>
      <c r="B351" s="5">
        <v>16574.544740000001</v>
      </c>
      <c r="C351" s="5"/>
      <c r="D351" s="5"/>
      <c r="E351" s="5">
        <v>16574.544740000001</v>
      </c>
    </row>
    <row r="352" spans="1:5" x14ac:dyDescent="0.3">
      <c r="A352" s="11" t="s">
        <v>1052</v>
      </c>
      <c r="B352" s="5"/>
      <c r="C352" s="5"/>
      <c r="D352" s="5">
        <v>2915.4540999999999</v>
      </c>
      <c r="E352" s="5">
        <v>2915.4540999999999</v>
      </c>
    </row>
    <row r="353" spans="1:5" x14ac:dyDescent="0.3">
      <c r="A353" s="11" t="s">
        <v>1129</v>
      </c>
      <c r="B353" s="5">
        <v>56176.777799999996</v>
      </c>
      <c r="C353" s="5"/>
      <c r="D353" s="5"/>
      <c r="E353" s="5">
        <v>56176.777799999996</v>
      </c>
    </row>
    <row r="354" spans="1:5" x14ac:dyDescent="0.3">
      <c r="A354" s="11" t="s">
        <v>1000</v>
      </c>
      <c r="B354" s="5">
        <v>38818.760160000005</v>
      </c>
      <c r="C354" s="5"/>
      <c r="D354" s="5"/>
      <c r="E354" s="5">
        <v>38818.760160000005</v>
      </c>
    </row>
    <row r="355" spans="1:5" x14ac:dyDescent="0.3">
      <c r="A355" s="11" t="s">
        <v>894</v>
      </c>
      <c r="B355" s="5">
        <v>22044.871499999997</v>
      </c>
      <c r="C355" s="5"/>
      <c r="D355" s="5"/>
      <c r="E355" s="5">
        <v>22044.871499999997</v>
      </c>
    </row>
    <row r="356" spans="1:5" x14ac:dyDescent="0.3">
      <c r="A356" s="11" t="s">
        <v>774</v>
      </c>
      <c r="B356" s="5">
        <v>41106.800970000004</v>
      </c>
      <c r="C356" s="5"/>
      <c r="D356" s="5"/>
      <c r="E356" s="5">
        <v>41106.800970000004</v>
      </c>
    </row>
    <row r="357" spans="1:5" x14ac:dyDescent="0.3">
      <c r="A357" s="11" t="s">
        <v>1230</v>
      </c>
      <c r="B357" s="5">
        <v>25249.613219999999</v>
      </c>
      <c r="C357" s="5"/>
      <c r="D357" s="5"/>
      <c r="E357" s="5">
        <v>25249.613219999999</v>
      </c>
    </row>
    <row r="358" spans="1:5" x14ac:dyDescent="0.3">
      <c r="A358" s="11" t="s">
        <v>1045</v>
      </c>
      <c r="B358" s="5"/>
      <c r="C358" s="5"/>
      <c r="D358" s="5">
        <v>879.05840000000001</v>
      </c>
      <c r="E358" s="5">
        <v>879.05840000000001</v>
      </c>
    </row>
    <row r="359" spans="1:5" x14ac:dyDescent="0.3">
      <c r="A359" s="11" t="s">
        <v>1229</v>
      </c>
      <c r="B359" s="5">
        <v>30692.47896</v>
      </c>
      <c r="C359" s="5"/>
      <c r="D359" s="5"/>
      <c r="E359" s="5">
        <v>30692.47896</v>
      </c>
    </row>
    <row r="360" spans="1:5" x14ac:dyDescent="0.3">
      <c r="A360" s="11" t="s">
        <v>1324</v>
      </c>
      <c r="B360" s="5">
        <v>51768.181920000003</v>
      </c>
      <c r="C360" s="5"/>
      <c r="D360" s="5"/>
      <c r="E360" s="5">
        <v>51768.181920000003</v>
      </c>
    </row>
    <row r="361" spans="1:5" x14ac:dyDescent="0.3">
      <c r="A361" s="11" t="s">
        <v>1114</v>
      </c>
      <c r="B361" s="5"/>
      <c r="C361" s="5">
        <v>12881.097599999999</v>
      </c>
      <c r="D361" s="5"/>
      <c r="E361" s="5">
        <v>12881.097599999999</v>
      </c>
    </row>
    <row r="362" spans="1:5" x14ac:dyDescent="0.3">
      <c r="A362" s="11" t="s">
        <v>775</v>
      </c>
      <c r="B362" s="5"/>
      <c r="C362" s="5">
        <v>10558.74</v>
      </c>
      <c r="D362" s="5"/>
      <c r="E362" s="5">
        <v>10558.74</v>
      </c>
    </row>
    <row r="363" spans="1:5" x14ac:dyDescent="0.3">
      <c r="A363" s="11" t="s">
        <v>957</v>
      </c>
      <c r="B363" s="5">
        <v>66988.771199999988</v>
      </c>
      <c r="C363" s="5"/>
      <c r="D363" s="5"/>
      <c r="E363" s="5">
        <v>66988.771199999988</v>
      </c>
    </row>
    <row r="364" spans="1:5" x14ac:dyDescent="0.3">
      <c r="A364" s="11" t="s">
        <v>960</v>
      </c>
      <c r="B364" s="5">
        <v>30479.418970000002</v>
      </c>
      <c r="C364" s="5"/>
      <c r="D364" s="5"/>
      <c r="E364" s="5">
        <v>30479.418970000002</v>
      </c>
    </row>
    <row r="365" spans="1:5" x14ac:dyDescent="0.3">
      <c r="A365" s="11" t="s">
        <v>1036</v>
      </c>
      <c r="B365" s="5">
        <v>39686.4182</v>
      </c>
      <c r="C365" s="5"/>
      <c r="D365" s="5"/>
      <c r="E365" s="5">
        <v>39686.4182</v>
      </c>
    </row>
    <row r="366" spans="1:5" x14ac:dyDescent="0.3">
      <c r="A366" s="11" t="s">
        <v>832</v>
      </c>
      <c r="B366" s="5"/>
      <c r="C366" s="5"/>
      <c r="D366" s="5">
        <v>5328.4890400000004</v>
      </c>
      <c r="E366" s="5">
        <v>5328.4890400000004</v>
      </c>
    </row>
    <row r="367" spans="1:5" x14ac:dyDescent="0.3">
      <c r="A367" s="11" t="s">
        <v>1075</v>
      </c>
      <c r="B367" s="5"/>
      <c r="C367" s="5"/>
      <c r="D367" s="5">
        <v>1115.1975999999997</v>
      </c>
      <c r="E367" s="5">
        <v>1115.1975999999997</v>
      </c>
    </row>
    <row r="368" spans="1:5" x14ac:dyDescent="0.3">
      <c r="A368" s="11" t="s">
        <v>807</v>
      </c>
      <c r="B368" s="5"/>
      <c r="C368" s="5">
        <v>9373.460219999999</v>
      </c>
      <c r="D368" s="5"/>
      <c r="E368" s="5">
        <v>9373.460219999999</v>
      </c>
    </row>
    <row r="369" spans="1:5" x14ac:dyDescent="0.3">
      <c r="A369" s="11" t="s">
        <v>1213</v>
      </c>
      <c r="B369" s="5">
        <v>40488.792960000006</v>
      </c>
      <c r="C369" s="5"/>
      <c r="D369" s="5"/>
      <c r="E369" s="5">
        <v>40488.792960000006</v>
      </c>
    </row>
    <row r="370" spans="1:5" x14ac:dyDescent="0.3">
      <c r="A370" s="11" t="s">
        <v>824</v>
      </c>
      <c r="B370" s="5"/>
      <c r="C370" s="5">
        <v>8324.8326000000015</v>
      </c>
      <c r="D370" s="5"/>
      <c r="E370" s="5">
        <v>8324.8326000000015</v>
      </c>
    </row>
    <row r="371" spans="1:5" x14ac:dyDescent="0.3">
      <c r="A371" s="11" t="s">
        <v>779</v>
      </c>
      <c r="B371" s="5">
        <v>32506.559399999998</v>
      </c>
      <c r="C371" s="5"/>
      <c r="D371" s="5"/>
      <c r="E371" s="5">
        <v>32506.559399999998</v>
      </c>
    </row>
    <row r="372" spans="1:5" x14ac:dyDescent="0.3">
      <c r="A372" s="11" t="s">
        <v>781</v>
      </c>
      <c r="B372" s="5">
        <v>109244</v>
      </c>
      <c r="C372" s="5"/>
      <c r="D372" s="5"/>
      <c r="E372" s="5">
        <v>109244</v>
      </c>
    </row>
    <row r="373" spans="1:5" x14ac:dyDescent="0.3">
      <c r="A373" s="11" t="s">
        <v>878</v>
      </c>
      <c r="B373" s="5">
        <v>25672.127039999999</v>
      </c>
      <c r="C373" s="5"/>
      <c r="D373" s="5"/>
      <c r="E373" s="5">
        <v>25672.127039999999</v>
      </c>
    </row>
    <row r="374" spans="1:5" x14ac:dyDescent="0.3">
      <c r="A374" s="11" t="s">
        <v>991</v>
      </c>
      <c r="B374" s="5"/>
      <c r="C374" s="5"/>
      <c r="D374" s="5">
        <v>2394.1605599999998</v>
      </c>
      <c r="E374" s="5">
        <v>2394.1605599999998</v>
      </c>
    </row>
    <row r="375" spans="1:5" x14ac:dyDescent="0.3">
      <c r="A375" s="11" t="s">
        <v>1357</v>
      </c>
      <c r="B375" s="5">
        <v>32704.386400000003</v>
      </c>
      <c r="C375" s="5"/>
      <c r="D375" s="5"/>
      <c r="E375" s="5">
        <v>32704.386400000003</v>
      </c>
    </row>
    <row r="376" spans="1:5" x14ac:dyDescent="0.3">
      <c r="A376" s="11" t="s">
        <v>1172</v>
      </c>
      <c r="B376" s="5"/>
      <c r="C376" s="5"/>
      <c r="D376" s="5">
        <v>2795.6384399999997</v>
      </c>
      <c r="E376" s="5">
        <v>2795.6384399999997</v>
      </c>
    </row>
    <row r="377" spans="1:5" x14ac:dyDescent="0.3">
      <c r="A377" s="11" t="s">
        <v>1296</v>
      </c>
      <c r="B377" s="5"/>
      <c r="C377" s="5">
        <v>10166.535600000001</v>
      </c>
      <c r="D377" s="5"/>
      <c r="E377" s="5">
        <v>10166.535600000001</v>
      </c>
    </row>
    <row r="378" spans="1:5" x14ac:dyDescent="0.3">
      <c r="A378" s="11" t="s">
        <v>982</v>
      </c>
      <c r="B378" s="5"/>
      <c r="C378" s="5"/>
      <c r="D378" s="5">
        <v>3592.04</v>
      </c>
      <c r="E378" s="5">
        <v>3592.04</v>
      </c>
    </row>
    <row r="379" spans="1:5" x14ac:dyDescent="0.3">
      <c r="A379" s="11" t="s">
        <v>1217</v>
      </c>
      <c r="B379" s="5">
        <v>21908.731650000002</v>
      </c>
      <c r="C379" s="5"/>
      <c r="D379" s="5"/>
      <c r="E379" s="5">
        <v>21908.731650000002</v>
      </c>
    </row>
    <row r="380" spans="1:5" x14ac:dyDescent="0.3">
      <c r="A380" s="11" t="s">
        <v>1311</v>
      </c>
      <c r="B380" s="5"/>
      <c r="C380" s="5"/>
      <c r="D380" s="5">
        <v>4280.6786400000001</v>
      </c>
      <c r="E380" s="5">
        <v>4280.6786400000001</v>
      </c>
    </row>
    <row r="381" spans="1:5" x14ac:dyDescent="0.3">
      <c r="A381" s="11" t="s">
        <v>848</v>
      </c>
      <c r="B381" s="5"/>
      <c r="C381" s="5"/>
      <c r="D381" s="5">
        <v>1499.22</v>
      </c>
      <c r="E381" s="5">
        <v>1499.22</v>
      </c>
    </row>
    <row r="382" spans="1:5" x14ac:dyDescent="0.3">
      <c r="A382" s="11" t="s">
        <v>755</v>
      </c>
      <c r="B382" s="5">
        <v>19903.585040000002</v>
      </c>
      <c r="C382" s="5"/>
      <c r="D382" s="5"/>
      <c r="E382" s="5">
        <v>19903.585040000002</v>
      </c>
    </row>
    <row r="383" spans="1:5" x14ac:dyDescent="0.3">
      <c r="A383" s="11" t="s">
        <v>1133</v>
      </c>
      <c r="B383" s="5">
        <v>17731.623</v>
      </c>
      <c r="C383" s="5"/>
      <c r="D383" s="5"/>
      <c r="E383" s="5">
        <v>17731.623</v>
      </c>
    </row>
    <row r="384" spans="1:5" x14ac:dyDescent="0.3">
      <c r="A384" s="11" t="s">
        <v>932</v>
      </c>
      <c r="B384" s="5"/>
      <c r="C384" s="5">
        <v>8349.2224200000001</v>
      </c>
      <c r="D384" s="5"/>
      <c r="E384" s="5">
        <v>8349.2224200000001</v>
      </c>
    </row>
    <row r="385" spans="1:5" x14ac:dyDescent="0.3">
      <c r="A385" s="11" t="s">
        <v>1110</v>
      </c>
      <c r="B385" s="5">
        <v>43553.493060000001</v>
      </c>
      <c r="C385" s="5"/>
      <c r="D385" s="5"/>
      <c r="E385" s="5">
        <v>43553.493060000001</v>
      </c>
    </row>
    <row r="386" spans="1:5" x14ac:dyDescent="0.3">
      <c r="A386" s="11" t="s">
        <v>1309</v>
      </c>
      <c r="B386" s="5">
        <v>13882.6016</v>
      </c>
      <c r="C386" s="5"/>
      <c r="D386" s="5"/>
      <c r="E386" s="5">
        <v>13882.6016</v>
      </c>
    </row>
    <row r="387" spans="1:5" x14ac:dyDescent="0.3">
      <c r="A387" s="11" t="s">
        <v>1240</v>
      </c>
      <c r="B387" s="5">
        <v>15323.926799999999</v>
      </c>
      <c r="C387" s="5"/>
      <c r="D387" s="5"/>
      <c r="E387" s="5">
        <v>15323.926799999999</v>
      </c>
    </row>
    <row r="388" spans="1:5" x14ac:dyDescent="0.3">
      <c r="A388" s="11" t="s">
        <v>1041</v>
      </c>
      <c r="B388" s="5"/>
      <c r="C388" s="5"/>
      <c r="D388" s="5">
        <v>3644.3212800000006</v>
      </c>
      <c r="E388" s="5">
        <v>3644.3212800000006</v>
      </c>
    </row>
    <row r="389" spans="1:5" x14ac:dyDescent="0.3">
      <c r="A389" s="11" t="s">
        <v>1308</v>
      </c>
      <c r="B389" s="5"/>
      <c r="C389" s="5">
        <v>12091.190399999999</v>
      </c>
      <c r="D389" s="5"/>
      <c r="E389" s="5">
        <v>12091.190399999999</v>
      </c>
    </row>
    <row r="390" spans="1:5" x14ac:dyDescent="0.3">
      <c r="A390" s="11" t="s">
        <v>1116</v>
      </c>
      <c r="B390" s="5">
        <v>47693.373</v>
      </c>
      <c r="C390" s="5"/>
      <c r="D390" s="5"/>
      <c r="E390" s="5">
        <v>47693.373</v>
      </c>
    </row>
    <row r="391" spans="1:5" x14ac:dyDescent="0.3">
      <c r="A391" s="11" t="s">
        <v>1091</v>
      </c>
      <c r="B391" s="5">
        <v>49336.511399999996</v>
      </c>
      <c r="C391" s="5"/>
      <c r="D391" s="5"/>
      <c r="E391" s="5">
        <v>49336.511399999996</v>
      </c>
    </row>
    <row r="392" spans="1:5" x14ac:dyDescent="0.3">
      <c r="A392" s="11" t="s">
        <v>1051</v>
      </c>
      <c r="B392" s="5">
        <v>16306.59375</v>
      </c>
      <c r="C392" s="5"/>
      <c r="D392" s="5"/>
      <c r="E392" s="5">
        <v>16306.59375</v>
      </c>
    </row>
    <row r="393" spans="1:5" x14ac:dyDescent="0.3">
      <c r="A393" s="11" t="s">
        <v>863</v>
      </c>
      <c r="B393" s="5">
        <v>16071.44868</v>
      </c>
      <c r="C393" s="5"/>
      <c r="D393" s="5"/>
      <c r="E393" s="5">
        <v>16071.44868</v>
      </c>
    </row>
    <row r="394" spans="1:5" x14ac:dyDescent="0.3">
      <c r="A394" s="11" t="s">
        <v>1251</v>
      </c>
      <c r="B394" s="5"/>
      <c r="C394" s="5">
        <v>9807.7842799999999</v>
      </c>
      <c r="D394" s="5"/>
      <c r="E394" s="5">
        <v>9807.7842799999999</v>
      </c>
    </row>
    <row r="395" spans="1:5" x14ac:dyDescent="0.3">
      <c r="A395" s="11" t="s">
        <v>846</v>
      </c>
      <c r="B395" s="5"/>
      <c r="C395" s="5"/>
      <c r="D395" s="5">
        <v>34.689059999999998</v>
      </c>
      <c r="E395" s="5">
        <v>34.689059999999998</v>
      </c>
    </row>
    <row r="396" spans="1:5" x14ac:dyDescent="0.3">
      <c r="A396" s="11" t="s">
        <v>1282</v>
      </c>
      <c r="B396" s="5">
        <v>29673.454499999993</v>
      </c>
      <c r="C396" s="5"/>
      <c r="D396" s="5"/>
      <c r="E396" s="5">
        <v>29673.454499999993</v>
      </c>
    </row>
    <row r="397" spans="1:5" x14ac:dyDescent="0.3">
      <c r="A397" s="11" t="s">
        <v>1055</v>
      </c>
      <c r="B397" s="5"/>
      <c r="C397" s="5">
        <v>7493.1076000000012</v>
      </c>
      <c r="D397" s="5"/>
      <c r="E397" s="5">
        <v>7493.1076000000012</v>
      </c>
    </row>
    <row r="398" spans="1:5" x14ac:dyDescent="0.3">
      <c r="A398" s="11" t="s">
        <v>1354</v>
      </c>
      <c r="B398" s="5">
        <v>30229.994880000002</v>
      </c>
      <c r="C398" s="5"/>
      <c r="D398" s="5"/>
      <c r="E398" s="5">
        <v>30229.994880000002</v>
      </c>
    </row>
    <row r="399" spans="1:5" x14ac:dyDescent="0.3">
      <c r="A399" s="11" t="s">
        <v>1356</v>
      </c>
      <c r="B399" s="5">
        <v>50090.397499999999</v>
      </c>
      <c r="C399" s="5"/>
      <c r="D399" s="5"/>
      <c r="E399" s="5">
        <v>50090.397499999999</v>
      </c>
    </row>
    <row r="400" spans="1:5" x14ac:dyDescent="0.3">
      <c r="A400" s="11" t="s">
        <v>814</v>
      </c>
      <c r="B400" s="5">
        <v>60292.805299999993</v>
      </c>
      <c r="C400" s="5"/>
      <c r="D400" s="5"/>
      <c r="E400" s="5">
        <v>60292.805299999993</v>
      </c>
    </row>
    <row r="401" spans="1:5" x14ac:dyDescent="0.3">
      <c r="A401" s="11" t="s">
        <v>1056</v>
      </c>
      <c r="B401" s="5">
        <v>39546.774539999999</v>
      </c>
      <c r="C401" s="5"/>
      <c r="D401" s="5"/>
      <c r="E401" s="5">
        <v>39546.774539999999</v>
      </c>
    </row>
    <row r="402" spans="1:5" x14ac:dyDescent="0.3">
      <c r="A402" s="11" t="s">
        <v>1277</v>
      </c>
      <c r="B402" s="5"/>
      <c r="C402" s="5">
        <v>10792.637119999999</v>
      </c>
      <c r="D402" s="5"/>
      <c r="E402" s="5">
        <v>10792.637119999999</v>
      </c>
    </row>
    <row r="403" spans="1:5" x14ac:dyDescent="0.3">
      <c r="A403" s="11" t="s">
        <v>782</v>
      </c>
      <c r="B403" s="5">
        <v>35621.302319999995</v>
      </c>
      <c r="C403" s="5"/>
      <c r="D403" s="5"/>
      <c r="E403" s="5">
        <v>35621.302319999995</v>
      </c>
    </row>
    <row r="404" spans="1:5" x14ac:dyDescent="0.3">
      <c r="A404" s="11" t="s">
        <v>1196</v>
      </c>
      <c r="B404" s="5"/>
      <c r="C404" s="5"/>
      <c r="D404" s="5">
        <v>1886.9915999999998</v>
      </c>
      <c r="E404" s="5">
        <v>1886.9915999999998</v>
      </c>
    </row>
    <row r="405" spans="1:5" x14ac:dyDescent="0.3">
      <c r="A405" s="11" t="s">
        <v>1346</v>
      </c>
      <c r="B405" s="5">
        <v>18500.693520000001</v>
      </c>
      <c r="C405" s="5"/>
      <c r="D405" s="5"/>
      <c r="E405" s="5">
        <v>18500.693520000001</v>
      </c>
    </row>
    <row r="406" spans="1:5" x14ac:dyDescent="0.3">
      <c r="A406" s="11" t="s">
        <v>1113</v>
      </c>
      <c r="B406" s="5">
        <v>33200.038079999998</v>
      </c>
      <c r="C406" s="5"/>
      <c r="D406" s="5"/>
      <c r="E406" s="5">
        <v>33200.038079999998</v>
      </c>
    </row>
    <row r="407" spans="1:5" x14ac:dyDescent="0.3">
      <c r="A407" s="11" t="s">
        <v>1010</v>
      </c>
      <c r="B407" s="5">
        <v>79548.755999999994</v>
      </c>
      <c r="C407" s="5"/>
      <c r="D407" s="5"/>
      <c r="E407" s="5">
        <v>79548.755999999994</v>
      </c>
    </row>
    <row r="408" spans="1:5" x14ac:dyDescent="0.3">
      <c r="A408" s="11" t="s">
        <v>928</v>
      </c>
      <c r="B408" s="5"/>
      <c r="C408" s="5"/>
      <c r="D408" s="5">
        <v>3928.3797600000003</v>
      </c>
      <c r="E408" s="5">
        <v>3928.3797600000003</v>
      </c>
    </row>
    <row r="409" spans="1:5" x14ac:dyDescent="0.3">
      <c r="A409" s="11" t="s">
        <v>1345</v>
      </c>
      <c r="B409" s="5">
        <v>82141.339799999987</v>
      </c>
      <c r="C409" s="5"/>
      <c r="D409" s="5"/>
      <c r="E409" s="5">
        <v>82141.339799999987</v>
      </c>
    </row>
    <row r="410" spans="1:5" x14ac:dyDescent="0.3">
      <c r="A410" s="11" t="s">
        <v>1200</v>
      </c>
      <c r="B410" s="5">
        <v>14261.92439</v>
      </c>
      <c r="C410" s="5"/>
      <c r="D410" s="5"/>
      <c r="E410" s="5">
        <v>14261.92439</v>
      </c>
    </row>
    <row r="411" spans="1:5" x14ac:dyDescent="0.3">
      <c r="A411" s="11" t="s">
        <v>937</v>
      </c>
      <c r="B411" s="5">
        <v>47962.717579999997</v>
      </c>
      <c r="C411" s="5"/>
      <c r="D411" s="5"/>
      <c r="E411" s="5">
        <v>47962.717579999997</v>
      </c>
    </row>
    <row r="412" spans="1:5" x14ac:dyDescent="0.3">
      <c r="A412" s="11" t="s">
        <v>1334</v>
      </c>
      <c r="B412" s="5"/>
      <c r="C412" s="5"/>
      <c r="D412" s="5">
        <v>1062.5902000000001</v>
      </c>
      <c r="E412" s="5">
        <v>1062.5902000000001</v>
      </c>
    </row>
    <row r="413" spans="1:5" x14ac:dyDescent="0.3">
      <c r="A413" s="11" t="s">
        <v>1237</v>
      </c>
      <c r="B413" s="5"/>
      <c r="C413" s="5">
        <v>10189.8891</v>
      </c>
      <c r="D413" s="5"/>
      <c r="E413" s="5">
        <v>10189.8891</v>
      </c>
    </row>
    <row r="414" spans="1:5" x14ac:dyDescent="0.3">
      <c r="A414" s="11" t="s">
        <v>854</v>
      </c>
      <c r="B414" s="5">
        <v>39516.804389999998</v>
      </c>
      <c r="C414" s="5"/>
      <c r="D414" s="5"/>
      <c r="E414" s="5">
        <v>39516.804389999998</v>
      </c>
    </row>
    <row r="415" spans="1:5" x14ac:dyDescent="0.3">
      <c r="A415" s="11" t="s">
        <v>842</v>
      </c>
      <c r="B415" s="5"/>
      <c r="C415" s="5"/>
      <c r="D415" s="5">
        <v>1660.3999999999999</v>
      </c>
      <c r="E415" s="5">
        <v>1660.3999999999999</v>
      </c>
    </row>
    <row r="416" spans="1:5" x14ac:dyDescent="0.3">
      <c r="A416" s="11" t="s">
        <v>1269</v>
      </c>
      <c r="B416" s="5"/>
      <c r="C416" s="5">
        <v>7823.4472399999995</v>
      </c>
      <c r="D416" s="5"/>
      <c r="E416" s="5">
        <v>7823.4472399999995</v>
      </c>
    </row>
    <row r="417" spans="1:5" x14ac:dyDescent="0.3">
      <c r="A417" s="11" t="s">
        <v>1147</v>
      </c>
      <c r="B417" s="5">
        <v>31513.423040000001</v>
      </c>
      <c r="C417" s="5"/>
      <c r="D417" s="5"/>
      <c r="E417" s="5">
        <v>31513.423040000001</v>
      </c>
    </row>
    <row r="418" spans="1:5" x14ac:dyDescent="0.3">
      <c r="A418" s="11" t="s">
        <v>818</v>
      </c>
      <c r="B418" s="5">
        <v>21062.61248</v>
      </c>
      <c r="C418" s="5"/>
      <c r="D418" s="5"/>
      <c r="E418" s="5">
        <v>21062.61248</v>
      </c>
    </row>
    <row r="419" spans="1:5" x14ac:dyDescent="0.3">
      <c r="A419" s="11" t="s">
        <v>1284</v>
      </c>
      <c r="B419" s="5">
        <v>18830.12472</v>
      </c>
      <c r="C419" s="5"/>
      <c r="D419" s="5"/>
      <c r="E419" s="5">
        <v>18830.12472</v>
      </c>
    </row>
    <row r="420" spans="1:5" x14ac:dyDescent="0.3">
      <c r="A420" s="11" t="s">
        <v>949</v>
      </c>
      <c r="B420" s="5">
        <v>15253.069799999999</v>
      </c>
      <c r="C420" s="5"/>
      <c r="D420" s="5"/>
      <c r="E420" s="5">
        <v>15253.069799999999</v>
      </c>
    </row>
    <row r="421" spans="1:5" x14ac:dyDescent="0.3">
      <c r="A421" s="11" t="s">
        <v>1112</v>
      </c>
      <c r="B421" s="5"/>
      <c r="C421" s="5">
        <v>6576.298960000001</v>
      </c>
      <c r="D421" s="5"/>
      <c r="E421" s="5">
        <v>6576.298960000001</v>
      </c>
    </row>
    <row r="422" spans="1:5" x14ac:dyDescent="0.3">
      <c r="A422" s="11" t="s">
        <v>889</v>
      </c>
      <c r="B422" s="5"/>
      <c r="C422" s="5">
        <v>8909.6646800000017</v>
      </c>
      <c r="D422" s="5"/>
      <c r="E422" s="5">
        <v>8909.6646800000017</v>
      </c>
    </row>
    <row r="423" spans="1:5" x14ac:dyDescent="0.3">
      <c r="A423" s="11" t="s">
        <v>766</v>
      </c>
      <c r="B423" s="5"/>
      <c r="C423" s="5">
        <v>9647.3852800000004</v>
      </c>
      <c r="D423" s="5"/>
      <c r="E423" s="5">
        <v>9647.3852800000004</v>
      </c>
    </row>
    <row r="424" spans="1:5" x14ac:dyDescent="0.3">
      <c r="A424" s="11" t="s">
        <v>1167</v>
      </c>
      <c r="B424" s="5"/>
      <c r="C424" s="5"/>
      <c r="D424" s="5">
        <v>1950.0031200000001</v>
      </c>
      <c r="E424" s="5">
        <v>1950.0031200000001</v>
      </c>
    </row>
    <row r="425" spans="1:5" x14ac:dyDescent="0.3">
      <c r="A425" s="11" t="s">
        <v>1236</v>
      </c>
      <c r="B425" s="5"/>
      <c r="C425" s="5">
        <v>8637.1874499999994</v>
      </c>
      <c r="D425" s="5"/>
      <c r="E425" s="5">
        <v>8637.1874499999994</v>
      </c>
    </row>
    <row r="426" spans="1:5" x14ac:dyDescent="0.3">
      <c r="A426" s="11" t="s">
        <v>1015</v>
      </c>
      <c r="B426" s="5"/>
      <c r="C426" s="5">
        <v>13360.438</v>
      </c>
      <c r="D426" s="5"/>
      <c r="E426" s="5">
        <v>13360.438</v>
      </c>
    </row>
    <row r="427" spans="1:5" x14ac:dyDescent="0.3">
      <c r="A427" s="11" t="s">
        <v>857</v>
      </c>
      <c r="B427" s="5"/>
      <c r="C427" s="5">
        <v>10817.3416</v>
      </c>
      <c r="D427" s="5"/>
      <c r="E427" s="5">
        <v>10817.3416</v>
      </c>
    </row>
    <row r="428" spans="1:5" x14ac:dyDescent="0.3">
      <c r="A428" s="11" t="s">
        <v>1353</v>
      </c>
      <c r="B428" s="5"/>
      <c r="C428" s="5"/>
      <c r="D428" s="5">
        <v>2355.2113199999999</v>
      </c>
      <c r="E428" s="5">
        <v>2355.2113199999999</v>
      </c>
    </row>
    <row r="429" spans="1:5" x14ac:dyDescent="0.3">
      <c r="A429" s="11" t="s">
        <v>890</v>
      </c>
      <c r="B429" s="5"/>
      <c r="C429" s="5">
        <v>7203.8047000000006</v>
      </c>
      <c r="D429" s="5"/>
      <c r="E429" s="5">
        <v>7203.8047000000006</v>
      </c>
    </row>
    <row r="430" spans="1:5" x14ac:dyDescent="0.3">
      <c r="A430" s="11" t="s">
        <v>1272</v>
      </c>
      <c r="B430" s="5"/>
      <c r="C430" s="5"/>
      <c r="D430" s="5">
        <v>3340.6370000000002</v>
      </c>
      <c r="E430" s="5">
        <v>3340.6370000000002</v>
      </c>
    </row>
    <row r="431" spans="1:5" x14ac:dyDescent="0.3">
      <c r="A431" s="11" t="s">
        <v>1348</v>
      </c>
      <c r="B431" s="5"/>
      <c r="C431" s="5">
        <v>10786.32144</v>
      </c>
      <c r="D431" s="5"/>
      <c r="E431" s="5">
        <v>10786.32144</v>
      </c>
    </row>
    <row r="432" spans="1:5" x14ac:dyDescent="0.3">
      <c r="A432" s="11" t="s">
        <v>1087</v>
      </c>
      <c r="B432" s="5">
        <v>34816.968000000001</v>
      </c>
      <c r="C432" s="5"/>
      <c r="D432" s="5"/>
      <c r="E432" s="5">
        <v>34816.968000000001</v>
      </c>
    </row>
    <row r="433" spans="1:5" x14ac:dyDescent="0.3">
      <c r="A433" s="11" t="s">
        <v>1065</v>
      </c>
      <c r="B433" s="5"/>
      <c r="C433" s="5">
        <v>8764.4065599999994</v>
      </c>
      <c r="D433" s="5"/>
      <c r="E433" s="5">
        <v>8764.4065599999994</v>
      </c>
    </row>
    <row r="434" spans="1:5" x14ac:dyDescent="0.3">
      <c r="A434" s="11" t="s">
        <v>996</v>
      </c>
      <c r="B434" s="5"/>
      <c r="C434" s="5">
        <v>8186.057600000001</v>
      </c>
      <c r="D434" s="5"/>
      <c r="E434" s="5">
        <v>8186.057600000001</v>
      </c>
    </row>
    <row r="435" spans="1:5" x14ac:dyDescent="0.3">
      <c r="A435" s="11" t="s">
        <v>1301</v>
      </c>
      <c r="B435" s="5">
        <v>34307.159999999996</v>
      </c>
      <c r="C435" s="5"/>
      <c r="D435" s="5"/>
      <c r="E435" s="5">
        <v>34307.159999999996</v>
      </c>
    </row>
    <row r="436" spans="1:5" x14ac:dyDescent="0.3">
      <c r="A436" s="11" t="s">
        <v>1263</v>
      </c>
      <c r="B436" s="5"/>
      <c r="C436" s="5">
        <v>9262.0686600000008</v>
      </c>
      <c r="D436" s="5"/>
      <c r="E436" s="5">
        <v>9262.0686600000008</v>
      </c>
    </row>
    <row r="437" spans="1:5" x14ac:dyDescent="0.3">
      <c r="A437" s="11" t="s">
        <v>1078</v>
      </c>
      <c r="B437" s="5"/>
      <c r="C437" s="5"/>
      <c r="D437" s="5">
        <v>3175.1547799999998</v>
      </c>
      <c r="E437" s="5">
        <v>3175.1547799999998</v>
      </c>
    </row>
    <row r="438" spans="1:5" x14ac:dyDescent="0.3">
      <c r="A438" s="11" t="s">
        <v>736</v>
      </c>
      <c r="B438" s="5"/>
      <c r="C438" s="5"/>
      <c r="D438" s="5">
        <v>319.72248000000002</v>
      </c>
      <c r="E438" s="5">
        <v>319.72248000000002</v>
      </c>
    </row>
    <row r="439" spans="1:5" x14ac:dyDescent="0.3">
      <c r="A439" s="11" t="s">
        <v>763</v>
      </c>
      <c r="B439" s="5">
        <v>20084.133720000002</v>
      </c>
      <c r="C439" s="5"/>
      <c r="D439" s="5"/>
      <c r="E439" s="5">
        <v>20084.133720000002</v>
      </c>
    </row>
    <row r="440" spans="1:5" x14ac:dyDescent="0.3">
      <c r="A440" s="11" t="s">
        <v>1169</v>
      </c>
      <c r="B440" s="5"/>
      <c r="C440" s="5"/>
      <c r="D440" s="5">
        <v>5546.4642200000008</v>
      </c>
      <c r="E440" s="5">
        <v>5546.4642200000008</v>
      </c>
    </row>
    <row r="441" spans="1:5" x14ac:dyDescent="0.3">
      <c r="A441" s="11" t="s">
        <v>1021</v>
      </c>
      <c r="B441" s="5">
        <v>20028.787380000002</v>
      </c>
      <c r="C441" s="5"/>
      <c r="D441" s="5"/>
      <c r="E441" s="5">
        <v>20028.787380000002</v>
      </c>
    </row>
    <row r="442" spans="1:5" x14ac:dyDescent="0.3">
      <c r="A442" s="11" t="s">
        <v>788</v>
      </c>
      <c r="B442" s="5"/>
      <c r="C442" s="5"/>
      <c r="D442" s="5">
        <v>215.19839999999996</v>
      </c>
      <c r="E442" s="5">
        <v>215.19839999999996</v>
      </c>
    </row>
    <row r="443" spans="1:5" x14ac:dyDescent="0.3">
      <c r="A443" s="11" t="s">
        <v>1154</v>
      </c>
      <c r="B443" s="5"/>
      <c r="C443" s="5">
        <v>9984.7160999999978</v>
      </c>
      <c r="D443" s="5"/>
      <c r="E443" s="5">
        <v>9984.7160999999978</v>
      </c>
    </row>
    <row r="444" spans="1:5" x14ac:dyDescent="0.3">
      <c r="A444" s="11" t="s">
        <v>751</v>
      </c>
      <c r="B444" s="5">
        <v>35367.211040000002</v>
      </c>
      <c r="C444" s="5"/>
      <c r="D444" s="5"/>
      <c r="E444" s="5">
        <v>35367.211040000002</v>
      </c>
    </row>
    <row r="445" spans="1:5" x14ac:dyDescent="0.3">
      <c r="A445" s="11" t="s">
        <v>1016</v>
      </c>
      <c r="B445" s="5"/>
      <c r="C445" s="5"/>
      <c r="D445" s="5">
        <v>667.74</v>
      </c>
      <c r="E445" s="5">
        <v>667.74</v>
      </c>
    </row>
    <row r="446" spans="1:5" x14ac:dyDescent="0.3">
      <c r="A446" s="11" t="s">
        <v>1081</v>
      </c>
      <c r="B446" s="5"/>
      <c r="C446" s="5"/>
      <c r="D446" s="5">
        <v>2206.8000000000002</v>
      </c>
      <c r="E446" s="5">
        <v>2206.8000000000002</v>
      </c>
    </row>
    <row r="447" spans="1:5" x14ac:dyDescent="0.3">
      <c r="A447" s="11" t="s">
        <v>947</v>
      </c>
      <c r="B447" s="5">
        <v>24223.05</v>
      </c>
      <c r="C447" s="5"/>
      <c r="D447" s="5"/>
      <c r="E447" s="5">
        <v>24223.05</v>
      </c>
    </row>
    <row r="448" spans="1:5" x14ac:dyDescent="0.3">
      <c r="A448" s="11" t="s">
        <v>1077</v>
      </c>
      <c r="B448" s="5"/>
      <c r="C448" s="5">
        <v>8938.8996600000009</v>
      </c>
      <c r="D448" s="5"/>
      <c r="E448" s="5">
        <v>8938.8996600000009</v>
      </c>
    </row>
    <row r="449" spans="1:5" x14ac:dyDescent="0.3">
      <c r="A449" s="11" t="s">
        <v>762</v>
      </c>
      <c r="B449" s="5"/>
      <c r="C449" s="5"/>
      <c r="D449" s="5">
        <v>3913.2000000000003</v>
      </c>
      <c r="E449" s="5">
        <v>3913.2000000000003</v>
      </c>
    </row>
    <row r="450" spans="1:5" x14ac:dyDescent="0.3">
      <c r="A450" s="11" t="s">
        <v>1294</v>
      </c>
      <c r="B450" s="5">
        <v>33071.3145</v>
      </c>
      <c r="C450" s="5"/>
      <c r="D450" s="5"/>
      <c r="E450" s="5">
        <v>33071.3145</v>
      </c>
    </row>
    <row r="451" spans="1:5" x14ac:dyDescent="0.3">
      <c r="A451" s="11" t="s">
        <v>1246</v>
      </c>
      <c r="B451" s="5"/>
      <c r="C451" s="5"/>
      <c r="D451" s="5">
        <v>5189.8836000000001</v>
      </c>
      <c r="E451" s="5">
        <v>5189.8836000000001</v>
      </c>
    </row>
    <row r="452" spans="1:5" x14ac:dyDescent="0.3">
      <c r="A452" s="11" t="s">
        <v>936</v>
      </c>
      <c r="B452" s="5">
        <v>25299.040000000001</v>
      </c>
      <c r="C452" s="5"/>
      <c r="D452" s="5"/>
      <c r="E452" s="5">
        <v>25299.040000000001</v>
      </c>
    </row>
    <row r="453" spans="1:5" x14ac:dyDescent="0.3">
      <c r="A453" s="11" t="s">
        <v>1105</v>
      </c>
      <c r="B453" s="5">
        <v>16873.45</v>
      </c>
      <c r="C453" s="5"/>
      <c r="D453" s="5"/>
      <c r="E453" s="5">
        <v>16873.45</v>
      </c>
    </row>
    <row r="454" spans="1:5" x14ac:dyDescent="0.3">
      <c r="A454" s="11" t="s">
        <v>1061</v>
      </c>
      <c r="B454" s="5"/>
      <c r="C454" s="5"/>
      <c r="D454" s="5">
        <v>3799.8031499999997</v>
      </c>
      <c r="E454" s="5">
        <v>3799.8031499999997</v>
      </c>
    </row>
    <row r="455" spans="1:5" x14ac:dyDescent="0.3">
      <c r="A455" s="11" t="s">
        <v>841</v>
      </c>
      <c r="B455" s="5">
        <v>23687.524440000001</v>
      </c>
      <c r="C455" s="5"/>
      <c r="D455" s="5"/>
      <c r="E455" s="5">
        <v>23687.524440000001</v>
      </c>
    </row>
    <row r="456" spans="1:5" x14ac:dyDescent="0.3">
      <c r="A456" s="11" t="s">
        <v>1182</v>
      </c>
      <c r="B456" s="5"/>
      <c r="C456" s="5">
        <v>12289.2</v>
      </c>
      <c r="D456" s="5"/>
      <c r="E456" s="5">
        <v>12289.2</v>
      </c>
    </row>
    <row r="457" spans="1:5" x14ac:dyDescent="0.3">
      <c r="A457" s="11" t="s">
        <v>972</v>
      </c>
      <c r="B457" s="5"/>
      <c r="C457" s="5">
        <v>6684.1875</v>
      </c>
      <c r="D457" s="5"/>
      <c r="E457" s="5">
        <v>6684.1875</v>
      </c>
    </row>
    <row r="458" spans="1:5" x14ac:dyDescent="0.3">
      <c r="A458" s="11" t="s">
        <v>1216</v>
      </c>
      <c r="B458" s="5"/>
      <c r="C458" s="5"/>
      <c r="D458" s="5">
        <v>5127.0390600000001</v>
      </c>
      <c r="E458" s="5">
        <v>5127.0390600000001</v>
      </c>
    </row>
    <row r="459" spans="1:5" x14ac:dyDescent="0.3">
      <c r="A459" s="11" t="s">
        <v>965</v>
      </c>
      <c r="B459" s="5"/>
      <c r="C459" s="5"/>
      <c r="D459" s="5">
        <v>5814.6927299999998</v>
      </c>
      <c r="E459" s="5">
        <v>5814.6927299999998</v>
      </c>
    </row>
    <row r="460" spans="1:5" x14ac:dyDescent="0.3">
      <c r="A460" s="11" t="s">
        <v>1156</v>
      </c>
      <c r="B460" s="5">
        <v>29627.320319999999</v>
      </c>
      <c r="C460" s="5"/>
      <c r="D460" s="5"/>
      <c r="E460" s="5">
        <v>29627.320319999999</v>
      </c>
    </row>
    <row r="461" spans="1:5" x14ac:dyDescent="0.3">
      <c r="A461" s="11" t="s">
        <v>867</v>
      </c>
      <c r="B461" s="5"/>
      <c r="C461" s="5"/>
      <c r="D461" s="5">
        <v>3494.4040799999998</v>
      </c>
      <c r="E461" s="5">
        <v>3494.4040799999998</v>
      </c>
    </row>
    <row r="462" spans="1:5" x14ac:dyDescent="0.3">
      <c r="A462" s="11" t="s">
        <v>1264</v>
      </c>
      <c r="B462" s="5"/>
      <c r="C462" s="5"/>
      <c r="D462" s="5">
        <v>618.19979999999987</v>
      </c>
      <c r="E462" s="5">
        <v>618.19979999999987</v>
      </c>
    </row>
    <row r="463" spans="1:5" x14ac:dyDescent="0.3">
      <c r="A463" s="11" t="s">
        <v>1002</v>
      </c>
      <c r="B463" s="5"/>
      <c r="C463" s="5">
        <v>6946.8</v>
      </c>
      <c r="D463" s="5"/>
      <c r="E463" s="5">
        <v>6946.8</v>
      </c>
    </row>
    <row r="464" spans="1:5" x14ac:dyDescent="0.3">
      <c r="A464" s="11" t="s">
        <v>1160</v>
      </c>
      <c r="B464" s="5">
        <v>20038.536</v>
      </c>
      <c r="C464" s="5"/>
      <c r="D464" s="5"/>
      <c r="E464" s="5">
        <v>20038.536</v>
      </c>
    </row>
    <row r="465" spans="1:5" x14ac:dyDescent="0.3">
      <c r="A465" s="11" t="s">
        <v>934</v>
      </c>
      <c r="B465" s="5">
        <v>14963.769179999999</v>
      </c>
      <c r="C465" s="5"/>
      <c r="D465" s="5"/>
      <c r="E465" s="5">
        <v>14963.769179999999</v>
      </c>
    </row>
    <row r="466" spans="1:5" x14ac:dyDescent="0.3">
      <c r="A466" s="11" t="s">
        <v>1126</v>
      </c>
      <c r="B466" s="5"/>
      <c r="C466" s="5">
        <v>11285.764020000001</v>
      </c>
      <c r="D466" s="5"/>
      <c r="E466" s="5">
        <v>11285.764020000001</v>
      </c>
    </row>
    <row r="467" spans="1:5" x14ac:dyDescent="0.3">
      <c r="A467" s="11" t="s">
        <v>825</v>
      </c>
      <c r="B467" s="5">
        <v>19510.808000000001</v>
      </c>
      <c r="C467" s="5"/>
      <c r="D467" s="5"/>
      <c r="E467" s="5">
        <v>19510.808000000001</v>
      </c>
    </row>
    <row r="468" spans="1:5" x14ac:dyDescent="0.3">
      <c r="A468" s="11" t="s">
        <v>975</v>
      </c>
      <c r="B468" s="5"/>
      <c r="C468" s="5">
        <v>9684.8756000000012</v>
      </c>
      <c r="D468" s="5"/>
      <c r="E468" s="5">
        <v>9684.8756000000012</v>
      </c>
    </row>
    <row r="469" spans="1:5" x14ac:dyDescent="0.3">
      <c r="A469" s="11" t="s">
        <v>1020</v>
      </c>
      <c r="B469" s="5"/>
      <c r="C469" s="5"/>
      <c r="D469" s="5">
        <v>76.138720000000006</v>
      </c>
      <c r="E469" s="5">
        <v>76.138720000000006</v>
      </c>
    </row>
    <row r="470" spans="1:5" x14ac:dyDescent="0.3">
      <c r="A470" s="11" t="s">
        <v>997</v>
      </c>
      <c r="B470" s="5"/>
      <c r="C470" s="5"/>
      <c r="D470" s="5">
        <v>560.36831999999993</v>
      </c>
      <c r="E470" s="5">
        <v>560.36831999999993</v>
      </c>
    </row>
    <row r="471" spans="1:5" x14ac:dyDescent="0.3">
      <c r="A471" s="11" t="s">
        <v>1068</v>
      </c>
      <c r="B471" s="5"/>
      <c r="C471" s="5"/>
      <c r="D471" s="5">
        <v>4856.35725</v>
      </c>
      <c r="E471" s="5">
        <v>4856.35725</v>
      </c>
    </row>
    <row r="472" spans="1:5" x14ac:dyDescent="0.3">
      <c r="A472" s="11" t="s">
        <v>1146</v>
      </c>
      <c r="B472" s="5">
        <v>16134.22069</v>
      </c>
      <c r="C472" s="5"/>
      <c r="D472" s="5"/>
      <c r="E472" s="5">
        <v>16134.22069</v>
      </c>
    </row>
    <row r="473" spans="1:5" x14ac:dyDescent="0.3">
      <c r="A473" s="11" t="s">
        <v>1174</v>
      </c>
      <c r="B473" s="5"/>
      <c r="C473" s="5">
        <v>12668.50728</v>
      </c>
      <c r="D473" s="5"/>
      <c r="E473" s="5">
        <v>12668.50728</v>
      </c>
    </row>
    <row r="474" spans="1:5" x14ac:dyDescent="0.3">
      <c r="A474" s="11" t="s">
        <v>862</v>
      </c>
      <c r="B474" s="5"/>
      <c r="C474" s="5"/>
      <c r="D474" s="5">
        <v>2642.1686999999997</v>
      </c>
      <c r="E474" s="5">
        <v>2642.1686999999997</v>
      </c>
    </row>
    <row r="475" spans="1:5" x14ac:dyDescent="0.3">
      <c r="A475" s="11" t="s">
        <v>1304</v>
      </c>
      <c r="B475" s="5"/>
      <c r="C475" s="5"/>
      <c r="D475" s="5">
        <v>841.00536</v>
      </c>
      <c r="E475" s="5">
        <v>841.00536</v>
      </c>
    </row>
    <row r="476" spans="1:5" x14ac:dyDescent="0.3">
      <c r="A476" s="11" t="s">
        <v>737</v>
      </c>
      <c r="B476" s="5"/>
      <c r="C476" s="5"/>
      <c r="D476" s="5">
        <v>5225.2710400000005</v>
      </c>
      <c r="E476" s="5">
        <v>5225.2710400000005</v>
      </c>
    </row>
    <row r="477" spans="1:5" x14ac:dyDescent="0.3">
      <c r="A477" s="11" t="s">
        <v>1317</v>
      </c>
      <c r="B477" s="5">
        <v>22676.312610000001</v>
      </c>
      <c r="C477" s="5"/>
      <c r="D477" s="5"/>
      <c r="E477" s="5">
        <v>22676.312610000001</v>
      </c>
    </row>
    <row r="478" spans="1:5" x14ac:dyDescent="0.3">
      <c r="A478" s="11" t="s">
        <v>883</v>
      </c>
      <c r="B478" s="5">
        <v>42495.805439999996</v>
      </c>
      <c r="C478" s="5"/>
      <c r="D478" s="5"/>
      <c r="E478" s="5">
        <v>42495.805439999996</v>
      </c>
    </row>
    <row r="479" spans="1:5" x14ac:dyDescent="0.3">
      <c r="A479" s="11" t="s">
        <v>799</v>
      </c>
      <c r="B479" s="5"/>
      <c r="C479" s="5">
        <v>12153.267360000002</v>
      </c>
      <c r="D479" s="5"/>
      <c r="E479" s="5">
        <v>12153.267360000002</v>
      </c>
    </row>
    <row r="480" spans="1:5" x14ac:dyDescent="0.3">
      <c r="A480" s="11" t="s">
        <v>1360</v>
      </c>
      <c r="B480" s="5">
        <v>33017.42</v>
      </c>
      <c r="C480" s="5"/>
      <c r="D480" s="5"/>
      <c r="E480" s="5">
        <v>33017.42</v>
      </c>
    </row>
    <row r="481" spans="1:5" x14ac:dyDescent="0.3">
      <c r="A481" s="11" t="s">
        <v>979</v>
      </c>
      <c r="B481" s="5"/>
      <c r="C481" s="5"/>
      <c r="D481" s="5">
        <v>2909.8689199999999</v>
      </c>
      <c r="E481" s="5">
        <v>2909.8689199999999</v>
      </c>
    </row>
    <row r="482" spans="1:5" x14ac:dyDescent="0.3">
      <c r="A482" s="11" t="s">
        <v>765</v>
      </c>
      <c r="B482" s="5">
        <v>26150.364320000001</v>
      </c>
      <c r="C482" s="5"/>
      <c r="D482" s="5"/>
      <c r="E482" s="5">
        <v>26150.364320000001</v>
      </c>
    </row>
    <row r="483" spans="1:5" x14ac:dyDescent="0.3">
      <c r="A483" s="11" t="s">
        <v>1109</v>
      </c>
      <c r="B483" s="5">
        <v>38422.022320000004</v>
      </c>
      <c r="C483" s="5"/>
      <c r="D483" s="5"/>
      <c r="E483" s="5">
        <v>38422.022320000004</v>
      </c>
    </row>
    <row r="484" spans="1:5" x14ac:dyDescent="0.3">
      <c r="A484" s="11" t="s">
        <v>931</v>
      </c>
      <c r="B484" s="5"/>
      <c r="C484" s="5">
        <v>11326.846439999999</v>
      </c>
      <c r="D484" s="5"/>
      <c r="E484" s="5">
        <v>11326.846439999999</v>
      </c>
    </row>
    <row r="485" spans="1:5" x14ac:dyDescent="0.3">
      <c r="A485" s="11" t="s">
        <v>1037</v>
      </c>
      <c r="B485" s="5"/>
      <c r="C485" s="5">
        <v>8093.4784</v>
      </c>
      <c r="D485" s="5"/>
      <c r="E485" s="5">
        <v>8093.4784</v>
      </c>
    </row>
    <row r="486" spans="1:5" x14ac:dyDescent="0.3">
      <c r="A486" s="11" t="s">
        <v>1318</v>
      </c>
      <c r="B486" s="5"/>
      <c r="C486" s="5"/>
      <c r="D486" s="5">
        <v>370.86</v>
      </c>
      <c r="E486" s="5">
        <v>370.86</v>
      </c>
    </row>
    <row r="487" spans="1:5" x14ac:dyDescent="0.3">
      <c r="A487" s="11" t="s">
        <v>1095</v>
      </c>
      <c r="B487" s="5"/>
      <c r="C487" s="5"/>
      <c r="D487" s="5">
        <v>4804.4682400000002</v>
      </c>
      <c r="E487" s="5">
        <v>4804.4682400000002</v>
      </c>
    </row>
    <row r="488" spans="1:5" x14ac:dyDescent="0.3">
      <c r="A488" s="11" t="s">
        <v>896</v>
      </c>
      <c r="B488" s="5"/>
      <c r="C488" s="5">
        <v>8154.5511600000009</v>
      </c>
      <c r="D488" s="5"/>
      <c r="E488" s="5">
        <v>8154.5511600000009</v>
      </c>
    </row>
    <row r="489" spans="1:5" x14ac:dyDescent="0.3">
      <c r="A489" s="11" t="s">
        <v>1186</v>
      </c>
      <c r="B489" s="5"/>
      <c r="C489" s="5">
        <v>11984.891250000001</v>
      </c>
      <c r="D489" s="5"/>
      <c r="E489" s="5">
        <v>11984.891250000001</v>
      </c>
    </row>
    <row r="490" spans="1:5" x14ac:dyDescent="0.3">
      <c r="A490" s="11" t="s">
        <v>1162</v>
      </c>
      <c r="B490" s="5">
        <v>41138.261999999995</v>
      </c>
      <c r="C490" s="5"/>
      <c r="D490" s="5"/>
      <c r="E490" s="5">
        <v>41138.261999999995</v>
      </c>
    </row>
    <row r="491" spans="1:5" x14ac:dyDescent="0.3">
      <c r="A491" s="11" t="s">
        <v>1140</v>
      </c>
      <c r="B491" s="5">
        <v>21541.017959999997</v>
      </c>
      <c r="C491" s="5"/>
      <c r="D491" s="5"/>
      <c r="E491" s="5">
        <v>21541.017959999997</v>
      </c>
    </row>
    <row r="492" spans="1:5" x14ac:dyDescent="0.3">
      <c r="A492" s="11" t="s">
        <v>1219</v>
      </c>
      <c r="B492" s="5"/>
      <c r="C492" s="5"/>
      <c r="D492" s="5">
        <v>5159.7893599999998</v>
      </c>
      <c r="E492" s="5">
        <v>5159.7893599999998</v>
      </c>
    </row>
    <row r="493" spans="1:5" x14ac:dyDescent="0.3">
      <c r="A493" s="11" t="s">
        <v>1287</v>
      </c>
      <c r="B493" s="5">
        <v>33551.927499999998</v>
      </c>
      <c r="C493" s="5"/>
      <c r="D493" s="5"/>
      <c r="E493" s="5">
        <v>33551.927499999998</v>
      </c>
    </row>
    <row r="494" spans="1:5" x14ac:dyDescent="0.3">
      <c r="A494" s="11" t="s">
        <v>1050</v>
      </c>
      <c r="B494" s="5"/>
      <c r="C494" s="5">
        <v>9062.34692</v>
      </c>
      <c r="D494" s="5"/>
      <c r="E494" s="5">
        <v>9062.34692</v>
      </c>
    </row>
    <row r="495" spans="1:5" x14ac:dyDescent="0.3">
      <c r="A495" s="11" t="s">
        <v>1064</v>
      </c>
      <c r="B495" s="5"/>
      <c r="C495" s="5"/>
      <c r="D495" s="5">
        <v>2537.2908000000002</v>
      </c>
      <c r="E495" s="5">
        <v>2537.2908000000002</v>
      </c>
    </row>
    <row r="496" spans="1:5" x14ac:dyDescent="0.3">
      <c r="A496" s="11" t="s">
        <v>1222</v>
      </c>
      <c r="B496" s="5"/>
      <c r="C496" s="5">
        <v>9614.4403999999995</v>
      </c>
      <c r="D496" s="5"/>
      <c r="E496" s="5">
        <v>9614.4403999999995</v>
      </c>
    </row>
    <row r="497" spans="1:5" x14ac:dyDescent="0.3">
      <c r="A497" s="11" t="s">
        <v>1189</v>
      </c>
      <c r="B497" s="5">
        <v>20797.98</v>
      </c>
      <c r="C497" s="5"/>
      <c r="D497" s="5"/>
      <c r="E497" s="5">
        <v>20797.98</v>
      </c>
    </row>
    <row r="498" spans="1:5" x14ac:dyDescent="0.3">
      <c r="A498" s="11" t="s">
        <v>1019</v>
      </c>
      <c r="B498" s="5"/>
      <c r="C498" s="5"/>
      <c r="D498" s="5">
        <v>3978.6474000000003</v>
      </c>
      <c r="E498" s="5">
        <v>3978.6474000000003</v>
      </c>
    </row>
    <row r="499" spans="1:5" x14ac:dyDescent="0.3">
      <c r="A499" s="11" t="s">
        <v>1012</v>
      </c>
      <c r="B499" s="5">
        <v>34840.344000000005</v>
      </c>
      <c r="C499" s="5"/>
      <c r="D499" s="5"/>
      <c r="E499" s="5">
        <v>34840.344000000005</v>
      </c>
    </row>
    <row r="500" spans="1:5" x14ac:dyDescent="0.3">
      <c r="A500" s="11" t="s">
        <v>761</v>
      </c>
      <c r="B500" s="5"/>
      <c r="C500" s="5"/>
      <c r="D500" s="5">
        <v>3980.7075</v>
      </c>
      <c r="E500" s="5">
        <v>3980.7075</v>
      </c>
    </row>
    <row r="501" spans="1:5" x14ac:dyDescent="0.3">
      <c r="A501" s="11" t="s">
        <v>1100</v>
      </c>
      <c r="B501" s="5">
        <v>19547.329920000004</v>
      </c>
      <c r="C501" s="5"/>
      <c r="D501" s="5"/>
      <c r="E501" s="5">
        <v>19547.329920000004</v>
      </c>
    </row>
    <row r="502" spans="1:5" x14ac:dyDescent="0.3">
      <c r="A502" s="11" t="s">
        <v>828</v>
      </c>
      <c r="B502" s="5"/>
      <c r="C502" s="5"/>
      <c r="D502" s="5">
        <v>5487.6023999999998</v>
      </c>
      <c r="E502" s="5">
        <v>5487.6023999999998</v>
      </c>
    </row>
    <row r="503" spans="1:5" x14ac:dyDescent="0.3">
      <c r="A503" s="11" t="s">
        <v>745</v>
      </c>
      <c r="B503" s="5"/>
      <c r="C503" s="5">
        <v>10370.549999999999</v>
      </c>
      <c r="D503" s="5"/>
      <c r="E503" s="5">
        <v>10370.549999999999</v>
      </c>
    </row>
    <row r="504" spans="1:5" x14ac:dyDescent="0.3">
      <c r="A504" s="11" t="s">
        <v>978</v>
      </c>
      <c r="B504" s="5"/>
      <c r="C504" s="5">
        <v>12248.675999999999</v>
      </c>
      <c r="D504" s="5"/>
      <c r="E504" s="5">
        <v>12248.675999999999</v>
      </c>
    </row>
    <row r="505" spans="1:5" x14ac:dyDescent="0.3">
      <c r="A505" s="11" t="s">
        <v>959</v>
      </c>
      <c r="B505" s="5">
        <v>21573.6495</v>
      </c>
      <c r="C505" s="5"/>
      <c r="D505" s="5"/>
      <c r="E505" s="5">
        <v>21573.6495</v>
      </c>
    </row>
    <row r="506" spans="1:5" x14ac:dyDescent="0.3">
      <c r="A506" s="11" t="s">
        <v>1339</v>
      </c>
      <c r="B506" s="5">
        <v>29175.036029999999</v>
      </c>
      <c r="C506" s="5"/>
      <c r="D506" s="5"/>
      <c r="E506" s="5">
        <v>29175.036029999999</v>
      </c>
    </row>
    <row r="507" spans="1:5" x14ac:dyDescent="0.3">
      <c r="A507" s="11" t="s">
        <v>915</v>
      </c>
      <c r="B507" s="5">
        <v>41352.246200000009</v>
      </c>
      <c r="C507" s="5"/>
      <c r="D507" s="5"/>
      <c r="E507" s="5">
        <v>41352.246200000009</v>
      </c>
    </row>
    <row r="508" spans="1:5" x14ac:dyDescent="0.3">
      <c r="A508" s="11" t="s">
        <v>1312</v>
      </c>
      <c r="B508" s="5"/>
      <c r="C508" s="5">
        <v>7173.3342799999991</v>
      </c>
      <c r="D508" s="5"/>
      <c r="E508" s="5">
        <v>7173.3342799999991</v>
      </c>
    </row>
    <row r="509" spans="1:5" x14ac:dyDescent="0.3">
      <c r="A509" s="11" t="s">
        <v>1070</v>
      </c>
      <c r="B509" s="5">
        <v>28247.74656</v>
      </c>
      <c r="C509" s="5"/>
      <c r="D509" s="5"/>
      <c r="E509" s="5">
        <v>28247.74656</v>
      </c>
    </row>
    <row r="510" spans="1:5" x14ac:dyDescent="0.3">
      <c r="A510" s="11" t="s">
        <v>1226</v>
      </c>
      <c r="B510" s="5"/>
      <c r="C510" s="5"/>
      <c r="D510" s="5">
        <v>110.14919999999999</v>
      </c>
      <c r="E510" s="5">
        <v>110.14919999999999</v>
      </c>
    </row>
    <row r="511" spans="1:5" x14ac:dyDescent="0.3">
      <c r="A511" s="11" t="s">
        <v>856</v>
      </c>
      <c r="B511" s="5">
        <v>16061.972879999999</v>
      </c>
      <c r="C511" s="5"/>
      <c r="D511" s="5"/>
      <c r="E511" s="5">
        <v>16061.972879999999</v>
      </c>
    </row>
    <row r="512" spans="1:5" x14ac:dyDescent="0.3">
      <c r="A512" s="11" t="s">
        <v>1108</v>
      </c>
      <c r="B512" s="5">
        <v>31005.24768</v>
      </c>
      <c r="C512" s="5"/>
      <c r="D512" s="5"/>
      <c r="E512" s="5">
        <v>31005.24768</v>
      </c>
    </row>
    <row r="513" spans="1:5" x14ac:dyDescent="0.3">
      <c r="A513" s="11" t="s">
        <v>871</v>
      </c>
      <c r="B513" s="5"/>
      <c r="C513" s="5"/>
      <c r="D513" s="5">
        <v>4336.2427499999994</v>
      </c>
      <c r="E513" s="5">
        <v>4336.2427499999994</v>
      </c>
    </row>
    <row r="514" spans="1:5" x14ac:dyDescent="0.3">
      <c r="A514" s="11" t="s">
        <v>875</v>
      </c>
      <c r="B514" s="5"/>
      <c r="C514" s="5">
        <v>8211.6342000000004</v>
      </c>
      <c r="D514" s="5"/>
      <c r="E514" s="5">
        <v>8211.6342000000004</v>
      </c>
    </row>
    <row r="515" spans="1:5" x14ac:dyDescent="0.3">
      <c r="A515" s="11" t="s">
        <v>1266</v>
      </c>
      <c r="B515" s="5"/>
      <c r="C515" s="5">
        <v>11924.0978</v>
      </c>
      <c r="D515" s="5"/>
      <c r="E515" s="5">
        <v>11924.0978</v>
      </c>
    </row>
    <row r="516" spans="1:5" x14ac:dyDescent="0.3">
      <c r="A516" s="11" t="s">
        <v>796</v>
      </c>
      <c r="B516" s="5"/>
      <c r="C516" s="5">
        <v>10947.904</v>
      </c>
      <c r="D516" s="5"/>
      <c r="E516" s="5">
        <v>10947.904</v>
      </c>
    </row>
    <row r="517" spans="1:5" x14ac:dyDescent="0.3">
      <c r="A517" s="11" t="s">
        <v>834</v>
      </c>
      <c r="B517" s="5">
        <v>52780.07</v>
      </c>
      <c r="C517" s="5"/>
      <c r="D517" s="5"/>
      <c r="E517" s="5">
        <v>52780.07</v>
      </c>
    </row>
    <row r="518" spans="1:5" x14ac:dyDescent="0.3">
      <c r="A518" s="11" t="s">
        <v>1153</v>
      </c>
      <c r="B518" s="5">
        <v>14527.748400000002</v>
      </c>
      <c r="C518" s="5"/>
      <c r="D518" s="5"/>
      <c r="E518" s="5">
        <v>14527.748400000002</v>
      </c>
    </row>
    <row r="519" spans="1:5" x14ac:dyDescent="0.3">
      <c r="A519" s="11" t="s">
        <v>1145</v>
      </c>
      <c r="B519" s="5"/>
      <c r="C519" s="5"/>
      <c r="D519" s="5">
        <v>2059.0056</v>
      </c>
      <c r="E519" s="5">
        <v>2059.0056</v>
      </c>
    </row>
    <row r="520" spans="1:5" x14ac:dyDescent="0.3">
      <c r="A520" s="11" t="s">
        <v>1239</v>
      </c>
      <c r="B520" s="5">
        <v>34800.431400000001</v>
      </c>
      <c r="C520" s="5"/>
      <c r="D520" s="5"/>
      <c r="E520" s="5">
        <v>34800.431400000001</v>
      </c>
    </row>
    <row r="521" spans="1:5" x14ac:dyDescent="0.3">
      <c r="A521" s="11" t="s">
        <v>970</v>
      </c>
      <c r="B521" s="5">
        <v>37038.581760000001</v>
      </c>
      <c r="C521" s="5"/>
      <c r="D521" s="5"/>
      <c r="E521" s="5">
        <v>37038.581760000001</v>
      </c>
    </row>
    <row r="522" spans="1:5" x14ac:dyDescent="0.3">
      <c r="A522" s="11" t="s">
        <v>1168</v>
      </c>
      <c r="B522" s="5">
        <v>27249</v>
      </c>
      <c r="C522" s="5"/>
      <c r="D522" s="5"/>
      <c r="E522" s="5">
        <v>27249</v>
      </c>
    </row>
    <row r="523" spans="1:5" x14ac:dyDescent="0.3">
      <c r="A523" s="11" t="s">
        <v>840</v>
      </c>
      <c r="B523" s="5"/>
      <c r="C523" s="5"/>
      <c r="D523" s="5">
        <v>518.65436999999997</v>
      </c>
      <c r="E523" s="5">
        <v>518.65436999999997</v>
      </c>
    </row>
    <row r="524" spans="1:5" x14ac:dyDescent="0.3">
      <c r="A524" s="11" t="s">
        <v>1234</v>
      </c>
      <c r="B524" s="5"/>
      <c r="C524" s="5">
        <v>7428.1108999999988</v>
      </c>
      <c r="D524" s="5"/>
      <c r="E524" s="5">
        <v>7428.1108999999988</v>
      </c>
    </row>
    <row r="525" spans="1:5" x14ac:dyDescent="0.3">
      <c r="A525" s="11" t="s">
        <v>1362</v>
      </c>
      <c r="B525" s="5"/>
      <c r="C525" s="5">
        <v>12769.38768</v>
      </c>
      <c r="D525" s="5"/>
      <c r="E525" s="5">
        <v>12769.38768</v>
      </c>
    </row>
    <row r="526" spans="1:5" x14ac:dyDescent="0.3">
      <c r="A526" s="11" t="s">
        <v>893</v>
      </c>
      <c r="B526" s="5">
        <v>29263.754519999995</v>
      </c>
      <c r="C526" s="5"/>
      <c r="D526" s="5"/>
      <c r="E526" s="5">
        <v>29263.754519999995</v>
      </c>
    </row>
    <row r="527" spans="1:5" x14ac:dyDescent="0.3">
      <c r="A527" s="11" t="s">
        <v>1054</v>
      </c>
      <c r="B527" s="5">
        <v>22380.204000000002</v>
      </c>
      <c r="C527" s="5"/>
      <c r="D527" s="5"/>
      <c r="E527" s="5">
        <v>22380.204000000002</v>
      </c>
    </row>
    <row r="528" spans="1:5" x14ac:dyDescent="0.3">
      <c r="A528" s="11" t="s">
        <v>1207</v>
      </c>
      <c r="B528" s="5">
        <v>19233.355499999998</v>
      </c>
      <c r="C528" s="5"/>
      <c r="D528" s="5"/>
      <c r="E528" s="5">
        <v>19233.355499999998</v>
      </c>
    </row>
    <row r="529" spans="1:5" x14ac:dyDescent="0.3">
      <c r="A529" s="11" t="s">
        <v>1320</v>
      </c>
      <c r="B529" s="5">
        <v>68665.574250000005</v>
      </c>
      <c r="C529" s="5"/>
      <c r="D529" s="5"/>
      <c r="E529" s="5">
        <v>68665.574250000005</v>
      </c>
    </row>
    <row r="530" spans="1:5" x14ac:dyDescent="0.3">
      <c r="A530" s="11" t="s">
        <v>930</v>
      </c>
      <c r="B530" s="5">
        <v>21679.749799999998</v>
      </c>
      <c r="C530" s="5"/>
      <c r="D530" s="5"/>
      <c r="E530" s="5">
        <v>21679.749799999998</v>
      </c>
    </row>
    <row r="531" spans="1:5" x14ac:dyDescent="0.3">
      <c r="A531" s="11" t="s">
        <v>1235</v>
      </c>
      <c r="B531" s="5"/>
      <c r="C531" s="5">
        <v>10869.182940000001</v>
      </c>
      <c r="D531" s="5"/>
      <c r="E531" s="5">
        <v>10869.182940000001</v>
      </c>
    </row>
    <row r="532" spans="1:5" x14ac:dyDescent="0.3">
      <c r="A532" s="11" t="s">
        <v>1069</v>
      </c>
      <c r="B532" s="5">
        <v>16219.34496</v>
      </c>
      <c r="C532" s="5"/>
      <c r="D532" s="5"/>
      <c r="E532" s="5">
        <v>16219.34496</v>
      </c>
    </row>
    <row r="533" spans="1:5" x14ac:dyDescent="0.3">
      <c r="A533" s="11" t="s">
        <v>966</v>
      </c>
      <c r="B533" s="5"/>
      <c r="C533" s="5"/>
      <c r="D533" s="5">
        <v>2879.9836</v>
      </c>
      <c r="E533" s="5">
        <v>2879.9836</v>
      </c>
    </row>
    <row r="534" spans="1:5" x14ac:dyDescent="0.3">
      <c r="A534" s="11" t="s">
        <v>1124</v>
      </c>
      <c r="B534" s="5"/>
      <c r="C534" s="5"/>
      <c r="D534" s="5">
        <v>2525.0635000000002</v>
      </c>
      <c r="E534" s="5">
        <v>2525.0635000000002</v>
      </c>
    </row>
    <row r="535" spans="1:5" x14ac:dyDescent="0.3">
      <c r="A535" s="11" t="s">
        <v>1208</v>
      </c>
      <c r="B535" s="5">
        <v>27194.152039999997</v>
      </c>
      <c r="C535" s="5"/>
      <c r="D535" s="5"/>
      <c r="E535" s="5">
        <v>27194.152039999997</v>
      </c>
    </row>
    <row r="536" spans="1:5" x14ac:dyDescent="0.3">
      <c r="A536" s="11" t="s">
        <v>999</v>
      </c>
      <c r="B536" s="5"/>
      <c r="C536" s="5">
        <v>12597.52224</v>
      </c>
      <c r="D536" s="5"/>
      <c r="E536" s="5">
        <v>12597.52224</v>
      </c>
    </row>
    <row r="537" spans="1:5" x14ac:dyDescent="0.3">
      <c r="A537" s="11" t="s">
        <v>1220</v>
      </c>
      <c r="B537" s="5">
        <v>28856.475000000002</v>
      </c>
      <c r="C537" s="5"/>
      <c r="D537" s="5"/>
      <c r="E537" s="5">
        <v>28856.475000000002</v>
      </c>
    </row>
    <row r="538" spans="1:5" x14ac:dyDescent="0.3">
      <c r="A538" s="11" t="s">
        <v>783</v>
      </c>
      <c r="B538" s="5">
        <v>34444.462359999998</v>
      </c>
      <c r="C538" s="5"/>
      <c r="D538" s="5"/>
      <c r="E538" s="5">
        <v>34444.462359999998</v>
      </c>
    </row>
    <row r="539" spans="1:5" x14ac:dyDescent="0.3">
      <c r="A539" s="11" t="s">
        <v>1260</v>
      </c>
      <c r="B539" s="5"/>
      <c r="C539" s="5">
        <v>11406.96</v>
      </c>
      <c r="D539" s="5"/>
      <c r="E539" s="5">
        <v>11406.96</v>
      </c>
    </row>
    <row r="540" spans="1:5" x14ac:dyDescent="0.3">
      <c r="A540" s="11" t="s">
        <v>1271</v>
      </c>
      <c r="B540" s="5">
        <v>66260.314239999992</v>
      </c>
      <c r="C540" s="5"/>
      <c r="D540" s="5"/>
      <c r="E540" s="5">
        <v>66260.314239999992</v>
      </c>
    </row>
    <row r="541" spans="1:5" x14ac:dyDescent="0.3">
      <c r="A541" s="11" t="s">
        <v>1144</v>
      </c>
      <c r="B541" s="5"/>
      <c r="C541" s="5">
        <v>6899.8804600000003</v>
      </c>
      <c r="D541" s="5"/>
      <c r="E541" s="5">
        <v>6899.8804600000003</v>
      </c>
    </row>
    <row r="542" spans="1:5" x14ac:dyDescent="0.3">
      <c r="A542" s="11" t="s">
        <v>1249</v>
      </c>
      <c r="B542" s="5">
        <v>22201.762229999997</v>
      </c>
      <c r="C542" s="5"/>
      <c r="D542" s="5"/>
      <c r="E542" s="5">
        <v>22201.762229999997</v>
      </c>
    </row>
    <row r="543" spans="1:5" x14ac:dyDescent="0.3">
      <c r="A543" s="11" t="s">
        <v>1259</v>
      </c>
      <c r="B543" s="5"/>
      <c r="C543" s="5"/>
      <c r="D543" s="5">
        <v>2146.5580500000001</v>
      </c>
      <c r="E543" s="5">
        <v>2146.5580500000001</v>
      </c>
    </row>
    <row r="544" spans="1:5" x14ac:dyDescent="0.3">
      <c r="A544" s="11" t="s">
        <v>1173</v>
      </c>
      <c r="B544" s="5">
        <v>20672.289000000001</v>
      </c>
      <c r="C544" s="5"/>
      <c r="D544" s="5"/>
      <c r="E544" s="5">
        <v>20672.289000000001</v>
      </c>
    </row>
    <row r="545" spans="1:5" x14ac:dyDescent="0.3">
      <c r="A545" s="11" t="s">
        <v>962</v>
      </c>
      <c r="B545" s="5">
        <v>16609.090809999998</v>
      </c>
      <c r="C545" s="5"/>
      <c r="D545" s="5"/>
      <c r="E545" s="5">
        <v>16609.090809999998</v>
      </c>
    </row>
    <row r="546" spans="1:5" x14ac:dyDescent="0.3">
      <c r="A546" s="11" t="s">
        <v>1047</v>
      </c>
      <c r="B546" s="5">
        <v>40325.31</v>
      </c>
      <c r="C546" s="5"/>
      <c r="D546" s="5"/>
      <c r="E546" s="5">
        <v>40325.31</v>
      </c>
    </row>
    <row r="547" spans="1:5" x14ac:dyDescent="0.3">
      <c r="A547" s="11" t="s">
        <v>1183</v>
      </c>
      <c r="B547" s="5"/>
      <c r="C547" s="5">
        <v>12462.65055</v>
      </c>
      <c r="D547" s="5"/>
      <c r="E547" s="5">
        <v>12462.65055</v>
      </c>
    </row>
    <row r="548" spans="1:5" x14ac:dyDescent="0.3">
      <c r="A548" s="11" t="s">
        <v>1289</v>
      </c>
      <c r="B548" s="5">
        <v>50545.319219999998</v>
      </c>
      <c r="C548" s="5"/>
      <c r="D548" s="5"/>
      <c r="E548" s="5">
        <v>50545.319219999998</v>
      </c>
    </row>
    <row r="549" spans="1:5" x14ac:dyDescent="0.3">
      <c r="A549" s="11" t="s">
        <v>1163</v>
      </c>
      <c r="B549" s="5"/>
      <c r="C549" s="5">
        <v>12955.824749999998</v>
      </c>
      <c r="D549" s="5"/>
      <c r="E549" s="5">
        <v>12955.824749999998</v>
      </c>
    </row>
    <row r="550" spans="1:5" x14ac:dyDescent="0.3">
      <c r="A550" s="11" t="s">
        <v>780</v>
      </c>
      <c r="B550" s="5"/>
      <c r="C550" s="5">
        <v>7135.57</v>
      </c>
      <c r="D550" s="5"/>
      <c r="E550" s="5">
        <v>7135.57</v>
      </c>
    </row>
    <row r="551" spans="1:5" x14ac:dyDescent="0.3">
      <c r="A551" s="11" t="s">
        <v>1258</v>
      </c>
      <c r="B551" s="5"/>
      <c r="C551" s="5">
        <v>8326.6852500000005</v>
      </c>
      <c r="D551" s="5"/>
      <c r="E551" s="5">
        <v>8326.6852500000005</v>
      </c>
    </row>
    <row r="552" spans="1:5" x14ac:dyDescent="0.3">
      <c r="A552" s="11" t="s">
        <v>953</v>
      </c>
      <c r="B552" s="5">
        <v>28211.92124</v>
      </c>
      <c r="C552" s="5"/>
      <c r="D552" s="5"/>
      <c r="E552" s="5">
        <v>28211.92124</v>
      </c>
    </row>
    <row r="553" spans="1:5" x14ac:dyDescent="0.3">
      <c r="A553" s="11" t="s">
        <v>987</v>
      </c>
      <c r="B553" s="5">
        <v>25483.91488</v>
      </c>
      <c r="C553" s="5"/>
      <c r="D553" s="5"/>
      <c r="E553" s="5">
        <v>25483.91488</v>
      </c>
    </row>
    <row r="554" spans="1:5" x14ac:dyDescent="0.3">
      <c r="A554" s="11" t="s">
        <v>1042</v>
      </c>
      <c r="B554" s="5"/>
      <c r="C554" s="5"/>
      <c r="D554" s="5">
        <v>5334.9141999999993</v>
      </c>
      <c r="E554" s="5">
        <v>5334.9141999999993</v>
      </c>
    </row>
    <row r="555" spans="1:5" x14ac:dyDescent="0.3">
      <c r="A555" s="11" t="s">
        <v>946</v>
      </c>
      <c r="B555" s="5"/>
      <c r="C555" s="5">
        <v>6984.8246399999998</v>
      </c>
      <c r="D555" s="5"/>
      <c r="E555" s="5">
        <v>6984.8246399999998</v>
      </c>
    </row>
    <row r="556" spans="1:5" x14ac:dyDescent="0.3">
      <c r="A556" s="11" t="s">
        <v>776</v>
      </c>
      <c r="B556" s="5">
        <v>31404.1</v>
      </c>
      <c r="C556" s="5"/>
      <c r="D556" s="5"/>
      <c r="E556" s="5">
        <v>31404.1</v>
      </c>
    </row>
    <row r="557" spans="1:5" x14ac:dyDescent="0.3">
      <c r="A557" s="11" t="s">
        <v>1202</v>
      </c>
      <c r="B557" s="5">
        <v>16252.219979999998</v>
      </c>
      <c r="C557" s="5"/>
      <c r="D557" s="5"/>
      <c r="E557" s="5">
        <v>16252.219979999998</v>
      </c>
    </row>
    <row r="558" spans="1:5" x14ac:dyDescent="0.3">
      <c r="A558" s="11" t="s">
        <v>1098</v>
      </c>
      <c r="B558" s="5"/>
      <c r="C558" s="5">
        <v>12717.311040000001</v>
      </c>
      <c r="D558" s="5"/>
      <c r="E558" s="5">
        <v>12717.311040000001</v>
      </c>
    </row>
    <row r="559" spans="1:5" x14ac:dyDescent="0.3">
      <c r="A559" s="11" t="s">
        <v>1103</v>
      </c>
      <c r="B559" s="5"/>
      <c r="C559" s="5"/>
      <c r="D559" s="5">
        <v>4569.5735999999997</v>
      </c>
      <c r="E559" s="5">
        <v>4569.5735999999997</v>
      </c>
    </row>
    <row r="560" spans="1:5" x14ac:dyDescent="0.3">
      <c r="A560" s="11" t="s">
        <v>908</v>
      </c>
      <c r="B560" s="5"/>
      <c r="C560" s="5"/>
      <c r="D560" s="5">
        <v>1952.6356799999999</v>
      </c>
      <c r="E560" s="5">
        <v>1952.6356799999999</v>
      </c>
    </row>
    <row r="561" spans="1:5" x14ac:dyDescent="0.3">
      <c r="A561" s="11" t="s">
        <v>1214</v>
      </c>
      <c r="B561" s="5"/>
      <c r="C561" s="5"/>
      <c r="D561" s="5">
        <v>4738.5261</v>
      </c>
      <c r="E561" s="5">
        <v>4738.5261</v>
      </c>
    </row>
    <row r="562" spans="1:5" x14ac:dyDescent="0.3">
      <c r="A562" s="11" t="s">
        <v>898</v>
      </c>
      <c r="B562" s="5"/>
      <c r="C562" s="5">
        <v>11851.806399999999</v>
      </c>
      <c r="D562" s="5"/>
      <c r="E562" s="5">
        <v>11851.806399999999</v>
      </c>
    </row>
    <row r="563" spans="1:5" x14ac:dyDescent="0.3">
      <c r="A563" s="11" t="s">
        <v>760</v>
      </c>
      <c r="B563" s="5"/>
      <c r="C563" s="5"/>
      <c r="D563" s="5">
        <v>1756.6999999999998</v>
      </c>
      <c r="E563" s="5">
        <v>1756.6999999999998</v>
      </c>
    </row>
    <row r="564" spans="1:5" x14ac:dyDescent="0.3">
      <c r="A564" s="11" t="s">
        <v>882</v>
      </c>
      <c r="B564" s="5">
        <v>14877.464000000002</v>
      </c>
      <c r="C564" s="5"/>
      <c r="D564" s="5"/>
      <c r="E564" s="5">
        <v>14877.464000000002</v>
      </c>
    </row>
    <row r="565" spans="1:5" x14ac:dyDescent="0.3">
      <c r="A565" s="11" t="s">
        <v>877</v>
      </c>
      <c r="B565" s="5"/>
      <c r="C565" s="5">
        <v>9969.4201499999999</v>
      </c>
      <c r="D565" s="5"/>
      <c r="E565" s="5">
        <v>9969.4201499999999</v>
      </c>
    </row>
    <row r="566" spans="1:5" x14ac:dyDescent="0.3">
      <c r="A566" s="11" t="s">
        <v>769</v>
      </c>
      <c r="B566" s="5"/>
      <c r="C566" s="5">
        <v>6631.6443100000006</v>
      </c>
      <c r="D566" s="5"/>
      <c r="E566" s="5">
        <v>6631.6443100000006</v>
      </c>
    </row>
    <row r="567" spans="1:5" x14ac:dyDescent="0.3">
      <c r="A567" s="11" t="s">
        <v>1262</v>
      </c>
      <c r="B567" s="5">
        <v>33421.1</v>
      </c>
      <c r="C567" s="5"/>
      <c r="D567" s="5"/>
      <c r="E567" s="5">
        <v>33421.1</v>
      </c>
    </row>
    <row r="568" spans="1:5" x14ac:dyDescent="0.3">
      <c r="A568" s="11" t="s">
        <v>1329</v>
      </c>
      <c r="B568" s="5"/>
      <c r="C568" s="5"/>
      <c r="D568" s="5">
        <v>3116.21</v>
      </c>
      <c r="E568" s="5">
        <v>3116.21</v>
      </c>
    </row>
    <row r="569" spans="1:5" x14ac:dyDescent="0.3">
      <c r="A569" s="11" t="s">
        <v>868</v>
      </c>
      <c r="B569" s="5"/>
      <c r="C569" s="5">
        <v>12031.491680000001</v>
      </c>
      <c r="D569" s="5"/>
      <c r="E569" s="5">
        <v>12031.491680000001</v>
      </c>
    </row>
    <row r="570" spans="1:5" x14ac:dyDescent="0.3">
      <c r="A570" s="11" t="s">
        <v>1176</v>
      </c>
      <c r="B570" s="5"/>
      <c r="C570" s="5"/>
      <c r="D570" s="5">
        <v>5960.04288</v>
      </c>
      <c r="E570" s="5">
        <v>5960.04288</v>
      </c>
    </row>
    <row r="571" spans="1:5" x14ac:dyDescent="0.3">
      <c r="A571" s="11" t="s">
        <v>1076</v>
      </c>
      <c r="B571" s="5">
        <v>20053.439999999999</v>
      </c>
      <c r="C571" s="5"/>
      <c r="D571" s="5"/>
      <c r="E571" s="5">
        <v>20053.439999999999</v>
      </c>
    </row>
    <row r="572" spans="1:5" x14ac:dyDescent="0.3">
      <c r="A572" s="11" t="s">
        <v>1343</v>
      </c>
      <c r="B572" s="5">
        <v>18003.847679999999</v>
      </c>
      <c r="C572" s="5"/>
      <c r="D572" s="5"/>
      <c r="E572" s="5">
        <v>18003.847679999999</v>
      </c>
    </row>
    <row r="573" spans="1:5" x14ac:dyDescent="0.3">
      <c r="A573" s="11" t="s">
        <v>872</v>
      </c>
      <c r="B573" s="5">
        <v>35567.737920000007</v>
      </c>
      <c r="C573" s="5"/>
      <c r="D573" s="5"/>
      <c r="E573" s="5">
        <v>35567.737920000007</v>
      </c>
    </row>
    <row r="574" spans="1:5" x14ac:dyDescent="0.3">
      <c r="A574" s="11" t="s">
        <v>927</v>
      </c>
      <c r="B574" s="5"/>
      <c r="C574" s="5"/>
      <c r="D574" s="5">
        <v>4402.1164799999997</v>
      </c>
      <c r="E574" s="5">
        <v>4402.1164799999997</v>
      </c>
    </row>
    <row r="575" spans="1:5" x14ac:dyDescent="0.3">
      <c r="A575" s="11" t="s">
        <v>974</v>
      </c>
      <c r="B575" s="5"/>
      <c r="C575" s="5"/>
      <c r="D575" s="5">
        <v>4436.6291200000005</v>
      </c>
      <c r="E575" s="5">
        <v>4436.6291200000005</v>
      </c>
    </row>
    <row r="576" spans="1:5" x14ac:dyDescent="0.3">
      <c r="A576" s="11" t="s">
        <v>1336</v>
      </c>
      <c r="B576" s="5"/>
      <c r="C576" s="5"/>
      <c r="D576" s="5">
        <v>5457.4317000000001</v>
      </c>
      <c r="E576" s="5">
        <v>5457.4317000000001</v>
      </c>
    </row>
    <row r="577" spans="1:5" x14ac:dyDescent="0.3">
      <c r="A577" s="11" t="s">
        <v>910</v>
      </c>
      <c r="B577" s="5">
        <v>15656.47056</v>
      </c>
      <c r="C577" s="5"/>
      <c r="D577" s="5"/>
      <c r="E577" s="5">
        <v>15656.47056</v>
      </c>
    </row>
    <row r="578" spans="1:5" x14ac:dyDescent="0.3">
      <c r="A578" s="11" t="s">
        <v>1347</v>
      </c>
      <c r="B578" s="5"/>
      <c r="C578" s="5">
        <v>10464.138360000001</v>
      </c>
      <c r="D578" s="5"/>
      <c r="E578" s="5">
        <v>10464.138360000001</v>
      </c>
    </row>
    <row r="579" spans="1:5" x14ac:dyDescent="0.3">
      <c r="A579" s="11" t="s">
        <v>1071</v>
      </c>
      <c r="B579" s="5">
        <v>38535.955099999999</v>
      </c>
      <c r="C579" s="5"/>
      <c r="D579" s="5"/>
      <c r="E579" s="5">
        <v>38535.955099999999</v>
      </c>
    </row>
    <row r="580" spans="1:5" x14ac:dyDescent="0.3">
      <c r="A580" s="11" t="s">
        <v>977</v>
      </c>
      <c r="B580" s="5"/>
      <c r="C580" s="5"/>
      <c r="D580" s="5">
        <v>748.22303999999997</v>
      </c>
      <c r="E580" s="5">
        <v>748.22303999999997</v>
      </c>
    </row>
    <row r="581" spans="1:5" x14ac:dyDescent="0.3">
      <c r="A581" s="11" t="s">
        <v>1340</v>
      </c>
      <c r="B581" s="5"/>
      <c r="C581" s="5"/>
      <c r="D581" s="5">
        <v>2736.27018</v>
      </c>
      <c r="E581" s="5">
        <v>2736.27018</v>
      </c>
    </row>
    <row r="582" spans="1:5" x14ac:dyDescent="0.3">
      <c r="A582" s="11" t="s">
        <v>1134</v>
      </c>
      <c r="B582" s="5">
        <v>17427.164800000002</v>
      </c>
      <c r="C582" s="5"/>
      <c r="D582" s="5"/>
      <c r="E582" s="5">
        <v>17427.164800000002</v>
      </c>
    </row>
    <row r="583" spans="1:5" x14ac:dyDescent="0.3">
      <c r="A583" s="11" t="s">
        <v>952</v>
      </c>
      <c r="B583" s="5"/>
      <c r="C583" s="5"/>
      <c r="D583" s="5">
        <v>6535.6324800000002</v>
      </c>
      <c r="E583" s="5">
        <v>6535.6324800000002</v>
      </c>
    </row>
    <row r="584" spans="1:5" x14ac:dyDescent="0.3">
      <c r="A584" s="11" t="s">
        <v>1350</v>
      </c>
      <c r="B584" s="5">
        <v>25174.028880000002</v>
      </c>
      <c r="C584" s="5"/>
      <c r="D584" s="5"/>
      <c r="E584" s="5">
        <v>25174.028880000002</v>
      </c>
    </row>
    <row r="585" spans="1:5" x14ac:dyDescent="0.3">
      <c r="A585" s="11" t="s">
        <v>1221</v>
      </c>
      <c r="B585" s="5"/>
      <c r="C585" s="5"/>
      <c r="D585" s="5">
        <v>4025.8565599999993</v>
      </c>
      <c r="E585" s="5">
        <v>4025.8565599999993</v>
      </c>
    </row>
    <row r="586" spans="1:5" x14ac:dyDescent="0.3">
      <c r="A586" s="11" t="s">
        <v>1151</v>
      </c>
      <c r="B586" s="5"/>
      <c r="C586" s="5"/>
      <c r="D586" s="5">
        <v>741.43835999999999</v>
      </c>
      <c r="E586" s="5">
        <v>741.43835999999999</v>
      </c>
    </row>
    <row r="587" spans="1:5" x14ac:dyDescent="0.3">
      <c r="A587" s="11" t="s">
        <v>1115</v>
      </c>
      <c r="B587" s="5">
        <v>37562.28</v>
      </c>
      <c r="C587" s="5"/>
      <c r="D587" s="5"/>
      <c r="E587" s="5">
        <v>37562.28</v>
      </c>
    </row>
    <row r="588" spans="1:5" x14ac:dyDescent="0.3">
      <c r="A588" s="11" t="s">
        <v>942</v>
      </c>
      <c r="B588" s="5">
        <v>15825.399369999997</v>
      </c>
      <c r="C588" s="5"/>
      <c r="D588" s="5"/>
      <c r="E588" s="5">
        <v>15825.399369999997</v>
      </c>
    </row>
    <row r="589" spans="1:5" x14ac:dyDescent="0.3">
      <c r="A589" s="11" t="s">
        <v>1335</v>
      </c>
      <c r="B589" s="5">
        <v>39810.328000000001</v>
      </c>
      <c r="C589" s="5"/>
      <c r="D589" s="5"/>
      <c r="E589" s="5">
        <v>39810.328000000001</v>
      </c>
    </row>
    <row r="590" spans="1:5" x14ac:dyDescent="0.3">
      <c r="A590" s="11" t="s">
        <v>884</v>
      </c>
      <c r="B590" s="5"/>
      <c r="C590" s="5">
        <v>7901.5041599999995</v>
      </c>
      <c r="D590" s="5"/>
      <c r="E590" s="5">
        <v>7901.5041599999995</v>
      </c>
    </row>
    <row r="591" spans="1:5" x14ac:dyDescent="0.3">
      <c r="A591" s="11" t="s">
        <v>741</v>
      </c>
      <c r="B591" s="5"/>
      <c r="C591" s="5"/>
      <c r="D591" s="5">
        <v>685.06776000000002</v>
      </c>
      <c r="E591" s="5">
        <v>685.06776000000002</v>
      </c>
    </row>
    <row r="592" spans="1:5" x14ac:dyDescent="0.3">
      <c r="A592" s="11" t="s">
        <v>1157</v>
      </c>
      <c r="B592" s="5">
        <v>58091.634960000003</v>
      </c>
      <c r="C592" s="5"/>
      <c r="D592" s="5"/>
      <c r="E592" s="5">
        <v>58091.634960000003</v>
      </c>
    </row>
    <row r="593" spans="1:5" x14ac:dyDescent="0.3">
      <c r="A593" s="11" t="s">
        <v>850</v>
      </c>
      <c r="B593" s="5"/>
      <c r="C593" s="5"/>
      <c r="D593" s="5">
        <v>765.99195000000009</v>
      </c>
      <c r="E593" s="5">
        <v>765.99195000000009</v>
      </c>
    </row>
    <row r="594" spans="1:5" x14ac:dyDescent="0.3">
      <c r="A594" s="11" t="s">
        <v>826</v>
      </c>
      <c r="B594" s="5"/>
      <c r="C594" s="5">
        <v>10161.46624</v>
      </c>
      <c r="D594" s="5"/>
      <c r="E594" s="5">
        <v>10161.46624</v>
      </c>
    </row>
    <row r="595" spans="1:5" x14ac:dyDescent="0.3">
      <c r="A595" s="11" t="s">
        <v>1035</v>
      </c>
      <c r="B595" s="5"/>
      <c r="C595" s="5">
        <v>9866.3104799999983</v>
      </c>
      <c r="D595" s="5"/>
      <c r="E595" s="5">
        <v>9866.3104799999983</v>
      </c>
    </row>
    <row r="596" spans="1:5" x14ac:dyDescent="0.3">
      <c r="A596" s="11" t="s">
        <v>773</v>
      </c>
      <c r="B596" s="5"/>
      <c r="C596" s="5"/>
      <c r="D596" s="5">
        <v>3562.1983800000003</v>
      </c>
      <c r="E596" s="5">
        <v>3562.1983800000003</v>
      </c>
    </row>
    <row r="597" spans="1:5" x14ac:dyDescent="0.3">
      <c r="A597" s="11" t="s">
        <v>1292</v>
      </c>
      <c r="B597" s="5"/>
      <c r="C597" s="5">
        <v>13251.48</v>
      </c>
      <c r="D597" s="5"/>
      <c r="E597" s="5">
        <v>13251.48</v>
      </c>
    </row>
    <row r="598" spans="1:5" x14ac:dyDescent="0.3">
      <c r="A598" s="11" t="s">
        <v>1093</v>
      </c>
      <c r="B598" s="5">
        <v>14813.731920000002</v>
      </c>
      <c r="C598" s="5"/>
      <c r="D598" s="5"/>
      <c r="E598" s="5">
        <v>14813.731920000002</v>
      </c>
    </row>
    <row r="599" spans="1:5" x14ac:dyDescent="0.3">
      <c r="A599" s="11" t="s">
        <v>1003</v>
      </c>
      <c r="B599" s="5"/>
      <c r="C599" s="5">
        <v>7678.2113999999992</v>
      </c>
      <c r="D599" s="5"/>
      <c r="E599" s="5">
        <v>7678.2113999999992</v>
      </c>
    </row>
    <row r="600" spans="1:5" x14ac:dyDescent="0.3">
      <c r="A600" s="11" t="s">
        <v>750</v>
      </c>
      <c r="B600" s="5">
        <v>25948.414799999995</v>
      </c>
      <c r="C600" s="5"/>
      <c r="D600" s="5"/>
      <c r="E600" s="5">
        <v>25948.414799999995</v>
      </c>
    </row>
    <row r="601" spans="1:5" x14ac:dyDescent="0.3">
      <c r="A601" s="11" t="s">
        <v>1195</v>
      </c>
      <c r="B601" s="5"/>
      <c r="C601" s="5"/>
      <c r="D601" s="5">
        <v>4055.5175999999997</v>
      </c>
      <c r="E601" s="5">
        <v>4055.5175999999997</v>
      </c>
    </row>
    <row r="602" spans="1:5" x14ac:dyDescent="0.3">
      <c r="A602" s="11" t="s">
        <v>933</v>
      </c>
      <c r="B602" s="5">
        <v>55880.483749999999</v>
      </c>
      <c r="C602" s="5"/>
      <c r="D602" s="5"/>
      <c r="E602" s="5">
        <v>55880.483749999999</v>
      </c>
    </row>
    <row r="603" spans="1:5" x14ac:dyDescent="0.3">
      <c r="A603" s="11" t="s">
        <v>963</v>
      </c>
      <c r="B603" s="5"/>
      <c r="C603" s="5">
        <v>7446.5209000000004</v>
      </c>
      <c r="D603" s="5"/>
      <c r="E603" s="5">
        <v>7446.5209000000004</v>
      </c>
    </row>
    <row r="604" spans="1:5" x14ac:dyDescent="0.3">
      <c r="A604" s="11" t="s">
        <v>1204</v>
      </c>
      <c r="B604" s="5">
        <v>36549.429260000004</v>
      </c>
      <c r="C604" s="5"/>
      <c r="D604" s="5"/>
      <c r="E604" s="5">
        <v>36549.429260000004</v>
      </c>
    </row>
    <row r="605" spans="1:5" x14ac:dyDescent="0.3">
      <c r="A605" s="11" t="s">
        <v>887</v>
      </c>
      <c r="B605" s="5">
        <v>29654.83008</v>
      </c>
      <c r="C605" s="5"/>
      <c r="D605" s="5"/>
      <c r="E605" s="5">
        <v>29654.83008</v>
      </c>
    </row>
    <row r="606" spans="1:5" x14ac:dyDescent="0.3">
      <c r="A606" s="11" t="s">
        <v>772</v>
      </c>
      <c r="B606" s="5">
        <v>14968.239</v>
      </c>
      <c r="C606" s="5"/>
      <c r="D606" s="5"/>
      <c r="E606" s="5">
        <v>14968.239</v>
      </c>
    </row>
    <row r="607" spans="1:5" x14ac:dyDescent="0.3">
      <c r="A607" s="11" t="s">
        <v>1084</v>
      </c>
      <c r="B607" s="5"/>
      <c r="C607" s="5"/>
      <c r="D607" s="5">
        <v>4132.0325200000007</v>
      </c>
      <c r="E607" s="5">
        <v>4132.0325200000007</v>
      </c>
    </row>
    <row r="608" spans="1:5" x14ac:dyDescent="0.3">
      <c r="A608" s="11" t="s">
        <v>969</v>
      </c>
      <c r="B608" s="5">
        <v>17359.804799999998</v>
      </c>
      <c r="C608" s="5"/>
      <c r="D608" s="5"/>
      <c r="E608" s="5">
        <v>17359.804799999998</v>
      </c>
    </row>
    <row r="609" spans="1:5" x14ac:dyDescent="0.3">
      <c r="A609" s="11" t="s">
        <v>1030</v>
      </c>
      <c r="B609" s="5"/>
      <c r="C609" s="5"/>
      <c r="D609" s="5">
        <v>4241.88105</v>
      </c>
      <c r="E609" s="5">
        <v>4241.88105</v>
      </c>
    </row>
    <row r="610" spans="1:5" x14ac:dyDescent="0.3">
      <c r="A610" s="11" t="s">
        <v>1178</v>
      </c>
      <c r="B610" s="5"/>
      <c r="C610" s="5"/>
      <c r="D610" s="5">
        <v>1925.29872</v>
      </c>
      <c r="E610" s="5">
        <v>1925.29872</v>
      </c>
    </row>
    <row r="611" spans="1:5" x14ac:dyDescent="0.3">
      <c r="A611" s="11" t="s">
        <v>738</v>
      </c>
      <c r="B611" s="5"/>
      <c r="C611" s="5">
        <v>10957.9797</v>
      </c>
      <c r="D611" s="5"/>
      <c r="E611" s="5">
        <v>10957.9797</v>
      </c>
    </row>
    <row r="612" spans="1:5" x14ac:dyDescent="0.3">
      <c r="A612" s="11" t="s">
        <v>913</v>
      </c>
      <c r="B612" s="5"/>
      <c r="C612" s="5"/>
      <c r="D612" s="5">
        <v>4420.5961799999995</v>
      </c>
      <c r="E612" s="5">
        <v>4420.5961799999995</v>
      </c>
    </row>
    <row r="613" spans="1:5" x14ac:dyDescent="0.3">
      <c r="A613" s="11" t="s">
        <v>886</v>
      </c>
      <c r="B613" s="5"/>
      <c r="C613" s="5"/>
      <c r="D613" s="5">
        <v>4139.8127999999997</v>
      </c>
      <c r="E613" s="5">
        <v>4139.8127999999997</v>
      </c>
    </row>
    <row r="614" spans="1:5" x14ac:dyDescent="0.3">
      <c r="A614" s="11" t="s">
        <v>747</v>
      </c>
      <c r="B614" s="5">
        <v>21585.15</v>
      </c>
      <c r="C614" s="5"/>
      <c r="D614" s="5"/>
      <c r="E614" s="5">
        <v>21585.15</v>
      </c>
    </row>
    <row r="615" spans="1:5" x14ac:dyDescent="0.3">
      <c r="A615" s="11" t="s">
        <v>935</v>
      </c>
      <c r="B615" s="5"/>
      <c r="C615" s="5"/>
      <c r="D615" s="5">
        <v>4637.7968000000001</v>
      </c>
      <c r="E615" s="5">
        <v>4637.7968000000001</v>
      </c>
    </row>
    <row r="616" spans="1:5" x14ac:dyDescent="0.3">
      <c r="A616" s="11" t="s">
        <v>1107</v>
      </c>
      <c r="B616" s="5"/>
      <c r="C616" s="5"/>
      <c r="D616" s="5">
        <v>4117.4880599999997</v>
      </c>
      <c r="E616" s="5">
        <v>4117.4880599999997</v>
      </c>
    </row>
    <row r="617" spans="1:5" x14ac:dyDescent="0.3">
      <c r="A617" s="11" t="s">
        <v>1008</v>
      </c>
      <c r="B617" s="5"/>
      <c r="C617" s="5">
        <v>11417.429099999999</v>
      </c>
      <c r="D617" s="5"/>
      <c r="E617" s="5">
        <v>11417.429099999999</v>
      </c>
    </row>
    <row r="618" spans="1:5" x14ac:dyDescent="0.3">
      <c r="A618" s="11" t="s">
        <v>1025</v>
      </c>
      <c r="B618" s="5"/>
      <c r="C618" s="5"/>
      <c r="D618" s="5">
        <v>1098.9470800000001</v>
      </c>
      <c r="E618" s="5">
        <v>1098.9470800000001</v>
      </c>
    </row>
    <row r="619" spans="1:5" x14ac:dyDescent="0.3">
      <c r="A619" s="11" t="s">
        <v>1119</v>
      </c>
      <c r="B619" s="5"/>
      <c r="C619" s="5">
        <v>9586.8057599999993</v>
      </c>
      <c r="D619" s="5"/>
      <c r="E619" s="5">
        <v>9586.8057599999993</v>
      </c>
    </row>
    <row r="620" spans="1:5" x14ac:dyDescent="0.3">
      <c r="A620" s="11" t="s">
        <v>829</v>
      </c>
      <c r="B620" s="5">
        <v>43209.006119999991</v>
      </c>
      <c r="C620" s="5"/>
      <c r="D620" s="5"/>
      <c r="E620" s="5">
        <v>43209.006119999991</v>
      </c>
    </row>
    <row r="621" spans="1:5" x14ac:dyDescent="0.3">
      <c r="A621" s="11" t="s">
        <v>1342</v>
      </c>
      <c r="B621" s="5"/>
      <c r="C621" s="5">
        <v>10260.060159999999</v>
      </c>
      <c r="D621" s="5"/>
      <c r="E621" s="5">
        <v>10260.060159999999</v>
      </c>
    </row>
    <row r="622" spans="1:5" x14ac:dyDescent="0.3">
      <c r="A622" s="11" t="s">
        <v>735</v>
      </c>
      <c r="B622" s="5">
        <v>17960.432489999999</v>
      </c>
      <c r="C622" s="5"/>
      <c r="D622" s="5"/>
      <c r="E622" s="5">
        <v>17960.432489999999</v>
      </c>
    </row>
    <row r="623" spans="1:5" x14ac:dyDescent="0.3">
      <c r="A623" s="11" t="s">
        <v>1139</v>
      </c>
      <c r="B623" s="5">
        <v>22457.143800000002</v>
      </c>
      <c r="C623" s="5"/>
      <c r="D623" s="5"/>
      <c r="E623" s="5">
        <v>22457.143800000002</v>
      </c>
    </row>
    <row r="624" spans="1:5" x14ac:dyDescent="0.3">
      <c r="A624" s="11" t="s">
        <v>1203</v>
      </c>
      <c r="B624" s="5"/>
      <c r="C624" s="5">
        <v>10428.057360000001</v>
      </c>
      <c r="D624" s="5"/>
      <c r="E624" s="5">
        <v>10428.057360000001</v>
      </c>
    </row>
    <row r="625" spans="1:5" x14ac:dyDescent="0.3">
      <c r="A625" s="11" t="s">
        <v>1090</v>
      </c>
      <c r="B625" s="5">
        <v>43907.94</v>
      </c>
      <c r="C625" s="5"/>
      <c r="D625" s="5"/>
      <c r="E625" s="5">
        <v>43907.94</v>
      </c>
    </row>
    <row r="626" spans="1:5" x14ac:dyDescent="0.3">
      <c r="A626" s="11" t="s">
        <v>1177</v>
      </c>
      <c r="B626" s="5">
        <v>21664.440000000002</v>
      </c>
      <c r="C626" s="5"/>
      <c r="D626" s="5"/>
      <c r="E626" s="5">
        <v>21664.440000000002</v>
      </c>
    </row>
    <row r="627" spans="1:5" x14ac:dyDescent="0.3">
      <c r="A627" s="11" t="s">
        <v>1280</v>
      </c>
      <c r="B627" s="5">
        <v>31822.023930000003</v>
      </c>
      <c r="C627" s="5"/>
      <c r="D627" s="5"/>
      <c r="E627" s="5">
        <v>31822.023930000003</v>
      </c>
    </row>
    <row r="628" spans="1:5" x14ac:dyDescent="0.3">
      <c r="A628" s="11" t="s">
        <v>815</v>
      </c>
      <c r="B628" s="5">
        <v>18258.868320000001</v>
      </c>
      <c r="C628" s="5"/>
      <c r="D628" s="5"/>
      <c r="E628" s="5">
        <v>18258.868320000001</v>
      </c>
    </row>
    <row r="629" spans="1:5" x14ac:dyDescent="0.3">
      <c r="A629" s="11" t="s">
        <v>777</v>
      </c>
      <c r="B629" s="5"/>
      <c r="C629" s="5">
        <v>10666.229420000001</v>
      </c>
      <c r="D629" s="5"/>
      <c r="E629" s="5">
        <v>10666.229420000001</v>
      </c>
    </row>
    <row r="630" spans="1:5" x14ac:dyDescent="0.3">
      <c r="A630" s="11" t="s">
        <v>1333</v>
      </c>
      <c r="B630" s="5"/>
      <c r="C630" s="5">
        <v>7466.3063999999986</v>
      </c>
      <c r="D630" s="5"/>
      <c r="E630" s="5">
        <v>7466.3063999999986</v>
      </c>
    </row>
    <row r="631" spans="1:5" x14ac:dyDescent="0.3">
      <c r="A631" s="11" t="s">
        <v>1330</v>
      </c>
      <c r="B631" s="5"/>
      <c r="C631" s="5"/>
      <c r="D631" s="5">
        <v>4409.5168800000001</v>
      </c>
      <c r="E631" s="5">
        <v>4409.5168800000001</v>
      </c>
    </row>
    <row r="632" spans="1:5" x14ac:dyDescent="0.3">
      <c r="A632" s="11" t="s">
        <v>1088</v>
      </c>
      <c r="B632" s="5"/>
      <c r="C632" s="5"/>
      <c r="D632" s="5">
        <v>1122.0896000000002</v>
      </c>
      <c r="E632" s="5">
        <v>1122.0896000000002</v>
      </c>
    </row>
    <row r="633" spans="1:5" x14ac:dyDescent="0.3">
      <c r="A633" s="11" t="s">
        <v>1148</v>
      </c>
      <c r="B633" s="5">
        <v>18411.4084</v>
      </c>
      <c r="C633" s="5"/>
      <c r="D633" s="5"/>
      <c r="E633" s="5">
        <v>18411.4084</v>
      </c>
    </row>
    <row r="634" spans="1:5" x14ac:dyDescent="0.3">
      <c r="A634" s="11" t="s">
        <v>1441</v>
      </c>
      <c r="B634" s="5">
        <v>8750916.0407200065</v>
      </c>
      <c r="C634" s="5">
        <v>1646013.0290299999</v>
      </c>
      <c r="D634" s="5">
        <v>548820.18335999979</v>
      </c>
      <c r="E634" s="5">
        <v>10945749.253110001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A4751-6755-4B63-BAB9-81161C5998BC}">
  <dimension ref="A3:G9"/>
  <sheetViews>
    <sheetView workbookViewId="0">
      <selection activeCell="C6" sqref="C6"/>
    </sheetView>
  </sheetViews>
  <sheetFormatPr defaultRowHeight="14.4" x14ac:dyDescent="0.3"/>
  <cols>
    <col min="1" max="1" width="19.5546875" bestFit="1" customWidth="1"/>
    <col min="2" max="2" width="15.5546875" bestFit="1" customWidth="1"/>
    <col min="3" max="3" width="9.88671875" bestFit="1" customWidth="1"/>
    <col min="4" max="4" width="11.5546875" bestFit="1" customWidth="1"/>
    <col min="5" max="6" width="7" bestFit="1" customWidth="1"/>
    <col min="7" max="7" width="10.77734375" bestFit="1" customWidth="1"/>
  </cols>
  <sheetData>
    <row r="3" spans="1:7" x14ac:dyDescent="0.3">
      <c r="A3" s="10" t="s">
        <v>1442</v>
      </c>
      <c r="B3" s="10" t="s">
        <v>1443</v>
      </c>
    </row>
    <row r="4" spans="1:7" x14ac:dyDescent="0.3">
      <c r="A4" s="10" t="s">
        <v>1438</v>
      </c>
      <c r="B4" t="s">
        <v>711</v>
      </c>
      <c r="C4" t="s">
        <v>710</v>
      </c>
      <c r="D4" t="s">
        <v>709</v>
      </c>
      <c r="E4" t="s">
        <v>708</v>
      </c>
      <c r="F4" t="s">
        <v>707</v>
      </c>
      <c r="G4" t="s">
        <v>1441</v>
      </c>
    </row>
    <row r="5" spans="1:7" x14ac:dyDescent="0.3">
      <c r="A5" s="11" t="s">
        <v>646</v>
      </c>
      <c r="B5" s="7">
        <v>4.2229771851265946E-2</v>
      </c>
      <c r="C5" s="7">
        <v>6.0964172782452627E-2</v>
      </c>
      <c r="D5" s="7">
        <v>4.8189289043884448E-2</v>
      </c>
      <c r="E5" s="7">
        <v>3.959585828689223E-2</v>
      </c>
      <c r="F5" s="7">
        <v>4.7390235485489172E-2</v>
      </c>
      <c r="G5" s="7">
        <v>0.2383693274499844</v>
      </c>
    </row>
    <row r="6" spans="1:7" x14ac:dyDescent="0.3">
      <c r="A6" s="11" t="s">
        <v>648</v>
      </c>
      <c r="B6" s="7">
        <v>6.9536141242568919E-2</v>
      </c>
      <c r="C6" s="7">
        <v>5.1971171526551257E-2</v>
      </c>
      <c r="D6" s="7">
        <v>3.3471982506442143E-2</v>
      </c>
      <c r="E6" s="7">
        <v>6.3033734686911938E-2</v>
      </c>
      <c r="F6" s="7">
        <v>2.7668601958331058E-2</v>
      </c>
      <c r="G6" s="7">
        <v>0.24568163192080528</v>
      </c>
    </row>
    <row r="7" spans="1:7" x14ac:dyDescent="0.3">
      <c r="A7" s="11" t="s">
        <v>647</v>
      </c>
      <c r="B7" s="7">
        <v>5.8721723063167704E-2</v>
      </c>
      <c r="C7" s="7">
        <v>4.6540332160930842E-2</v>
      </c>
      <c r="D7" s="7">
        <v>5.3672491908498481E-2</v>
      </c>
      <c r="E7" s="7">
        <v>3.779197751789052E-2</v>
      </c>
      <c r="F7" s="7">
        <v>6.3325192621515494E-2</v>
      </c>
      <c r="G7" s="7">
        <v>0.26005171727200305</v>
      </c>
    </row>
    <row r="8" spans="1:7" x14ac:dyDescent="0.3">
      <c r="A8" s="11" t="s">
        <v>649</v>
      </c>
      <c r="B8" s="7">
        <v>7.6980975222010431E-2</v>
      </c>
      <c r="C8" s="7">
        <v>2.9561121050536113E-2</v>
      </c>
      <c r="D8" s="7">
        <v>5.2045457745904293E-2</v>
      </c>
      <c r="E8" s="7">
        <v>5.3482562886562487E-2</v>
      </c>
      <c r="F8" s="7">
        <v>4.3827206452193984E-2</v>
      </c>
      <c r="G8" s="7">
        <v>0.25589732335720733</v>
      </c>
    </row>
    <row r="9" spans="1:7" x14ac:dyDescent="0.3">
      <c r="A9" s="11" t="s">
        <v>1441</v>
      </c>
      <c r="B9" s="7">
        <v>0.24746861137901299</v>
      </c>
      <c r="C9" s="7">
        <v>0.18903679752047087</v>
      </c>
      <c r="D9" s="7">
        <v>0.18737922120472936</v>
      </c>
      <c r="E9" s="7">
        <v>0.19390413337825715</v>
      </c>
      <c r="F9" s="7">
        <v>0.18221123651752971</v>
      </c>
      <c r="G9" s="7">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9C756-30C8-4DDB-BB22-4EE847078375}">
  <dimension ref="A3:C7"/>
  <sheetViews>
    <sheetView workbookViewId="0">
      <selection activeCell="D12" sqref="D12"/>
    </sheetView>
  </sheetViews>
  <sheetFormatPr defaultRowHeight="14.4" x14ac:dyDescent="0.3"/>
  <cols>
    <col min="1" max="1" width="12.5546875" bestFit="1" customWidth="1"/>
    <col min="2" max="2" width="19.5546875" bestFit="1" customWidth="1"/>
    <col min="3" max="3" width="16.77734375" bestFit="1" customWidth="1"/>
    <col min="4" max="4" width="15.44140625" bestFit="1" customWidth="1"/>
  </cols>
  <sheetData>
    <row r="3" spans="1:3" x14ac:dyDescent="0.3">
      <c r="A3" s="10" t="s">
        <v>1438</v>
      </c>
      <c r="B3" t="s">
        <v>1442</v>
      </c>
      <c r="C3" t="s">
        <v>1451</v>
      </c>
    </row>
    <row r="4" spans="1:3" x14ac:dyDescent="0.3">
      <c r="A4" s="11" t="s">
        <v>717</v>
      </c>
      <c r="B4" s="5">
        <v>893735.6608500001</v>
      </c>
      <c r="C4" s="5">
        <v>359716.92526999983</v>
      </c>
    </row>
    <row r="5" spans="1:3" x14ac:dyDescent="0.3">
      <c r="A5" s="11" t="s">
        <v>723</v>
      </c>
      <c r="B5" s="5">
        <v>883348.1293599999</v>
      </c>
      <c r="C5" s="5">
        <v>297798.4393599999</v>
      </c>
    </row>
    <row r="6" spans="1:3" x14ac:dyDescent="0.3">
      <c r="A6" s="11" t="s">
        <v>724</v>
      </c>
      <c r="B6" s="5">
        <v>976696.69714999967</v>
      </c>
      <c r="C6" s="5">
        <v>363428.28563000006</v>
      </c>
    </row>
    <row r="7" spans="1:3" x14ac:dyDescent="0.3">
      <c r="A7" s="11" t="s">
        <v>1441</v>
      </c>
      <c r="B7" s="5">
        <v>2753780.4873599997</v>
      </c>
      <c r="C7" s="5">
        <v>1020943.6502599998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60F9B-C3BA-4A9A-9F01-B9F61168A7DA}">
  <dimension ref="A3:C19"/>
  <sheetViews>
    <sheetView workbookViewId="0">
      <selection activeCell="B11" sqref="B11"/>
    </sheetView>
  </sheetViews>
  <sheetFormatPr defaultRowHeight="14.4" x14ac:dyDescent="0.3"/>
  <cols>
    <col min="1" max="1" width="12.5546875" bestFit="1" customWidth="1"/>
    <col min="2" max="2" width="19.5546875" bestFit="1" customWidth="1"/>
    <col min="3" max="3" width="16.77734375" bestFit="1" customWidth="1"/>
    <col min="4" max="4" width="15.44140625" bestFit="1" customWidth="1"/>
  </cols>
  <sheetData>
    <row r="3" spans="1:3" x14ac:dyDescent="0.3">
      <c r="A3" s="10" t="s">
        <v>1438</v>
      </c>
      <c r="B3" t="s">
        <v>1442</v>
      </c>
      <c r="C3" t="s">
        <v>1451</v>
      </c>
    </row>
    <row r="4" spans="1:3" x14ac:dyDescent="0.3">
      <c r="A4" s="11" t="s">
        <v>720</v>
      </c>
      <c r="B4" s="5">
        <v>979572.26576999982</v>
      </c>
      <c r="C4" s="5">
        <v>375845.12317000004</v>
      </c>
    </row>
    <row r="5" spans="1:3" x14ac:dyDescent="0.3">
      <c r="A5" s="11" t="s">
        <v>717</v>
      </c>
      <c r="B5" s="5">
        <v>933252.46524000005</v>
      </c>
      <c r="C5" s="5">
        <v>380805.20965999988</v>
      </c>
    </row>
    <row r="6" spans="1:3" x14ac:dyDescent="0.3">
      <c r="A6" s="11" t="s">
        <v>712</v>
      </c>
      <c r="B6" s="5">
        <v>689776.36459000036</v>
      </c>
      <c r="C6" s="5">
        <v>237357.21863000005</v>
      </c>
    </row>
    <row r="7" spans="1:3" x14ac:dyDescent="0.3">
      <c r="A7" s="11" t="s">
        <v>726</v>
      </c>
      <c r="B7" s="5">
        <v>576820.19091000012</v>
      </c>
      <c r="C7" s="5">
        <v>203186.68706999996</v>
      </c>
    </row>
    <row r="8" spans="1:3" x14ac:dyDescent="0.3">
      <c r="A8" s="11" t="s">
        <v>718</v>
      </c>
      <c r="B8" s="5">
        <v>543846.44053000002</v>
      </c>
      <c r="C8" s="5">
        <v>219222.23483</v>
      </c>
    </row>
    <row r="9" spans="1:3" x14ac:dyDescent="0.3">
      <c r="A9" s="11" t="s">
        <v>721</v>
      </c>
      <c r="B9" s="5">
        <v>812637.17232000036</v>
      </c>
      <c r="C9" s="5">
        <v>292994.34204000002</v>
      </c>
    </row>
    <row r="10" spans="1:3" x14ac:dyDescent="0.3">
      <c r="A10" s="11" t="s">
        <v>715</v>
      </c>
      <c r="B10" s="5">
        <v>510653.71305000025</v>
      </c>
      <c r="C10" s="5">
        <v>173517.25717000006</v>
      </c>
    </row>
    <row r="11" spans="1:3" x14ac:dyDescent="0.3">
      <c r="A11" s="11" t="s">
        <v>722</v>
      </c>
      <c r="B11" s="5">
        <v>749851.59891000029</v>
      </c>
      <c r="C11" s="5">
        <v>336984.24109000002</v>
      </c>
    </row>
    <row r="12" spans="1:3" x14ac:dyDescent="0.3">
      <c r="A12" s="11" t="s">
        <v>714</v>
      </c>
      <c r="B12" s="5">
        <v>541165.67181999981</v>
      </c>
      <c r="C12" s="5">
        <v>198714.77813999995</v>
      </c>
    </row>
    <row r="13" spans="1:3" x14ac:dyDescent="0.3">
      <c r="A13" s="11" t="s">
        <v>713</v>
      </c>
      <c r="B13" s="5">
        <v>802384.66227999958</v>
      </c>
      <c r="C13" s="5">
        <v>333460.55155999993</v>
      </c>
    </row>
    <row r="14" spans="1:3" x14ac:dyDescent="0.3">
      <c r="A14" s="11" t="s">
        <v>723</v>
      </c>
      <c r="B14" s="5">
        <v>913477.32183999987</v>
      </c>
      <c r="C14" s="5">
        <v>305380.9118399999</v>
      </c>
    </row>
    <row r="15" spans="1:3" x14ac:dyDescent="0.3">
      <c r="A15" s="11" t="s">
        <v>716</v>
      </c>
      <c r="B15" s="5">
        <v>853458.04121000017</v>
      </c>
      <c r="C15" s="5">
        <v>289448.29800999991</v>
      </c>
    </row>
    <row r="16" spans="1:3" x14ac:dyDescent="0.3">
      <c r="A16" s="11" t="s">
        <v>724</v>
      </c>
      <c r="B16" s="5">
        <v>1002803.3111099997</v>
      </c>
      <c r="C16" s="5">
        <v>372154.17958999996</v>
      </c>
    </row>
    <row r="17" spans="1:3" x14ac:dyDescent="0.3">
      <c r="A17" s="11" t="s">
        <v>725</v>
      </c>
      <c r="B17" s="5">
        <v>388325.13658999995</v>
      </c>
      <c r="C17" s="5">
        <v>139359.34643000001</v>
      </c>
    </row>
    <row r="18" spans="1:3" x14ac:dyDescent="0.3">
      <c r="A18" s="11" t="s">
        <v>719</v>
      </c>
      <c r="B18" s="5">
        <v>647724.89694000024</v>
      </c>
      <c r="C18" s="5">
        <v>200098.94692000005</v>
      </c>
    </row>
    <row r="19" spans="1:3" x14ac:dyDescent="0.3">
      <c r="A19" s="11" t="s">
        <v>1441</v>
      </c>
      <c r="B19" s="5">
        <v>10945749.253110001</v>
      </c>
      <c r="C19" s="5">
        <v>4058529.3261499996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68C5A-F100-433C-AE60-E4AA76E30657}">
  <dimension ref="A3:B16"/>
  <sheetViews>
    <sheetView workbookViewId="0">
      <selection activeCell="M18" sqref="M18"/>
    </sheetView>
  </sheetViews>
  <sheetFormatPr defaultRowHeight="14.4" x14ac:dyDescent="0.3"/>
  <cols>
    <col min="1" max="1" width="12.5546875" bestFit="1" customWidth="1"/>
    <col min="2" max="2" width="19.5546875" bestFit="1" customWidth="1"/>
  </cols>
  <sheetData>
    <row r="3" spans="1:2" x14ac:dyDescent="0.3">
      <c r="A3" s="10" t="s">
        <v>1438</v>
      </c>
      <c r="B3" t="s">
        <v>1442</v>
      </c>
    </row>
    <row r="4" spans="1:2" x14ac:dyDescent="0.3">
      <c r="A4" s="11" t="s">
        <v>1454</v>
      </c>
      <c r="B4" s="5">
        <v>701241.31055000005</v>
      </c>
    </row>
    <row r="5" spans="1:2" x14ac:dyDescent="0.3">
      <c r="A5" s="11" t="s">
        <v>1455</v>
      </c>
      <c r="B5" s="5">
        <v>963301.00218000007</v>
      </c>
    </row>
    <row r="6" spans="1:2" x14ac:dyDescent="0.3">
      <c r="A6" s="11" t="s">
        <v>1456</v>
      </c>
      <c r="B6" s="5">
        <v>799192.62353000022</v>
      </c>
    </row>
    <row r="7" spans="1:2" x14ac:dyDescent="0.3">
      <c r="A7" s="11" t="s">
        <v>1457</v>
      </c>
      <c r="B7" s="5">
        <v>947246.5773799998</v>
      </c>
    </row>
    <row r="8" spans="1:2" x14ac:dyDescent="0.3">
      <c r="A8" s="11" t="s">
        <v>1458</v>
      </c>
      <c r="B8" s="5">
        <v>1262901.8977499993</v>
      </c>
    </row>
    <row r="9" spans="1:2" x14ac:dyDescent="0.3">
      <c r="A9" s="11" t="s">
        <v>1459</v>
      </c>
      <c r="B9" s="5">
        <v>1252974.1609099994</v>
      </c>
    </row>
    <row r="10" spans="1:2" x14ac:dyDescent="0.3">
      <c r="A10" s="11" t="s">
        <v>1460</v>
      </c>
      <c r="B10" s="5">
        <v>1323460.0091499998</v>
      </c>
    </row>
    <row r="11" spans="1:2" x14ac:dyDescent="0.3">
      <c r="A11" s="11" t="s">
        <v>1461</v>
      </c>
      <c r="B11" s="5">
        <v>1090009.5832699998</v>
      </c>
    </row>
    <row r="12" spans="1:2" x14ac:dyDescent="0.3">
      <c r="A12" s="11" t="s">
        <v>1462</v>
      </c>
      <c r="B12" s="5">
        <v>661140.76962000015</v>
      </c>
    </row>
    <row r="13" spans="1:2" x14ac:dyDescent="0.3">
      <c r="A13" s="11" t="s">
        <v>1463</v>
      </c>
      <c r="B13" s="5">
        <v>663847.3234600001</v>
      </c>
    </row>
    <row r="14" spans="1:2" x14ac:dyDescent="0.3">
      <c r="A14" s="11" t="s">
        <v>1464</v>
      </c>
      <c r="B14" s="5">
        <v>543953.69134999998</v>
      </c>
    </row>
    <row r="15" spans="1:2" x14ac:dyDescent="0.3">
      <c r="A15" s="11" t="s">
        <v>1465</v>
      </c>
      <c r="B15" s="5">
        <v>736480.30395999982</v>
      </c>
    </row>
    <row r="16" spans="1:2" x14ac:dyDescent="0.3">
      <c r="A16" s="11" t="s">
        <v>1441</v>
      </c>
      <c r="B16" s="5">
        <v>10945749.253109997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59AB-FEC0-401E-9A4B-A6BD1DAE1691}">
  <dimension ref="A3:F10"/>
  <sheetViews>
    <sheetView workbookViewId="0">
      <selection activeCell="F22" sqref="F22"/>
    </sheetView>
  </sheetViews>
  <sheetFormatPr defaultRowHeight="14.4" x14ac:dyDescent="0.3"/>
  <cols>
    <col min="1" max="1" width="16.77734375" bestFit="1" customWidth="1"/>
    <col min="2" max="2" width="15.5546875" bestFit="1" customWidth="1"/>
    <col min="3" max="3" width="9.5546875" bestFit="1" customWidth="1"/>
    <col min="4" max="5" width="10.5546875" bestFit="1" customWidth="1"/>
    <col min="6" max="6" width="10.77734375" bestFit="1" customWidth="1"/>
  </cols>
  <sheetData>
    <row r="3" spans="1:6" x14ac:dyDescent="0.3">
      <c r="A3" s="10" t="s">
        <v>1451</v>
      </c>
      <c r="B3" s="10" t="s">
        <v>1443</v>
      </c>
    </row>
    <row r="4" spans="1:6" x14ac:dyDescent="0.3">
      <c r="A4" s="10" t="s">
        <v>1438</v>
      </c>
      <c r="B4" t="s">
        <v>646</v>
      </c>
      <c r="C4" t="s">
        <v>648</v>
      </c>
      <c r="D4" t="s">
        <v>647</v>
      </c>
      <c r="E4" t="s">
        <v>649</v>
      </c>
      <c r="F4" t="s">
        <v>1441</v>
      </c>
    </row>
    <row r="5" spans="1:6" x14ac:dyDescent="0.3">
      <c r="A5" s="11" t="s">
        <v>711</v>
      </c>
      <c r="B5" s="5">
        <v>187203.70332</v>
      </c>
      <c r="C5" s="5">
        <v>260636.7229900001</v>
      </c>
      <c r="D5" s="5">
        <v>256155.81079999998</v>
      </c>
      <c r="E5" s="5">
        <v>301850.54898000014</v>
      </c>
      <c r="F5" s="5">
        <v>1005846.7860900003</v>
      </c>
    </row>
    <row r="6" spans="1:6" x14ac:dyDescent="0.3">
      <c r="A6" s="11" t="s">
        <v>710</v>
      </c>
      <c r="B6" s="5">
        <v>232409.48563999997</v>
      </c>
      <c r="C6" s="5">
        <v>230034.23066000006</v>
      </c>
      <c r="D6" s="5">
        <v>172459.12046999994</v>
      </c>
      <c r="E6" s="5">
        <v>119311.19769999998</v>
      </c>
      <c r="F6" s="5">
        <v>754214.03446999996</v>
      </c>
    </row>
    <row r="7" spans="1:6" x14ac:dyDescent="0.3">
      <c r="A7" s="11" t="s">
        <v>709</v>
      </c>
      <c r="B7" s="5">
        <v>186864.80456000005</v>
      </c>
      <c r="C7" s="5">
        <v>115566.16675999995</v>
      </c>
      <c r="D7" s="5">
        <v>199689.52956</v>
      </c>
      <c r="E7" s="5">
        <v>270217.14304999996</v>
      </c>
      <c r="F7" s="5">
        <v>772337.64393000002</v>
      </c>
    </row>
    <row r="8" spans="1:6" x14ac:dyDescent="0.3">
      <c r="A8" s="11" t="s">
        <v>708</v>
      </c>
      <c r="B8" s="5">
        <v>180839.18539</v>
      </c>
      <c r="C8" s="5">
        <v>265252.12212999992</v>
      </c>
      <c r="D8" s="5">
        <v>152920.54297000001</v>
      </c>
      <c r="E8" s="5">
        <v>219741.98663000006</v>
      </c>
      <c r="F8" s="5">
        <v>818753.83711999992</v>
      </c>
    </row>
    <row r="9" spans="1:6" x14ac:dyDescent="0.3">
      <c r="A9" s="11" t="s">
        <v>707</v>
      </c>
      <c r="B9" s="5">
        <v>190525.56007000001</v>
      </c>
      <c r="C9" s="5">
        <v>87507.989499999996</v>
      </c>
      <c r="D9" s="5">
        <v>223965.87474000006</v>
      </c>
      <c r="E9" s="5">
        <v>205377.60022999992</v>
      </c>
      <c r="F9" s="5">
        <v>707377.02454000001</v>
      </c>
    </row>
    <row r="10" spans="1:6" x14ac:dyDescent="0.3">
      <c r="A10" s="11" t="s">
        <v>1441</v>
      </c>
      <c r="B10" s="5">
        <v>977842.73898000002</v>
      </c>
      <c r="C10" s="5">
        <v>958997.23204000003</v>
      </c>
      <c r="D10" s="5">
        <v>1005190.8785400002</v>
      </c>
      <c r="E10" s="5">
        <v>1116498.4765900001</v>
      </c>
      <c r="F10" s="5">
        <v>4058529.3261500001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76761-7F38-4BA4-8A8F-B024689E9D62}">
  <dimension ref="A3:B14"/>
  <sheetViews>
    <sheetView workbookViewId="0">
      <selection activeCell="B9" sqref="B9"/>
    </sheetView>
  </sheetViews>
  <sheetFormatPr defaultRowHeight="14.4" x14ac:dyDescent="0.3"/>
  <cols>
    <col min="1" max="1" width="12.5546875" bestFit="1" customWidth="1"/>
    <col min="2" max="2" width="19.5546875" bestFit="1" customWidth="1"/>
  </cols>
  <sheetData>
    <row r="3" spans="1:2" x14ac:dyDescent="0.3">
      <c r="A3" s="10" t="s">
        <v>1438</v>
      </c>
      <c r="B3" t="s">
        <v>1442</v>
      </c>
    </row>
    <row r="4" spans="1:2" x14ac:dyDescent="0.3">
      <c r="A4" s="11" t="s">
        <v>1345</v>
      </c>
      <c r="B4" s="5">
        <v>82141.339799999987</v>
      </c>
    </row>
    <row r="5" spans="1:2" x14ac:dyDescent="0.3">
      <c r="A5" s="11" t="s">
        <v>1010</v>
      </c>
      <c r="B5" s="5">
        <v>79548.755999999994</v>
      </c>
    </row>
    <row r="6" spans="1:2" x14ac:dyDescent="0.3">
      <c r="A6" s="11" t="s">
        <v>781</v>
      </c>
      <c r="B6" s="5">
        <v>109244</v>
      </c>
    </row>
    <row r="7" spans="1:2" x14ac:dyDescent="0.3">
      <c r="A7" s="11" t="s">
        <v>909</v>
      </c>
      <c r="B7" s="5">
        <v>92715.25</v>
      </c>
    </row>
    <row r="8" spans="1:2" x14ac:dyDescent="0.3">
      <c r="A8" s="11" t="s">
        <v>899</v>
      </c>
      <c r="B8" s="5">
        <v>85637.740319999997</v>
      </c>
    </row>
    <row r="9" spans="1:2" x14ac:dyDescent="0.3">
      <c r="A9" s="11" t="s">
        <v>874</v>
      </c>
      <c r="B9" s="5">
        <v>87404.929919999995</v>
      </c>
    </row>
    <row r="10" spans="1:2" x14ac:dyDescent="0.3">
      <c r="A10" s="11" t="s">
        <v>1155</v>
      </c>
      <c r="B10" s="5">
        <v>102122.94203999999</v>
      </c>
    </row>
    <row r="11" spans="1:2" x14ac:dyDescent="0.3">
      <c r="A11" s="11" t="s">
        <v>1096</v>
      </c>
      <c r="B11" s="5">
        <v>82514.711519999997</v>
      </c>
    </row>
    <row r="12" spans="1:2" x14ac:dyDescent="0.3">
      <c r="A12" s="11" t="s">
        <v>971</v>
      </c>
      <c r="B12" s="5">
        <v>139277.83032000001</v>
      </c>
    </row>
    <row r="13" spans="1:2" x14ac:dyDescent="0.3">
      <c r="A13" s="11" t="s">
        <v>1198</v>
      </c>
      <c r="B13" s="5">
        <v>84136.119600000005</v>
      </c>
    </row>
    <row r="14" spans="1:2" x14ac:dyDescent="0.3">
      <c r="A14" s="11" t="s">
        <v>1441</v>
      </c>
      <c r="B14" s="5">
        <v>944743.61952000007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3C00A-DE5B-4193-948B-43C7EF6FA799}">
  <dimension ref="A3:N12"/>
  <sheetViews>
    <sheetView workbookViewId="0">
      <selection activeCell="D10" sqref="D10"/>
    </sheetView>
  </sheetViews>
  <sheetFormatPr defaultRowHeight="14.4" x14ac:dyDescent="0.3"/>
  <cols>
    <col min="1" max="1" width="19.5546875" bestFit="1" customWidth="1"/>
    <col min="2" max="2" width="15.5546875" bestFit="1" customWidth="1"/>
    <col min="3" max="3" width="7.33203125" bestFit="1" customWidth="1"/>
    <col min="4" max="4" width="5.77734375" bestFit="1" customWidth="1"/>
    <col min="5" max="5" width="6.5546875" bestFit="1" customWidth="1"/>
    <col min="6" max="6" width="8.6640625" bestFit="1" customWidth="1"/>
    <col min="7" max="7" width="5.21875" bestFit="1" customWidth="1"/>
    <col min="8" max="8" width="5.88671875" bestFit="1" customWidth="1"/>
    <col min="9" max="9" width="6.21875" bestFit="1" customWidth="1"/>
    <col min="10" max="10" width="6.88671875" bestFit="1" customWidth="1"/>
    <col min="11" max="11" width="11.33203125" bestFit="1" customWidth="1"/>
    <col min="12" max="12" width="14.77734375" bestFit="1" customWidth="1"/>
    <col min="13" max="13" width="4.5546875" bestFit="1" customWidth="1"/>
    <col min="14" max="14" width="10.77734375" bestFit="1" customWidth="1"/>
  </cols>
  <sheetData>
    <row r="3" spans="1:14" x14ac:dyDescent="0.3">
      <c r="A3" s="10" t="s">
        <v>1466</v>
      </c>
      <c r="B3" s="10" t="s">
        <v>1443</v>
      </c>
    </row>
    <row r="4" spans="1:14" x14ac:dyDescent="0.3">
      <c r="A4" s="10" t="s">
        <v>1438</v>
      </c>
      <c r="B4" t="s">
        <v>655</v>
      </c>
      <c r="C4" t="s">
        <v>653</v>
      </c>
      <c r="D4" t="s">
        <v>659</v>
      </c>
      <c r="E4" t="s">
        <v>657</v>
      </c>
      <c r="F4" t="s">
        <v>656</v>
      </c>
      <c r="G4" t="s">
        <v>654</v>
      </c>
      <c r="H4" t="s">
        <v>652</v>
      </c>
      <c r="I4" t="s">
        <v>650</v>
      </c>
      <c r="J4" t="s">
        <v>651</v>
      </c>
      <c r="K4" t="s">
        <v>661</v>
      </c>
      <c r="L4" t="s">
        <v>658</v>
      </c>
      <c r="M4" t="s">
        <v>660</v>
      </c>
      <c r="N4" t="s">
        <v>1441</v>
      </c>
    </row>
    <row r="5" spans="1:14" x14ac:dyDescent="0.3">
      <c r="A5" s="11" t="s">
        <v>733</v>
      </c>
      <c r="B5" s="17">
        <v>0.4</v>
      </c>
      <c r="C5" s="17">
        <v>0.33333333333333331</v>
      </c>
      <c r="D5" s="17">
        <v>0.75</v>
      </c>
      <c r="E5" s="17">
        <v>0.14285714285714285</v>
      </c>
      <c r="F5" s="17">
        <v>0.44444444444444442</v>
      </c>
      <c r="G5" s="17">
        <v>0.25</v>
      </c>
      <c r="H5" s="17">
        <v>0.2</v>
      </c>
      <c r="I5" s="17">
        <v>0.4</v>
      </c>
      <c r="J5" s="17">
        <v>0.46153846153846156</v>
      </c>
      <c r="K5" s="17">
        <v>0.5</v>
      </c>
      <c r="L5" s="17">
        <v>0.125</v>
      </c>
      <c r="M5" s="17">
        <v>0.5</v>
      </c>
      <c r="N5" s="17">
        <v>0.36363636363636365</v>
      </c>
    </row>
    <row r="6" spans="1:14" x14ac:dyDescent="0.3">
      <c r="A6" s="11" t="s">
        <v>727</v>
      </c>
      <c r="B6" s="17">
        <v>0.14285714285714285</v>
      </c>
      <c r="C6" s="17">
        <v>0.5</v>
      </c>
      <c r="D6" s="17">
        <v>0</v>
      </c>
      <c r="E6" s="17">
        <v>0.3</v>
      </c>
      <c r="F6" s="17">
        <v>0.33333333333333331</v>
      </c>
      <c r="G6" s="17">
        <v>0.2</v>
      </c>
      <c r="H6" s="17">
        <v>0.375</v>
      </c>
      <c r="I6" s="17">
        <v>0.2</v>
      </c>
      <c r="J6" s="17">
        <v>0.33333333333333331</v>
      </c>
      <c r="K6" s="17">
        <v>0.45454545454545453</v>
      </c>
      <c r="L6" s="17">
        <v>0.2857142857142857</v>
      </c>
      <c r="M6" s="17">
        <v>0.4</v>
      </c>
      <c r="N6" s="17">
        <v>0.2857142857142857</v>
      </c>
    </row>
    <row r="7" spans="1:14" x14ac:dyDescent="0.3">
      <c r="A7" s="11" t="s">
        <v>731</v>
      </c>
      <c r="B7" s="17">
        <v>0.2</v>
      </c>
      <c r="C7" s="17">
        <v>0.33333333333333331</v>
      </c>
      <c r="D7" s="17">
        <v>0.2</v>
      </c>
      <c r="E7" s="17">
        <v>0.33333333333333331</v>
      </c>
      <c r="F7" s="17">
        <v>0.2857142857142857</v>
      </c>
      <c r="G7" s="17">
        <v>0.1111111111111111</v>
      </c>
      <c r="H7" s="17">
        <v>0.42857142857142855</v>
      </c>
      <c r="I7" s="17">
        <v>0.7</v>
      </c>
      <c r="J7" s="17">
        <v>0.5</v>
      </c>
      <c r="K7" s="17">
        <v>0.2857142857142857</v>
      </c>
      <c r="L7" s="17">
        <v>0.44444444444444442</v>
      </c>
      <c r="M7" s="17">
        <v>0.2</v>
      </c>
      <c r="N7" s="17">
        <v>0.35365853658536583</v>
      </c>
    </row>
    <row r="8" spans="1:14" x14ac:dyDescent="0.3">
      <c r="A8" s="11" t="s">
        <v>732</v>
      </c>
      <c r="B8" s="17">
        <v>0.25</v>
      </c>
      <c r="C8" s="17">
        <v>0</v>
      </c>
      <c r="D8" s="17">
        <v>0.16666666666666666</v>
      </c>
      <c r="E8" s="17">
        <v>0.3</v>
      </c>
      <c r="F8" s="17">
        <v>0.1</v>
      </c>
      <c r="G8" s="17">
        <v>0.16666666666666666</v>
      </c>
      <c r="H8" s="17">
        <v>0.2857142857142857</v>
      </c>
      <c r="I8" s="17">
        <v>0</v>
      </c>
      <c r="J8" s="17">
        <v>0.6</v>
      </c>
      <c r="K8" s="17">
        <v>0.14285714285714285</v>
      </c>
      <c r="L8" s="17">
        <v>0.2857142857142857</v>
      </c>
      <c r="M8" s="17">
        <v>0.1111111111111111</v>
      </c>
      <c r="N8" s="17">
        <v>0.20212765957446807</v>
      </c>
    </row>
    <row r="9" spans="1:14" x14ac:dyDescent="0.3">
      <c r="A9" s="11" t="s">
        <v>729</v>
      </c>
      <c r="B9" s="17">
        <v>0.16666666666666666</v>
      </c>
      <c r="C9" s="17">
        <v>0</v>
      </c>
      <c r="D9" s="17">
        <v>0.5</v>
      </c>
      <c r="E9" s="17">
        <v>0.33333333333333331</v>
      </c>
      <c r="F9" s="17">
        <v>0.25</v>
      </c>
      <c r="G9" s="17">
        <v>0.14285714285714285</v>
      </c>
      <c r="H9" s="17">
        <v>8.3333333333333329E-2</v>
      </c>
      <c r="I9" s="17">
        <v>0.33333333333333331</v>
      </c>
      <c r="J9" s="17">
        <v>0.5</v>
      </c>
      <c r="K9" s="17">
        <v>0.2857142857142857</v>
      </c>
      <c r="L9" s="17">
        <v>0.22222222222222221</v>
      </c>
      <c r="M9" s="17">
        <v>0.5</v>
      </c>
      <c r="N9" s="17">
        <v>0.26744186046511625</v>
      </c>
    </row>
    <row r="10" spans="1:14" x14ac:dyDescent="0.3">
      <c r="A10" s="11" t="s">
        <v>730</v>
      </c>
      <c r="B10" s="17">
        <v>0.55555555555555558</v>
      </c>
      <c r="C10" s="17">
        <v>0</v>
      </c>
      <c r="D10" s="17">
        <v>0.14285714285714285</v>
      </c>
      <c r="E10" s="17">
        <v>0</v>
      </c>
      <c r="F10" s="17">
        <v>0.14285714285714285</v>
      </c>
      <c r="G10" s="17">
        <v>0.22222222222222221</v>
      </c>
      <c r="H10" s="17">
        <v>9.0909090909090912E-2</v>
      </c>
      <c r="I10" s="17">
        <v>0.13333333333333333</v>
      </c>
      <c r="J10" s="17">
        <v>0.16666666666666666</v>
      </c>
      <c r="K10" s="17">
        <v>0.5</v>
      </c>
      <c r="L10" s="17">
        <v>0.25</v>
      </c>
      <c r="M10" s="17">
        <v>0.1</v>
      </c>
      <c r="N10" s="17">
        <v>0.19318181818181818</v>
      </c>
    </row>
    <row r="11" spans="1:14" x14ac:dyDescent="0.3">
      <c r="A11" s="11" t="s">
        <v>728</v>
      </c>
      <c r="B11" s="17">
        <v>0.2857142857142857</v>
      </c>
      <c r="C11" s="17">
        <v>0.15384615384615385</v>
      </c>
      <c r="D11" s="17">
        <v>0</v>
      </c>
      <c r="E11" s="17">
        <v>0.16666666666666666</v>
      </c>
      <c r="F11" s="17">
        <v>0.125</v>
      </c>
      <c r="G11" s="17">
        <v>0.33333333333333331</v>
      </c>
      <c r="H11" s="17">
        <v>0.33333333333333331</v>
      </c>
      <c r="I11" s="17">
        <v>0.125</v>
      </c>
      <c r="J11" s="17">
        <v>0.5</v>
      </c>
      <c r="K11" s="17">
        <v>0.2</v>
      </c>
      <c r="L11" s="17">
        <v>0.3</v>
      </c>
      <c r="M11" s="17">
        <v>0.75</v>
      </c>
      <c r="N11" s="17">
        <v>0.25242718446601942</v>
      </c>
    </row>
    <row r="12" spans="1:14" x14ac:dyDescent="0.3">
      <c r="A12" s="11" t="s">
        <v>1441</v>
      </c>
      <c r="B12" s="17">
        <v>0.29032258064516131</v>
      </c>
      <c r="C12" s="17">
        <v>0.20454545454545456</v>
      </c>
      <c r="D12" s="17">
        <v>0.19607843137254902</v>
      </c>
      <c r="E12" s="17">
        <v>0.24074074074074073</v>
      </c>
      <c r="F12" s="17">
        <v>0.23529411764705882</v>
      </c>
      <c r="G12" s="17">
        <v>0.19672131147540983</v>
      </c>
      <c r="H12" s="17">
        <v>0.23728813559322035</v>
      </c>
      <c r="I12" s="17">
        <v>0.30357142857142855</v>
      </c>
      <c r="J12" s="17">
        <v>0.43181818181818182</v>
      </c>
      <c r="K12" s="17">
        <v>0.33333333333333331</v>
      </c>
      <c r="L12" s="17">
        <v>0.27777777777777779</v>
      </c>
      <c r="M12" s="17">
        <v>0.35294117647058826</v>
      </c>
      <c r="N12" s="17">
        <v>0.27215189873417722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DE7FF-F38E-4B3F-83E0-5E3FB075B529}">
  <dimension ref="A3:K21"/>
  <sheetViews>
    <sheetView workbookViewId="0">
      <selection activeCell="H24" sqref="H24"/>
    </sheetView>
  </sheetViews>
  <sheetFormatPr defaultRowHeight="14.4" x14ac:dyDescent="0.3"/>
  <cols>
    <col min="1" max="1" width="12.5546875" bestFit="1" customWidth="1"/>
    <col min="2" max="2" width="21.77734375" bestFit="1" customWidth="1"/>
    <col min="3" max="3" width="15.44140625" bestFit="1" customWidth="1"/>
    <col min="4" max="4" width="21.77734375" bestFit="1" customWidth="1"/>
    <col min="5" max="5" width="15.44140625" bestFit="1" customWidth="1"/>
    <col min="6" max="6" width="21.77734375" bestFit="1" customWidth="1"/>
    <col min="7" max="7" width="15.44140625" bestFit="1" customWidth="1"/>
    <col min="8" max="8" width="21.77734375" bestFit="1" customWidth="1"/>
    <col min="9" max="9" width="15.44140625" bestFit="1" customWidth="1"/>
    <col min="10" max="10" width="26.5546875" bestFit="1" customWidth="1"/>
    <col min="11" max="11" width="20.21875" bestFit="1" customWidth="1"/>
  </cols>
  <sheetData>
    <row r="3" spans="1:11" x14ac:dyDescent="0.3">
      <c r="B3" s="10" t="s">
        <v>1443</v>
      </c>
    </row>
    <row r="4" spans="1:11" x14ac:dyDescent="0.3">
      <c r="B4" t="s">
        <v>646</v>
      </c>
      <c r="D4" t="s">
        <v>648</v>
      </c>
      <c r="F4" t="s">
        <v>647</v>
      </c>
      <c r="H4" t="s">
        <v>649</v>
      </c>
      <c r="J4" t="s">
        <v>1468</v>
      </c>
      <c r="K4" t="s">
        <v>1467</v>
      </c>
    </row>
    <row r="5" spans="1:11" x14ac:dyDescent="0.3">
      <c r="A5" s="10" t="s">
        <v>1438</v>
      </c>
      <c r="B5" t="s">
        <v>1469</v>
      </c>
      <c r="C5" t="s">
        <v>1450</v>
      </c>
      <c r="D5" t="s">
        <v>1469</v>
      </c>
      <c r="E5" t="s">
        <v>1450</v>
      </c>
      <c r="F5" t="s">
        <v>1469</v>
      </c>
      <c r="G5" t="s">
        <v>1450</v>
      </c>
      <c r="H5" t="s">
        <v>1469</v>
      </c>
      <c r="I5" t="s">
        <v>1450</v>
      </c>
    </row>
    <row r="6" spans="1:11" x14ac:dyDescent="0.3">
      <c r="A6" s="11" t="s">
        <v>720</v>
      </c>
      <c r="B6" s="7">
        <v>0.17647058823529413</v>
      </c>
      <c r="C6">
        <v>17</v>
      </c>
      <c r="D6" s="7">
        <v>0.5</v>
      </c>
      <c r="E6">
        <v>10</v>
      </c>
      <c r="F6" s="7">
        <v>0</v>
      </c>
      <c r="G6">
        <v>10</v>
      </c>
      <c r="H6" s="7">
        <v>0.1</v>
      </c>
      <c r="I6">
        <v>10</v>
      </c>
      <c r="J6" s="7">
        <v>0.19148936170212766</v>
      </c>
      <c r="K6">
        <v>47</v>
      </c>
    </row>
    <row r="7" spans="1:11" x14ac:dyDescent="0.3">
      <c r="A7" s="11" t="s">
        <v>717</v>
      </c>
      <c r="B7" s="7">
        <v>0</v>
      </c>
      <c r="C7">
        <v>8</v>
      </c>
      <c r="D7" s="7">
        <v>0.125</v>
      </c>
      <c r="E7">
        <v>8</v>
      </c>
      <c r="F7" s="7">
        <v>0.11764705882352941</v>
      </c>
      <c r="G7">
        <v>17</v>
      </c>
      <c r="H7" s="7">
        <v>0.125</v>
      </c>
      <c r="I7">
        <v>16</v>
      </c>
      <c r="J7" s="7">
        <v>0.10204081632653061</v>
      </c>
      <c r="K7">
        <v>49</v>
      </c>
    </row>
    <row r="8" spans="1:11" x14ac:dyDescent="0.3">
      <c r="A8" s="11" t="s">
        <v>712</v>
      </c>
      <c r="B8" s="7">
        <v>0.25</v>
      </c>
      <c r="C8">
        <v>8</v>
      </c>
      <c r="D8" s="7">
        <v>0.14285714285714285</v>
      </c>
      <c r="E8">
        <v>14</v>
      </c>
      <c r="F8" s="7">
        <v>0.3</v>
      </c>
      <c r="G8">
        <v>10</v>
      </c>
      <c r="H8" s="7">
        <v>0.2</v>
      </c>
      <c r="I8">
        <v>5</v>
      </c>
      <c r="J8" s="7">
        <v>0.21621621621621623</v>
      </c>
      <c r="K8">
        <v>37</v>
      </c>
    </row>
    <row r="9" spans="1:11" x14ac:dyDescent="0.3">
      <c r="A9" s="11" t="s">
        <v>726</v>
      </c>
      <c r="B9" s="7">
        <v>0.2</v>
      </c>
      <c r="C9">
        <v>10</v>
      </c>
      <c r="D9" s="7">
        <v>0.5</v>
      </c>
      <c r="E9">
        <v>8</v>
      </c>
      <c r="F9" s="7">
        <v>0.1111111111111111</v>
      </c>
      <c r="G9">
        <v>9</v>
      </c>
      <c r="H9" s="7">
        <v>9.0909090909090912E-2</v>
      </c>
      <c r="I9">
        <v>11</v>
      </c>
      <c r="J9" s="7">
        <v>0.21052631578947367</v>
      </c>
      <c r="K9">
        <v>38</v>
      </c>
    </row>
    <row r="10" spans="1:11" x14ac:dyDescent="0.3">
      <c r="A10" s="11" t="s">
        <v>718</v>
      </c>
      <c r="B10" s="7">
        <v>0.2</v>
      </c>
      <c r="C10">
        <v>5</v>
      </c>
      <c r="D10" s="7">
        <v>0</v>
      </c>
      <c r="E10">
        <v>5</v>
      </c>
      <c r="F10" s="7">
        <v>0</v>
      </c>
      <c r="G10">
        <v>8</v>
      </c>
      <c r="H10" s="7">
        <v>0.125</v>
      </c>
      <c r="I10">
        <v>16</v>
      </c>
      <c r="J10" s="7">
        <v>8.8235294117647065E-2</v>
      </c>
      <c r="K10">
        <v>34</v>
      </c>
    </row>
    <row r="11" spans="1:11" x14ac:dyDescent="0.3">
      <c r="A11" s="11" t="s">
        <v>721</v>
      </c>
      <c r="B11" s="7">
        <v>0</v>
      </c>
      <c r="C11">
        <v>13</v>
      </c>
      <c r="D11" s="7">
        <v>6.6666666666666666E-2</v>
      </c>
      <c r="E11">
        <v>15</v>
      </c>
      <c r="F11" s="7">
        <v>0.25</v>
      </c>
      <c r="G11">
        <v>12</v>
      </c>
      <c r="H11" s="7">
        <v>0</v>
      </c>
      <c r="I11">
        <v>11</v>
      </c>
      <c r="J11" s="7">
        <v>7.8431372549019607E-2</v>
      </c>
      <c r="K11">
        <v>51</v>
      </c>
    </row>
    <row r="12" spans="1:11" x14ac:dyDescent="0.3">
      <c r="A12" s="11" t="s">
        <v>715</v>
      </c>
      <c r="B12" s="7">
        <v>0</v>
      </c>
      <c r="C12">
        <v>3</v>
      </c>
      <c r="D12" s="7">
        <v>0.125</v>
      </c>
      <c r="E12">
        <v>8</v>
      </c>
      <c r="F12" s="7">
        <v>9.0909090909090912E-2</v>
      </c>
      <c r="G12">
        <v>11</v>
      </c>
      <c r="H12" s="7">
        <v>0.125</v>
      </c>
      <c r="I12">
        <v>8</v>
      </c>
      <c r="J12" s="7">
        <v>0.1</v>
      </c>
      <c r="K12">
        <v>30</v>
      </c>
    </row>
    <row r="13" spans="1:11" x14ac:dyDescent="0.3">
      <c r="A13" s="11" t="s">
        <v>722</v>
      </c>
      <c r="B13" s="7">
        <v>0.14285714285714285</v>
      </c>
      <c r="C13">
        <v>7</v>
      </c>
      <c r="D13" s="7">
        <v>8.3333333333333329E-2</v>
      </c>
      <c r="E13">
        <v>12</v>
      </c>
      <c r="F13" s="7">
        <v>0.125</v>
      </c>
      <c r="G13">
        <v>16</v>
      </c>
      <c r="H13" s="7">
        <v>7.6923076923076927E-2</v>
      </c>
      <c r="I13">
        <v>13</v>
      </c>
      <c r="J13" s="7">
        <v>0.10416666666666667</v>
      </c>
      <c r="K13">
        <v>48</v>
      </c>
    </row>
    <row r="14" spans="1:11" x14ac:dyDescent="0.3">
      <c r="A14" s="11" t="s">
        <v>714</v>
      </c>
      <c r="B14" s="7">
        <v>0.25</v>
      </c>
      <c r="C14">
        <v>8</v>
      </c>
      <c r="D14" s="7">
        <v>0.35714285714285715</v>
      </c>
      <c r="E14">
        <v>14</v>
      </c>
      <c r="F14" s="7">
        <v>0.125</v>
      </c>
      <c r="G14">
        <v>8</v>
      </c>
      <c r="H14" s="7">
        <v>0.125</v>
      </c>
      <c r="I14">
        <v>8</v>
      </c>
      <c r="J14" s="7">
        <v>0.23684210526315788</v>
      </c>
      <c r="K14">
        <v>38</v>
      </c>
    </row>
    <row r="15" spans="1:11" x14ac:dyDescent="0.3">
      <c r="A15" s="11" t="s">
        <v>713</v>
      </c>
      <c r="B15" s="7">
        <v>0.25</v>
      </c>
      <c r="C15">
        <v>12</v>
      </c>
      <c r="D15" s="7">
        <v>0</v>
      </c>
      <c r="E15">
        <v>10</v>
      </c>
      <c r="F15" s="7">
        <v>0.10526315789473684</v>
      </c>
      <c r="G15">
        <v>19</v>
      </c>
      <c r="H15" s="7">
        <v>0.1111111111111111</v>
      </c>
      <c r="I15">
        <v>9</v>
      </c>
      <c r="J15" s="7">
        <v>0.12</v>
      </c>
      <c r="K15">
        <v>50</v>
      </c>
    </row>
    <row r="16" spans="1:11" x14ac:dyDescent="0.3">
      <c r="A16" s="11" t="s">
        <v>723</v>
      </c>
      <c r="B16" s="7">
        <v>0</v>
      </c>
      <c r="C16">
        <v>14</v>
      </c>
      <c r="D16" s="7">
        <v>0.1</v>
      </c>
      <c r="E16">
        <v>10</v>
      </c>
      <c r="F16" s="7">
        <v>0.1111111111111111</v>
      </c>
      <c r="G16">
        <v>9</v>
      </c>
      <c r="H16" s="7">
        <v>0.15384615384615385</v>
      </c>
      <c r="I16">
        <v>13</v>
      </c>
      <c r="J16" s="7">
        <v>8.6956521739130432E-2</v>
      </c>
      <c r="K16">
        <v>46</v>
      </c>
    </row>
    <row r="17" spans="1:11" x14ac:dyDescent="0.3">
      <c r="A17" s="11" t="s">
        <v>716</v>
      </c>
      <c r="B17" s="7">
        <v>0.2</v>
      </c>
      <c r="C17">
        <v>10</v>
      </c>
      <c r="D17" s="7">
        <v>0.25</v>
      </c>
      <c r="E17">
        <v>12</v>
      </c>
      <c r="F17" s="7">
        <v>0.21428571428571427</v>
      </c>
      <c r="G17">
        <v>14</v>
      </c>
      <c r="H17" s="7">
        <v>0</v>
      </c>
      <c r="I17">
        <v>10</v>
      </c>
      <c r="J17" s="7">
        <v>0.17391304347826086</v>
      </c>
      <c r="K17">
        <v>46</v>
      </c>
    </row>
    <row r="18" spans="1:11" x14ac:dyDescent="0.3">
      <c r="A18" s="11" t="s">
        <v>724</v>
      </c>
      <c r="B18" s="7">
        <v>0.35294117647058826</v>
      </c>
      <c r="C18">
        <v>17</v>
      </c>
      <c r="D18" s="7">
        <v>0.16666666666666666</v>
      </c>
      <c r="E18">
        <v>12</v>
      </c>
      <c r="F18" s="7">
        <v>0</v>
      </c>
      <c r="G18">
        <v>10</v>
      </c>
      <c r="H18" s="7">
        <v>0.1</v>
      </c>
      <c r="I18">
        <v>10</v>
      </c>
      <c r="J18" s="7">
        <v>0.18367346938775511</v>
      </c>
      <c r="K18">
        <v>49</v>
      </c>
    </row>
    <row r="19" spans="1:11" x14ac:dyDescent="0.3">
      <c r="A19" s="11" t="s">
        <v>725</v>
      </c>
      <c r="B19" s="7">
        <v>0</v>
      </c>
      <c r="C19">
        <v>4</v>
      </c>
      <c r="D19" s="7">
        <v>0.14285714285714285</v>
      </c>
      <c r="E19">
        <v>7</v>
      </c>
      <c r="F19" s="7">
        <v>0.1</v>
      </c>
      <c r="G19">
        <v>10</v>
      </c>
      <c r="H19" s="7">
        <v>0.27272727272727271</v>
      </c>
      <c r="I19">
        <v>11</v>
      </c>
      <c r="J19" s="7">
        <v>0.15625</v>
      </c>
      <c r="K19">
        <v>32</v>
      </c>
    </row>
    <row r="20" spans="1:11" x14ac:dyDescent="0.3">
      <c r="A20" s="11" t="s">
        <v>719</v>
      </c>
      <c r="B20" s="7">
        <v>0</v>
      </c>
      <c r="C20">
        <v>9</v>
      </c>
      <c r="D20" s="7">
        <v>0</v>
      </c>
      <c r="E20">
        <v>12</v>
      </c>
      <c r="F20" s="7">
        <v>0.5</v>
      </c>
      <c r="G20">
        <v>8</v>
      </c>
      <c r="H20" s="7">
        <v>0</v>
      </c>
      <c r="I20">
        <v>8</v>
      </c>
      <c r="J20" s="7">
        <v>0.10810810810810811</v>
      </c>
      <c r="K20">
        <v>37</v>
      </c>
    </row>
    <row r="21" spans="1:11" x14ac:dyDescent="0.3">
      <c r="A21" s="11" t="s">
        <v>1441</v>
      </c>
      <c r="B21" s="7">
        <v>0.15172413793103448</v>
      </c>
      <c r="C21">
        <v>145</v>
      </c>
      <c r="D21" s="7">
        <v>0.17197452229299362</v>
      </c>
      <c r="E21">
        <v>157</v>
      </c>
      <c r="F21" s="7">
        <v>0.14035087719298245</v>
      </c>
      <c r="G21">
        <v>171</v>
      </c>
      <c r="H21" s="7">
        <v>0.1069182389937107</v>
      </c>
      <c r="I21">
        <v>159</v>
      </c>
      <c r="J21" s="7">
        <v>0.14240506329113925</v>
      </c>
      <c r="K21">
        <v>632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348B7-4572-45EB-865C-6408D789A998}">
  <dimension ref="A3:B11"/>
  <sheetViews>
    <sheetView workbookViewId="0">
      <selection activeCell="B7" sqref="B7"/>
    </sheetView>
  </sheetViews>
  <sheetFormatPr defaultRowHeight="14.4" x14ac:dyDescent="0.3"/>
  <cols>
    <col min="1" max="1" width="12.5546875" bestFit="1" customWidth="1"/>
    <col min="2" max="2" width="19.5546875" bestFit="1" customWidth="1"/>
  </cols>
  <sheetData>
    <row r="3" spans="1:2" x14ac:dyDescent="0.3">
      <c r="A3" s="10" t="s">
        <v>1438</v>
      </c>
      <c r="B3" t="s">
        <v>1442</v>
      </c>
    </row>
    <row r="4" spans="1:2" x14ac:dyDescent="0.3">
      <c r="A4" s="11" t="s">
        <v>733</v>
      </c>
      <c r="B4" s="5">
        <v>1342046.6256700004</v>
      </c>
    </row>
    <row r="5" spans="1:2" x14ac:dyDescent="0.3">
      <c r="A5" s="11" t="s">
        <v>727</v>
      </c>
      <c r="B5" s="5">
        <v>1550200.534329999</v>
      </c>
    </row>
    <row r="6" spans="1:2" x14ac:dyDescent="0.3">
      <c r="A6" s="11" t="s">
        <v>731</v>
      </c>
      <c r="B6" s="5">
        <v>1711094.3775999993</v>
      </c>
    </row>
    <row r="7" spans="1:2" x14ac:dyDescent="0.3">
      <c r="A7" s="11" t="s">
        <v>732</v>
      </c>
      <c r="B7" s="5">
        <v>1551590.8794699993</v>
      </c>
    </row>
    <row r="8" spans="1:2" x14ac:dyDescent="0.3">
      <c r="A8" s="11" t="s">
        <v>729</v>
      </c>
      <c r="B8" s="5">
        <v>1774683.0832</v>
      </c>
    </row>
    <row r="9" spans="1:2" x14ac:dyDescent="0.3">
      <c r="A9" s="11" t="s">
        <v>730</v>
      </c>
      <c r="B9" s="5">
        <v>1399242.2240200003</v>
      </c>
    </row>
    <row r="10" spans="1:2" x14ac:dyDescent="0.3">
      <c r="A10" s="11" t="s">
        <v>728</v>
      </c>
      <c r="B10" s="5">
        <v>1616910.1886599988</v>
      </c>
    </row>
    <row r="11" spans="1:2" x14ac:dyDescent="0.3">
      <c r="A11" s="11" t="s">
        <v>1441</v>
      </c>
      <c r="B11" s="5">
        <v>10945767.912949998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633"/>
  <sheetViews>
    <sheetView zoomScale="130" zoomScaleNormal="130" workbookViewId="0">
      <pane ySplit="1" topLeftCell="A2" activePane="bottomLeft" state="frozen"/>
      <selection activeCell="V1" sqref="V1"/>
      <selection pane="bottomLeft" activeCell="T8" sqref="T8"/>
    </sheetView>
  </sheetViews>
  <sheetFormatPr defaultRowHeight="14.4" x14ac:dyDescent="0.3"/>
  <cols>
    <col min="1" max="1" width="16.109375" bestFit="1" customWidth="1"/>
    <col min="2" max="2" width="10.5546875" style="3" hidden="1" customWidth="1"/>
    <col min="3" max="3" width="18" style="3" bestFit="1" customWidth="1"/>
    <col min="4" max="4" width="12.44140625" style="3" hidden="1" customWidth="1"/>
    <col min="5" max="5" width="20.77734375" style="3" bestFit="1" customWidth="1"/>
    <col min="6" max="6" width="16.44140625" style="16" customWidth="1"/>
    <col min="7" max="7" width="14.21875" style="16" bestFit="1" customWidth="1"/>
    <col min="8" max="8" width="11.21875" style="5" bestFit="1" customWidth="1"/>
    <col min="9" max="9" width="12.6640625" style="5" bestFit="1" customWidth="1"/>
    <col min="10" max="10" width="15" style="3" customWidth="1"/>
    <col min="11" max="11" width="16.88671875" style="5" customWidth="1"/>
    <col min="12" max="12" width="8.6640625" customWidth="1"/>
    <col min="13" max="13" width="14" bestFit="1" customWidth="1"/>
    <col min="14" max="14" width="12.44140625" hidden="1" customWidth="1"/>
    <col min="15" max="15" width="12.44140625" customWidth="1"/>
    <col min="16" max="16" width="18.44140625" customWidth="1"/>
    <col min="17" max="17" width="11.21875" hidden="1" customWidth="1"/>
    <col min="18" max="18" width="16.109375" bestFit="1" customWidth="1"/>
    <col min="19" max="19" width="11" hidden="1" customWidth="1"/>
    <col min="20" max="20" width="19.33203125" bestFit="1" customWidth="1"/>
    <col min="21" max="21" width="17.109375" customWidth="1"/>
    <col min="22" max="22" width="13.88671875" bestFit="1" customWidth="1"/>
    <col min="23" max="23" width="10" bestFit="1" customWidth="1"/>
    <col min="24" max="24" width="13.6640625" customWidth="1"/>
    <col min="25" max="25" width="10.109375" style="5" customWidth="1"/>
    <col min="26" max="26" width="8.6640625" style="5" hidden="1" customWidth="1"/>
    <col min="27" max="27" width="16.88671875" style="5" bestFit="1" customWidth="1"/>
    <col min="28" max="28" width="11" style="7" hidden="1" customWidth="1"/>
    <col min="29" max="29" width="19.33203125" style="7" bestFit="1" customWidth="1"/>
    <col min="30" max="30" width="13.77734375" style="16" customWidth="1"/>
    <col min="31" max="31" width="10.21875" style="16" customWidth="1"/>
    <col min="32" max="32" width="14.77734375" style="5" customWidth="1"/>
    <col min="33" max="33" width="13.88671875" customWidth="1"/>
    <col min="34" max="34" width="12.109375" customWidth="1"/>
    <col min="35" max="35" width="11.5546875" style="5" customWidth="1"/>
    <col min="36" max="36" width="11.5546875" bestFit="1" customWidth="1"/>
    <col min="37" max="37" width="14.5546875" style="7" bestFit="1" customWidth="1"/>
    <col min="38" max="38" width="17.44140625" style="17" customWidth="1"/>
    <col min="39" max="39" width="17.44140625" customWidth="1"/>
    <col min="40" max="40" width="17.33203125" customWidth="1"/>
    <col min="41" max="41" width="20.109375" bestFit="1" customWidth="1"/>
  </cols>
  <sheetData>
    <row r="1" spans="1:43" x14ac:dyDescent="0.3">
      <c r="A1" s="1" t="s">
        <v>0</v>
      </c>
      <c r="B1" s="2" t="s">
        <v>1</v>
      </c>
      <c r="C1" s="2" t="s">
        <v>1426</v>
      </c>
      <c r="D1" s="2" t="s">
        <v>2</v>
      </c>
      <c r="E1" s="2" t="s">
        <v>1427</v>
      </c>
      <c r="F1" s="15" t="s">
        <v>1428</v>
      </c>
      <c r="G1" s="15" t="s">
        <v>1452</v>
      </c>
      <c r="H1" s="4" t="s">
        <v>1433</v>
      </c>
      <c r="I1" s="4" t="s">
        <v>1434</v>
      </c>
      <c r="J1" s="2" t="s">
        <v>1436</v>
      </c>
      <c r="K1" s="4" t="s">
        <v>1437</v>
      </c>
      <c r="L1" s="1" t="s">
        <v>3</v>
      </c>
      <c r="M1" s="1" t="s">
        <v>4</v>
      </c>
      <c r="N1" s="1" t="s">
        <v>5</v>
      </c>
      <c r="O1" s="1" t="s">
        <v>1421</v>
      </c>
      <c r="P1" s="1" t="s">
        <v>6</v>
      </c>
      <c r="Q1" s="1" t="s">
        <v>7</v>
      </c>
      <c r="R1" s="1" t="s">
        <v>1423</v>
      </c>
      <c r="S1" s="1" t="s">
        <v>8</v>
      </c>
      <c r="T1" s="1" t="s">
        <v>1422</v>
      </c>
      <c r="U1" s="1" t="s">
        <v>9</v>
      </c>
      <c r="V1" s="1" t="s">
        <v>1435</v>
      </c>
      <c r="W1" s="1" t="s">
        <v>10</v>
      </c>
      <c r="X1" s="1" t="s">
        <v>1446</v>
      </c>
      <c r="Y1" s="4" t="s">
        <v>11</v>
      </c>
      <c r="Z1" s="4" t="s">
        <v>12</v>
      </c>
      <c r="AA1" s="4" t="s">
        <v>1424</v>
      </c>
      <c r="AB1" s="6" t="s">
        <v>13</v>
      </c>
      <c r="AC1" s="6" t="s">
        <v>1425</v>
      </c>
      <c r="AD1" s="15" t="s">
        <v>1453</v>
      </c>
      <c r="AE1" s="15" t="s">
        <v>14</v>
      </c>
      <c r="AF1" s="8" t="s">
        <v>1429</v>
      </c>
      <c r="AG1" s="8" t="s">
        <v>1430</v>
      </c>
      <c r="AH1" s="8" t="s">
        <v>1431</v>
      </c>
      <c r="AI1" s="8" t="s">
        <v>1432</v>
      </c>
      <c r="AJ1" s="8" t="s">
        <v>1444</v>
      </c>
      <c r="AK1" s="13" t="s">
        <v>1445</v>
      </c>
      <c r="AL1" s="19" t="s">
        <v>1473</v>
      </c>
      <c r="AM1" s="9" t="s">
        <v>1474</v>
      </c>
      <c r="AN1" s="9" t="s">
        <v>1475</v>
      </c>
      <c r="AO1" s="9" t="s">
        <v>1472</v>
      </c>
    </row>
    <row r="2" spans="1:43" x14ac:dyDescent="0.3">
      <c r="A2" t="s">
        <v>251</v>
      </c>
      <c r="B2" s="3">
        <v>45855</v>
      </c>
      <c r="C2" s="3">
        <f t="shared" ref="C2:C65" si="0">IF(D2&lt;B2,D2,B2)</f>
        <v>45855</v>
      </c>
      <c r="D2" s="3">
        <v>45861</v>
      </c>
      <c r="E2" s="3">
        <f t="shared" ref="E2:E65" si="1">IF(D2&lt;B2,B2,D2)</f>
        <v>45861</v>
      </c>
      <c r="F2" s="16">
        <f t="shared" ref="F2:F65" si="2">E2-C2</f>
        <v>6</v>
      </c>
      <c r="G2" s="16">
        <f>IF(Data!F2&lt;=7,1,0)</f>
        <v>1</v>
      </c>
      <c r="H2" s="5" t="str">
        <f t="shared" ref="H2:H65" si="3">TEXT(C2,"MM-YYYY")</f>
        <v>07-2025</v>
      </c>
      <c r="I2" s="5" t="str">
        <f t="shared" ref="I2:I65" si="4">"Q"&amp;ROUNDUP(MONTH(H2)/3,0)&amp;"-"&amp;YEAR(H2)</f>
        <v>Q3-2025</v>
      </c>
      <c r="J2" s="3">
        <f t="shared" ref="J2:J65" si="5">_xlfn.MINIFS(C:C,M:M,M2)</f>
        <v>44928</v>
      </c>
      <c r="K2" s="5" t="str">
        <f t="shared" ref="K2:K65" si="6">TEXT(J2,"MM-YYYY")</f>
        <v>01-2023</v>
      </c>
      <c r="L2" t="s">
        <v>648</v>
      </c>
      <c r="M2" t="s">
        <v>653</v>
      </c>
      <c r="N2" t="s">
        <v>688</v>
      </c>
      <c r="O2" t="str">
        <f t="shared" ref="O2:O65" si="7">IF(N2="",_xlfn.XLOOKUP(M2,M:M,N:N),N2)</f>
        <v>Vancouver</v>
      </c>
      <c r="P2" t="s">
        <v>704</v>
      </c>
      <c r="Q2" t="s">
        <v>708</v>
      </c>
      <c r="R2" t="str">
        <f t="shared" ref="R2:R65" si="8">IF(Q2="",_xlfn.XLOOKUP(M2,M:M,Q:Q),Q2)</f>
        <v>Online</v>
      </c>
      <c r="S2" t="s">
        <v>722</v>
      </c>
      <c r="T2" t="str">
        <f>IF(S2="",_xlfn.XLOOKUP(L2,L:L,S:S),S2)</f>
        <v>H. Kim</v>
      </c>
      <c r="U2" t="s">
        <v>727</v>
      </c>
      <c r="V2" t="str">
        <f t="shared" ref="V2:V65" si="9">IF(AA2&lt;815.0987,"Low",IF(AA2&lt;1640.058,"Medium","High"))</f>
        <v>High</v>
      </c>
      <c r="W2" t="s">
        <v>971</v>
      </c>
      <c r="X2" t="str">
        <f t="shared" ref="X2:X65" si="10">IF(AK2&lt;=80%,"A",IF(AK2&lt;=95%,"B","C"))</f>
        <v>A</v>
      </c>
      <c r="Y2" s="5">
        <v>1364.89</v>
      </c>
      <c r="Z2" s="5">
        <v>2757.54</v>
      </c>
      <c r="AA2" s="5">
        <f t="shared" ref="AA2:AA65" si="11">ABS(Z2)</f>
        <v>2757.54</v>
      </c>
      <c r="AB2" s="7">
        <v>0.17199999999999999</v>
      </c>
      <c r="AC2" s="7">
        <f t="shared" ref="AC2:AC65" si="12">MIN(AB2,30%)</f>
        <v>0.17199999999999999</v>
      </c>
      <c r="AD2" s="16">
        <f t="shared" ref="AD2:AD65" si="13">IF(AC2&gt;20%,1,0)</f>
        <v>0</v>
      </c>
      <c r="AE2" s="16">
        <v>61</v>
      </c>
      <c r="AF2" s="5">
        <f t="shared" ref="AF2:AF65" si="14">AA2*AE2*(1-AC2)</f>
        <v>139277.83032000001</v>
      </c>
      <c r="AG2">
        <f t="shared" ref="AG2:AG65" si="15">Y2*AE2</f>
        <v>83258.290000000008</v>
      </c>
      <c r="AH2" s="5">
        <f t="shared" ref="AH2:AH65" si="16">ABS(AF2-AG2)</f>
        <v>56019.54032</v>
      </c>
      <c r="AI2" s="5">
        <f t="shared" ref="AI2:AI65" si="17">IF(AF2=0,0,AH2/AF2)</f>
        <v>0.4022143379983118</v>
      </c>
      <c r="AJ2">
        <v>139277.82999999999</v>
      </c>
      <c r="AK2" s="7">
        <f t="shared" ref="AK2:AK65" si="18">AJ2/SUM(AF:AF)</f>
        <v>1.2724354390450708E-2</v>
      </c>
      <c r="AL2" s="17">
        <f>MIN(AC2,'What-If Analysis'!$B$2)</f>
        <v>0.17199999999999999</v>
      </c>
      <c r="AM2">
        <f>AE2*(1+'What-If Analysis'!$B$3)</f>
        <v>79.3</v>
      </c>
      <c r="AN2">
        <f>Y2*(1+'What-If Analysis'!$B$4)</f>
        <v>1501.3790000000001</v>
      </c>
      <c r="AO2">
        <f t="shared" ref="AO2:AO65" si="19">AA2*AM2*(1-AL2)</f>
        <v>181061.179416</v>
      </c>
    </row>
    <row r="3" spans="1:43" x14ac:dyDescent="0.3">
      <c r="A3" t="s">
        <v>73</v>
      </c>
      <c r="B3" s="3">
        <v>45817</v>
      </c>
      <c r="C3" s="3">
        <f t="shared" si="0"/>
        <v>45817</v>
      </c>
      <c r="D3" s="3">
        <v>45826</v>
      </c>
      <c r="E3" s="3">
        <f t="shared" si="1"/>
        <v>45826</v>
      </c>
      <c r="F3" s="16">
        <f t="shared" si="2"/>
        <v>9</v>
      </c>
      <c r="G3" s="16">
        <f>IF(Data!F624&lt;=7,1,0)</f>
        <v>1</v>
      </c>
      <c r="H3" s="5" t="str">
        <f t="shared" si="3"/>
        <v>06-2025</v>
      </c>
      <c r="I3" s="5" t="str">
        <f t="shared" si="4"/>
        <v>Q2-2025</v>
      </c>
      <c r="J3" s="3">
        <f t="shared" si="5"/>
        <v>44936</v>
      </c>
      <c r="K3" s="5" t="str">
        <f t="shared" si="6"/>
        <v>01-2023</v>
      </c>
      <c r="L3" t="s">
        <v>649</v>
      </c>
      <c r="M3" t="s">
        <v>657</v>
      </c>
      <c r="N3" t="s">
        <v>673</v>
      </c>
      <c r="O3" t="str">
        <f t="shared" si="7"/>
        <v>Marseille</v>
      </c>
      <c r="P3" t="s">
        <v>705</v>
      </c>
      <c r="Q3" t="s">
        <v>709</v>
      </c>
      <c r="R3" t="str">
        <f t="shared" si="8"/>
        <v>Marketplace</v>
      </c>
      <c r="S3" t="s">
        <v>722</v>
      </c>
      <c r="T3" t="str">
        <f>IF(S3="",_xlfn.XLOOKUP(L3,L:L,S:S),S3)</f>
        <v>H. Kim</v>
      </c>
      <c r="U3" t="s">
        <v>733</v>
      </c>
      <c r="V3" t="str">
        <f t="shared" si="9"/>
        <v>Low</v>
      </c>
      <c r="W3" t="s">
        <v>792</v>
      </c>
      <c r="X3" t="str">
        <f t="shared" si="10"/>
        <v>A</v>
      </c>
      <c r="Y3" s="5">
        <v>1225.5</v>
      </c>
      <c r="Z3" s="5">
        <v>-5.27</v>
      </c>
      <c r="AA3" s="5">
        <f t="shared" si="11"/>
        <v>5.27</v>
      </c>
      <c r="AB3" s="7">
        <v>7.4999999999999997E-2</v>
      </c>
      <c r="AC3" s="7">
        <f t="shared" si="12"/>
        <v>7.4999999999999997E-2</v>
      </c>
      <c r="AD3" s="16">
        <f t="shared" si="13"/>
        <v>0</v>
      </c>
      <c r="AE3" s="16">
        <v>56</v>
      </c>
      <c r="AF3" s="5">
        <f t="shared" si="14"/>
        <v>272.98599999999999</v>
      </c>
      <c r="AG3">
        <f t="shared" si="15"/>
        <v>68628</v>
      </c>
      <c r="AH3" s="5">
        <f t="shared" si="16"/>
        <v>68355.013999999996</v>
      </c>
      <c r="AI3" s="5">
        <f t="shared" si="17"/>
        <v>250.39750756449047</v>
      </c>
      <c r="AJ3" s="5">
        <f t="shared" ref="AJ3:AJ66" si="20">AJ2+AF3</f>
        <v>139550.81599999999</v>
      </c>
      <c r="AK3" s="7">
        <f t="shared" si="18"/>
        <v>1.2749294257819633E-2</v>
      </c>
      <c r="AL3" s="17">
        <f>MIN(AC3,'What-If Analysis'!$B$2)</f>
        <v>7.4999999999999997E-2</v>
      </c>
      <c r="AM3">
        <f>AE3*(1+'What-If Analysis'!$B$3)</f>
        <v>72.8</v>
      </c>
      <c r="AN3">
        <f>Y3*(1+'What-If Analysis'!$B$4)</f>
        <v>1348.0500000000002</v>
      </c>
      <c r="AO3">
        <f t="shared" si="19"/>
        <v>354.88179999999994</v>
      </c>
    </row>
    <row r="4" spans="1:43" x14ac:dyDescent="0.3">
      <c r="A4" t="s">
        <v>155</v>
      </c>
      <c r="B4" s="3">
        <v>45048</v>
      </c>
      <c r="C4" s="3">
        <f t="shared" si="0"/>
        <v>45048</v>
      </c>
      <c r="D4" s="3">
        <v>45064</v>
      </c>
      <c r="E4" s="3">
        <f t="shared" si="1"/>
        <v>45064</v>
      </c>
      <c r="F4" s="16">
        <f t="shared" si="2"/>
        <v>16</v>
      </c>
      <c r="G4" s="16">
        <f>IF(Data!F6&lt;=7,1,0)</f>
        <v>1</v>
      </c>
      <c r="H4" s="5" t="str">
        <f t="shared" si="3"/>
        <v>05-2023</v>
      </c>
      <c r="I4" s="5" t="str">
        <f t="shared" si="4"/>
        <v>Q2-2023</v>
      </c>
      <c r="J4" s="3">
        <f t="shared" si="5"/>
        <v>44955</v>
      </c>
      <c r="K4" s="5" t="str">
        <f t="shared" si="6"/>
        <v>01-2023</v>
      </c>
      <c r="L4" t="s">
        <v>647</v>
      </c>
      <c r="M4" t="s">
        <v>654</v>
      </c>
      <c r="N4" t="s">
        <v>680</v>
      </c>
      <c r="O4" t="str">
        <f t="shared" si="7"/>
        <v>Delhi</v>
      </c>
      <c r="P4" t="s">
        <v>705</v>
      </c>
      <c r="Q4" t="s">
        <v>709</v>
      </c>
      <c r="R4" t="str">
        <f t="shared" si="8"/>
        <v>Marketplace</v>
      </c>
      <c r="S4" t="s">
        <v>723</v>
      </c>
      <c r="T4" t="str">
        <f>IF(S4="",_xlfn.XLOOKUP(L4,L:L,S:S),S4)</f>
        <v>K. Singh</v>
      </c>
      <c r="U4" t="s">
        <v>732</v>
      </c>
      <c r="V4" t="str">
        <f t="shared" si="9"/>
        <v>High</v>
      </c>
      <c r="W4" t="s">
        <v>874</v>
      </c>
      <c r="X4" t="str">
        <f t="shared" si="10"/>
        <v>A</v>
      </c>
      <c r="Y4" s="5">
        <v>1463.92</v>
      </c>
      <c r="Z4" s="5">
        <v>2252.2399999999998</v>
      </c>
      <c r="AA4" s="5">
        <f t="shared" si="11"/>
        <v>2252.2399999999998</v>
      </c>
      <c r="AB4" s="7">
        <v>0.11799999999999999</v>
      </c>
      <c r="AC4" s="7">
        <f t="shared" si="12"/>
        <v>0.11799999999999999</v>
      </c>
      <c r="AD4" s="16">
        <f t="shared" si="13"/>
        <v>0</v>
      </c>
      <c r="AE4" s="16">
        <v>44</v>
      </c>
      <c r="AF4" s="5">
        <f t="shared" si="14"/>
        <v>87404.929919999995</v>
      </c>
      <c r="AG4">
        <f t="shared" si="15"/>
        <v>64412.480000000003</v>
      </c>
      <c r="AH4" s="5">
        <f t="shared" si="16"/>
        <v>22992.449919999992</v>
      </c>
      <c r="AI4" s="5">
        <f t="shared" si="17"/>
        <v>0.26305667130040061</v>
      </c>
      <c r="AJ4" s="5">
        <f t="shared" si="20"/>
        <v>226955.74591999999</v>
      </c>
      <c r="AK4" s="7">
        <f t="shared" si="18"/>
        <v>2.0734565881986872E-2</v>
      </c>
      <c r="AL4" s="17">
        <f>MIN(AC4,'What-If Analysis'!$B$2)</f>
        <v>0.11799999999999999</v>
      </c>
      <c r="AM4">
        <f>AE4*(1+'What-If Analysis'!$B$3)</f>
        <v>57.2</v>
      </c>
      <c r="AN4">
        <f>Y4*(1+'What-If Analysis'!$B$4)</f>
        <v>1610.3120000000001</v>
      </c>
      <c r="AO4">
        <f t="shared" si="19"/>
        <v>113626.40889599999</v>
      </c>
    </row>
    <row r="5" spans="1:43" x14ac:dyDescent="0.3">
      <c r="A5" t="s">
        <v>78</v>
      </c>
      <c r="B5" s="3">
        <v>45598</v>
      </c>
      <c r="C5" s="3">
        <f t="shared" si="0"/>
        <v>45598</v>
      </c>
      <c r="D5" s="3">
        <v>45614</v>
      </c>
      <c r="E5" s="3">
        <f t="shared" si="1"/>
        <v>45614</v>
      </c>
      <c r="F5" s="16">
        <f t="shared" si="2"/>
        <v>16</v>
      </c>
      <c r="G5" s="16">
        <f>IF(Data!F13&lt;=7,1,0)</f>
        <v>0</v>
      </c>
      <c r="H5" s="5" t="str">
        <f t="shared" si="3"/>
        <v>11-2024</v>
      </c>
      <c r="I5" s="5" t="str">
        <f t="shared" si="4"/>
        <v>Q4-2024</v>
      </c>
      <c r="J5" s="3">
        <f t="shared" si="5"/>
        <v>44955</v>
      </c>
      <c r="K5" s="5" t="str">
        <f t="shared" si="6"/>
        <v>01-2023</v>
      </c>
      <c r="L5" t="s">
        <v>647</v>
      </c>
      <c r="M5" t="s">
        <v>654</v>
      </c>
      <c r="N5" t="s">
        <v>691</v>
      </c>
      <c r="O5" t="str">
        <f t="shared" si="7"/>
        <v>Mumbai</v>
      </c>
      <c r="P5" t="s">
        <v>705</v>
      </c>
      <c r="Q5" t="s">
        <v>710</v>
      </c>
      <c r="R5" t="str">
        <f t="shared" si="8"/>
        <v>Distributor</v>
      </c>
      <c r="S5" t="s">
        <v>719</v>
      </c>
      <c r="T5" t="str">
        <f>IF(S5="",_xlfn.XLOOKUP(L5,L:L,S:S),S5)</f>
        <v>O. Wang</v>
      </c>
      <c r="U5" t="s">
        <v>732</v>
      </c>
      <c r="V5" t="str">
        <f t="shared" si="9"/>
        <v>High</v>
      </c>
      <c r="W5" t="s">
        <v>797</v>
      </c>
      <c r="X5" t="str">
        <f t="shared" si="10"/>
        <v>A</v>
      </c>
      <c r="Y5" s="5">
        <v>1233.58</v>
      </c>
      <c r="Z5" s="5">
        <v>1912.51</v>
      </c>
      <c r="AA5" s="5">
        <f t="shared" si="11"/>
        <v>1912.51</v>
      </c>
      <c r="AB5" s="7">
        <v>0.255</v>
      </c>
      <c r="AC5" s="7">
        <f t="shared" si="12"/>
        <v>0.255</v>
      </c>
      <c r="AD5" s="16">
        <f t="shared" si="13"/>
        <v>1</v>
      </c>
      <c r="AE5" s="16">
        <v>51</v>
      </c>
      <c r="AF5" s="5">
        <f t="shared" si="14"/>
        <v>72665.817450000002</v>
      </c>
      <c r="AG5">
        <f t="shared" si="15"/>
        <v>62912.579999999994</v>
      </c>
      <c r="AH5" s="5">
        <f t="shared" si="16"/>
        <v>9753.2374500000078</v>
      </c>
      <c r="AI5" s="5">
        <f t="shared" si="17"/>
        <v>0.134220432553601</v>
      </c>
      <c r="AJ5" s="5">
        <f t="shared" si="20"/>
        <v>299621.56336999999</v>
      </c>
      <c r="AK5" s="7">
        <f t="shared" si="18"/>
        <v>2.7373279403769896E-2</v>
      </c>
      <c r="AL5" s="17">
        <f>MIN(AC5,'What-If Analysis'!$B$2)</f>
        <v>0.2</v>
      </c>
      <c r="AM5">
        <f>AE5*(1+'What-If Analysis'!$B$3)</f>
        <v>66.3</v>
      </c>
      <c r="AN5">
        <f>Y5*(1+'What-If Analysis'!$B$4)</f>
        <v>1356.9380000000001</v>
      </c>
      <c r="AO5">
        <f t="shared" si="19"/>
        <v>101439.5304</v>
      </c>
      <c r="AQ5" s="9"/>
    </row>
    <row r="6" spans="1:43" x14ac:dyDescent="0.3">
      <c r="A6" t="s">
        <v>436</v>
      </c>
      <c r="B6" s="3">
        <v>45841</v>
      </c>
      <c r="C6" s="3">
        <f t="shared" si="0"/>
        <v>45841</v>
      </c>
      <c r="D6" s="3">
        <v>45844</v>
      </c>
      <c r="E6" s="3">
        <f t="shared" si="1"/>
        <v>45844</v>
      </c>
      <c r="F6" s="16">
        <f t="shared" si="2"/>
        <v>3</v>
      </c>
      <c r="G6" s="16">
        <f>IF(Data!F4&lt;=7,1,0)</f>
        <v>0</v>
      </c>
      <c r="H6" s="5" t="str">
        <f t="shared" si="3"/>
        <v>07-2025</v>
      </c>
      <c r="I6" s="5" t="str">
        <f t="shared" si="4"/>
        <v>Q3-2025</v>
      </c>
      <c r="J6" s="3">
        <f t="shared" si="5"/>
        <v>44939</v>
      </c>
      <c r="K6" s="5" t="str">
        <f t="shared" si="6"/>
        <v>01-2023</v>
      </c>
      <c r="L6" t="s">
        <v>646</v>
      </c>
      <c r="M6" t="s">
        <v>651</v>
      </c>
      <c r="N6" t="s">
        <v>665</v>
      </c>
      <c r="O6" t="str">
        <f t="shared" si="7"/>
        <v>Lagos</v>
      </c>
      <c r="P6" t="s">
        <v>704</v>
      </c>
      <c r="Q6" t="s">
        <v>708</v>
      </c>
      <c r="R6" t="str">
        <f t="shared" si="8"/>
        <v>Online</v>
      </c>
      <c r="T6" t="s">
        <v>720</v>
      </c>
      <c r="U6" t="s">
        <v>731</v>
      </c>
      <c r="V6" t="str">
        <f t="shared" si="9"/>
        <v>High</v>
      </c>
      <c r="W6" t="s">
        <v>1155</v>
      </c>
      <c r="X6" t="str">
        <f t="shared" si="10"/>
        <v>A</v>
      </c>
      <c r="Y6" s="5">
        <v>1313.3</v>
      </c>
      <c r="Z6" s="5">
        <v>2884.34</v>
      </c>
      <c r="AA6" s="5">
        <f t="shared" si="11"/>
        <v>2884.34</v>
      </c>
      <c r="AB6" s="7">
        <v>0.157</v>
      </c>
      <c r="AC6" s="7">
        <f t="shared" si="12"/>
        <v>0.157</v>
      </c>
      <c r="AD6" s="16">
        <f t="shared" si="13"/>
        <v>0</v>
      </c>
      <c r="AE6" s="16">
        <v>42</v>
      </c>
      <c r="AF6" s="5">
        <f t="shared" si="14"/>
        <v>102122.94203999999</v>
      </c>
      <c r="AG6">
        <f t="shared" si="15"/>
        <v>55158.6</v>
      </c>
      <c r="AH6" s="5">
        <f t="shared" si="16"/>
        <v>46964.342039999996</v>
      </c>
      <c r="AI6" s="5">
        <f t="shared" si="17"/>
        <v>0.45988042551305253</v>
      </c>
      <c r="AJ6" s="5">
        <f t="shared" si="20"/>
        <v>401744.50540999998</v>
      </c>
      <c r="AK6" s="7">
        <f t="shared" si="18"/>
        <v>3.6703181412671225E-2</v>
      </c>
      <c r="AL6" s="17">
        <f>MIN(AC6,'What-If Analysis'!$B$2)</f>
        <v>0.157</v>
      </c>
      <c r="AM6">
        <f>AE6*(1+'What-If Analysis'!$B$3)</f>
        <v>54.6</v>
      </c>
      <c r="AN6">
        <f>Y6*(1+'What-If Analysis'!$B$4)</f>
        <v>1444.63</v>
      </c>
      <c r="AO6">
        <f t="shared" si="19"/>
        <v>132759.82465200001</v>
      </c>
    </row>
    <row r="7" spans="1:43" x14ac:dyDescent="0.3">
      <c r="A7" t="s">
        <v>180</v>
      </c>
      <c r="B7" s="3">
        <v>44976</v>
      </c>
      <c r="C7" s="3">
        <f t="shared" si="0"/>
        <v>44976</v>
      </c>
      <c r="D7" s="3">
        <v>44997</v>
      </c>
      <c r="E7" s="3">
        <f t="shared" si="1"/>
        <v>44997</v>
      </c>
      <c r="F7" s="16">
        <f t="shared" si="2"/>
        <v>21</v>
      </c>
      <c r="G7" s="16">
        <f>IF(Data!F7&lt;=7,1,0)</f>
        <v>0</v>
      </c>
      <c r="H7" s="5" t="str">
        <f t="shared" si="3"/>
        <v>02-2023</v>
      </c>
      <c r="I7" s="5" t="str">
        <f t="shared" si="4"/>
        <v>Q1-2023</v>
      </c>
      <c r="J7" s="3">
        <f t="shared" si="5"/>
        <v>44947</v>
      </c>
      <c r="K7" s="5" t="str">
        <f t="shared" si="6"/>
        <v>01-2023</v>
      </c>
      <c r="L7" t="s">
        <v>649</v>
      </c>
      <c r="M7" t="s">
        <v>656</v>
      </c>
      <c r="N7" t="s">
        <v>671</v>
      </c>
      <c r="O7" t="str">
        <f t="shared" si="7"/>
        <v>Berlin</v>
      </c>
      <c r="P7" t="s">
        <v>705</v>
      </c>
      <c r="Q7" t="s">
        <v>711</v>
      </c>
      <c r="R7" t="str">
        <f t="shared" si="8"/>
        <v>Direct</v>
      </c>
      <c r="S7" t="s">
        <v>716</v>
      </c>
      <c r="T7" t="str">
        <f t="shared" ref="T7:T38" si="21">IF(S7="",_xlfn.XLOOKUP(L7,L:L,S:S),S7)</f>
        <v>L. Okafor</v>
      </c>
      <c r="U7" t="s">
        <v>732</v>
      </c>
      <c r="V7" t="str">
        <f t="shared" si="9"/>
        <v>High</v>
      </c>
      <c r="W7" t="s">
        <v>899</v>
      </c>
      <c r="X7" t="str">
        <f t="shared" si="10"/>
        <v>A</v>
      </c>
      <c r="Y7" s="5">
        <v>1234.81</v>
      </c>
      <c r="Z7" s="5">
        <v>2055.2399999999998</v>
      </c>
      <c r="AA7" s="5">
        <f t="shared" si="11"/>
        <v>2055.2399999999998</v>
      </c>
      <c r="AB7" s="7">
        <v>5.2999999999999999E-2</v>
      </c>
      <c r="AC7" s="7">
        <f t="shared" si="12"/>
        <v>5.2999999999999999E-2</v>
      </c>
      <c r="AD7" s="16">
        <f t="shared" si="13"/>
        <v>0</v>
      </c>
      <c r="AE7" s="16">
        <v>44</v>
      </c>
      <c r="AF7" s="5">
        <f t="shared" si="14"/>
        <v>85637.740319999997</v>
      </c>
      <c r="AG7">
        <f t="shared" si="15"/>
        <v>54331.64</v>
      </c>
      <c r="AH7" s="5">
        <f t="shared" si="16"/>
        <v>31306.100319999998</v>
      </c>
      <c r="AI7" s="5">
        <f t="shared" si="17"/>
        <v>0.36556429680441616</v>
      </c>
      <c r="AJ7" s="5">
        <f t="shared" si="20"/>
        <v>487382.24572999997</v>
      </c>
      <c r="AK7" s="7">
        <f t="shared" si="18"/>
        <v>4.4527003459791499E-2</v>
      </c>
      <c r="AL7" s="17">
        <f>MIN(AC7,'What-If Analysis'!$B$2)</f>
        <v>5.2999999999999999E-2</v>
      </c>
      <c r="AM7">
        <f>AE7*(1+'What-If Analysis'!$B$3)</f>
        <v>57.2</v>
      </c>
      <c r="AN7">
        <f>Y7*(1+'What-If Analysis'!$B$4)</f>
        <v>1358.2909999999999</v>
      </c>
      <c r="AO7">
        <f t="shared" si="19"/>
        <v>111329.06241599999</v>
      </c>
    </row>
    <row r="8" spans="1:43" x14ac:dyDescent="0.3">
      <c r="A8" t="s">
        <v>190</v>
      </c>
      <c r="B8" s="3">
        <v>45761</v>
      </c>
      <c r="C8" s="3">
        <f t="shared" si="0"/>
        <v>45761</v>
      </c>
      <c r="D8" s="3">
        <v>45781</v>
      </c>
      <c r="E8" s="3">
        <f t="shared" si="1"/>
        <v>45781</v>
      </c>
      <c r="F8" s="16">
        <f t="shared" si="2"/>
        <v>20</v>
      </c>
      <c r="G8" s="16">
        <f>IF(Data!F5&lt;=7,1,0)</f>
        <v>0</v>
      </c>
      <c r="H8" s="5" t="str">
        <f t="shared" si="3"/>
        <v>04-2025</v>
      </c>
      <c r="I8" s="5" t="str">
        <f t="shared" si="4"/>
        <v>Q2-2025</v>
      </c>
      <c r="J8" s="3">
        <f t="shared" si="5"/>
        <v>44945</v>
      </c>
      <c r="K8" s="5" t="str">
        <f t="shared" si="6"/>
        <v>01-2023</v>
      </c>
      <c r="L8" t="s">
        <v>649</v>
      </c>
      <c r="M8" t="s">
        <v>658</v>
      </c>
      <c r="N8" t="s">
        <v>674</v>
      </c>
      <c r="O8" t="str">
        <f t="shared" si="7"/>
        <v>Birmingham</v>
      </c>
      <c r="P8" t="s">
        <v>706</v>
      </c>
      <c r="Q8" t="s">
        <v>709</v>
      </c>
      <c r="R8" t="str">
        <f t="shared" si="8"/>
        <v>Marketplace</v>
      </c>
      <c r="S8" t="s">
        <v>723</v>
      </c>
      <c r="T8" t="str">
        <f t="shared" si="21"/>
        <v>K. Singh</v>
      </c>
      <c r="U8" t="s">
        <v>732</v>
      </c>
      <c r="V8" t="str">
        <f t="shared" si="9"/>
        <v>High</v>
      </c>
      <c r="W8" t="s">
        <v>909</v>
      </c>
      <c r="X8" t="str">
        <f t="shared" si="10"/>
        <v>A</v>
      </c>
      <c r="Y8" s="5">
        <v>1413.87</v>
      </c>
      <c r="Z8" s="5">
        <v>3275</v>
      </c>
      <c r="AA8" s="5">
        <f t="shared" si="11"/>
        <v>3275</v>
      </c>
      <c r="AB8" s="7">
        <v>0.255</v>
      </c>
      <c r="AC8" s="7">
        <f t="shared" si="12"/>
        <v>0.255</v>
      </c>
      <c r="AD8" s="16">
        <f t="shared" si="13"/>
        <v>1</v>
      </c>
      <c r="AE8" s="16">
        <v>38</v>
      </c>
      <c r="AF8" s="5">
        <f t="shared" si="14"/>
        <v>92715.25</v>
      </c>
      <c r="AG8">
        <f t="shared" si="15"/>
        <v>53727.06</v>
      </c>
      <c r="AH8" s="5">
        <f t="shared" si="16"/>
        <v>38988.19</v>
      </c>
      <c r="AI8" s="5">
        <f t="shared" si="17"/>
        <v>0.42051539525590453</v>
      </c>
      <c r="AJ8" s="5">
        <f t="shared" si="20"/>
        <v>580097.49572999997</v>
      </c>
      <c r="AK8" s="7">
        <f t="shared" si="18"/>
        <v>5.2997423327757816E-2</v>
      </c>
      <c r="AL8" s="17">
        <f>MIN(AC8,'What-If Analysis'!$B$2)</f>
        <v>0.2</v>
      </c>
      <c r="AM8">
        <f>AE8*(1+'What-If Analysis'!$B$3)</f>
        <v>49.4</v>
      </c>
      <c r="AN8">
        <f>Y8*(1+'What-If Analysis'!$B$4)</f>
        <v>1555.2570000000001</v>
      </c>
      <c r="AO8">
        <f t="shared" si="19"/>
        <v>129428</v>
      </c>
    </row>
    <row r="9" spans="1:43" x14ac:dyDescent="0.3">
      <c r="A9" t="s">
        <v>290</v>
      </c>
      <c r="B9" s="3">
        <v>45378</v>
      </c>
      <c r="C9" s="3">
        <f t="shared" si="0"/>
        <v>45378</v>
      </c>
      <c r="D9" s="3">
        <v>45393</v>
      </c>
      <c r="E9" s="3">
        <f t="shared" si="1"/>
        <v>45393</v>
      </c>
      <c r="F9" s="16">
        <f t="shared" si="2"/>
        <v>15</v>
      </c>
      <c r="G9" s="16">
        <f>IF(Data!F11&lt;=7,1,0)</f>
        <v>0</v>
      </c>
      <c r="H9" s="5" t="str">
        <f t="shared" si="3"/>
        <v>03-2024</v>
      </c>
      <c r="I9" s="5" t="str">
        <f t="shared" si="4"/>
        <v>Q1-2024</v>
      </c>
      <c r="J9" s="3">
        <f t="shared" si="5"/>
        <v>44939</v>
      </c>
      <c r="K9" s="5" t="str">
        <f t="shared" si="6"/>
        <v>01-2023</v>
      </c>
      <c r="L9" t="s">
        <v>648</v>
      </c>
      <c r="M9" t="s">
        <v>660</v>
      </c>
      <c r="N9" t="s">
        <v>686</v>
      </c>
      <c r="O9" t="str">
        <f t="shared" si="7"/>
        <v>San Francisco</v>
      </c>
      <c r="P9" t="s">
        <v>705</v>
      </c>
      <c r="Q9" t="s">
        <v>711</v>
      </c>
      <c r="R9" t="str">
        <f t="shared" si="8"/>
        <v>Direct</v>
      </c>
      <c r="S9" t="s">
        <v>719</v>
      </c>
      <c r="T9" t="str">
        <f t="shared" si="21"/>
        <v>O. Wang</v>
      </c>
      <c r="U9" t="s">
        <v>729</v>
      </c>
      <c r="V9" t="str">
        <f t="shared" si="9"/>
        <v>High</v>
      </c>
      <c r="W9" t="s">
        <v>1010</v>
      </c>
      <c r="X9" t="str">
        <f t="shared" si="10"/>
        <v>A</v>
      </c>
      <c r="Y9" s="5">
        <v>1338.35</v>
      </c>
      <c r="Z9" s="5">
        <v>2247.14</v>
      </c>
      <c r="AA9" s="5">
        <f t="shared" si="11"/>
        <v>2247.14</v>
      </c>
      <c r="AB9" s="7">
        <v>0.115</v>
      </c>
      <c r="AC9" s="7">
        <f t="shared" si="12"/>
        <v>0.115</v>
      </c>
      <c r="AD9" s="16">
        <f t="shared" si="13"/>
        <v>0</v>
      </c>
      <c r="AE9" s="16">
        <v>40</v>
      </c>
      <c r="AF9" s="5">
        <f t="shared" si="14"/>
        <v>79548.755999999994</v>
      </c>
      <c r="AG9">
        <f t="shared" si="15"/>
        <v>53534</v>
      </c>
      <c r="AH9" s="5">
        <f t="shared" si="16"/>
        <v>26014.755999999994</v>
      </c>
      <c r="AI9" s="5">
        <f t="shared" si="17"/>
        <v>0.32702907384246205</v>
      </c>
      <c r="AJ9" s="5">
        <f t="shared" si="20"/>
        <v>659646.2517299999</v>
      </c>
      <c r="AK9" s="7">
        <f t="shared" si="18"/>
        <v>6.0264958747167287E-2</v>
      </c>
      <c r="AL9" s="17">
        <f>MIN(AC9,'What-If Analysis'!$B$2)</f>
        <v>0.115</v>
      </c>
      <c r="AM9">
        <f>AE9*(1+'What-If Analysis'!$B$3)</f>
        <v>52</v>
      </c>
      <c r="AN9">
        <f>Y9*(1+'What-If Analysis'!$B$4)</f>
        <v>1472.1849999999999</v>
      </c>
      <c r="AO9">
        <f t="shared" si="19"/>
        <v>103413.38280000001</v>
      </c>
    </row>
    <row r="10" spans="1:43" x14ac:dyDescent="0.3">
      <c r="A10" t="s">
        <v>479</v>
      </c>
      <c r="B10" s="3">
        <v>45618</v>
      </c>
      <c r="C10" s="3">
        <f t="shared" si="0"/>
        <v>45618</v>
      </c>
      <c r="D10" s="3">
        <v>45641</v>
      </c>
      <c r="E10" s="3">
        <f t="shared" si="1"/>
        <v>45641</v>
      </c>
      <c r="F10" s="16">
        <f t="shared" si="2"/>
        <v>23</v>
      </c>
      <c r="G10" s="16">
        <f>IF(Data!F8&lt;=7,1,0)</f>
        <v>0</v>
      </c>
      <c r="H10" s="5" t="str">
        <f t="shared" si="3"/>
        <v>11-2024</v>
      </c>
      <c r="I10" s="5" t="str">
        <f t="shared" si="4"/>
        <v>Q4-2024</v>
      </c>
      <c r="J10" s="3">
        <f t="shared" si="5"/>
        <v>44946</v>
      </c>
      <c r="K10" s="5" t="str">
        <f t="shared" si="6"/>
        <v>01-2023</v>
      </c>
      <c r="L10" t="s">
        <v>646</v>
      </c>
      <c r="M10" t="s">
        <v>650</v>
      </c>
      <c r="N10" t="s">
        <v>675</v>
      </c>
      <c r="O10" t="str">
        <f t="shared" si="7"/>
        <v>Mombasa</v>
      </c>
      <c r="P10" t="s">
        <v>703</v>
      </c>
      <c r="Q10" t="s">
        <v>710</v>
      </c>
      <c r="R10" t="str">
        <f t="shared" si="8"/>
        <v>Distributor</v>
      </c>
      <c r="S10" t="s">
        <v>712</v>
      </c>
      <c r="T10" t="str">
        <f t="shared" si="21"/>
        <v>C. Otieno</v>
      </c>
      <c r="U10" t="s">
        <v>727</v>
      </c>
      <c r="V10" t="str">
        <f t="shared" si="9"/>
        <v>High</v>
      </c>
      <c r="W10" t="s">
        <v>1198</v>
      </c>
      <c r="X10" t="str">
        <f t="shared" si="10"/>
        <v>A</v>
      </c>
      <c r="Y10" s="5">
        <v>1335.76</v>
      </c>
      <c r="Z10" s="5">
        <v>2665.91</v>
      </c>
      <c r="AA10" s="5">
        <f t="shared" si="11"/>
        <v>2665.91</v>
      </c>
      <c r="AB10" s="7">
        <v>0.21099999999999999</v>
      </c>
      <c r="AC10" s="7">
        <f t="shared" si="12"/>
        <v>0.21099999999999999</v>
      </c>
      <c r="AD10" s="16">
        <f t="shared" si="13"/>
        <v>1</v>
      </c>
      <c r="AE10" s="16">
        <v>40</v>
      </c>
      <c r="AF10" s="5">
        <f t="shared" si="14"/>
        <v>84136.119600000005</v>
      </c>
      <c r="AG10">
        <f t="shared" si="15"/>
        <v>53430.400000000001</v>
      </c>
      <c r="AH10" s="5">
        <f t="shared" si="16"/>
        <v>30705.719600000004</v>
      </c>
      <c r="AI10" s="5">
        <f t="shared" si="17"/>
        <v>0.36495288522909253</v>
      </c>
      <c r="AJ10" s="5">
        <f t="shared" si="20"/>
        <v>743782.37132999988</v>
      </c>
      <c r="AK10" s="7">
        <f t="shared" si="18"/>
        <v>6.7951593460156043E-2</v>
      </c>
      <c r="AL10" s="17">
        <f>MIN(AC10,'What-If Analysis'!$B$2)</f>
        <v>0.2</v>
      </c>
      <c r="AM10">
        <f>AE10*(1+'What-If Analysis'!$B$3)</f>
        <v>52</v>
      </c>
      <c r="AN10">
        <f>Y10*(1+'What-If Analysis'!$B$4)</f>
        <v>1469.336</v>
      </c>
      <c r="AO10">
        <f t="shared" si="19"/>
        <v>110901.85600000001</v>
      </c>
    </row>
    <row r="11" spans="1:43" x14ac:dyDescent="0.3">
      <c r="A11" t="s">
        <v>542</v>
      </c>
      <c r="B11" s="3">
        <v>45448</v>
      </c>
      <c r="C11" s="3">
        <f t="shared" si="0"/>
        <v>45448</v>
      </c>
      <c r="D11" s="3">
        <v>45466</v>
      </c>
      <c r="E11" s="3">
        <f t="shared" si="1"/>
        <v>45466</v>
      </c>
      <c r="F11" s="16">
        <f t="shared" si="2"/>
        <v>18</v>
      </c>
      <c r="G11" s="16">
        <f>IF(Data!F22&lt;=7,1,0)</f>
        <v>1</v>
      </c>
      <c r="H11" s="5" t="str">
        <f t="shared" si="3"/>
        <v>06-2024</v>
      </c>
      <c r="I11" s="5" t="str">
        <f t="shared" si="4"/>
        <v>Q2-2024</v>
      </c>
      <c r="J11" s="3">
        <f t="shared" si="5"/>
        <v>44946</v>
      </c>
      <c r="K11" s="5" t="str">
        <f t="shared" si="6"/>
        <v>01-2023</v>
      </c>
      <c r="L11" t="s">
        <v>646</v>
      </c>
      <c r="M11" t="s">
        <v>650</v>
      </c>
      <c r="N11" t="s">
        <v>664</v>
      </c>
      <c r="O11" t="str">
        <f t="shared" si="7"/>
        <v>Nairobi</v>
      </c>
      <c r="P11" t="s">
        <v>704</v>
      </c>
      <c r="Q11" t="s">
        <v>710</v>
      </c>
      <c r="R11" t="str">
        <f t="shared" si="8"/>
        <v>Distributor</v>
      </c>
      <c r="S11" t="s">
        <v>726</v>
      </c>
      <c r="T11" t="str">
        <f t="shared" si="21"/>
        <v>D. Smith</v>
      </c>
      <c r="U11" t="s">
        <v>731</v>
      </c>
      <c r="V11" t="str">
        <f t="shared" si="9"/>
        <v>Medium</v>
      </c>
      <c r="W11" t="s">
        <v>1261</v>
      </c>
      <c r="X11" t="str">
        <f t="shared" si="10"/>
        <v>A</v>
      </c>
      <c r="Y11" s="5">
        <v>1208.74</v>
      </c>
      <c r="Z11" s="5">
        <v>1594.78</v>
      </c>
      <c r="AA11" s="5">
        <f t="shared" si="11"/>
        <v>1594.78</v>
      </c>
      <c r="AB11" s="7">
        <v>5.8999999999999997E-2</v>
      </c>
      <c r="AC11" s="7">
        <f t="shared" si="12"/>
        <v>5.8999999999999997E-2</v>
      </c>
      <c r="AD11" s="16">
        <f t="shared" si="13"/>
        <v>0</v>
      </c>
      <c r="AE11" s="16">
        <v>39</v>
      </c>
      <c r="AF11" s="5">
        <f t="shared" si="14"/>
        <v>58526.83122</v>
      </c>
      <c r="AG11">
        <f t="shared" si="15"/>
        <v>47140.86</v>
      </c>
      <c r="AH11" s="5">
        <f t="shared" si="16"/>
        <v>11385.971219999999</v>
      </c>
      <c r="AI11" s="5">
        <f t="shared" si="17"/>
        <v>0.1945427589817838</v>
      </c>
      <c r="AJ11" s="5">
        <f t="shared" si="20"/>
        <v>802309.20254999993</v>
      </c>
      <c r="AK11" s="7">
        <f t="shared" si="18"/>
        <v>7.329857611915766E-2</v>
      </c>
      <c r="AL11" s="17">
        <f>MIN(AC11,'What-If Analysis'!$B$2)</f>
        <v>5.8999999999999997E-2</v>
      </c>
      <c r="AM11">
        <f>AE11*(1+'What-If Analysis'!$B$3)</f>
        <v>50.7</v>
      </c>
      <c r="AN11">
        <f>Y11*(1+'What-If Analysis'!$B$4)</f>
        <v>1329.614</v>
      </c>
      <c r="AO11">
        <f t="shared" si="19"/>
        <v>76084.880586000014</v>
      </c>
    </row>
    <row r="12" spans="1:43" x14ac:dyDescent="0.3">
      <c r="A12" t="s">
        <v>397</v>
      </c>
      <c r="B12" s="3">
        <v>45097</v>
      </c>
      <c r="C12" s="3">
        <f t="shared" si="0"/>
        <v>45097</v>
      </c>
      <c r="D12" s="3">
        <v>45115</v>
      </c>
      <c r="E12" s="3">
        <f t="shared" si="1"/>
        <v>45115</v>
      </c>
      <c r="F12" s="16">
        <f t="shared" si="2"/>
        <v>18</v>
      </c>
      <c r="G12" s="16">
        <f>IF(Data!F37&lt;=7,1,0)</f>
        <v>0</v>
      </c>
      <c r="H12" s="5" t="str">
        <f t="shared" si="3"/>
        <v>06-2023</v>
      </c>
      <c r="I12" s="5" t="str">
        <f t="shared" si="4"/>
        <v>Q2-2023</v>
      </c>
      <c r="J12" s="3">
        <f t="shared" si="5"/>
        <v>44939</v>
      </c>
      <c r="K12" s="5" t="str">
        <f t="shared" si="6"/>
        <v>01-2023</v>
      </c>
      <c r="L12" t="s">
        <v>648</v>
      </c>
      <c r="M12" t="s">
        <v>660</v>
      </c>
      <c r="N12" t="s">
        <v>700</v>
      </c>
      <c r="O12" t="str">
        <f t="shared" si="7"/>
        <v>New York</v>
      </c>
      <c r="P12" t="s">
        <v>704</v>
      </c>
      <c r="Q12" t="s">
        <v>709</v>
      </c>
      <c r="R12" t="str">
        <f t="shared" si="8"/>
        <v>Marketplace</v>
      </c>
      <c r="S12" t="s">
        <v>719</v>
      </c>
      <c r="T12" t="str">
        <f t="shared" si="21"/>
        <v>O. Wang</v>
      </c>
      <c r="U12" t="s">
        <v>729</v>
      </c>
      <c r="V12" t="str">
        <f t="shared" si="9"/>
        <v>Medium</v>
      </c>
      <c r="W12" t="s">
        <v>1116</v>
      </c>
      <c r="X12" t="str">
        <f t="shared" si="10"/>
        <v>A</v>
      </c>
      <c r="Y12" s="5">
        <v>1145.53</v>
      </c>
      <c r="Z12" s="5">
        <v>1278.3</v>
      </c>
      <c r="AA12" s="5">
        <f t="shared" si="11"/>
        <v>1278.3</v>
      </c>
      <c r="AB12" s="7">
        <v>0.09</v>
      </c>
      <c r="AC12" s="7">
        <f t="shared" si="12"/>
        <v>0.09</v>
      </c>
      <c r="AD12" s="16">
        <f t="shared" si="13"/>
        <v>0</v>
      </c>
      <c r="AE12" s="16">
        <v>41</v>
      </c>
      <c r="AF12" s="5">
        <f t="shared" si="14"/>
        <v>47693.373</v>
      </c>
      <c r="AG12">
        <f t="shared" si="15"/>
        <v>46966.729999999996</v>
      </c>
      <c r="AH12" s="5">
        <f t="shared" si="16"/>
        <v>726.64300000000367</v>
      </c>
      <c r="AI12" s="5">
        <f t="shared" si="17"/>
        <v>1.5235722581416158E-2</v>
      </c>
      <c r="AJ12" s="5">
        <f t="shared" si="20"/>
        <v>850002.57554999995</v>
      </c>
      <c r="AK12" s="7">
        <f t="shared" si="18"/>
        <v>7.7655819336746229E-2</v>
      </c>
      <c r="AL12" s="17">
        <f>MIN(AC12,'What-If Analysis'!$B$2)</f>
        <v>0.09</v>
      </c>
      <c r="AM12">
        <f>AE12*(1+'What-If Analysis'!$B$3)</f>
        <v>53.300000000000004</v>
      </c>
      <c r="AN12">
        <f>Y12*(1+'What-If Analysis'!$B$4)</f>
        <v>1260.0830000000001</v>
      </c>
      <c r="AO12">
        <f t="shared" si="19"/>
        <v>62001.384900000005</v>
      </c>
    </row>
    <row r="13" spans="1:43" x14ac:dyDescent="0.3">
      <c r="A13" t="s">
        <v>333</v>
      </c>
      <c r="B13" s="3">
        <v>45008</v>
      </c>
      <c r="C13" s="3">
        <f t="shared" si="0"/>
        <v>45008</v>
      </c>
      <c r="D13" s="3">
        <v>45031</v>
      </c>
      <c r="E13" s="3">
        <f t="shared" si="1"/>
        <v>45031</v>
      </c>
      <c r="F13" s="16">
        <f t="shared" si="2"/>
        <v>23</v>
      </c>
      <c r="G13" s="16">
        <f>IF(Data!F27&lt;=7,1,0)</f>
        <v>0</v>
      </c>
      <c r="H13" s="5" t="str">
        <f t="shared" si="3"/>
        <v>03-2023</v>
      </c>
      <c r="I13" s="5" t="str">
        <f t="shared" si="4"/>
        <v>Q1-2023</v>
      </c>
      <c r="J13" s="3">
        <f t="shared" si="5"/>
        <v>44946</v>
      </c>
      <c r="K13" s="5" t="str">
        <f t="shared" si="6"/>
        <v>01-2023</v>
      </c>
      <c r="L13" t="s">
        <v>646</v>
      </c>
      <c r="M13" t="s">
        <v>650</v>
      </c>
      <c r="N13" t="s">
        <v>675</v>
      </c>
      <c r="O13" t="str">
        <f t="shared" si="7"/>
        <v>Mombasa</v>
      </c>
      <c r="P13" t="s">
        <v>705</v>
      </c>
      <c r="Q13" t="s">
        <v>707</v>
      </c>
      <c r="R13" t="str">
        <f t="shared" si="8"/>
        <v>Retail</v>
      </c>
      <c r="S13" t="s">
        <v>712</v>
      </c>
      <c r="T13" t="str">
        <f t="shared" si="21"/>
        <v>C. Otieno</v>
      </c>
      <c r="U13" t="s">
        <v>733</v>
      </c>
      <c r="V13" t="str">
        <f t="shared" si="9"/>
        <v>Medium</v>
      </c>
      <c r="W13" t="s">
        <v>1053</v>
      </c>
      <c r="X13" t="str">
        <f t="shared" si="10"/>
        <v>A</v>
      </c>
      <c r="Y13" s="5">
        <v>875.36</v>
      </c>
      <c r="Z13" s="5">
        <v>1178.6199999999999</v>
      </c>
      <c r="AA13" s="5">
        <f t="shared" si="11"/>
        <v>1178.6199999999999</v>
      </c>
      <c r="AB13" s="7">
        <v>0.151</v>
      </c>
      <c r="AC13" s="7">
        <f t="shared" si="12"/>
        <v>0.151</v>
      </c>
      <c r="AD13" s="16">
        <f t="shared" si="13"/>
        <v>0</v>
      </c>
      <c r="AE13" s="16">
        <v>53</v>
      </c>
      <c r="AF13" s="5">
        <f t="shared" si="14"/>
        <v>53034.364139999991</v>
      </c>
      <c r="AG13">
        <f t="shared" si="15"/>
        <v>46394.080000000002</v>
      </c>
      <c r="AH13" s="5">
        <f t="shared" si="16"/>
        <v>6640.2841399999888</v>
      </c>
      <c r="AI13" s="5">
        <f t="shared" si="17"/>
        <v>0.12520719815685888</v>
      </c>
      <c r="AJ13" s="5">
        <f t="shared" si="20"/>
        <v>903036.93968999991</v>
      </c>
      <c r="AK13" s="7">
        <f t="shared" si="18"/>
        <v>8.2501012891165973E-2</v>
      </c>
      <c r="AL13" s="17">
        <f>MIN(AC13,'What-If Analysis'!$B$2)</f>
        <v>0.151</v>
      </c>
      <c r="AM13">
        <f>AE13*(1+'What-If Analysis'!$B$3)</f>
        <v>68.900000000000006</v>
      </c>
      <c r="AN13">
        <f>Y13*(1+'What-If Analysis'!$B$4)</f>
        <v>962.89600000000007</v>
      </c>
      <c r="AO13">
        <f t="shared" si="19"/>
        <v>68944.673382000008</v>
      </c>
    </row>
    <row r="14" spans="1:43" x14ac:dyDescent="0.3">
      <c r="A14" t="s">
        <v>526</v>
      </c>
      <c r="B14" s="3">
        <v>45575</v>
      </c>
      <c r="C14" s="3">
        <f t="shared" si="0"/>
        <v>45575</v>
      </c>
      <c r="D14" s="3">
        <v>45576</v>
      </c>
      <c r="E14" s="3">
        <f t="shared" si="1"/>
        <v>45576</v>
      </c>
      <c r="F14" s="16">
        <f t="shared" si="2"/>
        <v>1</v>
      </c>
      <c r="G14" s="16">
        <f>IF(Data!F33&lt;=7,1,0)</f>
        <v>0</v>
      </c>
      <c r="H14" s="5" t="str">
        <f t="shared" si="3"/>
        <v>10-2024</v>
      </c>
      <c r="I14" s="5" t="str">
        <f t="shared" si="4"/>
        <v>Q4-2024</v>
      </c>
      <c r="J14" s="3">
        <f t="shared" si="5"/>
        <v>44945</v>
      </c>
      <c r="K14" s="5" t="str">
        <f t="shared" si="6"/>
        <v>01-2023</v>
      </c>
      <c r="L14" t="s">
        <v>649</v>
      </c>
      <c r="M14" t="s">
        <v>658</v>
      </c>
      <c r="N14" t="s">
        <v>693</v>
      </c>
      <c r="O14" t="str">
        <f t="shared" si="7"/>
        <v>Manchester</v>
      </c>
      <c r="P14" t="s">
        <v>703</v>
      </c>
      <c r="Q14" t="s">
        <v>710</v>
      </c>
      <c r="R14" t="str">
        <f t="shared" si="8"/>
        <v>Distributor</v>
      </c>
      <c r="S14" t="s">
        <v>716</v>
      </c>
      <c r="T14" t="str">
        <f t="shared" si="21"/>
        <v>L. Okafor</v>
      </c>
      <c r="U14" t="s">
        <v>727</v>
      </c>
      <c r="V14" t="str">
        <f t="shared" si="9"/>
        <v>High</v>
      </c>
      <c r="W14" t="s">
        <v>1245</v>
      </c>
      <c r="X14" t="str">
        <f t="shared" si="10"/>
        <v>A</v>
      </c>
      <c r="Y14" s="5">
        <v>1389.46</v>
      </c>
      <c r="Z14" s="5">
        <v>1784.7</v>
      </c>
      <c r="AA14" s="5">
        <f t="shared" si="11"/>
        <v>1784.7</v>
      </c>
      <c r="AB14" s="7">
        <v>0.14599999999999999</v>
      </c>
      <c r="AC14" s="7">
        <f t="shared" si="12"/>
        <v>0.14599999999999999</v>
      </c>
      <c r="AD14" s="16">
        <f t="shared" si="13"/>
        <v>0</v>
      </c>
      <c r="AE14" s="16">
        <v>33</v>
      </c>
      <c r="AF14" s="5">
        <f t="shared" si="14"/>
        <v>50296.415399999998</v>
      </c>
      <c r="AG14">
        <f t="shared" si="15"/>
        <v>45852.18</v>
      </c>
      <c r="AH14" s="5">
        <f t="shared" si="16"/>
        <v>4444.2353999999978</v>
      </c>
      <c r="AI14" s="5">
        <f t="shared" si="17"/>
        <v>8.8360877503011831E-2</v>
      </c>
      <c r="AJ14" s="5">
        <f t="shared" si="20"/>
        <v>953333.35508999997</v>
      </c>
      <c r="AK14" s="7">
        <f t="shared" si="18"/>
        <v>8.7096068788568487E-2</v>
      </c>
      <c r="AL14" s="17">
        <f>MIN(AC14,'What-If Analysis'!$B$2)</f>
        <v>0.14599999999999999</v>
      </c>
      <c r="AM14">
        <f>AE14*(1+'What-If Analysis'!$B$3)</f>
        <v>42.9</v>
      </c>
      <c r="AN14">
        <f>Y14*(1+'What-If Analysis'!$B$4)</f>
        <v>1528.4060000000002</v>
      </c>
      <c r="AO14">
        <f t="shared" si="19"/>
        <v>65385.340020000003</v>
      </c>
    </row>
    <row r="15" spans="1:43" x14ac:dyDescent="0.3">
      <c r="A15" t="s">
        <v>62</v>
      </c>
      <c r="B15" s="3">
        <v>45426</v>
      </c>
      <c r="C15" s="3">
        <f t="shared" si="0"/>
        <v>45426</v>
      </c>
      <c r="D15" s="3">
        <v>45440</v>
      </c>
      <c r="E15" s="3">
        <f t="shared" si="1"/>
        <v>45440</v>
      </c>
      <c r="F15" s="16">
        <f t="shared" si="2"/>
        <v>14</v>
      </c>
      <c r="G15" s="16">
        <f>IF(Data!F3&lt;=7,1,0)</f>
        <v>0</v>
      </c>
      <c r="H15" s="5" t="str">
        <f t="shared" si="3"/>
        <v>05-2024</v>
      </c>
      <c r="I15" s="5" t="str">
        <f t="shared" si="4"/>
        <v>Q2-2024</v>
      </c>
      <c r="J15" s="3">
        <f t="shared" si="5"/>
        <v>44945</v>
      </c>
      <c r="K15" s="5" t="str">
        <f t="shared" si="6"/>
        <v>01-2023</v>
      </c>
      <c r="L15" t="s">
        <v>649</v>
      </c>
      <c r="M15" t="s">
        <v>658</v>
      </c>
      <c r="N15" t="s">
        <v>674</v>
      </c>
      <c r="O15" t="str">
        <f t="shared" si="7"/>
        <v>Birmingham</v>
      </c>
      <c r="P15" t="s">
        <v>704</v>
      </c>
      <c r="Q15" t="s">
        <v>707</v>
      </c>
      <c r="R15" t="str">
        <f t="shared" si="8"/>
        <v>Retail</v>
      </c>
      <c r="S15" t="s">
        <v>717</v>
      </c>
      <c r="T15" t="str">
        <f t="shared" si="21"/>
        <v>B. Chen</v>
      </c>
      <c r="U15" t="s">
        <v>729</v>
      </c>
      <c r="V15" t="str">
        <f t="shared" si="9"/>
        <v>High</v>
      </c>
      <c r="W15" t="s">
        <v>781</v>
      </c>
      <c r="X15" t="str">
        <f t="shared" si="10"/>
        <v>A</v>
      </c>
      <c r="Y15" s="5">
        <v>1421.14</v>
      </c>
      <c r="Z15" s="5">
        <v>3524</v>
      </c>
      <c r="AA15" s="5">
        <f t="shared" si="11"/>
        <v>3524</v>
      </c>
      <c r="AB15" s="7">
        <v>0</v>
      </c>
      <c r="AC15" s="7">
        <f t="shared" si="12"/>
        <v>0</v>
      </c>
      <c r="AD15" s="16">
        <f t="shared" si="13"/>
        <v>0</v>
      </c>
      <c r="AE15" s="16">
        <v>31</v>
      </c>
      <c r="AF15" s="5">
        <f t="shared" si="14"/>
        <v>109244</v>
      </c>
      <c r="AG15">
        <f t="shared" si="15"/>
        <v>44055.340000000004</v>
      </c>
      <c r="AH15" s="5">
        <f t="shared" si="16"/>
        <v>65188.659999999996</v>
      </c>
      <c r="AI15" s="5">
        <f t="shared" si="17"/>
        <v>0.59672531214528945</v>
      </c>
      <c r="AJ15" s="5">
        <f t="shared" si="20"/>
        <v>1062577.35509</v>
      </c>
      <c r="AK15" s="7">
        <f t="shared" si="18"/>
        <v>9.7076547167865443E-2</v>
      </c>
      <c r="AL15" s="17">
        <f>MIN(AC15,'What-If Analysis'!$B$2)</f>
        <v>0</v>
      </c>
      <c r="AM15">
        <f>AE15*(1+'What-If Analysis'!$B$3)</f>
        <v>40.300000000000004</v>
      </c>
      <c r="AN15">
        <f>Y15*(1+'What-If Analysis'!$B$4)</f>
        <v>1563.2540000000001</v>
      </c>
      <c r="AO15">
        <f t="shared" si="19"/>
        <v>142017.20000000001</v>
      </c>
    </row>
    <row r="16" spans="1:43" x14ac:dyDescent="0.3">
      <c r="A16" t="s">
        <v>360</v>
      </c>
      <c r="B16" s="3">
        <v>45498</v>
      </c>
      <c r="C16" s="3">
        <f t="shared" si="0"/>
        <v>45498</v>
      </c>
      <c r="D16" s="3">
        <v>45506</v>
      </c>
      <c r="E16" s="3">
        <f t="shared" si="1"/>
        <v>45506</v>
      </c>
      <c r="F16" s="16">
        <f t="shared" si="2"/>
        <v>8</v>
      </c>
      <c r="G16" s="16">
        <f>IF(Data!F12&lt;=7,1,0)</f>
        <v>0</v>
      </c>
      <c r="H16" s="5" t="str">
        <f t="shared" si="3"/>
        <v>07-2024</v>
      </c>
      <c r="I16" s="5" t="str">
        <f t="shared" si="4"/>
        <v>Q3-2024</v>
      </c>
      <c r="J16" s="3">
        <f t="shared" si="5"/>
        <v>44928</v>
      </c>
      <c r="K16" s="5" t="str">
        <f t="shared" si="6"/>
        <v>01-2023</v>
      </c>
      <c r="L16" t="s">
        <v>648</v>
      </c>
      <c r="M16" t="s">
        <v>653</v>
      </c>
      <c r="N16" t="s">
        <v>681</v>
      </c>
      <c r="O16" t="str">
        <f t="shared" si="7"/>
        <v>Montreal</v>
      </c>
      <c r="P16" t="s">
        <v>704</v>
      </c>
      <c r="Q16" t="s">
        <v>711</v>
      </c>
      <c r="R16" t="str">
        <f t="shared" si="8"/>
        <v>Direct</v>
      </c>
      <c r="S16" t="s">
        <v>713</v>
      </c>
      <c r="T16" t="str">
        <f t="shared" si="21"/>
        <v>J. Njeri</v>
      </c>
      <c r="U16" t="s">
        <v>733</v>
      </c>
      <c r="V16" t="str">
        <f t="shared" si="9"/>
        <v>High</v>
      </c>
      <c r="W16" t="s">
        <v>1080</v>
      </c>
      <c r="X16" t="str">
        <f t="shared" si="10"/>
        <v>A</v>
      </c>
      <c r="Y16" s="5">
        <v>986.81</v>
      </c>
      <c r="Z16" s="5">
        <v>2050.31</v>
      </c>
      <c r="AA16" s="5">
        <f t="shared" si="11"/>
        <v>2050.31</v>
      </c>
      <c r="AB16" s="7">
        <v>0.10299999999999999</v>
      </c>
      <c r="AC16" s="7">
        <f t="shared" si="12"/>
        <v>0.10299999999999999</v>
      </c>
      <c r="AD16" s="16">
        <f t="shared" si="13"/>
        <v>0</v>
      </c>
      <c r="AE16" s="16">
        <v>43</v>
      </c>
      <c r="AF16" s="5">
        <f t="shared" si="14"/>
        <v>79082.507010000001</v>
      </c>
      <c r="AG16">
        <f t="shared" si="15"/>
        <v>42432.829999999994</v>
      </c>
      <c r="AH16" s="5">
        <f t="shared" si="16"/>
        <v>36649.677010000007</v>
      </c>
      <c r="AI16" s="5">
        <f t="shared" si="17"/>
        <v>0.46343595310358138</v>
      </c>
      <c r="AJ16" s="5">
        <f t="shared" si="20"/>
        <v>1141659.8621</v>
      </c>
      <c r="AK16" s="7">
        <f t="shared" si="18"/>
        <v>0.10430148630771666</v>
      </c>
      <c r="AL16" s="17">
        <f>MIN(AC16,'What-If Analysis'!$B$2)</f>
        <v>0.10299999999999999</v>
      </c>
      <c r="AM16">
        <f>AE16*(1+'What-If Analysis'!$B$3)</f>
        <v>55.9</v>
      </c>
      <c r="AN16">
        <f>Y16*(1+'What-If Analysis'!$B$4)</f>
        <v>1085.491</v>
      </c>
      <c r="AO16">
        <f t="shared" si="19"/>
        <v>102807.25911300001</v>
      </c>
    </row>
    <row r="17" spans="1:41" x14ac:dyDescent="0.3">
      <c r="A17" t="s">
        <v>24</v>
      </c>
      <c r="B17" s="3">
        <v>45798</v>
      </c>
      <c r="C17" s="3">
        <f t="shared" si="0"/>
        <v>45798</v>
      </c>
      <c r="D17" s="3">
        <v>45817</v>
      </c>
      <c r="E17" s="3">
        <f t="shared" si="1"/>
        <v>45817</v>
      </c>
      <c r="F17" s="16">
        <f t="shared" si="2"/>
        <v>19</v>
      </c>
      <c r="G17" s="16">
        <f>IF(Data!F20&lt;=7,1,0)</f>
        <v>1</v>
      </c>
      <c r="H17" s="5" t="str">
        <f t="shared" si="3"/>
        <v>05-2025</v>
      </c>
      <c r="I17" s="5" t="str">
        <f t="shared" si="4"/>
        <v>Q2-2025</v>
      </c>
      <c r="J17" s="3">
        <f t="shared" si="5"/>
        <v>44955</v>
      </c>
      <c r="K17" s="5" t="str">
        <f t="shared" si="6"/>
        <v>01-2023</v>
      </c>
      <c r="L17" t="s">
        <v>648</v>
      </c>
      <c r="M17" t="s">
        <v>655</v>
      </c>
      <c r="N17" t="s">
        <v>670</v>
      </c>
      <c r="O17" t="str">
        <f t="shared" si="7"/>
        <v>São Paulo</v>
      </c>
      <c r="P17" t="s">
        <v>703</v>
      </c>
      <c r="Q17" t="s">
        <v>708</v>
      </c>
      <c r="R17" t="str">
        <f t="shared" si="8"/>
        <v>Online</v>
      </c>
      <c r="S17" t="s">
        <v>720</v>
      </c>
      <c r="T17" t="str">
        <f t="shared" si="21"/>
        <v>A. Patel</v>
      </c>
      <c r="U17" t="s">
        <v>727</v>
      </c>
      <c r="V17" t="str">
        <f t="shared" si="9"/>
        <v>High</v>
      </c>
      <c r="W17" t="s">
        <v>743</v>
      </c>
      <c r="X17" t="str">
        <f t="shared" si="10"/>
        <v>A</v>
      </c>
      <c r="Y17" s="5">
        <v>1331.38</v>
      </c>
      <c r="Z17" s="5">
        <v>2309.56</v>
      </c>
      <c r="AA17" s="5">
        <f t="shared" si="11"/>
        <v>2309.56</v>
      </c>
      <c r="AB17" s="7">
        <v>0.14899999999999999</v>
      </c>
      <c r="AC17" s="7">
        <f t="shared" si="12"/>
        <v>0.14899999999999999</v>
      </c>
      <c r="AD17" s="16">
        <f t="shared" si="13"/>
        <v>0</v>
      </c>
      <c r="AE17" s="16">
        <v>31</v>
      </c>
      <c r="AF17" s="5">
        <f t="shared" si="14"/>
        <v>60928.502359999999</v>
      </c>
      <c r="AG17">
        <f t="shared" si="15"/>
        <v>41272.780000000006</v>
      </c>
      <c r="AH17" s="5">
        <f t="shared" si="16"/>
        <v>19655.722359999992</v>
      </c>
      <c r="AI17" s="5">
        <f t="shared" si="17"/>
        <v>0.32260307735553528</v>
      </c>
      <c r="AJ17" s="5">
        <f t="shared" si="20"/>
        <v>1202588.3644600001</v>
      </c>
      <c r="AK17" s="7">
        <f t="shared" si="18"/>
        <v>0.1098678844667636</v>
      </c>
      <c r="AL17" s="17">
        <f>MIN(AC17,'What-If Analysis'!$B$2)</f>
        <v>0.14899999999999999</v>
      </c>
      <c r="AM17">
        <f>AE17*(1+'What-If Analysis'!$B$3)</f>
        <v>40.300000000000004</v>
      </c>
      <c r="AN17">
        <f>Y17*(1+'What-If Analysis'!$B$4)</f>
        <v>1464.5180000000003</v>
      </c>
      <c r="AO17">
        <f t="shared" si="19"/>
        <v>79207.053068000008</v>
      </c>
    </row>
    <row r="18" spans="1:41" x14ac:dyDescent="0.3">
      <c r="A18" t="s">
        <v>141</v>
      </c>
      <c r="B18" s="3">
        <v>45450</v>
      </c>
      <c r="C18" s="3">
        <f t="shared" si="0"/>
        <v>45450</v>
      </c>
      <c r="D18" s="3">
        <v>45469</v>
      </c>
      <c r="E18" s="3">
        <f t="shared" si="1"/>
        <v>45469</v>
      </c>
      <c r="F18" s="16">
        <f t="shared" si="2"/>
        <v>19</v>
      </c>
      <c r="G18" s="16">
        <f>IF(Data!F18&lt;=7,1,0)</f>
        <v>0</v>
      </c>
      <c r="H18" s="5" t="str">
        <f t="shared" si="3"/>
        <v>06-2024</v>
      </c>
      <c r="I18" s="5" t="str">
        <f t="shared" si="4"/>
        <v>Q2-2024</v>
      </c>
      <c r="J18" s="3">
        <f t="shared" si="5"/>
        <v>44947</v>
      </c>
      <c r="K18" s="5" t="str">
        <f t="shared" si="6"/>
        <v>01-2023</v>
      </c>
      <c r="L18" t="s">
        <v>649</v>
      </c>
      <c r="M18" t="s">
        <v>656</v>
      </c>
      <c r="N18" t="s">
        <v>671</v>
      </c>
      <c r="O18" t="str">
        <f t="shared" si="7"/>
        <v>Berlin</v>
      </c>
      <c r="P18" t="s">
        <v>703</v>
      </c>
      <c r="Q18" t="s">
        <v>709</v>
      </c>
      <c r="R18" t="str">
        <f t="shared" si="8"/>
        <v>Marketplace</v>
      </c>
      <c r="S18" t="s">
        <v>724</v>
      </c>
      <c r="T18" t="str">
        <f t="shared" si="21"/>
        <v>M. Rossi</v>
      </c>
      <c r="U18" t="s">
        <v>727</v>
      </c>
      <c r="V18" t="str">
        <f t="shared" si="9"/>
        <v>High</v>
      </c>
      <c r="W18" t="s">
        <v>860</v>
      </c>
      <c r="X18" t="str">
        <f t="shared" si="10"/>
        <v>A</v>
      </c>
      <c r="Y18" s="5">
        <v>1064.32</v>
      </c>
      <c r="Z18" s="5">
        <v>1848.39</v>
      </c>
      <c r="AA18" s="5">
        <f t="shared" si="11"/>
        <v>1848.39</v>
      </c>
      <c r="AB18" s="7">
        <v>7.2999999999999995E-2</v>
      </c>
      <c r="AC18" s="7">
        <f t="shared" si="12"/>
        <v>7.2999999999999995E-2</v>
      </c>
      <c r="AD18" s="16">
        <f t="shared" si="13"/>
        <v>0</v>
      </c>
      <c r="AE18" s="16">
        <v>38</v>
      </c>
      <c r="AF18" s="5">
        <f t="shared" si="14"/>
        <v>65111.38614000001</v>
      </c>
      <c r="AG18">
        <f t="shared" si="15"/>
        <v>40444.159999999996</v>
      </c>
      <c r="AH18" s="5">
        <f t="shared" si="16"/>
        <v>24667.226140000013</v>
      </c>
      <c r="AI18" s="5">
        <f t="shared" si="17"/>
        <v>0.3788465827921631</v>
      </c>
      <c r="AJ18" s="5">
        <f t="shared" si="20"/>
        <v>1267699.7506000001</v>
      </c>
      <c r="AK18" s="7">
        <f t="shared" si="18"/>
        <v>0.11581642884097477</v>
      </c>
      <c r="AL18" s="17">
        <f>MIN(AC18,'What-If Analysis'!$B$2)</f>
        <v>7.2999999999999995E-2</v>
      </c>
      <c r="AM18">
        <f>AE18*(1+'What-If Analysis'!$B$3)</f>
        <v>49.4</v>
      </c>
      <c r="AN18">
        <f>Y18*(1+'What-If Analysis'!$B$4)</f>
        <v>1170.752</v>
      </c>
      <c r="AO18">
        <f t="shared" si="19"/>
        <v>84644.801982000005</v>
      </c>
    </row>
    <row r="19" spans="1:41" x14ac:dyDescent="0.3">
      <c r="A19" t="s">
        <v>406</v>
      </c>
      <c r="B19" s="3">
        <v>45208</v>
      </c>
      <c r="C19" s="3">
        <f t="shared" si="0"/>
        <v>45208</v>
      </c>
      <c r="D19" s="3">
        <v>45225</v>
      </c>
      <c r="E19" s="3">
        <f t="shared" si="1"/>
        <v>45225</v>
      </c>
      <c r="F19" s="16">
        <f t="shared" si="2"/>
        <v>17</v>
      </c>
      <c r="G19" s="16">
        <f>IF(Data!F29&lt;=7,1,0)</f>
        <v>1</v>
      </c>
      <c r="H19" s="5" t="str">
        <f t="shared" si="3"/>
        <v>10-2023</v>
      </c>
      <c r="I19" s="5" t="str">
        <f t="shared" si="4"/>
        <v>Q4-2023</v>
      </c>
      <c r="J19" s="3">
        <f t="shared" si="5"/>
        <v>44938</v>
      </c>
      <c r="K19" s="5" t="str">
        <f t="shared" si="6"/>
        <v>01-2023</v>
      </c>
      <c r="L19" t="s">
        <v>647</v>
      </c>
      <c r="M19" t="s">
        <v>659</v>
      </c>
      <c r="N19" t="s">
        <v>685</v>
      </c>
      <c r="O19" t="str">
        <f t="shared" si="7"/>
        <v>Shanghai</v>
      </c>
      <c r="P19" t="s">
        <v>704</v>
      </c>
      <c r="Q19" t="s">
        <v>709</v>
      </c>
      <c r="R19" t="str">
        <f t="shared" si="8"/>
        <v>Marketplace</v>
      </c>
      <c r="S19" t="s">
        <v>712</v>
      </c>
      <c r="T19" t="str">
        <f t="shared" si="21"/>
        <v>C. Otieno</v>
      </c>
      <c r="U19" t="s">
        <v>727</v>
      </c>
      <c r="V19" t="str">
        <f t="shared" si="9"/>
        <v>High</v>
      </c>
      <c r="W19" t="s">
        <v>1125</v>
      </c>
      <c r="X19" t="str">
        <f t="shared" si="10"/>
        <v>A</v>
      </c>
      <c r="Y19" s="5">
        <v>1132.03</v>
      </c>
      <c r="Z19" s="5">
        <v>2137.21</v>
      </c>
      <c r="AA19" s="5">
        <f t="shared" si="11"/>
        <v>2137.21</v>
      </c>
      <c r="AB19" s="7">
        <v>0.35699999999999998</v>
      </c>
      <c r="AC19" s="7">
        <f t="shared" si="12"/>
        <v>0.3</v>
      </c>
      <c r="AD19" s="16">
        <f t="shared" si="13"/>
        <v>1</v>
      </c>
      <c r="AE19" s="16">
        <v>35</v>
      </c>
      <c r="AF19" s="5">
        <f t="shared" si="14"/>
        <v>52361.645000000004</v>
      </c>
      <c r="AG19">
        <f t="shared" si="15"/>
        <v>39621.049999999996</v>
      </c>
      <c r="AH19" s="5">
        <f t="shared" si="16"/>
        <v>12740.595000000008</v>
      </c>
      <c r="AI19" s="5">
        <f t="shared" si="17"/>
        <v>0.24331922727026639</v>
      </c>
      <c r="AJ19" s="5">
        <f t="shared" si="20"/>
        <v>1320061.3956000002</v>
      </c>
      <c r="AK19" s="7">
        <f t="shared" si="18"/>
        <v>0.12060016310397249</v>
      </c>
      <c r="AL19" s="17">
        <f>MIN(AC19,'What-If Analysis'!$B$2)</f>
        <v>0.2</v>
      </c>
      <c r="AM19">
        <f>AE19*(1+'What-If Analysis'!$B$3)</f>
        <v>45.5</v>
      </c>
      <c r="AN19">
        <f>Y19*(1+'What-If Analysis'!$B$4)</f>
        <v>1245.2330000000002</v>
      </c>
      <c r="AO19">
        <f t="shared" si="19"/>
        <v>77794.444000000003</v>
      </c>
    </row>
    <row r="20" spans="1:41" x14ac:dyDescent="0.3">
      <c r="A20" t="s">
        <v>376</v>
      </c>
      <c r="B20" s="3">
        <v>45108</v>
      </c>
      <c r="C20" s="3">
        <f t="shared" si="0"/>
        <v>45108</v>
      </c>
      <c r="D20" s="3">
        <v>45115</v>
      </c>
      <c r="E20" s="3">
        <f t="shared" si="1"/>
        <v>45115</v>
      </c>
      <c r="F20" s="16">
        <f t="shared" si="2"/>
        <v>7</v>
      </c>
      <c r="G20" s="16">
        <f>IF(Data!F9&lt;=7,1,0)</f>
        <v>0</v>
      </c>
      <c r="H20" s="5" t="str">
        <f t="shared" si="3"/>
        <v>07-2023</v>
      </c>
      <c r="I20" s="5" t="str">
        <f t="shared" si="4"/>
        <v>Q3-2023</v>
      </c>
      <c r="J20" s="3">
        <f t="shared" si="5"/>
        <v>44939</v>
      </c>
      <c r="K20" s="5" t="str">
        <f t="shared" si="6"/>
        <v>01-2023</v>
      </c>
      <c r="L20" t="s">
        <v>646</v>
      </c>
      <c r="M20" t="s">
        <v>651</v>
      </c>
      <c r="N20" t="s">
        <v>663</v>
      </c>
      <c r="O20" t="str">
        <f t="shared" si="7"/>
        <v>Port Harcourt</v>
      </c>
      <c r="P20" t="s">
        <v>701</v>
      </c>
      <c r="Q20" t="s">
        <v>707</v>
      </c>
      <c r="R20" t="str">
        <f t="shared" si="8"/>
        <v>Retail</v>
      </c>
      <c r="S20" t="s">
        <v>720</v>
      </c>
      <c r="T20" t="str">
        <f t="shared" si="21"/>
        <v>A. Patel</v>
      </c>
      <c r="U20" t="s">
        <v>731</v>
      </c>
      <c r="V20" t="str">
        <f t="shared" si="9"/>
        <v>High</v>
      </c>
      <c r="W20" t="s">
        <v>1096</v>
      </c>
      <c r="X20" t="str">
        <f t="shared" si="10"/>
        <v>A</v>
      </c>
      <c r="Y20" s="5">
        <v>834.26</v>
      </c>
      <c r="Z20" s="5">
        <v>1780.56</v>
      </c>
      <c r="AA20" s="5">
        <f t="shared" si="11"/>
        <v>1780.56</v>
      </c>
      <c r="AB20" s="7">
        <v>1.4E-2</v>
      </c>
      <c r="AC20" s="7">
        <f t="shared" si="12"/>
        <v>1.4E-2</v>
      </c>
      <c r="AD20" s="16">
        <f t="shared" si="13"/>
        <v>0</v>
      </c>
      <c r="AE20" s="16">
        <v>47</v>
      </c>
      <c r="AF20" s="5">
        <f t="shared" si="14"/>
        <v>82514.711519999997</v>
      </c>
      <c r="AG20">
        <f t="shared" si="15"/>
        <v>39210.22</v>
      </c>
      <c r="AH20" s="5">
        <f t="shared" si="16"/>
        <v>43304.491519999996</v>
      </c>
      <c r="AI20" s="5">
        <f t="shared" si="17"/>
        <v>0.5248093427497933</v>
      </c>
      <c r="AJ20" s="5">
        <f t="shared" si="20"/>
        <v>1402576.1071200001</v>
      </c>
      <c r="AK20" s="7">
        <f t="shared" si="18"/>
        <v>0.12813866676824043</v>
      </c>
      <c r="AL20" s="17">
        <f>MIN(AC20,'What-If Analysis'!$B$2)</f>
        <v>1.4E-2</v>
      </c>
      <c r="AM20">
        <f>AE20*(1+'What-If Analysis'!$B$3)</f>
        <v>61.1</v>
      </c>
      <c r="AN20">
        <f>Y20*(1+'What-If Analysis'!$B$4)</f>
        <v>917.68600000000004</v>
      </c>
      <c r="AO20">
        <f t="shared" si="19"/>
        <v>107269.12497599999</v>
      </c>
    </row>
    <row r="21" spans="1:41" x14ac:dyDescent="0.3">
      <c r="A21" t="s">
        <v>95</v>
      </c>
      <c r="B21" s="3">
        <v>44965</v>
      </c>
      <c r="C21" s="3">
        <f t="shared" si="0"/>
        <v>44965</v>
      </c>
      <c r="D21" s="3">
        <v>44968</v>
      </c>
      <c r="E21" s="3">
        <f t="shared" si="1"/>
        <v>44968</v>
      </c>
      <c r="F21" s="16">
        <f t="shared" si="2"/>
        <v>3</v>
      </c>
      <c r="G21" s="16">
        <f>IF(Data!F21&lt;=7,1,0)</f>
        <v>1</v>
      </c>
      <c r="H21" s="5" t="str">
        <f t="shared" si="3"/>
        <v>02-2023</v>
      </c>
      <c r="I21" s="5" t="str">
        <f t="shared" si="4"/>
        <v>Q1-2023</v>
      </c>
      <c r="J21" s="3">
        <f t="shared" si="5"/>
        <v>44933</v>
      </c>
      <c r="K21" s="5" t="str">
        <f t="shared" si="6"/>
        <v>01-2023</v>
      </c>
      <c r="L21" t="s">
        <v>646</v>
      </c>
      <c r="M21" t="s">
        <v>661</v>
      </c>
      <c r="N21" t="s">
        <v>695</v>
      </c>
      <c r="O21" t="str">
        <f t="shared" si="7"/>
        <v>Cape Town</v>
      </c>
      <c r="P21" t="s">
        <v>701</v>
      </c>
      <c r="Q21" t="s">
        <v>711</v>
      </c>
      <c r="R21" t="str">
        <f t="shared" si="8"/>
        <v>Direct</v>
      </c>
      <c r="S21" t="s">
        <v>724</v>
      </c>
      <c r="T21" t="str">
        <f t="shared" si="21"/>
        <v>M. Rossi</v>
      </c>
      <c r="U21" t="s">
        <v>729</v>
      </c>
      <c r="V21" t="str">
        <f t="shared" si="9"/>
        <v>High</v>
      </c>
      <c r="W21" t="s">
        <v>814</v>
      </c>
      <c r="X21" t="str">
        <f t="shared" si="10"/>
        <v>A</v>
      </c>
      <c r="Y21" s="5">
        <v>1410.05</v>
      </c>
      <c r="Z21" s="5">
        <v>2763.95</v>
      </c>
      <c r="AA21" s="5">
        <f t="shared" si="11"/>
        <v>2763.95</v>
      </c>
      <c r="AB21" s="7">
        <v>0.161</v>
      </c>
      <c r="AC21" s="7">
        <f t="shared" si="12"/>
        <v>0.161</v>
      </c>
      <c r="AD21" s="16">
        <f t="shared" si="13"/>
        <v>0</v>
      </c>
      <c r="AE21" s="16">
        <v>26</v>
      </c>
      <c r="AF21" s="5">
        <f t="shared" si="14"/>
        <v>60292.805299999993</v>
      </c>
      <c r="AG21">
        <f t="shared" si="15"/>
        <v>36661.299999999996</v>
      </c>
      <c r="AH21" s="5">
        <f t="shared" si="16"/>
        <v>23631.505299999997</v>
      </c>
      <c r="AI21" s="5">
        <f t="shared" si="17"/>
        <v>0.39194569206750779</v>
      </c>
      <c r="AJ21" s="5">
        <f t="shared" si="20"/>
        <v>1462868.9124199999</v>
      </c>
      <c r="AK21" s="7">
        <f t="shared" si="18"/>
        <v>0.13364698795497662</v>
      </c>
      <c r="AL21" s="17">
        <f>MIN(AC21,'What-If Analysis'!$B$2)</f>
        <v>0.161</v>
      </c>
      <c r="AM21">
        <f>AE21*(1+'What-If Analysis'!$B$3)</f>
        <v>33.800000000000004</v>
      </c>
      <c r="AN21">
        <f>Y21*(1+'What-If Analysis'!$B$4)</f>
        <v>1551.0550000000001</v>
      </c>
      <c r="AO21">
        <f t="shared" si="19"/>
        <v>78380.646890000004</v>
      </c>
    </row>
    <row r="22" spans="1:41" x14ac:dyDescent="0.3">
      <c r="A22" t="s">
        <v>553</v>
      </c>
      <c r="B22" s="3">
        <v>45288</v>
      </c>
      <c r="C22" s="3">
        <f t="shared" si="0"/>
        <v>45288</v>
      </c>
      <c r="D22" s="3">
        <v>45292</v>
      </c>
      <c r="E22" s="3">
        <f t="shared" si="1"/>
        <v>45292</v>
      </c>
      <c r="F22" s="16">
        <f t="shared" si="2"/>
        <v>4</v>
      </c>
      <c r="G22" s="16">
        <f>IF(Data!F16&lt;=7,1,0)</f>
        <v>0</v>
      </c>
      <c r="H22" s="5" t="str">
        <f t="shared" si="3"/>
        <v>12-2023</v>
      </c>
      <c r="I22" s="5" t="str">
        <f t="shared" si="4"/>
        <v>Q4-2023</v>
      </c>
      <c r="J22" s="3">
        <f t="shared" si="5"/>
        <v>44933</v>
      </c>
      <c r="K22" s="5" t="str">
        <f t="shared" si="6"/>
        <v>01-2023</v>
      </c>
      <c r="L22" t="s">
        <v>646</v>
      </c>
      <c r="M22" t="s">
        <v>661</v>
      </c>
      <c r="N22" t="s">
        <v>695</v>
      </c>
      <c r="O22" t="str">
        <f t="shared" si="7"/>
        <v>Cape Town</v>
      </c>
      <c r="P22" t="s">
        <v>702</v>
      </c>
      <c r="Q22" t="s">
        <v>710</v>
      </c>
      <c r="R22" t="str">
        <f t="shared" si="8"/>
        <v>Distributor</v>
      </c>
      <c r="S22" t="s">
        <v>720</v>
      </c>
      <c r="T22" t="str">
        <f t="shared" si="21"/>
        <v>A. Patel</v>
      </c>
      <c r="U22" t="s">
        <v>728</v>
      </c>
      <c r="V22" t="str">
        <f t="shared" si="9"/>
        <v>High</v>
      </c>
      <c r="W22" t="s">
        <v>1271</v>
      </c>
      <c r="X22" t="str">
        <f t="shared" si="10"/>
        <v>A</v>
      </c>
      <c r="Y22" s="5">
        <v>1141.8</v>
      </c>
      <c r="Z22" s="5">
        <v>2318.7399999999998</v>
      </c>
      <c r="AA22" s="5">
        <f t="shared" si="11"/>
        <v>2318.7399999999998</v>
      </c>
      <c r="AB22" s="7">
        <v>0.107</v>
      </c>
      <c r="AC22" s="7">
        <f t="shared" si="12"/>
        <v>0.107</v>
      </c>
      <c r="AD22" s="16">
        <f t="shared" si="13"/>
        <v>0</v>
      </c>
      <c r="AE22" s="16">
        <v>32</v>
      </c>
      <c r="AF22" s="5">
        <f t="shared" si="14"/>
        <v>66260.314239999992</v>
      </c>
      <c r="AG22">
        <f t="shared" si="15"/>
        <v>36537.599999999999</v>
      </c>
      <c r="AH22" s="5">
        <f t="shared" si="16"/>
        <v>29722.714239999994</v>
      </c>
      <c r="AI22" s="5">
        <f t="shared" si="17"/>
        <v>0.44857490612468304</v>
      </c>
      <c r="AJ22" s="5">
        <f t="shared" si="20"/>
        <v>1529129.2266599999</v>
      </c>
      <c r="AK22" s="7">
        <f t="shared" si="18"/>
        <v>0.13970049783815319</v>
      </c>
      <c r="AL22" s="17">
        <f>MIN(AC22,'What-If Analysis'!$B$2)</f>
        <v>0.107</v>
      </c>
      <c r="AM22">
        <f>AE22*(1+'What-If Analysis'!$B$3)</f>
        <v>41.6</v>
      </c>
      <c r="AN22">
        <f>Y22*(1+'What-If Analysis'!$B$4)</f>
        <v>1255.98</v>
      </c>
      <c r="AO22">
        <f t="shared" si="19"/>
        <v>86138.408511999995</v>
      </c>
    </row>
    <row r="23" spans="1:41" x14ac:dyDescent="0.3">
      <c r="A23" t="s">
        <v>217</v>
      </c>
      <c r="B23" s="3">
        <v>44946</v>
      </c>
      <c r="C23" s="3">
        <f t="shared" si="0"/>
        <v>44946</v>
      </c>
      <c r="D23" s="3">
        <v>44960</v>
      </c>
      <c r="E23" s="3">
        <f t="shared" si="1"/>
        <v>44960</v>
      </c>
      <c r="F23" s="16">
        <f t="shared" si="2"/>
        <v>14</v>
      </c>
      <c r="G23" s="16">
        <f>IF(Data!F36&lt;=7,1,0)</f>
        <v>0</v>
      </c>
      <c r="H23" s="5" t="str">
        <f t="shared" si="3"/>
        <v>01-2023</v>
      </c>
      <c r="I23" s="5" t="str">
        <f t="shared" si="4"/>
        <v>Q1-2023</v>
      </c>
      <c r="J23" s="3">
        <f t="shared" si="5"/>
        <v>44946</v>
      </c>
      <c r="K23" s="5" t="str">
        <f t="shared" si="6"/>
        <v>01-2023</v>
      </c>
      <c r="L23" t="s">
        <v>646</v>
      </c>
      <c r="M23" t="s">
        <v>650</v>
      </c>
      <c r="N23" t="s">
        <v>662</v>
      </c>
      <c r="O23" t="str">
        <f t="shared" si="7"/>
        <v>Kisumu</v>
      </c>
      <c r="P23" t="s">
        <v>701</v>
      </c>
      <c r="Q23" t="s">
        <v>707</v>
      </c>
      <c r="R23" t="str">
        <f t="shared" si="8"/>
        <v>Retail</v>
      </c>
      <c r="S23" t="s">
        <v>724</v>
      </c>
      <c r="T23" t="str">
        <f t="shared" si="21"/>
        <v>M. Rossi</v>
      </c>
      <c r="U23" t="s">
        <v>729</v>
      </c>
      <c r="V23" t="str">
        <f t="shared" si="9"/>
        <v>Medium</v>
      </c>
      <c r="W23" t="s">
        <v>937</v>
      </c>
      <c r="X23" t="str">
        <f t="shared" si="10"/>
        <v>A</v>
      </c>
      <c r="Y23" s="5">
        <v>884.36</v>
      </c>
      <c r="Z23" s="5">
        <v>1545.34</v>
      </c>
      <c r="AA23" s="5">
        <f t="shared" si="11"/>
        <v>1545.34</v>
      </c>
      <c r="AB23" s="7">
        <v>0.24299999999999999</v>
      </c>
      <c r="AC23" s="7">
        <f t="shared" si="12"/>
        <v>0.24299999999999999</v>
      </c>
      <c r="AD23" s="16">
        <f t="shared" si="13"/>
        <v>1</v>
      </c>
      <c r="AE23" s="16">
        <v>41</v>
      </c>
      <c r="AF23" s="5">
        <f t="shared" si="14"/>
        <v>47962.717579999997</v>
      </c>
      <c r="AG23">
        <f t="shared" si="15"/>
        <v>36258.76</v>
      </c>
      <c r="AH23" s="5">
        <f t="shared" si="16"/>
        <v>11703.957579999995</v>
      </c>
      <c r="AI23" s="5">
        <f t="shared" si="17"/>
        <v>0.24402198562827965</v>
      </c>
      <c r="AJ23" s="5">
        <f t="shared" si="20"/>
        <v>1577091.9442399999</v>
      </c>
      <c r="AK23" s="7">
        <f t="shared" si="18"/>
        <v>0.14408234824476149</v>
      </c>
      <c r="AL23" s="17">
        <f>MIN(AC23,'What-If Analysis'!$B$2)</f>
        <v>0.2</v>
      </c>
      <c r="AM23">
        <f>AE23*(1+'What-If Analysis'!$B$3)</f>
        <v>53.300000000000004</v>
      </c>
      <c r="AN23">
        <f>Y23*(1+'What-If Analysis'!$B$4)</f>
        <v>972.79600000000005</v>
      </c>
      <c r="AO23">
        <f t="shared" si="19"/>
        <v>65893.297600000005</v>
      </c>
    </row>
    <row r="24" spans="1:41" x14ac:dyDescent="0.3">
      <c r="A24" t="s">
        <v>399</v>
      </c>
      <c r="B24" s="3">
        <v>45066</v>
      </c>
      <c r="C24" s="3">
        <f t="shared" si="0"/>
        <v>45066</v>
      </c>
      <c r="D24" s="3">
        <v>45096</v>
      </c>
      <c r="E24" s="3">
        <f t="shared" si="1"/>
        <v>45096</v>
      </c>
      <c r="F24" s="16">
        <f t="shared" si="2"/>
        <v>30</v>
      </c>
      <c r="G24" s="16">
        <f>IF(Data!F177&lt;=7,1,0)</f>
        <v>0</v>
      </c>
      <c r="H24" s="5" t="str">
        <f t="shared" si="3"/>
        <v>05-2023</v>
      </c>
      <c r="I24" s="5" t="str">
        <f t="shared" si="4"/>
        <v>Q2-2023</v>
      </c>
      <c r="J24" s="3">
        <f t="shared" si="5"/>
        <v>44955</v>
      </c>
      <c r="K24" s="5" t="str">
        <f t="shared" si="6"/>
        <v>01-2023</v>
      </c>
      <c r="L24" t="s">
        <v>647</v>
      </c>
      <c r="M24" t="s">
        <v>654</v>
      </c>
      <c r="N24" t="s">
        <v>680</v>
      </c>
      <c r="O24" t="str">
        <f t="shared" si="7"/>
        <v>Delhi</v>
      </c>
      <c r="P24" t="s">
        <v>703</v>
      </c>
      <c r="Q24" t="s">
        <v>709</v>
      </c>
      <c r="R24" t="str">
        <f t="shared" si="8"/>
        <v>Marketplace</v>
      </c>
      <c r="S24" t="s">
        <v>722</v>
      </c>
      <c r="T24" t="str">
        <f t="shared" si="21"/>
        <v>H. Kim</v>
      </c>
      <c r="U24" t="s">
        <v>731</v>
      </c>
      <c r="V24" t="str">
        <f t="shared" si="9"/>
        <v>Medium</v>
      </c>
      <c r="W24" t="s">
        <v>1118</v>
      </c>
      <c r="X24" t="str">
        <f t="shared" si="10"/>
        <v>A</v>
      </c>
      <c r="Y24" s="5">
        <v>1161.2</v>
      </c>
      <c r="Z24" s="5">
        <v>878.73</v>
      </c>
      <c r="AA24" s="5">
        <f t="shared" si="11"/>
        <v>878.73</v>
      </c>
      <c r="AB24" s="7">
        <v>0.19</v>
      </c>
      <c r="AC24" s="7">
        <f t="shared" si="12"/>
        <v>0.19</v>
      </c>
      <c r="AD24" s="16">
        <f t="shared" si="13"/>
        <v>0</v>
      </c>
      <c r="AE24" s="16">
        <v>31</v>
      </c>
      <c r="AF24" s="5">
        <f t="shared" si="14"/>
        <v>22064.910300000003</v>
      </c>
      <c r="AG24">
        <f t="shared" si="15"/>
        <v>35997.200000000004</v>
      </c>
      <c r="AH24" s="5">
        <f t="shared" si="16"/>
        <v>13932.289700000001</v>
      </c>
      <c r="AI24" s="5">
        <f t="shared" si="17"/>
        <v>0.63142290227212028</v>
      </c>
      <c r="AJ24" s="5">
        <f t="shared" si="20"/>
        <v>1599156.85454</v>
      </c>
      <c r="AK24" s="7">
        <f t="shared" si="18"/>
        <v>0.14609818765187105</v>
      </c>
      <c r="AL24" s="17">
        <f>MIN(AC24,'What-If Analysis'!$B$2)</f>
        <v>0.19</v>
      </c>
      <c r="AM24">
        <f>AE24*(1+'What-If Analysis'!$B$3)</f>
        <v>40.300000000000004</v>
      </c>
      <c r="AN24">
        <f>Y24*(1+'What-If Analysis'!$B$4)</f>
        <v>1277.3200000000002</v>
      </c>
      <c r="AO24">
        <f t="shared" si="19"/>
        <v>28684.383390000003</v>
      </c>
    </row>
    <row r="25" spans="1:41" x14ac:dyDescent="0.3">
      <c r="A25" t="s">
        <v>437</v>
      </c>
      <c r="B25" s="3">
        <v>45915</v>
      </c>
      <c r="C25" s="3">
        <f t="shared" si="0"/>
        <v>45915</v>
      </c>
      <c r="D25" s="3">
        <v>45925</v>
      </c>
      <c r="E25" s="3">
        <f t="shared" si="1"/>
        <v>45925</v>
      </c>
      <c r="F25" s="16">
        <f t="shared" si="2"/>
        <v>10</v>
      </c>
      <c r="G25" s="16">
        <f>IF(Data!F115&lt;=7,1,0)</f>
        <v>0</v>
      </c>
      <c r="H25" s="5" t="str">
        <f t="shared" si="3"/>
        <v>09-2025</v>
      </c>
      <c r="I25" s="5" t="str">
        <f t="shared" si="4"/>
        <v>Q3-2025</v>
      </c>
      <c r="J25" s="3">
        <f t="shared" si="5"/>
        <v>44955</v>
      </c>
      <c r="K25" s="5" t="str">
        <f t="shared" si="6"/>
        <v>01-2023</v>
      </c>
      <c r="L25" t="s">
        <v>647</v>
      </c>
      <c r="M25" t="s">
        <v>654</v>
      </c>
      <c r="N25" t="s">
        <v>680</v>
      </c>
      <c r="O25" t="str">
        <f t="shared" si="7"/>
        <v>Delhi</v>
      </c>
      <c r="P25" t="s">
        <v>704</v>
      </c>
      <c r="Q25" t="s">
        <v>707</v>
      </c>
      <c r="R25" t="str">
        <f t="shared" si="8"/>
        <v>Retail</v>
      </c>
      <c r="S25" t="s">
        <v>720</v>
      </c>
      <c r="T25" t="str">
        <f t="shared" si="21"/>
        <v>A. Patel</v>
      </c>
      <c r="U25" t="s">
        <v>730</v>
      </c>
      <c r="V25" t="str">
        <f t="shared" si="9"/>
        <v>Medium</v>
      </c>
      <c r="W25" t="s">
        <v>1156</v>
      </c>
      <c r="X25" t="str">
        <f t="shared" si="10"/>
        <v>A</v>
      </c>
      <c r="Y25" s="5">
        <v>1488.91</v>
      </c>
      <c r="Z25" s="5">
        <v>1483.74</v>
      </c>
      <c r="AA25" s="5">
        <f t="shared" si="11"/>
        <v>1483.74</v>
      </c>
      <c r="AB25" s="7">
        <v>0.16800000000000001</v>
      </c>
      <c r="AC25" s="7">
        <f t="shared" si="12"/>
        <v>0.16800000000000001</v>
      </c>
      <c r="AD25" s="16">
        <f t="shared" si="13"/>
        <v>0</v>
      </c>
      <c r="AE25" s="16">
        <v>24</v>
      </c>
      <c r="AF25" s="5">
        <f t="shared" si="14"/>
        <v>29627.320319999999</v>
      </c>
      <c r="AG25">
        <f t="shared" si="15"/>
        <v>35733.840000000004</v>
      </c>
      <c r="AH25" s="5">
        <f t="shared" si="16"/>
        <v>6106.5196800000049</v>
      </c>
      <c r="AI25" s="5">
        <f t="shared" si="17"/>
        <v>0.20611110333450519</v>
      </c>
      <c r="AJ25" s="5">
        <f t="shared" si="20"/>
        <v>1628784.1748599999</v>
      </c>
      <c r="AK25" s="7">
        <f t="shared" si="18"/>
        <v>0.14880492513759352</v>
      </c>
      <c r="AL25" s="17">
        <f>MIN(AC25,'What-If Analysis'!$B$2)</f>
        <v>0.16800000000000001</v>
      </c>
      <c r="AM25">
        <f>AE25*(1+'What-If Analysis'!$B$3)</f>
        <v>31.200000000000003</v>
      </c>
      <c r="AN25">
        <f>Y25*(1+'What-If Analysis'!$B$4)</f>
        <v>1637.8010000000002</v>
      </c>
      <c r="AO25">
        <f t="shared" si="19"/>
        <v>38515.516415999999</v>
      </c>
    </row>
    <row r="26" spans="1:41" x14ac:dyDescent="0.3">
      <c r="A26" t="s">
        <v>438</v>
      </c>
      <c r="B26" s="3">
        <v>45341</v>
      </c>
      <c r="C26" s="3">
        <f t="shared" si="0"/>
        <v>45341</v>
      </c>
      <c r="D26" s="3">
        <v>45357</v>
      </c>
      <c r="E26" s="3">
        <f t="shared" si="1"/>
        <v>45357</v>
      </c>
      <c r="F26" s="16">
        <f t="shared" si="2"/>
        <v>16</v>
      </c>
      <c r="G26" s="16">
        <f>IF(Data!F23&lt;=7,1,0)</f>
        <v>0</v>
      </c>
      <c r="H26" s="5" t="str">
        <f t="shared" si="3"/>
        <v>02-2024</v>
      </c>
      <c r="I26" s="5" t="str">
        <f t="shared" si="4"/>
        <v>Q1-2024</v>
      </c>
      <c r="J26" s="3">
        <f t="shared" si="5"/>
        <v>44938</v>
      </c>
      <c r="K26" s="5" t="str">
        <f t="shared" si="6"/>
        <v>01-2023</v>
      </c>
      <c r="L26" t="s">
        <v>647</v>
      </c>
      <c r="M26" t="s">
        <v>659</v>
      </c>
      <c r="N26" t="s">
        <v>699</v>
      </c>
      <c r="O26" t="str">
        <f t="shared" si="7"/>
        <v>Beijing</v>
      </c>
      <c r="P26" t="s">
        <v>702</v>
      </c>
      <c r="Q26" t="s">
        <v>709</v>
      </c>
      <c r="R26" t="str">
        <f t="shared" si="8"/>
        <v>Marketplace</v>
      </c>
      <c r="S26" t="s">
        <v>719</v>
      </c>
      <c r="T26" t="str">
        <f t="shared" si="21"/>
        <v>O. Wang</v>
      </c>
      <c r="U26" t="s">
        <v>728</v>
      </c>
      <c r="V26" t="str">
        <f t="shared" si="9"/>
        <v>High</v>
      </c>
      <c r="W26" t="s">
        <v>1157</v>
      </c>
      <c r="X26" t="str">
        <f t="shared" si="10"/>
        <v>A</v>
      </c>
      <c r="Y26" s="5">
        <v>1477.84</v>
      </c>
      <c r="Z26" s="5">
        <v>3197.47</v>
      </c>
      <c r="AA26" s="5">
        <f t="shared" si="11"/>
        <v>3197.47</v>
      </c>
      <c r="AB26" s="7">
        <v>0.24299999999999999</v>
      </c>
      <c r="AC26" s="7">
        <f t="shared" si="12"/>
        <v>0.24299999999999999</v>
      </c>
      <c r="AD26" s="16">
        <f t="shared" si="13"/>
        <v>1</v>
      </c>
      <c r="AE26" s="16">
        <v>24</v>
      </c>
      <c r="AF26" s="5">
        <f t="shared" si="14"/>
        <v>58091.634960000003</v>
      </c>
      <c r="AG26">
        <f t="shared" si="15"/>
        <v>35468.159999999996</v>
      </c>
      <c r="AH26" s="5">
        <f t="shared" si="16"/>
        <v>22623.474960000007</v>
      </c>
      <c r="AI26" s="5">
        <f t="shared" si="17"/>
        <v>0.38944462443823091</v>
      </c>
      <c r="AJ26" s="5">
        <f t="shared" si="20"/>
        <v>1686875.8098199998</v>
      </c>
      <c r="AK26" s="7">
        <f t="shared" si="18"/>
        <v>0.15411214847925339</v>
      </c>
      <c r="AL26" s="17">
        <f>MIN(AC26,'What-If Analysis'!$B$2)</f>
        <v>0.2</v>
      </c>
      <c r="AM26">
        <f>AE26*(1+'What-If Analysis'!$B$3)</f>
        <v>31.200000000000003</v>
      </c>
      <c r="AN26">
        <f>Y26*(1+'What-If Analysis'!$B$4)</f>
        <v>1625.624</v>
      </c>
      <c r="AO26">
        <f t="shared" si="19"/>
        <v>79808.851200000005</v>
      </c>
    </row>
    <row r="27" spans="1:41" x14ac:dyDescent="0.3">
      <c r="A27" t="s">
        <v>633</v>
      </c>
      <c r="B27" s="3">
        <v>45578</v>
      </c>
      <c r="C27" s="3">
        <f t="shared" si="0"/>
        <v>45578</v>
      </c>
      <c r="D27" s="3">
        <v>45589</v>
      </c>
      <c r="E27" s="3">
        <f t="shared" si="1"/>
        <v>45589</v>
      </c>
      <c r="F27" s="16">
        <f t="shared" si="2"/>
        <v>11</v>
      </c>
      <c r="G27" s="16">
        <f>IF(Data!F48&lt;=7,1,0)</f>
        <v>0</v>
      </c>
      <c r="H27" s="5" t="str">
        <f t="shared" si="3"/>
        <v>10-2024</v>
      </c>
      <c r="I27" s="5" t="str">
        <f t="shared" si="4"/>
        <v>Q4-2024</v>
      </c>
      <c r="J27" s="3">
        <f t="shared" si="5"/>
        <v>44936</v>
      </c>
      <c r="K27" s="5" t="str">
        <f t="shared" si="6"/>
        <v>01-2023</v>
      </c>
      <c r="L27" t="s">
        <v>649</v>
      </c>
      <c r="M27" t="s">
        <v>657</v>
      </c>
      <c r="N27" t="s">
        <v>690</v>
      </c>
      <c r="O27" t="str">
        <f t="shared" si="7"/>
        <v>Paris</v>
      </c>
      <c r="P27" t="s">
        <v>702</v>
      </c>
      <c r="Q27" t="s">
        <v>710</v>
      </c>
      <c r="R27" t="str">
        <f t="shared" si="8"/>
        <v>Distributor</v>
      </c>
      <c r="S27" t="s">
        <v>721</v>
      </c>
      <c r="T27" t="str">
        <f t="shared" si="21"/>
        <v>F. Müller</v>
      </c>
      <c r="U27" t="s">
        <v>727</v>
      </c>
      <c r="V27" t="str">
        <f t="shared" si="9"/>
        <v>Medium</v>
      </c>
      <c r="W27" t="s">
        <v>1351</v>
      </c>
      <c r="X27" t="str">
        <f t="shared" si="10"/>
        <v>A</v>
      </c>
      <c r="Y27" s="5">
        <v>816.7</v>
      </c>
      <c r="Z27" s="5">
        <v>1010.75</v>
      </c>
      <c r="AA27" s="5">
        <f t="shared" si="11"/>
        <v>1010.75</v>
      </c>
      <c r="AB27" s="7">
        <v>4.7E-2</v>
      </c>
      <c r="AC27" s="7">
        <f t="shared" si="12"/>
        <v>4.7E-2</v>
      </c>
      <c r="AD27" s="16">
        <f t="shared" si="13"/>
        <v>0</v>
      </c>
      <c r="AE27" s="16">
        <v>43</v>
      </c>
      <c r="AF27" s="5">
        <f t="shared" si="14"/>
        <v>41419.524249999995</v>
      </c>
      <c r="AG27">
        <f t="shared" si="15"/>
        <v>35118.1</v>
      </c>
      <c r="AH27" s="5">
        <f t="shared" si="16"/>
        <v>6301.4242499999964</v>
      </c>
      <c r="AI27" s="5">
        <f t="shared" si="17"/>
        <v>0.15213656757537472</v>
      </c>
      <c r="AJ27" s="5">
        <f t="shared" si="20"/>
        <v>1728295.3340699999</v>
      </c>
      <c r="AK27" s="7">
        <f t="shared" si="18"/>
        <v>0.15789621594527342</v>
      </c>
      <c r="AL27" s="17">
        <f>MIN(AC27,'What-If Analysis'!$B$2)</f>
        <v>4.7E-2</v>
      </c>
      <c r="AM27">
        <f>AE27*(1+'What-If Analysis'!$B$3)</f>
        <v>55.9</v>
      </c>
      <c r="AN27">
        <f>Y27*(1+'What-If Analysis'!$B$4)</f>
        <v>898.37000000000012</v>
      </c>
      <c r="AO27">
        <f t="shared" si="19"/>
        <v>53845.381524999997</v>
      </c>
    </row>
    <row r="28" spans="1:41" x14ac:dyDescent="0.3">
      <c r="A28" t="s">
        <v>320</v>
      </c>
      <c r="B28" s="3">
        <v>45741</v>
      </c>
      <c r="C28" s="3">
        <f t="shared" si="0"/>
        <v>45741</v>
      </c>
      <c r="D28" s="3">
        <v>45742</v>
      </c>
      <c r="E28" s="3">
        <f t="shared" si="1"/>
        <v>45742</v>
      </c>
      <c r="F28" s="16">
        <f t="shared" si="2"/>
        <v>1</v>
      </c>
      <c r="G28" s="16">
        <f>IF(Data!F44&lt;=7,1,0)</f>
        <v>0</v>
      </c>
      <c r="H28" s="5" t="str">
        <f t="shared" si="3"/>
        <v>03-2025</v>
      </c>
      <c r="I28" s="5" t="str">
        <f t="shared" si="4"/>
        <v>Q1-2025</v>
      </c>
      <c r="J28" s="3">
        <f t="shared" si="5"/>
        <v>44939</v>
      </c>
      <c r="K28" s="5" t="str">
        <f t="shared" si="6"/>
        <v>01-2023</v>
      </c>
      <c r="L28" t="s">
        <v>646</v>
      </c>
      <c r="M28" t="s">
        <v>651</v>
      </c>
      <c r="N28" t="s">
        <v>665</v>
      </c>
      <c r="O28" t="str">
        <f t="shared" si="7"/>
        <v>Lagos</v>
      </c>
      <c r="P28" t="s">
        <v>702</v>
      </c>
      <c r="Q28" t="s">
        <v>710</v>
      </c>
      <c r="R28" t="str">
        <f t="shared" si="8"/>
        <v>Distributor</v>
      </c>
      <c r="S28" t="s">
        <v>715</v>
      </c>
      <c r="T28" t="str">
        <f t="shared" si="21"/>
        <v>G. Dubois</v>
      </c>
      <c r="U28" t="s">
        <v>733</v>
      </c>
      <c r="V28" t="str">
        <f t="shared" si="9"/>
        <v>High</v>
      </c>
      <c r="W28" t="s">
        <v>1040</v>
      </c>
      <c r="X28" t="str">
        <f t="shared" si="10"/>
        <v>A</v>
      </c>
      <c r="Y28" s="5">
        <v>1450.43</v>
      </c>
      <c r="Z28" s="5">
        <v>1994.67</v>
      </c>
      <c r="AA28" s="5">
        <f t="shared" si="11"/>
        <v>1994.67</v>
      </c>
      <c r="AB28" s="7">
        <v>0.1</v>
      </c>
      <c r="AC28" s="7">
        <f t="shared" si="12"/>
        <v>0.1</v>
      </c>
      <c r="AD28" s="16">
        <f t="shared" si="13"/>
        <v>0</v>
      </c>
      <c r="AE28" s="16">
        <v>24</v>
      </c>
      <c r="AF28" s="5">
        <f t="shared" si="14"/>
        <v>43084.872000000003</v>
      </c>
      <c r="AG28">
        <f t="shared" si="15"/>
        <v>34810.32</v>
      </c>
      <c r="AH28" s="5">
        <f t="shared" si="16"/>
        <v>8274.5520000000033</v>
      </c>
      <c r="AI28" s="5">
        <f t="shared" si="17"/>
        <v>0.19205237513529116</v>
      </c>
      <c r="AJ28" s="5">
        <f t="shared" si="20"/>
        <v>1771380.2060699998</v>
      </c>
      <c r="AK28" s="7">
        <f t="shared" si="18"/>
        <v>0.16183242876676271</v>
      </c>
      <c r="AL28" s="17">
        <f>MIN(AC28,'What-If Analysis'!$B$2)</f>
        <v>0.1</v>
      </c>
      <c r="AM28">
        <f>AE28*(1+'What-If Analysis'!$B$3)</f>
        <v>31.200000000000003</v>
      </c>
      <c r="AN28">
        <f>Y28*(1+'What-If Analysis'!$B$4)</f>
        <v>1595.4730000000002</v>
      </c>
      <c r="AO28">
        <f t="shared" si="19"/>
        <v>56010.333600000005</v>
      </c>
    </row>
    <row r="29" spans="1:41" x14ac:dyDescent="0.3">
      <c r="A29" t="s">
        <v>627</v>
      </c>
      <c r="B29" s="3">
        <v>45468</v>
      </c>
      <c r="C29" s="3">
        <f t="shared" si="0"/>
        <v>45468</v>
      </c>
      <c r="D29" s="3">
        <v>45473</v>
      </c>
      <c r="E29" s="3">
        <f t="shared" si="1"/>
        <v>45473</v>
      </c>
      <c r="F29" s="16">
        <f t="shared" si="2"/>
        <v>5</v>
      </c>
      <c r="G29" s="16">
        <f>IF(Data!F10&lt;=7,1,0)</f>
        <v>0</v>
      </c>
      <c r="H29" s="5" t="str">
        <f t="shared" si="3"/>
        <v>06-2024</v>
      </c>
      <c r="I29" s="5" t="str">
        <f t="shared" si="4"/>
        <v>Q2-2024</v>
      </c>
      <c r="J29" s="3">
        <f t="shared" si="5"/>
        <v>44946</v>
      </c>
      <c r="K29" s="5" t="str">
        <f t="shared" si="6"/>
        <v>01-2023</v>
      </c>
      <c r="L29" t="s">
        <v>646</v>
      </c>
      <c r="M29" t="s">
        <v>650</v>
      </c>
      <c r="N29" t="s">
        <v>662</v>
      </c>
      <c r="O29" t="str">
        <f t="shared" si="7"/>
        <v>Kisumu</v>
      </c>
      <c r="P29" t="s">
        <v>702</v>
      </c>
      <c r="Q29" t="s">
        <v>711</v>
      </c>
      <c r="R29" t="str">
        <f t="shared" si="8"/>
        <v>Direct</v>
      </c>
      <c r="S29" t="s">
        <v>724</v>
      </c>
      <c r="T29" t="str">
        <f t="shared" si="21"/>
        <v>M. Rossi</v>
      </c>
      <c r="U29" t="s">
        <v>729</v>
      </c>
      <c r="V29" t="str">
        <f t="shared" si="9"/>
        <v>High</v>
      </c>
      <c r="W29" t="s">
        <v>1345</v>
      </c>
      <c r="X29" t="str">
        <f t="shared" si="10"/>
        <v>A</v>
      </c>
      <c r="Y29" s="5">
        <v>1323.55</v>
      </c>
      <c r="Z29" s="5">
        <v>3230.35</v>
      </c>
      <c r="AA29" s="5">
        <f t="shared" si="11"/>
        <v>3230.35</v>
      </c>
      <c r="AB29" s="7">
        <v>2.1999999999999999E-2</v>
      </c>
      <c r="AC29" s="7">
        <f t="shared" si="12"/>
        <v>2.1999999999999999E-2</v>
      </c>
      <c r="AD29" s="16">
        <f t="shared" si="13"/>
        <v>0</v>
      </c>
      <c r="AE29" s="16">
        <v>26</v>
      </c>
      <c r="AF29" s="5">
        <f t="shared" si="14"/>
        <v>82141.339799999987</v>
      </c>
      <c r="AG29">
        <f t="shared" si="15"/>
        <v>34412.299999999996</v>
      </c>
      <c r="AH29" s="5">
        <f t="shared" si="16"/>
        <v>47729.039799999991</v>
      </c>
      <c r="AI29" s="5">
        <f t="shared" si="17"/>
        <v>0.58105991351263542</v>
      </c>
      <c r="AJ29" s="5">
        <f t="shared" si="20"/>
        <v>1853521.5458699998</v>
      </c>
      <c r="AK29" s="7">
        <f t="shared" si="18"/>
        <v>0.16933682137340825</v>
      </c>
      <c r="AL29" s="17">
        <f>MIN(AC29,'What-If Analysis'!$B$2)</f>
        <v>2.1999999999999999E-2</v>
      </c>
      <c r="AM29">
        <f>AE29*(1+'What-If Analysis'!$B$3)</f>
        <v>33.800000000000004</v>
      </c>
      <c r="AN29">
        <f>Y29*(1+'What-If Analysis'!$B$4)</f>
        <v>1455.905</v>
      </c>
      <c r="AO29">
        <f t="shared" si="19"/>
        <v>106783.74174000001</v>
      </c>
    </row>
    <row r="30" spans="1:41" x14ac:dyDescent="0.3">
      <c r="A30" t="s">
        <v>602</v>
      </c>
      <c r="B30" s="3">
        <v>45459</v>
      </c>
      <c r="C30" s="3">
        <f t="shared" si="0"/>
        <v>45459</v>
      </c>
      <c r="D30" s="3">
        <v>45464</v>
      </c>
      <c r="E30" s="3">
        <f t="shared" si="1"/>
        <v>45464</v>
      </c>
      <c r="F30" s="16">
        <f t="shared" si="2"/>
        <v>5</v>
      </c>
      <c r="G30" s="16">
        <f>IF(Data!F14&lt;=7,1,0)</f>
        <v>1</v>
      </c>
      <c r="H30" s="5" t="str">
        <f t="shared" si="3"/>
        <v>06-2024</v>
      </c>
      <c r="I30" s="5" t="str">
        <f t="shared" si="4"/>
        <v>Q2-2024</v>
      </c>
      <c r="J30" s="3">
        <f t="shared" si="5"/>
        <v>44988</v>
      </c>
      <c r="K30" s="5" t="str">
        <f t="shared" si="6"/>
        <v>03-2023</v>
      </c>
      <c r="L30" t="s">
        <v>647</v>
      </c>
      <c r="M30" t="s">
        <v>652</v>
      </c>
      <c r="N30" t="s">
        <v>689</v>
      </c>
      <c r="O30" t="str">
        <f t="shared" si="7"/>
        <v>Tokyo</v>
      </c>
      <c r="P30" t="s">
        <v>705</v>
      </c>
      <c r="Q30" t="s">
        <v>710</v>
      </c>
      <c r="R30" t="str">
        <f t="shared" si="8"/>
        <v>Distributor</v>
      </c>
      <c r="S30" t="s">
        <v>721</v>
      </c>
      <c r="T30" t="str">
        <f t="shared" si="21"/>
        <v>F. Müller</v>
      </c>
      <c r="U30" t="s">
        <v>730</v>
      </c>
      <c r="V30" t="str">
        <f t="shared" si="9"/>
        <v>High</v>
      </c>
      <c r="W30" t="s">
        <v>1320</v>
      </c>
      <c r="X30" t="str">
        <f t="shared" si="10"/>
        <v>A</v>
      </c>
      <c r="Y30" s="5">
        <v>1367.13</v>
      </c>
      <c r="Z30" s="5">
        <v>3062.01</v>
      </c>
      <c r="AA30" s="5">
        <f t="shared" si="11"/>
        <v>3062.01</v>
      </c>
      <c r="AB30" s="7">
        <v>0.10299999999999999</v>
      </c>
      <c r="AC30" s="7">
        <f t="shared" si="12"/>
        <v>0.10299999999999999</v>
      </c>
      <c r="AD30" s="16">
        <f t="shared" si="13"/>
        <v>0</v>
      </c>
      <c r="AE30" s="16">
        <v>25</v>
      </c>
      <c r="AF30" s="5">
        <f t="shared" si="14"/>
        <v>68665.574250000005</v>
      </c>
      <c r="AG30">
        <f t="shared" si="15"/>
        <v>34178.25</v>
      </c>
      <c r="AH30" s="5">
        <f t="shared" si="16"/>
        <v>34487.324250000005</v>
      </c>
      <c r="AI30" s="5">
        <f t="shared" si="17"/>
        <v>0.50225057645971705</v>
      </c>
      <c r="AJ30" s="5">
        <f t="shared" si="20"/>
        <v>1922187.1201199999</v>
      </c>
      <c r="AK30" s="7">
        <f t="shared" si="18"/>
        <v>0.17561007463403708</v>
      </c>
      <c r="AL30" s="17">
        <f>MIN(AC30,'What-If Analysis'!$B$2)</f>
        <v>0.10299999999999999</v>
      </c>
      <c r="AM30">
        <f>AE30*(1+'What-If Analysis'!$B$3)</f>
        <v>32.5</v>
      </c>
      <c r="AN30">
        <f>Y30*(1+'What-If Analysis'!$B$4)</f>
        <v>1503.8430000000003</v>
      </c>
      <c r="AO30">
        <f t="shared" si="19"/>
        <v>89265.24652500001</v>
      </c>
    </row>
    <row r="31" spans="1:41" x14ac:dyDescent="0.3">
      <c r="A31" t="s">
        <v>389</v>
      </c>
      <c r="B31" s="3">
        <v>45354</v>
      </c>
      <c r="C31" s="3">
        <f t="shared" si="0"/>
        <v>45354</v>
      </c>
      <c r="D31" s="3">
        <v>45370</v>
      </c>
      <c r="E31" s="3">
        <f t="shared" si="1"/>
        <v>45370</v>
      </c>
      <c r="F31" s="16">
        <f t="shared" si="2"/>
        <v>16</v>
      </c>
      <c r="G31" s="16">
        <f>IF(Data!F64&lt;=7,1,0)</f>
        <v>0</v>
      </c>
      <c r="H31" s="5" t="str">
        <f t="shared" si="3"/>
        <v>03-2024</v>
      </c>
      <c r="I31" s="5" t="str">
        <f t="shared" si="4"/>
        <v>Q1-2024</v>
      </c>
      <c r="J31" s="3">
        <f t="shared" si="5"/>
        <v>44938</v>
      </c>
      <c r="K31" s="5" t="str">
        <f t="shared" si="6"/>
        <v>01-2023</v>
      </c>
      <c r="L31" t="s">
        <v>647</v>
      </c>
      <c r="M31" t="s">
        <v>659</v>
      </c>
      <c r="N31" t="s">
        <v>699</v>
      </c>
      <c r="O31" t="str">
        <f t="shared" si="7"/>
        <v>Beijing</v>
      </c>
      <c r="P31" t="s">
        <v>704</v>
      </c>
      <c r="Q31" t="s">
        <v>710</v>
      </c>
      <c r="R31" t="str">
        <f t="shared" si="8"/>
        <v>Distributor</v>
      </c>
      <c r="S31" t="s">
        <v>715</v>
      </c>
      <c r="T31" t="str">
        <f t="shared" si="21"/>
        <v>G. Dubois</v>
      </c>
      <c r="U31" t="s">
        <v>730</v>
      </c>
      <c r="V31" t="str">
        <f t="shared" si="9"/>
        <v>Medium</v>
      </c>
      <c r="W31" t="s">
        <v>1109</v>
      </c>
      <c r="X31" t="str">
        <f t="shared" si="10"/>
        <v>A</v>
      </c>
      <c r="Y31" s="5">
        <v>988.83</v>
      </c>
      <c r="Z31" s="5">
        <v>1206.04</v>
      </c>
      <c r="AA31" s="5">
        <f t="shared" si="11"/>
        <v>1206.04</v>
      </c>
      <c r="AB31" s="7">
        <v>6.3E-2</v>
      </c>
      <c r="AC31" s="7">
        <f t="shared" si="12"/>
        <v>6.3E-2</v>
      </c>
      <c r="AD31" s="16">
        <f t="shared" si="13"/>
        <v>0</v>
      </c>
      <c r="AE31" s="16">
        <v>34</v>
      </c>
      <c r="AF31" s="5">
        <f t="shared" si="14"/>
        <v>38422.022320000004</v>
      </c>
      <c r="AG31">
        <f t="shared" si="15"/>
        <v>33620.22</v>
      </c>
      <c r="AH31" s="5">
        <f t="shared" si="16"/>
        <v>4801.8023200000025</v>
      </c>
      <c r="AI31" s="5">
        <f t="shared" si="17"/>
        <v>0.12497526236406606</v>
      </c>
      <c r="AJ31" s="5">
        <f t="shared" si="20"/>
        <v>1960609.1424399999</v>
      </c>
      <c r="AK31" s="7">
        <f t="shared" si="18"/>
        <v>0.17912029179061889</v>
      </c>
      <c r="AL31" s="17">
        <f>MIN(AC31,'What-If Analysis'!$B$2)</f>
        <v>6.3E-2</v>
      </c>
      <c r="AM31">
        <f>AE31*(1+'What-If Analysis'!$B$3)</f>
        <v>44.2</v>
      </c>
      <c r="AN31">
        <f>Y31*(1+'What-If Analysis'!$B$4)</f>
        <v>1087.7130000000002</v>
      </c>
      <c r="AO31">
        <f t="shared" si="19"/>
        <v>49948.629016000006</v>
      </c>
    </row>
    <row r="32" spans="1:41" x14ac:dyDescent="0.3">
      <c r="A32" t="s">
        <v>16</v>
      </c>
      <c r="B32" s="3">
        <v>45588</v>
      </c>
      <c r="C32" s="3">
        <f t="shared" si="0"/>
        <v>45587</v>
      </c>
      <c r="D32" s="3">
        <v>45587</v>
      </c>
      <c r="E32" s="3">
        <f t="shared" si="1"/>
        <v>45588</v>
      </c>
      <c r="F32" s="16">
        <f t="shared" si="2"/>
        <v>1</v>
      </c>
      <c r="G32" s="16">
        <f>IF(Data!F223&lt;=7,1,0)</f>
        <v>0</v>
      </c>
      <c r="H32" s="5" t="str">
        <f t="shared" si="3"/>
        <v>10-2024</v>
      </c>
      <c r="I32" s="5" t="str">
        <f t="shared" si="4"/>
        <v>Q4-2024</v>
      </c>
      <c r="J32" s="3">
        <f t="shared" si="5"/>
        <v>44939</v>
      </c>
      <c r="K32" s="5" t="str">
        <f t="shared" si="6"/>
        <v>01-2023</v>
      </c>
      <c r="L32" t="s">
        <v>646</v>
      </c>
      <c r="M32" t="s">
        <v>651</v>
      </c>
      <c r="N32" t="s">
        <v>663</v>
      </c>
      <c r="O32" t="str">
        <f t="shared" si="7"/>
        <v>Port Harcourt</v>
      </c>
      <c r="P32" t="s">
        <v>702</v>
      </c>
      <c r="Q32" t="s">
        <v>708</v>
      </c>
      <c r="R32" t="str">
        <f t="shared" si="8"/>
        <v>Online</v>
      </c>
      <c r="S32" t="s">
        <v>713</v>
      </c>
      <c r="T32" t="str">
        <f t="shared" si="21"/>
        <v>J. Njeri</v>
      </c>
      <c r="U32" t="s">
        <v>728</v>
      </c>
      <c r="V32" t="str">
        <f t="shared" si="9"/>
        <v>Low</v>
      </c>
      <c r="W32" t="s">
        <v>735</v>
      </c>
      <c r="X32" t="str">
        <f t="shared" si="10"/>
        <v>A</v>
      </c>
      <c r="Y32" s="5">
        <v>1084.3900000000001</v>
      </c>
      <c r="Z32" s="5">
        <v>759.33</v>
      </c>
      <c r="AA32" s="5">
        <f t="shared" si="11"/>
        <v>759.33</v>
      </c>
      <c r="AB32" s="7">
        <v>0.23699999999999999</v>
      </c>
      <c r="AC32" s="7">
        <f t="shared" si="12"/>
        <v>0.23699999999999999</v>
      </c>
      <c r="AD32" s="16">
        <f t="shared" si="13"/>
        <v>1</v>
      </c>
      <c r="AE32" s="16">
        <v>31</v>
      </c>
      <c r="AF32" s="5">
        <f t="shared" si="14"/>
        <v>17960.432489999999</v>
      </c>
      <c r="AG32">
        <f t="shared" si="15"/>
        <v>33616.090000000004</v>
      </c>
      <c r="AH32" s="5">
        <f t="shared" si="16"/>
        <v>15655.657510000005</v>
      </c>
      <c r="AI32" s="5">
        <f t="shared" si="17"/>
        <v>0.87167486187856302</v>
      </c>
      <c r="AJ32" s="5">
        <f t="shared" si="20"/>
        <v>1978569.5749299999</v>
      </c>
      <c r="AK32" s="7">
        <f t="shared" si="18"/>
        <v>0.18076114811361391</v>
      </c>
      <c r="AL32" s="17">
        <f>MIN(AC32,'What-If Analysis'!$B$2)</f>
        <v>0.2</v>
      </c>
      <c r="AM32">
        <f>AE32*(1+'What-If Analysis'!$B$3)</f>
        <v>40.300000000000004</v>
      </c>
      <c r="AN32">
        <f>Y32*(1+'What-If Analysis'!$B$4)</f>
        <v>1192.8290000000002</v>
      </c>
      <c r="AO32">
        <f t="shared" si="19"/>
        <v>24480.799200000005</v>
      </c>
    </row>
    <row r="33" spans="1:41" x14ac:dyDescent="0.3">
      <c r="A33" t="s">
        <v>278</v>
      </c>
      <c r="B33" s="3">
        <v>45763</v>
      </c>
      <c r="C33" s="3">
        <f t="shared" si="0"/>
        <v>45763</v>
      </c>
      <c r="D33" s="3">
        <v>45773</v>
      </c>
      <c r="E33" s="3">
        <f t="shared" si="1"/>
        <v>45773</v>
      </c>
      <c r="F33" s="16">
        <f t="shared" si="2"/>
        <v>10</v>
      </c>
      <c r="G33" s="16">
        <f>IF(Data!F56&lt;=7,1,0)</f>
        <v>1</v>
      </c>
      <c r="H33" s="5" t="str">
        <f t="shared" si="3"/>
        <v>04-2025</v>
      </c>
      <c r="I33" s="5" t="str">
        <f t="shared" si="4"/>
        <v>Q2-2025</v>
      </c>
      <c r="J33" s="3">
        <f t="shared" si="5"/>
        <v>44939</v>
      </c>
      <c r="K33" s="5" t="str">
        <f t="shared" si="6"/>
        <v>01-2023</v>
      </c>
      <c r="L33" t="s">
        <v>646</v>
      </c>
      <c r="M33" t="s">
        <v>651</v>
      </c>
      <c r="N33" t="s">
        <v>663</v>
      </c>
      <c r="O33" t="str">
        <f t="shared" si="7"/>
        <v>Port Harcourt</v>
      </c>
      <c r="P33" t="s">
        <v>706</v>
      </c>
      <c r="Q33" t="s">
        <v>709</v>
      </c>
      <c r="R33" t="str">
        <f t="shared" si="8"/>
        <v>Marketplace</v>
      </c>
      <c r="S33" t="s">
        <v>721</v>
      </c>
      <c r="T33" t="str">
        <f t="shared" si="21"/>
        <v>F. Müller</v>
      </c>
      <c r="U33" t="s">
        <v>731</v>
      </c>
      <c r="V33" t="str">
        <f t="shared" si="9"/>
        <v>High</v>
      </c>
      <c r="W33" t="s">
        <v>998</v>
      </c>
      <c r="X33" t="str">
        <f t="shared" si="10"/>
        <v>A</v>
      </c>
      <c r="Y33" s="5">
        <v>1457.44</v>
      </c>
      <c r="Z33" s="5">
        <v>1996.81</v>
      </c>
      <c r="AA33" s="5">
        <f t="shared" si="11"/>
        <v>1996.81</v>
      </c>
      <c r="AB33" s="7">
        <v>0.126</v>
      </c>
      <c r="AC33" s="7">
        <f t="shared" si="12"/>
        <v>0.126</v>
      </c>
      <c r="AD33" s="16">
        <f t="shared" si="13"/>
        <v>0</v>
      </c>
      <c r="AE33" s="16">
        <v>23</v>
      </c>
      <c r="AF33" s="5">
        <f t="shared" si="14"/>
        <v>40139.874619999995</v>
      </c>
      <c r="AG33">
        <f t="shared" si="15"/>
        <v>33521.120000000003</v>
      </c>
      <c r="AH33" s="5">
        <f t="shared" si="16"/>
        <v>6618.7546199999924</v>
      </c>
      <c r="AI33" s="5">
        <f t="shared" si="17"/>
        <v>0.16489225944672353</v>
      </c>
      <c r="AJ33" s="5">
        <f t="shared" si="20"/>
        <v>2018709.4495499998</v>
      </c>
      <c r="AK33" s="7">
        <f t="shared" si="18"/>
        <v>0.18442830741565888</v>
      </c>
      <c r="AL33" s="17">
        <f>MIN(AC33,'What-If Analysis'!$B$2)</f>
        <v>0.126</v>
      </c>
      <c r="AM33">
        <f>AE33*(1+'What-If Analysis'!$B$3)</f>
        <v>29.900000000000002</v>
      </c>
      <c r="AN33">
        <f>Y33*(1+'What-If Analysis'!$B$4)</f>
        <v>1603.1840000000002</v>
      </c>
      <c r="AO33">
        <f t="shared" si="19"/>
        <v>52181.837006000009</v>
      </c>
    </row>
    <row r="34" spans="1:41" x14ac:dyDescent="0.3">
      <c r="A34" t="s">
        <v>213</v>
      </c>
      <c r="B34" s="3">
        <v>45030</v>
      </c>
      <c r="C34" s="3">
        <f t="shared" si="0"/>
        <v>45030</v>
      </c>
      <c r="D34" s="3">
        <v>45059</v>
      </c>
      <c r="E34" s="3">
        <f t="shared" si="1"/>
        <v>45059</v>
      </c>
      <c r="F34" s="16">
        <f t="shared" si="2"/>
        <v>29</v>
      </c>
      <c r="G34" s="16">
        <f>IF(Data!F26&lt;=7,1,0)</f>
        <v>0</v>
      </c>
      <c r="H34" s="5" t="str">
        <f t="shared" si="3"/>
        <v>04-2023</v>
      </c>
      <c r="I34" s="5" t="str">
        <f t="shared" si="4"/>
        <v>Q2-2023</v>
      </c>
      <c r="J34" s="3">
        <f t="shared" si="5"/>
        <v>44947</v>
      </c>
      <c r="K34" s="5" t="str">
        <f t="shared" si="6"/>
        <v>01-2023</v>
      </c>
      <c r="L34" t="s">
        <v>649</v>
      </c>
      <c r="M34" t="s">
        <v>656</v>
      </c>
      <c r="N34" t="s">
        <v>698</v>
      </c>
      <c r="O34" t="str">
        <f t="shared" si="7"/>
        <v>Frankfurt</v>
      </c>
      <c r="P34" t="s">
        <v>704</v>
      </c>
      <c r="Q34" t="s">
        <v>711</v>
      </c>
      <c r="R34" t="str">
        <f t="shared" si="8"/>
        <v>Direct</v>
      </c>
      <c r="S34" t="s">
        <v>713</v>
      </c>
      <c r="T34" t="str">
        <f t="shared" si="21"/>
        <v>J. Njeri</v>
      </c>
      <c r="U34" t="s">
        <v>728</v>
      </c>
      <c r="V34" t="str">
        <f t="shared" si="9"/>
        <v>High</v>
      </c>
      <c r="W34" t="s">
        <v>933</v>
      </c>
      <c r="X34" t="str">
        <f t="shared" si="10"/>
        <v>A</v>
      </c>
      <c r="Y34" s="5">
        <v>1320.33</v>
      </c>
      <c r="Z34" s="5">
        <v>2645.23</v>
      </c>
      <c r="AA34" s="5">
        <f t="shared" si="11"/>
        <v>2645.23</v>
      </c>
      <c r="AB34" s="7">
        <v>0.155</v>
      </c>
      <c r="AC34" s="7">
        <f t="shared" si="12"/>
        <v>0.155</v>
      </c>
      <c r="AD34" s="16">
        <f t="shared" si="13"/>
        <v>0</v>
      </c>
      <c r="AE34" s="16">
        <v>25</v>
      </c>
      <c r="AF34" s="5">
        <f t="shared" si="14"/>
        <v>55880.483749999999</v>
      </c>
      <c r="AG34">
        <f t="shared" si="15"/>
        <v>33008.25</v>
      </c>
      <c r="AH34" s="5">
        <f t="shared" si="16"/>
        <v>22872.233749999999</v>
      </c>
      <c r="AI34" s="5">
        <f t="shared" si="17"/>
        <v>0.40930629470436536</v>
      </c>
      <c r="AJ34" s="5">
        <f t="shared" si="20"/>
        <v>2074589.9332999997</v>
      </c>
      <c r="AK34" s="7">
        <f t="shared" si="18"/>
        <v>0.18953352106484353</v>
      </c>
      <c r="AL34" s="17">
        <f>MIN(AC34,'What-If Analysis'!$B$2)</f>
        <v>0.155</v>
      </c>
      <c r="AM34">
        <f>AE34*(1+'What-If Analysis'!$B$3)</f>
        <v>32.5</v>
      </c>
      <c r="AN34">
        <f>Y34*(1+'What-If Analysis'!$B$4)</f>
        <v>1452.3630000000001</v>
      </c>
      <c r="AO34">
        <f t="shared" si="19"/>
        <v>72644.628875000009</v>
      </c>
    </row>
    <row r="35" spans="1:41" x14ac:dyDescent="0.3">
      <c r="A35" t="s">
        <v>70</v>
      </c>
      <c r="B35" s="3">
        <v>45753</v>
      </c>
      <c r="C35" s="3">
        <f t="shared" si="0"/>
        <v>45753</v>
      </c>
      <c r="D35" s="3">
        <v>45777</v>
      </c>
      <c r="E35" s="3">
        <f t="shared" si="1"/>
        <v>45777</v>
      </c>
      <c r="F35" s="16">
        <f t="shared" si="2"/>
        <v>24</v>
      </c>
      <c r="G35" s="16">
        <f>IF(Data!F98&lt;=7,1,0)</f>
        <v>0</v>
      </c>
      <c r="H35" s="5" t="str">
        <f t="shared" si="3"/>
        <v>04-2025</v>
      </c>
      <c r="I35" s="5" t="str">
        <f t="shared" si="4"/>
        <v>Q2-2025</v>
      </c>
      <c r="J35" s="3">
        <f t="shared" si="5"/>
        <v>44955</v>
      </c>
      <c r="K35" s="5" t="str">
        <f t="shared" si="6"/>
        <v>01-2023</v>
      </c>
      <c r="L35" t="s">
        <v>648</v>
      </c>
      <c r="M35" t="s">
        <v>655</v>
      </c>
      <c r="N35" t="s">
        <v>672</v>
      </c>
      <c r="O35" t="str">
        <f t="shared" si="7"/>
        <v>Brasília</v>
      </c>
      <c r="P35" t="s">
        <v>702</v>
      </c>
      <c r="Q35" t="s">
        <v>708</v>
      </c>
      <c r="R35" t="str">
        <f t="shared" si="8"/>
        <v>Online</v>
      </c>
      <c r="S35" t="s">
        <v>723</v>
      </c>
      <c r="T35" t="str">
        <f t="shared" si="21"/>
        <v>K. Singh</v>
      </c>
      <c r="U35" t="s">
        <v>732</v>
      </c>
      <c r="V35" t="str">
        <f t="shared" si="9"/>
        <v>Medium</v>
      </c>
      <c r="W35" t="s">
        <v>789</v>
      </c>
      <c r="X35" t="str">
        <f t="shared" si="10"/>
        <v>A</v>
      </c>
      <c r="Y35" s="5">
        <v>855.78</v>
      </c>
      <c r="Z35" s="5">
        <v>977.38</v>
      </c>
      <c r="AA35" s="5">
        <f t="shared" si="11"/>
        <v>977.38</v>
      </c>
      <c r="AB35" s="7">
        <v>0.14699999999999999</v>
      </c>
      <c r="AC35" s="7">
        <f t="shared" si="12"/>
        <v>0.14699999999999999</v>
      </c>
      <c r="AD35" s="16">
        <f t="shared" si="13"/>
        <v>0</v>
      </c>
      <c r="AE35" s="16">
        <v>38</v>
      </c>
      <c r="AF35" s="5">
        <f t="shared" si="14"/>
        <v>31680.795320000001</v>
      </c>
      <c r="AG35">
        <f t="shared" si="15"/>
        <v>32519.64</v>
      </c>
      <c r="AH35" s="5">
        <f t="shared" si="16"/>
        <v>838.84467999999833</v>
      </c>
      <c r="AI35" s="5">
        <f t="shared" si="17"/>
        <v>2.6478018355506307E-2</v>
      </c>
      <c r="AJ35" s="5">
        <f t="shared" si="20"/>
        <v>2106270.7286199997</v>
      </c>
      <c r="AK35" s="7">
        <f t="shared" si="18"/>
        <v>0.19242786302165757</v>
      </c>
      <c r="AL35" s="17">
        <f>MIN(AC35,'What-If Analysis'!$B$2)</f>
        <v>0.14699999999999999</v>
      </c>
      <c r="AM35">
        <f>AE35*(1+'What-If Analysis'!$B$3)</f>
        <v>49.4</v>
      </c>
      <c r="AN35">
        <f>Y35*(1+'What-If Analysis'!$B$4)</f>
        <v>941.35800000000006</v>
      </c>
      <c r="AO35">
        <f t="shared" si="19"/>
        <v>41185.033916</v>
      </c>
    </row>
    <row r="36" spans="1:41" x14ac:dyDescent="0.3">
      <c r="A36" t="s">
        <v>636</v>
      </c>
      <c r="B36" s="3">
        <v>45501</v>
      </c>
      <c r="C36" s="3">
        <f t="shared" si="0"/>
        <v>45501</v>
      </c>
      <c r="D36" s="3">
        <v>45527</v>
      </c>
      <c r="E36" s="3">
        <f t="shared" si="1"/>
        <v>45527</v>
      </c>
      <c r="F36" s="16">
        <f t="shared" si="2"/>
        <v>26</v>
      </c>
      <c r="G36" s="16">
        <f>IF(Data!F110&lt;=7,1,0)</f>
        <v>0</v>
      </c>
      <c r="H36" s="5" t="str">
        <f t="shared" si="3"/>
        <v>07-2024</v>
      </c>
      <c r="I36" s="5" t="str">
        <f t="shared" si="4"/>
        <v>Q3-2024</v>
      </c>
      <c r="J36" s="3">
        <f t="shared" si="5"/>
        <v>44955</v>
      </c>
      <c r="K36" s="5" t="str">
        <f t="shared" si="6"/>
        <v>01-2023</v>
      </c>
      <c r="L36" t="s">
        <v>647</v>
      </c>
      <c r="M36" t="s">
        <v>654</v>
      </c>
      <c r="N36" t="s">
        <v>696</v>
      </c>
      <c r="O36" t="str">
        <f t="shared" si="7"/>
        <v>Hyderabad</v>
      </c>
      <c r="P36" t="s">
        <v>701</v>
      </c>
      <c r="Q36" t="s">
        <v>707</v>
      </c>
      <c r="R36" t="str">
        <f t="shared" si="8"/>
        <v>Retail</v>
      </c>
      <c r="S36" t="s">
        <v>713</v>
      </c>
      <c r="T36" t="str">
        <f t="shared" si="21"/>
        <v>J. Njeri</v>
      </c>
      <c r="U36" t="s">
        <v>729</v>
      </c>
      <c r="V36" t="str">
        <f t="shared" si="9"/>
        <v>Medium</v>
      </c>
      <c r="W36" t="s">
        <v>1354</v>
      </c>
      <c r="X36" t="str">
        <f t="shared" si="10"/>
        <v>A</v>
      </c>
      <c r="Y36" s="5">
        <v>1339.24</v>
      </c>
      <c r="Z36" s="5">
        <v>1558.89</v>
      </c>
      <c r="AA36" s="5">
        <f t="shared" si="11"/>
        <v>1558.89</v>
      </c>
      <c r="AB36" s="7">
        <v>0.192</v>
      </c>
      <c r="AC36" s="7">
        <f t="shared" si="12"/>
        <v>0.192</v>
      </c>
      <c r="AD36" s="16">
        <f t="shared" si="13"/>
        <v>0</v>
      </c>
      <c r="AE36" s="16">
        <v>24</v>
      </c>
      <c r="AF36" s="5">
        <f t="shared" si="14"/>
        <v>30229.994880000002</v>
      </c>
      <c r="AG36">
        <f t="shared" si="15"/>
        <v>32141.760000000002</v>
      </c>
      <c r="AH36" s="5">
        <f t="shared" si="16"/>
        <v>1911.76512</v>
      </c>
      <c r="AI36" s="5">
        <f t="shared" si="17"/>
        <v>6.3240669659021781E-2</v>
      </c>
      <c r="AJ36" s="5">
        <f t="shared" si="20"/>
        <v>2136500.7234999998</v>
      </c>
      <c r="AK36" s="7">
        <f t="shared" si="18"/>
        <v>0.19518966056025097</v>
      </c>
      <c r="AL36" s="17">
        <f>MIN(AC36,'What-If Analysis'!$B$2)</f>
        <v>0.192</v>
      </c>
      <c r="AM36">
        <f>AE36*(1+'What-If Analysis'!$B$3)</f>
        <v>31.200000000000003</v>
      </c>
      <c r="AN36">
        <f>Y36*(1+'What-If Analysis'!$B$4)</f>
        <v>1473.1640000000002</v>
      </c>
      <c r="AO36">
        <f t="shared" si="19"/>
        <v>39298.99334400001</v>
      </c>
    </row>
    <row r="37" spans="1:41" x14ac:dyDescent="0.3">
      <c r="A37" t="s">
        <v>250</v>
      </c>
      <c r="B37" s="3">
        <v>45548</v>
      </c>
      <c r="C37" s="3">
        <f t="shared" si="0"/>
        <v>45548</v>
      </c>
      <c r="D37" s="3">
        <v>45567</v>
      </c>
      <c r="E37" s="3">
        <f t="shared" si="1"/>
        <v>45567</v>
      </c>
      <c r="F37" s="16">
        <f t="shared" si="2"/>
        <v>19</v>
      </c>
      <c r="G37" s="16">
        <f>IF(Data!F67&lt;=7,1,0)</f>
        <v>0</v>
      </c>
      <c r="H37" s="5" t="str">
        <f t="shared" si="3"/>
        <v>09-2024</v>
      </c>
      <c r="I37" s="5" t="str">
        <f t="shared" si="4"/>
        <v>Q3-2024</v>
      </c>
      <c r="J37" s="3">
        <f t="shared" si="5"/>
        <v>44946</v>
      </c>
      <c r="K37" s="5" t="str">
        <f t="shared" si="6"/>
        <v>01-2023</v>
      </c>
      <c r="L37" t="s">
        <v>646</v>
      </c>
      <c r="M37" t="s">
        <v>650</v>
      </c>
      <c r="N37" t="s">
        <v>675</v>
      </c>
      <c r="O37" t="str">
        <f t="shared" si="7"/>
        <v>Mombasa</v>
      </c>
      <c r="P37" t="s">
        <v>705</v>
      </c>
      <c r="Q37" t="s">
        <v>707</v>
      </c>
      <c r="R37" t="str">
        <f t="shared" si="8"/>
        <v>Retail</v>
      </c>
      <c r="S37" t="s">
        <v>724</v>
      </c>
      <c r="T37" t="str">
        <f t="shared" si="21"/>
        <v>M. Rossi</v>
      </c>
      <c r="U37" t="s">
        <v>730</v>
      </c>
      <c r="V37" t="str">
        <f t="shared" si="9"/>
        <v>High</v>
      </c>
      <c r="W37" t="s">
        <v>970</v>
      </c>
      <c r="X37" t="str">
        <f t="shared" si="10"/>
        <v>A</v>
      </c>
      <c r="Y37" s="5">
        <v>1338.99</v>
      </c>
      <c r="Z37" s="5">
        <v>1765.76</v>
      </c>
      <c r="AA37" s="5">
        <f t="shared" si="11"/>
        <v>1765.76</v>
      </c>
      <c r="AB37" s="7">
        <v>0.126</v>
      </c>
      <c r="AC37" s="7">
        <f t="shared" si="12"/>
        <v>0.126</v>
      </c>
      <c r="AD37" s="16">
        <f t="shared" si="13"/>
        <v>0</v>
      </c>
      <c r="AE37" s="16">
        <v>24</v>
      </c>
      <c r="AF37" s="5">
        <f t="shared" si="14"/>
        <v>37038.581760000001</v>
      </c>
      <c r="AG37">
        <f t="shared" si="15"/>
        <v>32135.760000000002</v>
      </c>
      <c r="AH37" s="5">
        <f t="shared" si="16"/>
        <v>4902.8217599999989</v>
      </c>
      <c r="AI37" s="5">
        <f t="shared" si="17"/>
        <v>0.1323706666677725</v>
      </c>
      <c r="AJ37" s="5">
        <f t="shared" si="20"/>
        <v>2173539.3052599998</v>
      </c>
      <c r="AK37" s="7">
        <f t="shared" si="18"/>
        <v>0.19857348726428509</v>
      </c>
      <c r="AL37" s="17">
        <f>MIN(AC37,'What-If Analysis'!$B$2)</f>
        <v>0.126</v>
      </c>
      <c r="AM37">
        <f>AE37*(1+'What-If Analysis'!$B$3)</f>
        <v>31.200000000000003</v>
      </c>
      <c r="AN37">
        <f>Y37*(1+'What-If Analysis'!$B$4)</f>
        <v>1472.8890000000001</v>
      </c>
      <c r="AO37">
        <f t="shared" si="19"/>
        <v>48150.156288000006</v>
      </c>
    </row>
    <row r="38" spans="1:41" x14ac:dyDescent="0.3">
      <c r="A38" t="s">
        <v>132</v>
      </c>
      <c r="B38" s="3">
        <v>45653</v>
      </c>
      <c r="C38" s="3">
        <f t="shared" si="0"/>
        <v>45653</v>
      </c>
      <c r="D38" s="3">
        <v>45659</v>
      </c>
      <c r="E38" s="3">
        <f t="shared" si="1"/>
        <v>45659</v>
      </c>
      <c r="F38" s="16">
        <f t="shared" si="2"/>
        <v>6</v>
      </c>
      <c r="G38" s="16">
        <f>IF(Data!F17&lt;=7,1,0)</f>
        <v>0</v>
      </c>
      <c r="H38" s="5" t="str">
        <f t="shared" si="3"/>
        <v>12-2024</v>
      </c>
      <c r="I38" s="5" t="str">
        <f t="shared" si="4"/>
        <v>Q4-2024</v>
      </c>
      <c r="J38" s="3">
        <f t="shared" si="5"/>
        <v>44947</v>
      </c>
      <c r="K38" s="5" t="str">
        <f t="shared" si="6"/>
        <v>01-2023</v>
      </c>
      <c r="L38" t="s">
        <v>649</v>
      </c>
      <c r="M38" t="s">
        <v>656</v>
      </c>
      <c r="N38" t="s">
        <v>698</v>
      </c>
      <c r="O38" t="str">
        <f t="shared" si="7"/>
        <v>Frankfurt</v>
      </c>
      <c r="P38" t="s">
        <v>702</v>
      </c>
      <c r="Q38" t="s">
        <v>711</v>
      </c>
      <c r="R38" t="str">
        <f t="shared" si="8"/>
        <v>Direct</v>
      </c>
      <c r="S38" t="s">
        <v>721</v>
      </c>
      <c r="T38" t="str">
        <f t="shared" si="21"/>
        <v>F. Müller</v>
      </c>
      <c r="U38" t="s">
        <v>731</v>
      </c>
      <c r="V38" t="str">
        <f t="shared" si="9"/>
        <v>High</v>
      </c>
      <c r="W38" t="s">
        <v>851</v>
      </c>
      <c r="X38" t="str">
        <f t="shared" si="10"/>
        <v>A</v>
      </c>
      <c r="Y38" s="5">
        <v>1391.99</v>
      </c>
      <c r="Z38" s="5">
        <v>3469.7</v>
      </c>
      <c r="AA38" s="5">
        <f t="shared" si="11"/>
        <v>3469.7</v>
      </c>
      <c r="AB38" s="7">
        <v>0.184</v>
      </c>
      <c r="AC38" s="7">
        <f t="shared" si="12"/>
        <v>0.184</v>
      </c>
      <c r="AD38" s="16">
        <f t="shared" si="13"/>
        <v>0</v>
      </c>
      <c r="AE38" s="16">
        <v>23</v>
      </c>
      <c r="AF38" s="5">
        <f t="shared" si="14"/>
        <v>65119.329599999997</v>
      </c>
      <c r="AG38">
        <f t="shared" si="15"/>
        <v>32015.77</v>
      </c>
      <c r="AH38" s="5">
        <f t="shared" si="16"/>
        <v>33103.559599999993</v>
      </c>
      <c r="AI38" s="5">
        <f t="shared" si="17"/>
        <v>0.50835227886006973</v>
      </c>
      <c r="AJ38" s="5">
        <f t="shared" si="20"/>
        <v>2238658.6348599996</v>
      </c>
      <c r="AK38" s="7">
        <f t="shared" si="18"/>
        <v>0.20452275734911457</v>
      </c>
      <c r="AL38" s="17">
        <f>MIN(AC38,'What-If Analysis'!$B$2)</f>
        <v>0.184</v>
      </c>
      <c r="AM38">
        <f>AE38*(1+'What-If Analysis'!$B$3)</f>
        <v>29.900000000000002</v>
      </c>
      <c r="AN38">
        <f>Y38*(1+'What-If Analysis'!$B$4)</f>
        <v>1531.1890000000001</v>
      </c>
      <c r="AO38">
        <f t="shared" si="19"/>
        <v>84655.128479999999</v>
      </c>
    </row>
    <row r="39" spans="1:41" x14ac:dyDescent="0.3">
      <c r="A39" t="s">
        <v>396</v>
      </c>
      <c r="B39" s="3">
        <v>45861</v>
      </c>
      <c r="C39" s="3">
        <f t="shared" si="0"/>
        <v>45861</v>
      </c>
      <c r="D39" s="3">
        <v>45886</v>
      </c>
      <c r="E39" s="3">
        <f t="shared" si="1"/>
        <v>45886</v>
      </c>
      <c r="F39" s="16">
        <f t="shared" si="2"/>
        <v>25</v>
      </c>
      <c r="G39" s="16">
        <f>IF(Data!F66&lt;=7,1,0)</f>
        <v>1</v>
      </c>
      <c r="H39" s="5" t="str">
        <f t="shared" si="3"/>
        <v>07-2025</v>
      </c>
      <c r="I39" s="5" t="str">
        <f t="shared" si="4"/>
        <v>Q3-2025</v>
      </c>
      <c r="J39" s="3">
        <f t="shared" si="5"/>
        <v>44945</v>
      </c>
      <c r="K39" s="5" t="str">
        <f t="shared" si="6"/>
        <v>01-2023</v>
      </c>
      <c r="L39" t="s">
        <v>649</v>
      </c>
      <c r="M39" t="s">
        <v>658</v>
      </c>
      <c r="N39" t="s">
        <v>674</v>
      </c>
      <c r="O39" t="str">
        <f t="shared" si="7"/>
        <v>Birmingham</v>
      </c>
      <c r="P39" t="s">
        <v>702</v>
      </c>
      <c r="Q39" t="s">
        <v>708</v>
      </c>
      <c r="R39" t="str">
        <f t="shared" si="8"/>
        <v>Online</v>
      </c>
      <c r="S39" t="s">
        <v>714</v>
      </c>
      <c r="T39" t="str">
        <f t="shared" ref="T39:T70" si="22">IF(S39="",_xlfn.XLOOKUP(L39,L:L,S:S),S39)</f>
        <v>I. Johnson</v>
      </c>
      <c r="U39" t="s">
        <v>728</v>
      </c>
      <c r="V39" t="str">
        <f t="shared" si="9"/>
        <v>Medium</v>
      </c>
      <c r="W39" t="s">
        <v>1115</v>
      </c>
      <c r="X39" t="str">
        <f t="shared" si="10"/>
        <v>A</v>
      </c>
      <c r="Y39" s="5">
        <v>1142.06</v>
      </c>
      <c r="Z39" s="5">
        <v>1455</v>
      </c>
      <c r="AA39" s="5">
        <f t="shared" si="11"/>
        <v>1455</v>
      </c>
      <c r="AB39" s="7">
        <v>7.8E-2</v>
      </c>
      <c r="AC39" s="7">
        <f t="shared" si="12"/>
        <v>7.8E-2</v>
      </c>
      <c r="AD39" s="16">
        <f t="shared" si="13"/>
        <v>0</v>
      </c>
      <c r="AE39" s="16">
        <v>28</v>
      </c>
      <c r="AF39" s="5">
        <f t="shared" si="14"/>
        <v>37562.28</v>
      </c>
      <c r="AG39">
        <f t="shared" si="15"/>
        <v>31977.68</v>
      </c>
      <c r="AH39" s="5">
        <f t="shared" si="16"/>
        <v>5584.5999999999985</v>
      </c>
      <c r="AI39" s="5">
        <f t="shared" si="17"/>
        <v>0.1486757459877302</v>
      </c>
      <c r="AJ39" s="5">
        <f t="shared" si="20"/>
        <v>2276220.9148599994</v>
      </c>
      <c r="AK39" s="7">
        <f t="shared" si="18"/>
        <v>0.207954428868073</v>
      </c>
      <c r="AL39" s="17">
        <f>MIN(AC39,'What-If Analysis'!$B$2)</f>
        <v>7.8E-2</v>
      </c>
      <c r="AM39">
        <f>AE39*(1+'What-If Analysis'!$B$3)</f>
        <v>36.4</v>
      </c>
      <c r="AN39">
        <f>Y39*(1+'What-If Analysis'!$B$4)</f>
        <v>1256.2660000000001</v>
      </c>
      <c r="AO39">
        <f t="shared" si="19"/>
        <v>48830.964</v>
      </c>
    </row>
    <row r="40" spans="1:41" x14ac:dyDescent="0.3">
      <c r="A40" t="s">
        <v>371</v>
      </c>
      <c r="B40" s="3">
        <v>45385</v>
      </c>
      <c r="C40" s="3">
        <f t="shared" si="0"/>
        <v>45385</v>
      </c>
      <c r="D40" s="3">
        <v>45403</v>
      </c>
      <c r="E40" s="3">
        <f t="shared" si="1"/>
        <v>45403</v>
      </c>
      <c r="F40" s="16">
        <f t="shared" si="2"/>
        <v>18</v>
      </c>
      <c r="G40" s="16">
        <f>IF(Data!F35&lt;=7,1,0)</f>
        <v>0</v>
      </c>
      <c r="H40" s="5" t="str">
        <f t="shared" si="3"/>
        <v>04-2024</v>
      </c>
      <c r="I40" s="5" t="str">
        <f t="shared" si="4"/>
        <v>Q2-2024</v>
      </c>
      <c r="J40" s="3">
        <f t="shared" si="5"/>
        <v>44955</v>
      </c>
      <c r="K40" s="5" t="str">
        <f t="shared" si="6"/>
        <v>01-2023</v>
      </c>
      <c r="L40" t="s">
        <v>648</v>
      </c>
      <c r="M40" t="s">
        <v>655</v>
      </c>
      <c r="N40" t="s">
        <v>672</v>
      </c>
      <c r="O40" t="str">
        <f t="shared" si="7"/>
        <v>Brasília</v>
      </c>
      <c r="P40" t="s">
        <v>705</v>
      </c>
      <c r="Q40" t="s">
        <v>710</v>
      </c>
      <c r="R40" t="str">
        <f t="shared" si="8"/>
        <v>Distributor</v>
      </c>
      <c r="S40" t="s">
        <v>717</v>
      </c>
      <c r="T40" t="str">
        <f t="shared" si="22"/>
        <v>B. Chen</v>
      </c>
      <c r="U40" t="s">
        <v>729</v>
      </c>
      <c r="V40" t="str">
        <f t="shared" si="9"/>
        <v>High</v>
      </c>
      <c r="W40" t="s">
        <v>1091</v>
      </c>
      <c r="X40" t="str">
        <f t="shared" si="10"/>
        <v>A</v>
      </c>
      <c r="Y40" s="5">
        <v>1176.69</v>
      </c>
      <c r="Z40" s="5">
        <v>2201.54</v>
      </c>
      <c r="AA40" s="5">
        <f t="shared" si="11"/>
        <v>2201.54</v>
      </c>
      <c r="AB40" s="7">
        <v>0.17</v>
      </c>
      <c r="AC40" s="7">
        <f t="shared" si="12"/>
        <v>0.17</v>
      </c>
      <c r="AD40" s="16">
        <f t="shared" si="13"/>
        <v>0</v>
      </c>
      <c r="AE40" s="16">
        <v>27</v>
      </c>
      <c r="AF40" s="5">
        <f t="shared" si="14"/>
        <v>49336.511399999996</v>
      </c>
      <c r="AG40">
        <f t="shared" si="15"/>
        <v>31770.63</v>
      </c>
      <c r="AH40" s="5">
        <f t="shared" si="16"/>
        <v>17565.881399999995</v>
      </c>
      <c r="AI40" s="5">
        <f t="shared" si="17"/>
        <v>0.35604222717701106</v>
      </c>
      <c r="AJ40" s="5">
        <f t="shared" si="20"/>
        <v>2325557.4262599996</v>
      </c>
      <c r="AK40" s="7">
        <f t="shared" si="18"/>
        <v>0.21246178840578345</v>
      </c>
      <c r="AL40" s="17">
        <f>MIN(AC40,'What-If Analysis'!$B$2)</f>
        <v>0.17</v>
      </c>
      <c r="AM40">
        <f>AE40*(1+'What-If Analysis'!$B$3)</f>
        <v>35.1</v>
      </c>
      <c r="AN40">
        <f>Y40*(1+'What-If Analysis'!$B$4)</f>
        <v>1294.3590000000002</v>
      </c>
      <c r="AO40">
        <f t="shared" si="19"/>
        <v>64137.464820000001</v>
      </c>
    </row>
    <row r="41" spans="1:41" x14ac:dyDescent="0.3">
      <c r="A41" t="s">
        <v>144</v>
      </c>
      <c r="B41" s="3">
        <v>44955</v>
      </c>
      <c r="C41" s="3">
        <f t="shared" si="0"/>
        <v>44955</v>
      </c>
      <c r="D41" s="3">
        <v>44985</v>
      </c>
      <c r="E41" s="3">
        <f t="shared" si="1"/>
        <v>44985</v>
      </c>
      <c r="F41" s="16">
        <f t="shared" si="2"/>
        <v>30</v>
      </c>
      <c r="G41" s="16">
        <f>IF(Data!F134&lt;=7,1,0)</f>
        <v>0</v>
      </c>
      <c r="H41" s="5" t="str">
        <f t="shared" si="3"/>
        <v>01-2023</v>
      </c>
      <c r="I41" s="5" t="str">
        <f t="shared" si="4"/>
        <v>Q1-2023</v>
      </c>
      <c r="J41" s="3">
        <f t="shared" si="5"/>
        <v>44955</v>
      </c>
      <c r="K41" s="5" t="str">
        <f t="shared" si="6"/>
        <v>01-2023</v>
      </c>
      <c r="L41" t="s">
        <v>647</v>
      </c>
      <c r="M41" t="s">
        <v>654</v>
      </c>
      <c r="N41" t="s">
        <v>668</v>
      </c>
      <c r="O41" t="str">
        <f t="shared" si="7"/>
        <v>Bengaluru</v>
      </c>
      <c r="P41" t="s">
        <v>703</v>
      </c>
      <c r="Q41" t="s">
        <v>707</v>
      </c>
      <c r="R41" t="str">
        <f t="shared" si="8"/>
        <v>Retail</v>
      </c>
      <c r="S41" t="s">
        <v>717</v>
      </c>
      <c r="T41" t="str">
        <f t="shared" si="22"/>
        <v>B. Chen</v>
      </c>
      <c r="U41" t="s">
        <v>733</v>
      </c>
      <c r="V41" t="str">
        <f t="shared" si="9"/>
        <v>Medium</v>
      </c>
      <c r="W41" t="s">
        <v>921</v>
      </c>
      <c r="X41" t="str">
        <f t="shared" si="10"/>
        <v>A</v>
      </c>
      <c r="Y41" s="5">
        <v>1262.0999999999999</v>
      </c>
      <c r="Z41" s="5">
        <v>1395.53</v>
      </c>
      <c r="AA41" s="5">
        <f t="shared" si="11"/>
        <v>1395.53</v>
      </c>
      <c r="AB41" s="7">
        <v>0.23300000000000001</v>
      </c>
      <c r="AC41" s="7">
        <f t="shared" si="12"/>
        <v>0.23300000000000001</v>
      </c>
      <c r="AD41" s="16">
        <f t="shared" si="13"/>
        <v>1</v>
      </c>
      <c r="AE41" s="16">
        <v>25</v>
      </c>
      <c r="AF41" s="5">
        <f t="shared" si="14"/>
        <v>26759.28775</v>
      </c>
      <c r="AG41">
        <f t="shared" si="15"/>
        <v>31552.499999999996</v>
      </c>
      <c r="AH41" s="5">
        <f t="shared" si="16"/>
        <v>4793.2122499999969</v>
      </c>
      <c r="AI41" s="5">
        <f t="shared" si="17"/>
        <v>0.17912331205452198</v>
      </c>
      <c r="AJ41" s="5">
        <f t="shared" si="20"/>
        <v>2352316.7140099998</v>
      </c>
      <c r="AK41" s="7">
        <f t="shared" si="18"/>
        <v>0.21490650383943896</v>
      </c>
      <c r="AL41" s="17">
        <f>MIN(AC41,'What-If Analysis'!$B$2)</f>
        <v>0.2</v>
      </c>
      <c r="AM41">
        <f>AE41*(1+'What-If Analysis'!$B$3)</f>
        <v>32.5</v>
      </c>
      <c r="AN41">
        <f>Y41*(1+'What-If Analysis'!$B$4)</f>
        <v>1388.31</v>
      </c>
      <c r="AO41">
        <f t="shared" si="19"/>
        <v>36283.78</v>
      </c>
    </row>
    <row r="42" spans="1:41" x14ac:dyDescent="0.3">
      <c r="A42" t="s">
        <v>511</v>
      </c>
      <c r="B42" s="3">
        <v>45544</v>
      </c>
      <c r="C42" s="3">
        <f t="shared" si="0"/>
        <v>45544</v>
      </c>
      <c r="D42" s="3">
        <v>45548</v>
      </c>
      <c r="E42" s="3">
        <f t="shared" si="1"/>
        <v>45548</v>
      </c>
      <c r="F42" s="16">
        <f t="shared" si="2"/>
        <v>4</v>
      </c>
      <c r="G42" s="16">
        <f>IF(Data!F150&lt;=7,1,0)</f>
        <v>1</v>
      </c>
      <c r="H42" s="5" t="str">
        <f t="shared" si="3"/>
        <v>09-2024</v>
      </c>
      <c r="I42" s="5" t="str">
        <f t="shared" si="4"/>
        <v>Q3-2024</v>
      </c>
      <c r="J42" s="3">
        <f t="shared" si="5"/>
        <v>44945</v>
      </c>
      <c r="K42" s="5" t="str">
        <f t="shared" si="6"/>
        <v>01-2023</v>
      </c>
      <c r="L42" t="s">
        <v>649</v>
      </c>
      <c r="M42" t="s">
        <v>658</v>
      </c>
      <c r="N42" t="s">
        <v>683</v>
      </c>
      <c r="O42" t="str">
        <f t="shared" si="7"/>
        <v>London</v>
      </c>
      <c r="P42" t="s">
        <v>704</v>
      </c>
      <c r="Q42" t="s">
        <v>709</v>
      </c>
      <c r="R42" t="str">
        <f t="shared" si="8"/>
        <v>Marketplace</v>
      </c>
      <c r="S42" t="s">
        <v>721</v>
      </c>
      <c r="T42" t="str">
        <f t="shared" si="22"/>
        <v>F. Müller</v>
      </c>
      <c r="U42" t="s">
        <v>729</v>
      </c>
      <c r="V42" t="str">
        <f t="shared" si="9"/>
        <v>Medium</v>
      </c>
      <c r="W42" t="s">
        <v>1230</v>
      </c>
      <c r="X42" t="str">
        <f t="shared" si="10"/>
        <v>A</v>
      </c>
      <c r="Y42" s="5">
        <v>1133.08</v>
      </c>
      <c r="Z42" s="5">
        <v>976.17</v>
      </c>
      <c r="AA42" s="5">
        <f t="shared" si="11"/>
        <v>976.17</v>
      </c>
      <c r="AB42" s="7">
        <v>4.2000000000000003E-2</v>
      </c>
      <c r="AC42" s="7">
        <f t="shared" si="12"/>
        <v>4.2000000000000003E-2</v>
      </c>
      <c r="AD42" s="16">
        <f t="shared" si="13"/>
        <v>0</v>
      </c>
      <c r="AE42" s="16">
        <v>27</v>
      </c>
      <c r="AF42" s="5">
        <f t="shared" si="14"/>
        <v>25249.613219999999</v>
      </c>
      <c r="AG42">
        <f t="shared" si="15"/>
        <v>30593.159999999996</v>
      </c>
      <c r="AH42" s="5">
        <f t="shared" si="16"/>
        <v>5343.5467799999969</v>
      </c>
      <c r="AI42" s="5">
        <f t="shared" si="17"/>
        <v>0.21162885678452373</v>
      </c>
      <c r="AJ42" s="5">
        <f t="shared" si="20"/>
        <v>2377566.3272299999</v>
      </c>
      <c r="AK42" s="7">
        <f t="shared" si="18"/>
        <v>0.21721329614682264</v>
      </c>
      <c r="AL42" s="17">
        <f>MIN(AC42,'What-If Analysis'!$B$2)</f>
        <v>4.2000000000000003E-2</v>
      </c>
      <c r="AM42">
        <f>AE42*(1+'What-If Analysis'!$B$3)</f>
        <v>35.1</v>
      </c>
      <c r="AN42">
        <f>Y42*(1+'What-If Analysis'!$B$4)</f>
        <v>1246.3879999999999</v>
      </c>
      <c r="AO42">
        <f t="shared" si="19"/>
        <v>32824.497186000001</v>
      </c>
    </row>
    <row r="43" spans="1:41" x14ac:dyDescent="0.3">
      <c r="A43" t="s">
        <v>535</v>
      </c>
      <c r="B43" s="3">
        <v>45056</v>
      </c>
      <c r="C43" s="3">
        <f t="shared" si="0"/>
        <v>45056</v>
      </c>
      <c r="D43" s="3">
        <v>45073</v>
      </c>
      <c r="E43" s="3">
        <f t="shared" si="1"/>
        <v>45073</v>
      </c>
      <c r="F43" s="16">
        <f t="shared" si="2"/>
        <v>17</v>
      </c>
      <c r="G43" s="16">
        <f>IF(Data!F19&lt;=7,1,0)</f>
        <v>0</v>
      </c>
      <c r="H43" s="5" t="str">
        <f t="shared" si="3"/>
        <v>05-2023</v>
      </c>
      <c r="I43" s="5" t="str">
        <f t="shared" si="4"/>
        <v>Q2-2023</v>
      </c>
      <c r="J43" s="3">
        <f t="shared" si="5"/>
        <v>44955</v>
      </c>
      <c r="K43" s="5" t="str">
        <f t="shared" si="6"/>
        <v>01-2023</v>
      </c>
      <c r="L43" t="s">
        <v>647</v>
      </c>
      <c r="M43" t="s">
        <v>654</v>
      </c>
      <c r="N43" t="s">
        <v>691</v>
      </c>
      <c r="O43" t="str">
        <f t="shared" si="7"/>
        <v>Mumbai</v>
      </c>
      <c r="P43" t="s">
        <v>704</v>
      </c>
      <c r="Q43" t="s">
        <v>707</v>
      </c>
      <c r="R43" t="str">
        <f t="shared" si="8"/>
        <v>Retail</v>
      </c>
      <c r="S43" t="s">
        <v>724</v>
      </c>
      <c r="T43" t="str">
        <f t="shared" si="22"/>
        <v>M. Rossi</v>
      </c>
      <c r="U43" t="s">
        <v>731</v>
      </c>
      <c r="V43" t="str">
        <f t="shared" si="9"/>
        <v>High</v>
      </c>
      <c r="W43" t="s">
        <v>1254</v>
      </c>
      <c r="X43" t="str">
        <f t="shared" si="10"/>
        <v>A</v>
      </c>
      <c r="Y43" s="5">
        <v>1286.1600000000001</v>
      </c>
      <c r="Z43" s="5">
        <v>3101.11</v>
      </c>
      <c r="AA43" s="5">
        <f t="shared" si="11"/>
        <v>3101.11</v>
      </c>
      <c r="AB43" s="7">
        <v>0.1</v>
      </c>
      <c r="AC43" s="7">
        <f t="shared" si="12"/>
        <v>0.1</v>
      </c>
      <c r="AD43" s="16">
        <f t="shared" si="13"/>
        <v>0</v>
      </c>
      <c r="AE43" s="16">
        <v>23</v>
      </c>
      <c r="AF43" s="5">
        <f t="shared" si="14"/>
        <v>64192.976999999999</v>
      </c>
      <c r="AG43">
        <f t="shared" si="15"/>
        <v>29581.68</v>
      </c>
      <c r="AH43" s="5">
        <f t="shared" si="16"/>
        <v>34611.296999999999</v>
      </c>
      <c r="AI43" s="5">
        <f t="shared" si="17"/>
        <v>0.53917575749758417</v>
      </c>
      <c r="AJ43" s="5">
        <f t="shared" si="20"/>
        <v>2441759.3042299999</v>
      </c>
      <c r="AK43" s="7">
        <f t="shared" si="18"/>
        <v>0.22307793511144502</v>
      </c>
      <c r="AL43" s="17">
        <f>MIN(AC43,'What-If Analysis'!$B$2)</f>
        <v>0.1</v>
      </c>
      <c r="AM43">
        <f>AE43*(1+'What-If Analysis'!$B$3)</f>
        <v>29.900000000000002</v>
      </c>
      <c r="AN43">
        <f>Y43*(1+'What-If Analysis'!$B$4)</f>
        <v>1414.7760000000003</v>
      </c>
      <c r="AO43">
        <f t="shared" si="19"/>
        <v>83450.870100000015</v>
      </c>
    </row>
    <row r="44" spans="1:41" x14ac:dyDescent="0.3">
      <c r="A44" t="s">
        <v>157</v>
      </c>
      <c r="B44" s="3">
        <v>45133</v>
      </c>
      <c r="C44" s="3">
        <f t="shared" si="0"/>
        <v>45133</v>
      </c>
      <c r="D44" s="3">
        <v>45163</v>
      </c>
      <c r="E44" s="3">
        <f t="shared" si="1"/>
        <v>45163</v>
      </c>
      <c r="F44" s="16">
        <f t="shared" si="2"/>
        <v>30</v>
      </c>
      <c r="G44" s="16">
        <f>IF(Data!F96&lt;=7,1,0)</f>
        <v>0</v>
      </c>
      <c r="H44" s="5" t="str">
        <f t="shared" si="3"/>
        <v>07-2023</v>
      </c>
      <c r="I44" s="5" t="str">
        <f t="shared" si="4"/>
        <v>Q3-2023</v>
      </c>
      <c r="J44" s="3">
        <f t="shared" si="5"/>
        <v>44939</v>
      </c>
      <c r="K44" s="5" t="str">
        <f t="shared" si="6"/>
        <v>01-2023</v>
      </c>
      <c r="L44" t="s">
        <v>648</v>
      </c>
      <c r="M44" t="s">
        <v>660</v>
      </c>
      <c r="N44" t="s">
        <v>700</v>
      </c>
      <c r="O44" t="str">
        <f t="shared" si="7"/>
        <v>New York</v>
      </c>
      <c r="P44" t="s">
        <v>704</v>
      </c>
      <c r="Q44" t="s">
        <v>707</v>
      </c>
      <c r="R44" t="str">
        <f t="shared" si="8"/>
        <v>Retail</v>
      </c>
      <c r="S44" t="s">
        <v>724</v>
      </c>
      <c r="T44" t="str">
        <f t="shared" si="22"/>
        <v>M. Rossi</v>
      </c>
      <c r="U44" t="s">
        <v>733</v>
      </c>
      <c r="V44" t="str">
        <f t="shared" si="9"/>
        <v>High</v>
      </c>
      <c r="W44" t="s">
        <v>876</v>
      </c>
      <c r="X44" t="str">
        <f t="shared" si="10"/>
        <v>A</v>
      </c>
      <c r="Y44" s="5">
        <v>1261.48</v>
      </c>
      <c r="Z44" s="5">
        <v>1643.18</v>
      </c>
      <c r="AA44" s="5">
        <f t="shared" si="11"/>
        <v>1643.18</v>
      </c>
      <c r="AB44" s="7">
        <v>0.151</v>
      </c>
      <c r="AC44" s="7">
        <f t="shared" si="12"/>
        <v>0.151</v>
      </c>
      <c r="AD44" s="16">
        <f t="shared" si="13"/>
        <v>0</v>
      </c>
      <c r="AE44" s="16">
        <v>23</v>
      </c>
      <c r="AF44" s="5">
        <f t="shared" si="14"/>
        <v>32086.37586</v>
      </c>
      <c r="AG44">
        <f t="shared" si="15"/>
        <v>29014.04</v>
      </c>
      <c r="AH44" s="5">
        <f t="shared" si="16"/>
        <v>3072.3358599999992</v>
      </c>
      <c r="AI44" s="5">
        <f t="shared" si="17"/>
        <v>9.5752037357079045E-2</v>
      </c>
      <c r="AJ44" s="5">
        <f t="shared" si="20"/>
        <v>2473845.6800899999</v>
      </c>
      <c r="AK44" s="7">
        <f t="shared" si="18"/>
        <v>0.22600933070791462</v>
      </c>
      <c r="AL44" s="17">
        <f>MIN(AC44,'What-If Analysis'!$B$2)</f>
        <v>0.151</v>
      </c>
      <c r="AM44">
        <f>AE44*(1+'What-If Analysis'!$B$3)</f>
        <v>29.900000000000002</v>
      </c>
      <c r="AN44">
        <f>Y44*(1+'What-If Analysis'!$B$4)</f>
        <v>1387.6280000000002</v>
      </c>
      <c r="AO44">
        <f t="shared" si="19"/>
        <v>41712.288617999999</v>
      </c>
    </row>
    <row r="45" spans="1:41" x14ac:dyDescent="0.3">
      <c r="A45" t="s">
        <v>237</v>
      </c>
      <c r="B45" s="3">
        <v>45854</v>
      </c>
      <c r="C45" s="3">
        <f t="shared" si="0"/>
        <v>45854</v>
      </c>
      <c r="D45" s="3">
        <v>45855</v>
      </c>
      <c r="E45" s="3">
        <f t="shared" si="1"/>
        <v>45855</v>
      </c>
      <c r="F45" s="16">
        <f t="shared" si="2"/>
        <v>1</v>
      </c>
      <c r="G45" s="16">
        <f>IF(Data!F15&lt;=7,1,0)</f>
        <v>0</v>
      </c>
      <c r="H45" s="5" t="str">
        <f t="shared" si="3"/>
        <v>07-2025</v>
      </c>
      <c r="I45" s="5" t="str">
        <f t="shared" si="4"/>
        <v>Q3-2025</v>
      </c>
      <c r="J45" s="3">
        <f t="shared" si="5"/>
        <v>44933</v>
      </c>
      <c r="K45" s="5" t="str">
        <f t="shared" si="6"/>
        <v>01-2023</v>
      </c>
      <c r="L45" t="s">
        <v>646</v>
      </c>
      <c r="M45" t="s">
        <v>661</v>
      </c>
      <c r="N45" t="s">
        <v>687</v>
      </c>
      <c r="O45" t="str">
        <f t="shared" si="7"/>
        <v>Durban</v>
      </c>
      <c r="P45" t="s">
        <v>705</v>
      </c>
      <c r="Q45" t="s">
        <v>710</v>
      </c>
      <c r="R45" t="str">
        <f t="shared" si="8"/>
        <v>Distributor</v>
      </c>
      <c r="S45" t="s">
        <v>717</v>
      </c>
      <c r="T45" t="str">
        <f t="shared" si="22"/>
        <v>B. Chen</v>
      </c>
      <c r="U45" t="s">
        <v>729</v>
      </c>
      <c r="V45" t="str">
        <f t="shared" si="9"/>
        <v>High</v>
      </c>
      <c r="W45" t="s">
        <v>957</v>
      </c>
      <c r="X45" t="str">
        <f t="shared" si="10"/>
        <v>A</v>
      </c>
      <c r="Y45" s="5">
        <v>1198.9000000000001</v>
      </c>
      <c r="Z45" s="5">
        <v>2941.2</v>
      </c>
      <c r="AA45" s="5">
        <f t="shared" si="11"/>
        <v>2941.2</v>
      </c>
      <c r="AB45" s="7">
        <v>5.0999999999999997E-2</v>
      </c>
      <c r="AC45" s="7">
        <f t="shared" si="12"/>
        <v>5.0999999999999997E-2</v>
      </c>
      <c r="AD45" s="16">
        <f t="shared" si="13"/>
        <v>0</v>
      </c>
      <c r="AE45" s="16">
        <v>24</v>
      </c>
      <c r="AF45" s="5">
        <f t="shared" si="14"/>
        <v>66988.771199999988</v>
      </c>
      <c r="AG45">
        <f t="shared" si="15"/>
        <v>28773.600000000002</v>
      </c>
      <c r="AH45" s="5">
        <f t="shared" si="16"/>
        <v>38215.171199999982</v>
      </c>
      <c r="AI45" s="5">
        <f t="shared" si="17"/>
        <v>0.57047129713583977</v>
      </c>
      <c r="AJ45" s="5">
        <f t="shared" si="20"/>
        <v>2540834.4512899998</v>
      </c>
      <c r="AK45" s="7">
        <f t="shared" si="18"/>
        <v>0.23212939206247205</v>
      </c>
      <c r="AL45" s="17">
        <f>MIN(AC45,'What-If Analysis'!$B$2)</f>
        <v>5.0999999999999997E-2</v>
      </c>
      <c r="AM45">
        <f>AE45*(1+'What-If Analysis'!$B$3)</f>
        <v>31.200000000000003</v>
      </c>
      <c r="AN45">
        <f>Y45*(1+'What-If Analysis'!$B$4)</f>
        <v>1318.7900000000002</v>
      </c>
      <c r="AO45">
        <f t="shared" si="19"/>
        <v>87085.402560000002</v>
      </c>
    </row>
    <row r="46" spans="1:41" x14ac:dyDescent="0.3">
      <c r="A46" t="s">
        <v>597</v>
      </c>
      <c r="B46" s="3">
        <v>45541</v>
      </c>
      <c r="C46" s="3">
        <f t="shared" si="0"/>
        <v>45539</v>
      </c>
      <c r="D46" s="3">
        <v>45539</v>
      </c>
      <c r="E46" s="3">
        <f t="shared" si="1"/>
        <v>45541</v>
      </c>
      <c r="F46" s="16">
        <f t="shared" si="2"/>
        <v>2</v>
      </c>
      <c r="G46" s="16">
        <f>IF(Data!F52&lt;=7,1,0)</f>
        <v>0</v>
      </c>
      <c r="H46" s="5" t="str">
        <f t="shared" si="3"/>
        <v>09-2024</v>
      </c>
      <c r="I46" s="5" t="str">
        <f t="shared" si="4"/>
        <v>Q3-2024</v>
      </c>
      <c r="J46" s="3">
        <f t="shared" si="5"/>
        <v>44988</v>
      </c>
      <c r="K46" s="5" t="str">
        <f t="shared" si="6"/>
        <v>03-2023</v>
      </c>
      <c r="L46" t="s">
        <v>647</v>
      </c>
      <c r="M46" t="s">
        <v>652</v>
      </c>
      <c r="N46" t="s">
        <v>666</v>
      </c>
      <c r="O46" t="str">
        <f t="shared" si="7"/>
        <v>Osaka</v>
      </c>
      <c r="P46" t="s">
        <v>701</v>
      </c>
      <c r="Q46" t="s">
        <v>711</v>
      </c>
      <c r="R46" t="str">
        <f t="shared" si="8"/>
        <v>Direct</v>
      </c>
      <c r="S46" t="s">
        <v>720</v>
      </c>
      <c r="T46" t="str">
        <f t="shared" si="22"/>
        <v>A. Patel</v>
      </c>
      <c r="U46" t="s">
        <v>731</v>
      </c>
      <c r="V46" t="str">
        <f t="shared" si="9"/>
        <v>High</v>
      </c>
      <c r="W46" t="s">
        <v>1315</v>
      </c>
      <c r="X46" t="str">
        <f t="shared" si="10"/>
        <v>A</v>
      </c>
      <c r="Y46" s="5">
        <v>1368.17</v>
      </c>
      <c r="Z46" s="5">
        <v>2307.75</v>
      </c>
      <c r="AA46" s="5">
        <f t="shared" si="11"/>
        <v>2307.75</v>
      </c>
      <c r="AB46" s="7">
        <v>0.16300000000000001</v>
      </c>
      <c r="AC46" s="7">
        <f t="shared" si="12"/>
        <v>0.16300000000000001</v>
      </c>
      <c r="AD46" s="16">
        <f t="shared" si="13"/>
        <v>0</v>
      </c>
      <c r="AE46" s="16">
        <v>21</v>
      </c>
      <c r="AF46" s="5">
        <f t="shared" si="14"/>
        <v>40563.321749999996</v>
      </c>
      <c r="AG46">
        <f t="shared" si="15"/>
        <v>28731.57</v>
      </c>
      <c r="AH46" s="5">
        <f t="shared" si="16"/>
        <v>11831.751749999996</v>
      </c>
      <c r="AI46" s="5">
        <f t="shared" si="17"/>
        <v>0.29168596750831921</v>
      </c>
      <c r="AJ46" s="5">
        <f t="shared" si="20"/>
        <v>2581397.7730399999</v>
      </c>
      <c r="AK46" s="7">
        <f t="shared" si="18"/>
        <v>0.23583523728709163</v>
      </c>
      <c r="AL46" s="17">
        <f>MIN(AC46,'What-If Analysis'!$B$2)</f>
        <v>0.16300000000000001</v>
      </c>
      <c r="AM46">
        <f>AE46*(1+'What-If Analysis'!$B$3)</f>
        <v>27.3</v>
      </c>
      <c r="AN46">
        <f>Y46*(1+'What-If Analysis'!$B$4)</f>
        <v>1504.9870000000003</v>
      </c>
      <c r="AO46">
        <f t="shared" si="19"/>
        <v>52732.318275000005</v>
      </c>
    </row>
    <row r="47" spans="1:41" x14ac:dyDescent="0.3">
      <c r="A47" t="s">
        <v>206</v>
      </c>
      <c r="B47" s="3">
        <v>45516</v>
      </c>
      <c r="C47" s="3">
        <f t="shared" si="0"/>
        <v>45516</v>
      </c>
      <c r="D47" s="3">
        <v>45538</v>
      </c>
      <c r="E47" s="3">
        <f t="shared" si="1"/>
        <v>45538</v>
      </c>
      <c r="F47" s="16">
        <f t="shared" si="2"/>
        <v>22</v>
      </c>
      <c r="G47" s="16">
        <f>IF(Data!F156&lt;=7,1,0)</f>
        <v>1</v>
      </c>
      <c r="H47" s="5" t="str">
        <f t="shared" si="3"/>
        <v>08-2024</v>
      </c>
      <c r="I47" s="5" t="str">
        <f t="shared" si="4"/>
        <v>Q3-2024</v>
      </c>
      <c r="J47" s="3">
        <f t="shared" si="5"/>
        <v>44939</v>
      </c>
      <c r="K47" s="5" t="str">
        <f t="shared" si="6"/>
        <v>01-2023</v>
      </c>
      <c r="L47" t="s">
        <v>648</v>
      </c>
      <c r="M47" t="s">
        <v>660</v>
      </c>
      <c r="N47" t="s">
        <v>697</v>
      </c>
      <c r="O47" t="str">
        <f t="shared" si="7"/>
        <v>Austin</v>
      </c>
      <c r="P47" t="s">
        <v>704</v>
      </c>
      <c r="Q47" t="s">
        <v>710</v>
      </c>
      <c r="R47" t="str">
        <f t="shared" si="8"/>
        <v>Distributor</v>
      </c>
      <c r="S47" t="s">
        <v>714</v>
      </c>
      <c r="T47" t="str">
        <f t="shared" si="22"/>
        <v>I. Johnson</v>
      </c>
      <c r="U47" t="s">
        <v>731</v>
      </c>
      <c r="V47" t="str">
        <f t="shared" si="9"/>
        <v>Medium</v>
      </c>
      <c r="W47" t="s">
        <v>926</v>
      </c>
      <c r="X47" t="str">
        <f t="shared" si="10"/>
        <v>A</v>
      </c>
      <c r="Y47" s="5">
        <v>797.8</v>
      </c>
      <c r="Z47" s="5">
        <v>886.22</v>
      </c>
      <c r="AA47" s="5">
        <f t="shared" si="11"/>
        <v>886.22</v>
      </c>
      <c r="AB47" s="7">
        <v>0.23599999999999999</v>
      </c>
      <c r="AC47" s="7">
        <f t="shared" si="12"/>
        <v>0.23599999999999999</v>
      </c>
      <c r="AD47" s="16">
        <f t="shared" si="13"/>
        <v>1</v>
      </c>
      <c r="AE47" s="16">
        <v>36</v>
      </c>
      <c r="AF47" s="5">
        <f t="shared" si="14"/>
        <v>24374.594880000001</v>
      </c>
      <c r="AG47">
        <f t="shared" si="15"/>
        <v>28720.799999999999</v>
      </c>
      <c r="AH47" s="5">
        <f t="shared" si="16"/>
        <v>4346.2051199999987</v>
      </c>
      <c r="AI47" s="5">
        <f t="shared" si="17"/>
        <v>0.17830881462428633</v>
      </c>
      <c r="AJ47" s="5">
        <f t="shared" si="20"/>
        <v>2605772.3679200001</v>
      </c>
      <c r="AK47" s="7">
        <f t="shared" si="18"/>
        <v>0.23806208834714035</v>
      </c>
      <c r="AL47" s="17">
        <f>MIN(AC47,'What-If Analysis'!$B$2)</f>
        <v>0.2</v>
      </c>
      <c r="AM47">
        <f>AE47*(1+'What-If Analysis'!$B$3)</f>
        <v>46.800000000000004</v>
      </c>
      <c r="AN47">
        <f>Y47*(1+'What-If Analysis'!$B$4)</f>
        <v>877.58</v>
      </c>
      <c r="AO47">
        <f t="shared" si="19"/>
        <v>33180.076800000003</v>
      </c>
    </row>
    <row r="48" spans="1:41" x14ac:dyDescent="0.3">
      <c r="A48" t="s">
        <v>286</v>
      </c>
      <c r="B48" s="3">
        <v>45382</v>
      </c>
      <c r="C48" s="3">
        <f t="shared" si="0"/>
        <v>45382</v>
      </c>
      <c r="D48" s="3">
        <v>45399</v>
      </c>
      <c r="E48" s="3">
        <f t="shared" si="1"/>
        <v>45399</v>
      </c>
      <c r="F48" s="16">
        <f t="shared" si="2"/>
        <v>17</v>
      </c>
      <c r="G48" s="16">
        <f>IF(Data!F78&lt;=7,1,0)</f>
        <v>0</v>
      </c>
      <c r="H48" s="5" t="str">
        <f t="shared" si="3"/>
        <v>03-2024</v>
      </c>
      <c r="I48" s="5" t="str">
        <f t="shared" si="4"/>
        <v>Q1-2024</v>
      </c>
      <c r="J48" s="3">
        <f t="shared" si="5"/>
        <v>44947</v>
      </c>
      <c r="K48" s="5" t="str">
        <f t="shared" si="6"/>
        <v>01-2023</v>
      </c>
      <c r="L48" t="s">
        <v>649</v>
      </c>
      <c r="M48" t="s">
        <v>656</v>
      </c>
      <c r="N48" t="s">
        <v>698</v>
      </c>
      <c r="O48" t="str">
        <f t="shared" si="7"/>
        <v>Frankfurt</v>
      </c>
      <c r="P48" t="s">
        <v>702</v>
      </c>
      <c r="Q48" t="s">
        <v>711</v>
      </c>
      <c r="R48" t="str">
        <f t="shared" si="8"/>
        <v>Direct</v>
      </c>
      <c r="S48" t="s">
        <v>722</v>
      </c>
      <c r="T48" t="str">
        <f t="shared" si="22"/>
        <v>H. Kim</v>
      </c>
      <c r="U48" t="s">
        <v>732</v>
      </c>
      <c r="V48" t="str">
        <f t="shared" si="9"/>
        <v>Medium</v>
      </c>
      <c r="W48" t="s">
        <v>1006</v>
      </c>
      <c r="X48" t="str">
        <f t="shared" si="10"/>
        <v>A</v>
      </c>
      <c r="Y48" s="5">
        <v>1025.51</v>
      </c>
      <c r="Z48" s="5">
        <v>1436.54</v>
      </c>
      <c r="AA48" s="5">
        <f t="shared" si="11"/>
        <v>1436.54</v>
      </c>
      <c r="AB48" s="7">
        <v>0.13900000000000001</v>
      </c>
      <c r="AC48" s="7">
        <f t="shared" si="12"/>
        <v>0.13900000000000001</v>
      </c>
      <c r="AD48" s="16">
        <f t="shared" si="13"/>
        <v>0</v>
      </c>
      <c r="AE48" s="16">
        <v>28</v>
      </c>
      <c r="AF48" s="5">
        <f t="shared" si="14"/>
        <v>34632.106319999999</v>
      </c>
      <c r="AG48">
        <f t="shared" si="15"/>
        <v>28714.28</v>
      </c>
      <c r="AH48" s="5">
        <f t="shared" si="16"/>
        <v>5917.8263200000001</v>
      </c>
      <c r="AI48" s="5">
        <f t="shared" si="17"/>
        <v>0.17087688127656453</v>
      </c>
      <c r="AJ48" s="5">
        <f t="shared" si="20"/>
        <v>2640404.4742399999</v>
      </c>
      <c r="AK48" s="7">
        <f t="shared" si="18"/>
        <v>0.24122606063263222</v>
      </c>
      <c r="AL48" s="17">
        <f>MIN(AC48,'What-If Analysis'!$B$2)</f>
        <v>0.13900000000000001</v>
      </c>
      <c r="AM48">
        <f>AE48*(1+'What-If Analysis'!$B$3)</f>
        <v>36.4</v>
      </c>
      <c r="AN48">
        <f>Y48*(1+'What-If Analysis'!$B$4)</f>
        <v>1128.0610000000001</v>
      </c>
      <c r="AO48">
        <f t="shared" si="19"/>
        <v>45021.738215999998</v>
      </c>
    </row>
    <row r="49" spans="1:41" x14ac:dyDescent="0.3">
      <c r="A49" t="s">
        <v>64</v>
      </c>
      <c r="B49" s="3">
        <v>45117</v>
      </c>
      <c r="C49" s="3">
        <f t="shared" si="0"/>
        <v>45117</v>
      </c>
      <c r="D49" s="3">
        <v>45139</v>
      </c>
      <c r="E49" s="3">
        <f t="shared" si="1"/>
        <v>45139</v>
      </c>
      <c r="F49" s="16">
        <f t="shared" si="2"/>
        <v>22</v>
      </c>
      <c r="G49" s="16">
        <f>IF(Data!F79&lt;=7,1,0)</f>
        <v>0</v>
      </c>
      <c r="H49" s="5" t="str">
        <f t="shared" si="3"/>
        <v>07-2023</v>
      </c>
      <c r="I49" s="5" t="str">
        <f t="shared" si="4"/>
        <v>Q3-2023</v>
      </c>
      <c r="J49" s="3">
        <f t="shared" si="5"/>
        <v>44936</v>
      </c>
      <c r="K49" s="5" t="str">
        <f t="shared" si="6"/>
        <v>01-2023</v>
      </c>
      <c r="L49" t="s">
        <v>649</v>
      </c>
      <c r="M49" t="s">
        <v>657</v>
      </c>
      <c r="N49" t="s">
        <v>673</v>
      </c>
      <c r="O49" t="str">
        <f t="shared" si="7"/>
        <v>Marseille</v>
      </c>
      <c r="P49" t="s">
        <v>704</v>
      </c>
      <c r="Q49" t="s">
        <v>709</v>
      </c>
      <c r="R49" t="str">
        <f t="shared" si="8"/>
        <v>Marketplace</v>
      </c>
      <c r="S49" t="s">
        <v>717</v>
      </c>
      <c r="T49" t="str">
        <f t="shared" si="22"/>
        <v>B. Chen</v>
      </c>
      <c r="U49" t="s">
        <v>728</v>
      </c>
      <c r="V49" t="str">
        <f t="shared" si="9"/>
        <v>High</v>
      </c>
      <c r="W49" t="s">
        <v>783</v>
      </c>
      <c r="X49" t="str">
        <f t="shared" si="10"/>
        <v>A</v>
      </c>
      <c r="Y49" s="5">
        <v>1303.56</v>
      </c>
      <c r="Z49" s="5">
        <v>1791.37</v>
      </c>
      <c r="AA49" s="5">
        <f t="shared" si="11"/>
        <v>1791.37</v>
      </c>
      <c r="AB49" s="7">
        <v>0.126</v>
      </c>
      <c r="AC49" s="7">
        <f t="shared" si="12"/>
        <v>0.126</v>
      </c>
      <c r="AD49" s="16">
        <f t="shared" si="13"/>
        <v>0</v>
      </c>
      <c r="AE49" s="16">
        <v>22</v>
      </c>
      <c r="AF49" s="5">
        <f t="shared" si="14"/>
        <v>34444.462359999998</v>
      </c>
      <c r="AG49">
        <f t="shared" si="15"/>
        <v>28678.32</v>
      </c>
      <c r="AH49" s="5">
        <f t="shared" si="16"/>
        <v>5766.142359999998</v>
      </c>
      <c r="AI49" s="5">
        <f t="shared" si="17"/>
        <v>0.16740404596055358</v>
      </c>
      <c r="AJ49" s="5">
        <f t="shared" si="20"/>
        <v>2674848.9365999997</v>
      </c>
      <c r="AK49" s="7">
        <f t="shared" si="18"/>
        <v>0.24437288985776573</v>
      </c>
      <c r="AL49" s="17">
        <f>MIN(AC49,'What-If Analysis'!$B$2)</f>
        <v>0.126</v>
      </c>
      <c r="AM49">
        <f>AE49*(1+'What-If Analysis'!$B$3)</f>
        <v>28.6</v>
      </c>
      <c r="AN49">
        <f>Y49*(1+'What-If Analysis'!$B$4)</f>
        <v>1433.9160000000002</v>
      </c>
      <c r="AO49">
        <f t="shared" si="19"/>
        <v>44777.801068000001</v>
      </c>
    </row>
    <row r="50" spans="1:41" x14ac:dyDescent="0.3">
      <c r="A50" t="s">
        <v>410</v>
      </c>
      <c r="B50" s="3">
        <v>45890</v>
      </c>
      <c r="C50" s="3">
        <f t="shared" si="0"/>
        <v>45890</v>
      </c>
      <c r="D50" s="3">
        <v>45914</v>
      </c>
      <c r="E50" s="3">
        <f t="shared" si="1"/>
        <v>45914</v>
      </c>
      <c r="F50" s="16">
        <f t="shared" si="2"/>
        <v>24</v>
      </c>
      <c r="G50" s="16">
        <f>IF(Data!F25&lt;=7,1,0)</f>
        <v>0</v>
      </c>
      <c r="H50" s="5" t="str">
        <f t="shared" si="3"/>
        <v>08-2025</v>
      </c>
      <c r="I50" s="5" t="str">
        <f t="shared" si="4"/>
        <v>Q3-2025</v>
      </c>
      <c r="J50" s="3">
        <f t="shared" si="5"/>
        <v>44947</v>
      </c>
      <c r="K50" s="5" t="str">
        <f t="shared" si="6"/>
        <v>01-2023</v>
      </c>
      <c r="L50" t="s">
        <v>649</v>
      </c>
      <c r="M50" t="s">
        <v>656</v>
      </c>
      <c r="N50" t="s">
        <v>671</v>
      </c>
      <c r="O50" t="str">
        <f t="shared" si="7"/>
        <v>Berlin</v>
      </c>
      <c r="P50" t="s">
        <v>703</v>
      </c>
      <c r="Q50" t="s">
        <v>708</v>
      </c>
      <c r="R50" t="str">
        <f t="shared" si="8"/>
        <v>Online</v>
      </c>
      <c r="S50" t="s">
        <v>720</v>
      </c>
      <c r="T50" t="str">
        <f t="shared" si="22"/>
        <v>A. Patel</v>
      </c>
      <c r="U50" t="s">
        <v>732</v>
      </c>
      <c r="V50" t="str">
        <f t="shared" si="9"/>
        <v>High</v>
      </c>
      <c r="W50" t="s">
        <v>1129</v>
      </c>
      <c r="X50" t="str">
        <f t="shared" si="10"/>
        <v>A</v>
      </c>
      <c r="Y50" s="5">
        <v>1397.67</v>
      </c>
      <c r="Z50" s="5">
        <v>3131.37</v>
      </c>
      <c r="AA50" s="5">
        <f t="shared" si="11"/>
        <v>3131.37</v>
      </c>
      <c r="AB50" s="7">
        <v>0.10299999999999999</v>
      </c>
      <c r="AC50" s="7">
        <f t="shared" si="12"/>
        <v>0.10299999999999999</v>
      </c>
      <c r="AD50" s="16">
        <f t="shared" si="13"/>
        <v>0</v>
      </c>
      <c r="AE50" s="16">
        <v>20</v>
      </c>
      <c r="AF50" s="5">
        <f t="shared" si="14"/>
        <v>56176.777799999996</v>
      </c>
      <c r="AG50">
        <f t="shared" si="15"/>
        <v>27953.4</v>
      </c>
      <c r="AH50" s="5">
        <f t="shared" si="16"/>
        <v>28223.377799999995</v>
      </c>
      <c r="AI50" s="5">
        <f t="shared" si="17"/>
        <v>0.50240293062874808</v>
      </c>
      <c r="AJ50" s="5">
        <f t="shared" si="20"/>
        <v>2731025.7143999995</v>
      </c>
      <c r="AK50" s="7">
        <f t="shared" si="18"/>
        <v>0.24950517278636106</v>
      </c>
      <c r="AL50" s="17">
        <f>MIN(AC50,'What-If Analysis'!$B$2)</f>
        <v>0.10299999999999999</v>
      </c>
      <c r="AM50">
        <f>AE50*(1+'What-If Analysis'!$B$3)</f>
        <v>26</v>
      </c>
      <c r="AN50">
        <f>Y50*(1+'What-If Analysis'!$B$4)</f>
        <v>1537.4370000000001</v>
      </c>
      <c r="AO50">
        <f t="shared" si="19"/>
        <v>73029.811139999991</v>
      </c>
    </row>
    <row r="51" spans="1:41" x14ac:dyDescent="0.3">
      <c r="A51" t="s">
        <v>316</v>
      </c>
      <c r="B51" s="3">
        <v>45125</v>
      </c>
      <c r="C51" s="3">
        <f t="shared" si="0"/>
        <v>45125</v>
      </c>
      <c r="D51" s="3">
        <v>45129</v>
      </c>
      <c r="E51" s="3">
        <f t="shared" si="1"/>
        <v>45129</v>
      </c>
      <c r="F51" s="16">
        <f t="shared" si="2"/>
        <v>4</v>
      </c>
      <c r="G51" s="16">
        <f>IF(Data!F58&lt;=7,1,0)</f>
        <v>0</v>
      </c>
      <c r="H51" s="5" t="str">
        <f t="shared" si="3"/>
        <v>07-2023</v>
      </c>
      <c r="I51" s="5" t="str">
        <f t="shared" si="4"/>
        <v>Q3-2023</v>
      </c>
      <c r="J51" s="3">
        <f t="shared" si="5"/>
        <v>44955</v>
      </c>
      <c r="K51" s="5" t="str">
        <f t="shared" si="6"/>
        <v>01-2023</v>
      </c>
      <c r="L51" t="s">
        <v>648</v>
      </c>
      <c r="M51" t="s">
        <v>655</v>
      </c>
      <c r="N51" t="s">
        <v>670</v>
      </c>
      <c r="O51" t="str">
        <f t="shared" si="7"/>
        <v>São Paulo</v>
      </c>
      <c r="P51" t="s">
        <v>704</v>
      </c>
      <c r="Q51" t="s">
        <v>711</v>
      </c>
      <c r="R51" t="str">
        <f t="shared" si="8"/>
        <v>Direct</v>
      </c>
      <c r="S51" t="s">
        <v>721</v>
      </c>
      <c r="T51" t="str">
        <f t="shared" si="22"/>
        <v>F. Müller</v>
      </c>
      <c r="U51" t="s">
        <v>729</v>
      </c>
      <c r="V51" t="str">
        <f t="shared" si="9"/>
        <v>High</v>
      </c>
      <c r="W51" t="s">
        <v>1036</v>
      </c>
      <c r="X51" t="str">
        <f t="shared" si="10"/>
        <v>A</v>
      </c>
      <c r="Y51" s="5">
        <v>1269.55</v>
      </c>
      <c r="Z51" s="5">
        <v>2071.1</v>
      </c>
      <c r="AA51" s="5">
        <f t="shared" si="11"/>
        <v>2071.1</v>
      </c>
      <c r="AB51" s="7">
        <v>0.129</v>
      </c>
      <c r="AC51" s="7">
        <f t="shared" si="12"/>
        <v>0.129</v>
      </c>
      <c r="AD51" s="16">
        <f t="shared" si="13"/>
        <v>0</v>
      </c>
      <c r="AE51" s="16">
        <v>22</v>
      </c>
      <c r="AF51" s="5">
        <f t="shared" si="14"/>
        <v>39686.4182</v>
      </c>
      <c r="AG51">
        <f t="shared" si="15"/>
        <v>27930.1</v>
      </c>
      <c r="AH51" s="5">
        <f t="shared" si="16"/>
        <v>11756.318200000002</v>
      </c>
      <c r="AI51" s="5">
        <f t="shared" si="17"/>
        <v>0.29623026549672354</v>
      </c>
      <c r="AJ51" s="5">
        <f t="shared" si="20"/>
        <v>2770712.1325999997</v>
      </c>
      <c r="AK51" s="7">
        <f t="shared" si="18"/>
        <v>0.25313090453178266</v>
      </c>
      <c r="AL51" s="17">
        <f>MIN(AC51,'What-If Analysis'!$B$2)</f>
        <v>0.129</v>
      </c>
      <c r="AM51">
        <f>AE51*(1+'What-If Analysis'!$B$3)</f>
        <v>28.6</v>
      </c>
      <c r="AN51">
        <f>Y51*(1+'What-If Analysis'!$B$4)</f>
        <v>1396.5050000000001</v>
      </c>
      <c r="AO51">
        <f t="shared" si="19"/>
        <v>51592.343659999999</v>
      </c>
    </row>
    <row r="52" spans="1:41" x14ac:dyDescent="0.3">
      <c r="A52" t="s">
        <v>462</v>
      </c>
      <c r="B52" s="3">
        <v>45446</v>
      </c>
      <c r="C52" s="3">
        <f t="shared" si="0"/>
        <v>45446</v>
      </c>
      <c r="D52" s="3">
        <v>45467</v>
      </c>
      <c r="E52" s="3">
        <f t="shared" si="1"/>
        <v>45467</v>
      </c>
      <c r="F52" s="16">
        <f t="shared" si="2"/>
        <v>21</v>
      </c>
      <c r="G52" s="16">
        <f>IF(Data!F39&lt;=7,1,0)</f>
        <v>0</v>
      </c>
      <c r="H52" s="5" t="str">
        <f t="shared" si="3"/>
        <v>06-2024</v>
      </c>
      <c r="I52" s="5" t="str">
        <f t="shared" si="4"/>
        <v>Q2-2024</v>
      </c>
      <c r="J52" s="3">
        <f t="shared" si="5"/>
        <v>44928</v>
      </c>
      <c r="K52" s="5" t="str">
        <f t="shared" si="6"/>
        <v>01-2023</v>
      </c>
      <c r="L52" t="s">
        <v>648</v>
      </c>
      <c r="M52" t="s">
        <v>653</v>
      </c>
      <c r="N52" t="s">
        <v>667</v>
      </c>
      <c r="O52" t="str">
        <f t="shared" si="7"/>
        <v>Toronto</v>
      </c>
      <c r="P52" t="s">
        <v>705</v>
      </c>
      <c r="Q52" t="s">
        <v>711</v>
      </c>
      <c r="R52" t="str">
        <f t="shared" si="8"/>
        <v>Direct</v>
      </c>
      <c r="S52" t="s">
        <v>715</v>
      </c>
      <c r="T52" t="str">
        <f t="shared" si="22"/>
        <v>G. Dubois</v>
      </c>
      <c r="U52" t="s">
        <v>732</v>
      </c>
      <c r="V52" t="str">
        <f t="shared" si="9"/>
        <v>High</v>
      </c>
      <c r="W52" t="s">
        <v>1181</v>
      </c>
      <c r="X52" t="str">
        <f t="shared" si="10"/>
        <v>A</v>
      </c>
      <c r="Y52" s="5">
        <v>1205.5</v>
      </c>
      <c r="Z52" s="5">
        <v>2210.17</v>
      </c>
      <c r="AA52" s="5">
        <f t="shared" si="11"/>
        <v>2210.17</v>
      </c>
      <c r="AB52" s="7">
        <v>0.104</v>
      </c>
      <c r="AC52" s="7">
        <f t="shared" si="12"/>
        <v>0.104</v>
      </c>
      <c r="AD52" s="16">
        <f t="shared" si="13"/>
        <v>0</v>
      </c>
      <c r="AE52" s="16">
        <v>23</v>
      </c>
      <c r="AF52" s="5">
        <f t="shared" si="14"/>
        <v>45547.183360000003</v>
      </c>
      <c r="AG52">
        <f t="shared" si="15"/>
        <v>27726.5</v>
      </c>
      <c r="AH52" s="5">
        <f t="shared" si="16"/>
        <v>17820.683360000003</v>
      </c>
      <c r="AI52" s="5">
        <f t="shared" si="17"/>
        <v>0.39125763758314652</v>
      </c>
      <c r="AJ52" s="5">
        <f t="shared" si="20"/>
        <v>2816259.3159599998</v>
      </c>
      <c r="AK52" s="7">
        <f t="shared" si="18"/>
        <v>0.25729207291414102</v>
      </c>
      <c r="AL52" s="17">
        <f>MIN(AC52,'What-If Analysis'!$B$2)</f>
        <v>0.104</v>
      </c>
      <c r="AM52">
        <f>AE52*(1+'What-If Analysis'!$B$3)</f>
        <v>29.900000000000002</v>
      </c>
      <c r="AN52">
        <f>Y52*(1+'What-If Analysis'!$B$4)</f>
        <v>1326.0500000000002</v>
      </c>
      <c r="AO52">
        <f t="shared" si="19"/>
        <v>59211.338368000012</v>
      </c>
    </row>
    <row r="53" spans="1:41" x14ac:dyDescent="0.3">
      <c r="A53" t="s">
        <v>55</v>
      </c>
      <c r="B53" s="3">
        <v>45531</v>
      </c>
      <c r="C53" s="3">
        <f t="shared" si="0"/>
        <v>45531</v>
      </c>
      <c r="D53" s="3">
        <v>45554</v>
      </c>
      <c r="E53" s="3">
        <f t="shared" si="1"/>
        <v>45554</v>
      </c>
      <c r="F53" s="16">
        <f t="shared" si="2"/>
        <v>23</v>
      </c>
      <c r="G53" s="16">
        <f>IF(Data!F51&lt;=7,1,0)</f>
        <v>1</v>
      </c>
      <c r="H53" s="5" t="str">
        <f t="shared" si="3"/>
        <v>08-2024</v>
      </c>
      <c r="I53" s="5" t="str">
        <f t="shared" si="4"/>
        <v>Q3-2024</v>
      </c>
      <c r="J53" s="3">
        <f t="shared" si="5"/>
        <v>44947</v>
      </c>
      <c r="K53" s="5" t="str">
        <f t="shared" si="6"/>
        <v>01-2023</v>
      </c>
      <c r="L53" t="s">
        <v>649</v>
      </c>
      <c r="M53" t="s">
        <v>656</v>
      </c>
      <c r="N53" t="s">
        <v>671</v>
      </c>
      <c r="O53" t="str">
        <f t="shared" si="7"/>
        <v>Berlin</v>
      </c>
      <c r="P53" t="s">
        <v>705</v>
      </c>
      <c r="Q53" t="s">
        <v>711</v>
      </c>
      <c r="R53" t="str">
        <f t="shared" si="8"/>
        <v>Direct</v>
      </c>
      <c r="S53" t="s">
        <v>726</v>
      </c>
      <c r="T53" t="str">
        <f t="shared" si="22"/>
        <v>D. Smith</v>
      </c>
      <c r="U53" t="s">
        <v>732</v>
      </c>
      <c r="V53" t="str">
        <f t="shared" si="9"/>
        <v>Medium</v>
      </c>
      <c r="W53" t="s">
        <v>774</v>
      </c>
      <c r="X53" t="str">
        <f t="shared" si="10"/>
        <v>A</v>
      </c>
      <c r="Y53" s="5">
        <v>1024.01</v>
      </c>
      <c r="Z53" s="5">
        <v>1580.97</v>
      </c>
      <c r="AA53" s="5">
        <f t="shared" si="11"/>
        <v>1580.97</v>
      </c>
      <c r="AB53" s="7">
        <v>3.6999999999999998E-2</v>
      </c>
      <c r="AC53" s="7">
        <f t="shared" si="12"/>
        <v>3.6999999999999998E-2</v>
      </c>
      <c r="AD53" s="16">
        <f t="shared" si="13"/>
        <v>0</v>
      </c>
      <c r="AE53" s="16">
        <v>27</v>
      </c>
      <c r="AF53" s="5">
        <f t="shared" si="14"/>
        <v>41106.800970000004</v>
      </c>
      <c r="AG53">
        <f t="shared" si="15"/>
        <v>27648.27</v>
      </c>
      <c r="AH53" s="5">
        <f t="shared" si="16"/>
        <v>13458.530970000003</v>
      </c>
      <c r="AI53" s="5">
        <f t="shared" si="17"/>
        <v>0.3274039976942531</v>
      </c>
      <c r="AJ53" s="5">
        <f t="shared" si="20"/>
        <v>2857366.11693</v>
      </c>
      <c r="AK53" s="7">
        <f t="shared" si="18"/>
        <v>0.26104757013433755</v>
      </c>
      <c r="AL53" s="17">
        <f>MIN(AC53,'What-If Analysis'!$B$2)</f>
        <v>3.6999999999999998E-2</v>
      </c>
      <c r="AM53">
        <f>AE53*(1+'What-If Analysis'!$B$3)</f>
        <v>35.1</v>
      </c>
      <c r="AN53">
        <f>Y53*(1+'What-If Analysis'!$B$4)</f>
        <v>1126.4110000000001</v>
      </c>
      <c r="AO53">
        <f t="shared" si="19"/>
        <v>53438.841261000001</v>
      </c>
    </row>
    <row r="54" spans="1:41" x14ac:dyDescent="0.3">
      <c r="A54" t="s">
        <v>551</v>
      </c>
      <c r="B54" s="3">
        <v>45520</v>
      </c>
      <c r="C54" s="3">
        <f t="shared" si="0"/>
        <v>45520</v>
      </c>
      <c r="D54" s="3">
        <v>45530</v>
      </c>
      <c r="E54" s="3">
        <f t="shared" si="1"/>
        <v>45530</v>
      </c>
      <c r="F54" s="16">
        <f t="shared" si="2"/>
        <v>10</v>
      </c>
      <c r="G54" s="16">
        <f>IF(Data!F31&lt;=7,1,0)</f>
        <v>0</v>
      </c>
      <c r="H54" s="5" t="str">
        <f t="shared" si="3"/>
        <v>08-2024</v>
      </c>
      <c r="I54" s="5" t="str">
        <f t="shared" si="4"/>
        <v>Q3-2024</v>
      </c>
      <c r="J54" s="3">
        <f t="shared" si="5"/>
        <v>44939</v>
      </c>
      <c r="K54" s="5" t="str">
        <f t="shared" si="6"/>
        <v>01-2023</v>
      </c>
      <c r="L54" t="s">
        <v>648</v>
      </c>
      <c r="M54" t="s">
        <v>660</v>
      </c>
      <c r="N54" t="s">
        <v>677</v>
      </c>
      <c r="O54" t="str">
        <f t="shared" si="7"/>
        <v>Chicago</v>
      </c>
      <c r="P54" t="s">
        <v>701</v>
      </c>
      <c r="Q54" t="s">
        <v>710</v>
      </c>
      <c r="R54" t="str">
        <f t="shared" si="8"/>
        <v>Distributor</v>
      </c>
      <c r="S54" t="s">
        <v>716</v>
      </c>
      <c r="T54" t="str">
        <f t="shared" si="22"/>
        <v>L. Okafor</v>
      </c>
      <c r="U54" t="s">
        <v>731</v>
      </c>
      <c r="V54" t="str">
        <f t="shared" si="9"/>
        <v>High</v>
      </c>
      <c r="W54" t="s">
        <v>1121</v>
      </c>
      <c r="X54" t="str">
        <f t="shared" si="10"/>
        <v>A</v>
      </c>
      <c r="Y54" s="5">
        <v>1291.7</v>
      </c>
      <c r="Z54" s="5">
        <v>2657.84</v>
      </c>
      <c r="AA54" s="5">
        <f t="shared" si="11"/>
        <v>2657.84</v>
      </c>
      <c r="AB54" s="7">
        <v>8.6999999999999994E-2</v>
      </c>
      <c r="AC54" s="7">
        <f t="shared" si="12"/>
        <v>8.6999999999999994E-2</v>
      </c>
      <c r="AD54" s="16">
        <f t="shared" si="13"/>
        <v>0</v>
      </c>
      <c r="AE54" s="16">
        <v>21</v>
      </c>
      <c r="AF54" s="5">
        <f t="shared" si="14"/>
        <v>50958.766320000002</v>
      </c>
      <c r="AG54">
        <f t="shared" si="15"/>
        <v>27125.7</v>
      </c>
      <c r="AH54" s="5">
        <f t="shared" si="16"/>
        <v>23833.066320000002</v>
      </c>
      <c r="AI54" s="5">
        <f t="shared" si="17"/>
        <v>0.46769315745083367</v>
      </c>
      <c r="AJ54" s="5">
        <f t="shared" si="20"/>
        <v>2908324.88325</v>
      </c>
      <c r="AK54" s="7">
        <f t="shared" si="18"/>
        <v>0.26570313808765678</v>
      </c>
      <c r="AL54" s="17">
        <f>MIN(AC54,'What-If Analysis'!$B$2)</f>
        <v>8.6999999999999994E-2</v>
      </c>
      <c r="AM54">
        <f>AE54*(1+'What-If Analysis'!$B$3)</f>
        <v>27.3</v>
      </c>
      <c r="AN54">
        <f>Y54*(1+'What-If Analysis'!$B$4)</f>
        <v>1420.8700000000001</v>
      </c>
      <c r="AO54">
        <f t="shared" si="19"/>
        <v>66246.396216000008</v>
      </c>
    </row>
    <row r="55" spans="1:41" x14ac:dyDescent="0.3">
      <c r="A55" t="s">
        <v>390</v>
      </c>
      <c r="B55" s="3">
        <v>45835</v>
      </c>
      <c r="C55" s="3">
        <f t="shared" si="0"/>
        <v>45835</v>
      </c>
      <c r="D55" s="3">
        <v>45849</v>
      </c>
      <c r="E55" s="3">
        <f t="shared" si="1"/>
        <v>45849</v>
      </c>
      <c r="F55" s="16">
        <f t="shared" si="2"/>
        <v>14</v>
      </c>
      <c r="G55" s="16">
        <f>IF(Data!F42&lt;=7,1,0)</f>
        <v>1</v>
      </c>
      <c r="H55" s="5" t="str">
        <f t="shared" si="3"/>
        <v>06-2025</v>
      </c>
      <c r="I55" s="5" t="str">
        <f t="shared" si="4"/>
        <v>Q2-2025</v>
      </c>
      <c r="J55" s="3">
        <f t="shared" si="5"/>
        <v>44938</v>
      </c>
      <c r="K55" s="5" t="str">
        <f t="shared" si="6"/>
        <v>01-2023</v>
      </c>
      <c r="L55" t="s">
        <v>647</v>
      </c>
      <c r="M55" t="s">
        <v>659</v>
      </c>
      <c r="N55" t="s">
        <v>685</v>
      </c>
      <c r="O55" t="str">
        <f t="shared" si="7"/>
        <v>Shanghai</v>
      </c>
      <c r="P55" t="s">
        <v>705</v>
      </c>
      <c r="Q55" t="s">
        <v>709</v>
      </c>
      <c r="R55" t="str">
        <f t="shared" si="8"/>
        <v>Marketplace</v>
      </c>
      <c r="S55" t="s">
        <v>716</v>
      </c>
      <c r="T55" t="str">
        <f t="shared" si="22"/>
        <v>L. Okafor</v>
      </c>
      <c r="U55" t="s">
        <v>729</v>
      </c>
      <c r="V55" t="str">
        <f t="shared" si="9"/>
        <v>High</v>
      </c>
      <c r="W55" t="s">
        <v>1110</v>
      </c>
      <c r="X55" t="str">
        <f t="shared" si="10"/>
        <v>A</v>
      </c>
      <c r="Y55" s="5">
        <v>1227.7</v>
      </c>
      <c r="Z55" s="5">
        <v>2197.23</v>
      </c>
      <c r="AA55" s="5">
        <f t="shared" si="11"/>
        <v>2197.23</v>
      </c>
      <c r="AB55" s="7">
        <v>9.9000000000000005E-2</v>
      </c>
      <c r="AC55" s="7">
        <f t="shared" si="12"/>
        <v>9.9000000000000005E-2</v>
      </c>
      <c r="AD55" s="16">
        <f t="shared" si="13"/>
        <v>0</v>
      </c>
      <c r="AE55" s="16">
        <v>22</v>
      </c>
      <c r="AF55" s="5">
        <f t="shared" si="14"/>
        <v>43553.493060000001</v>
      </c>
      <c r="AG55">
        <f t="shared" si="15"/>
        <v>27009.4</v>
      </c>
      <c r="AH55" s="5">
        <f t="shared" si="16"/>
        <v>16544.093059999999</v>
      </c>
      <c r="AI55" s="5">
        <f t="shared" si="17"/>
        <v>0.37985685871873898</v>
      </c>
      <c r="AJ55" s="5">
        <f t="shared" si="20"/>
        <v>2951878.3763099997</v>
      </c>
      <c r="AK55" s="7">
        <f t="shared" si="18"/>
        <v>0.26968216389985872</v>
      </c>
      <c r="AL55" s="17">
        <f>MIN(AC55,'What-If Analysis'!$B$2)</f>
        <v>9.9000000000000005E-2</v>
      </c>
      <c r="AM55">
        <f>AE55*(1+'What-If Analysis'!$B$3)</f>
        <v>28.6</v>
      </c>
      <c r="AN55">
        <f>Y55*(1+'What-If Analysis'!$B$4)</f>
        <v>1350.4700000000003</v>
      </c>
      <c r="AO55">
        <f t="shared" si="19"/>
        <v>56619.540978000005</v>
      </c>
    </row>
    <row r="56" spans="1:41" x14ac:dyDescent="0.3">
      <c r="A56" t="s">
        <v>256</v>
      </c>
      <c r="B56" s="3">
        <v>45871</v>
      </c>
      <c r="C56" s="3">
        <f t="shared" si="0"/>
        <v>45871</v>
      </c>
      <c r="D56" s="3">
        <v>45877</v>
      </c>
      <c r="E56" s="3">
        <f t="shared" si="1"/>
        <v>45877</v>
      </c>
      <c r="F56" s="16">
        <f t="shared" si="2"/>
        <v>6</v>
      </c>
      <c r="G56" s="16">
        <f>IF(Data!F82&lt;=7,1,0)</f>
        <v>1</v>
      </c>
      <c r="H56" s="5" t="str">
        <f t="shared" si="3"/>
        <v>08-2025</v>
      </c>
      <c r="I56" s="5" t="str">
        <f t="shared" si="4"/>
        <v>Q3-2025</v>
      </c>
      <c r="J56" s="3">
        <f t="shared" si="5"/>
        <v>44988</v>
      </c>
      <c r="K56" s="5" t="str">
        <f t="shared" si="6"/>
        <v>03-2023</v>
      </c>
      <c r="L56" t="s">
        <v>647</v>
      </c>
      <c r="M56" t="s">
        <v>652</v>
      </c>
      <c r="N56" t="s">
        <v>666</v>
      </c>
      <c r="O56" t="str">
        <f t="shared" si="7"/>
        <v>Osaka</v>
      </c>
      <c r="P56" t="s">
        <v>704</v>
      </c>
      <c r="Q56" t="s">
        <v>711</v>
      </c>
      <c r="R56" t="str">
        <f t="shared" si="8"/>
        <v>Direct</v>
      </c>
      <c r="S56" t="s">
        <v>725</v>
      </c>
      <c r="T56" t="str">
        <f t="shared" si="22"/>
        <v>N. Brown</v>
      </c>
      <c r="U56" t="s">
        <v>731</v>
      </c>
      <c r="V56" t="str">
        <f t="shared" si="9"/>
        <v>High</v>
      </c>
      <c r="W56" t="s">
        <v>976</v>
      </c>
      <c r="X56" t="str">
        <f t="shared" si="10"/>
        <v>A</v>
      </c>
      <c r="Y56" s="5">
        <v>1225.94</v>
      </c>
      <c r="Z56" s="5">
        <v>1793.08</v>
      </c>
      <c r="AA56" s="5">
        <f t="shared" si="11"/>
        <v>1793.08</v>
      </c>
      <c r="AB56" s="7">
        <v>0.13600000000000001</v>
      </c>
      <c r="AC56" s="7">
        <f t="shared" si="12"/>
        <v>0.13600000000000001</v>
      </c>
      <c r="AD56" s="16">
        <f t="shared" si="13"/>
        <v>0</v>
      </c>
      <c r="AE56" s="16">
        <v>22</v>
      </c>
      <c r="AF56" s="5">
        <f t="shared" si="14"/>
        <v>34082.864639999993</v>
      </c>
      <c r="AG56">
        <f t="shared" si="15"/>
        <v>26970.68</v>
      </c>
      <c r="AH56" s="5">
        <f t="shared" si="16"/>
        <v>7112.1846399999922</v>
      </c>
      <c r="AI56" s="5">
        <f t="shared" si="17"/>
        <v>0.20867332353434462</v>
      </c>
      <c r="AJ56" s="5">
        <f t="shared" si="20"/>
        <v>2985961.2409499995</v>
      </c>
      <c r="AK56" s="7">
        <f t="shared" si="18"/>
        <v>0.27279595773424797</v>
      </c>
      <c r="AL56" s="17">
        <f>MIN(AC56,'What-If Analysis'!$B$2)</f>
        <v>0.13600000000000001</v>
      </c>
      <c r="AM56">
        <f>AE56*(1+'What-If Analysis'!$B$3)</f>
        <v>28.6</v>
      </c>
      <c r="AN56">
        <f>Y56*(1+'What-If Analysis'!$B$4)</f>
        <v>1348.5340000000001</v>
      </c>
      <c r="AO56">
        <f t="shared" si="19"/>
        <v>44307.724032000006</v>
      </c>
    </row>
    <row r="57" spans="1:41" x14ac:dyDescent="0.3">
      <c r="A57" t="s">
        <v>581</v>
      </c>
      <c r="B57" s="3">
        <v>45834</v>
      </c>
      <c r="C57" s="3">
        <f t="shared" si="0"/>
        <v>45834</v>
      </c>
      <c r="D57" s="3">
        <v>45849</v>
      </c>
      <c r="E57" s="3">
        <f t="shared" si="1"/>
        <v>45849</v>
      </c>
      <c r="F57" s="16">
        <f t="shared" si="2"/>
        <v>15</v>
      </c>
      <c r="G57" s="16">
        <f>IF(Data!F40&lt;=7,1,0)</f>
        <v>0</v>
      </c>
      <c r="H57" s="5" t="str">
        <f t="shared" si="3"/>
        <v>06-2025</v>
      </c>
      <c r="I57" s="5" t="str">
        <f t="shared" si="4"/>
        <v>Q2-2025</v>
      </c>
      <c r="J57" s="3">
        <f t="shared" si="5"/>
        <v>44939</v>
      </c>
      <c r="K57" s="5" t="str">
        <f t="shared" si="6"/>
        <v>01-2023</v>
      </c>
      <c r="L57" t="s">
        <v>646</v>
      </c>
      <c r="M57" t="s">
        <v>651</v>
      </c>
      <c r="N57" t="s">
        <v>663</v>
      </c>
      <c r="O57" t="str">
        <f t="shared" si="7"/>
        <v>Port Harcourt</v>
      </c>
      <c r="P57" t="s">
        <v>705</v>
      </c>
      <c r="Q57" t="s">
        <v>708</v>
      </c>
      <c r="R57" t="str">
        <f t="shared" si="8"/>
        <v>Online</v>
      </c>
      <c r="S57" t="s">
        <v>720</v>
      </c>
      <c r="T57" t="str">
        <f t="shared" si="22"/>
        <v>A. Patel</v>
      </c>
      <c r="U57" t="s">
        <v>731</v>
      </c>
      <c r="V57" t="str">
        <f t="shared" si="9"/>
        <v>High</v>
      </c>
      <c r="W57" t="s">
        <v>1299</v>
      </c>
      <c r="X57" t="str">
        <f t="shared" si="10"/>
        <v>A</v>
      </c>
      <c r="Y57" s="5">
        <v>1170.1500000000001</v>
      </c>
      <c r="Z57" s="5">
        <v>2115.19</v>
      </c>
      <c r="AA57" s="5">
        <f t="shared" si="11"/>
        <v>2115.19</v>
      </c>
      <c r="AB57" s="7">
        <v>9.1999999999999998E-2</v>
      </c>
      <c r="AC57" s="7">
        <f t="shared" si="12"/>
        <v>9.1999999999999998E-2</v>
      </c>
      <c r="AD57" s="16">
        <f t="shared" si="13"/>
        <v>0</v>
      </c>
      <c r="AE57" s="16">
        <v>23</v>
      </c>
      <c r="AF57" s="5">
        <f t="shared" si="14"/>
        <v>44173.627960000005</v>
      </c>
      <c r="AG57">
        <f t="shared" si="15"/>
        <v>26913.45</v>
      </c>
      <c r="AH57" s="5">
        <f t="shared" si="16"/>
        <v>17260.177960000005</v>
      </c>
      <c r="AI57" s="5">
        <f t="shared" si="17"/>
        <v>0.39073489674946776</v>
      </c>
      <c r="AJ57" s="5">
        <f t="shared" si="20"/>
        <v>3030134.8689099997</v>
      </c>
      <c r="AK57" s="7">
        <f t="shared" si="18"/>
        <v>0.27683163876743871</v>
      </c>
      <c r="AL57" s="17">
        <f>MIN(AC57,'What-If Analysis'!$B$2)</f>
        <v>9.1999999999999998E-2</v>
      </c>
      <c r="AM57">
        <f>AE57*(1+'What-If Analysis'!$B$3)</f>
        <v>29.900000000000002</v>
      </c>
      <c r="AN57">
        <f>Y57*(1+'What-If Analysis'!$B$4)</f>
        <v>1287.1650000000002</v>
      </c>
      <c r="AO57">
        <f t="shared" si="19"/>
        <v>57425.716348000009</v>
      </c>
    </row>
    <row r="58" spans="1:41" x14ac:dyDescent="0.3">
      <c r="A58" t="s">
        <v>440</v>
      </c>
      <c r="B58" s="3">
        <v>45897</v>
      </c>
      <c r="C58" s="3">
        <f t="shared" si="0"/>
        <v>45897</v>
      </c>
      <c r="D58" s="3">
        <v>45905</v>
      </c>
      <c r="E58" s="3">
        <f t="shared" si="1"/>
        <v>45905</v>
      </c>
      <c r="F58" s="16">
        <f t="shared" si="2"/>
        <v>8</v>
      </c>
      <c r="G58" s="16">
        <f>IF(Data!F109&lt;=7,1,0)</f>
        <v>0</v>
      </c>
      <c r="H58" s="5" t="str">
        <f t="shared" si="3"/>
        <v>08-2025</v>
      </c>
      <c r="I58" s="5" t="str">
        <f t="shared" si="4"/>
        <v>Q3-2025</v>
      </c>
      <c r="J58" s="3">
        <f t="shared" si="5"/>
        <v>44939</v>
      </c>
      <c r="K58" s="5" t="str">
        <f t="shared" si="6"/>
        <v>01-2023</v>
      </c>
      <c r="L58" t="s">
        <v>646</v>
      </c>
      <c r="M58" t="s">
        <v>651</v>
      </c>
      <c r="N58" t="s">
        <v>663</v>
      </c>
      <c r="O58" t="str">
        <f t="shared" si="7"/>
        <v>Port Harcourt</v>
      </c>
      <c r="P58" t="s">
        <v>705</v>
      </c>
      <c r="Q58" t="s">
        <v>709</v>
      </c>
      <c r="R58" t="str">
        <f t="shared" si="8"/>
        <v>Marketplace</v>
      </c>
      <c r="S58" t="s">
        <v>718</v>
      </c>
      <c r="T58" t="str">
        <f t="shared" si="22"/>
        <v>E. Garcia</v>
      </c>
      <c r="U58" t="s">
        <v>731</v>
      </c>
      <c r="V58" t="str">
        <f t="shared" si="9"/>
        <v>High</v>
      </c>
      <c r="W58" t="s">
        <v>1159</v>
      </c>
      <c r="X58" t="str">
        <f t="shared" si="10"/>
        <v>A</v>
      </c>
      <c r="Y58" s="5">
        <v>1271.0999999999999</v>
      </c>
      <c r="Z58" s="5">
        <v>1932.42</v>
      </c>
      <c r="AA58" s="5">
        <f t="shared" si="11"/>
        <v>1932.42</v>
      </c>
      <c r="AB58" s="7">
        <v>0.25</v>
      </c>
      <c r="AC58" s="7">
        <f t="shared" si="12"/>
        <v>0.25</v>
      </c>
      <c r="AD58" s="16">
        <f t="shared" si="13"/>
        <v>1</v>
      </c>
      <c r="AE58" s="16">
        <v>21</v>
      </c>
      <c r="AF58" s="5">
        <f t="shared" si="14"/>
        <v>30435.614999999998</v>
      </c>
      <c r="AG58">
        <f t="shared" si="15"/>
        <v>26693.1</v>
      </c>
      <c r="AH58" s="5">
        <f t="shared" si="16"/>
        <v>3742.5149999999994</v>
      </c>
      <c r="AI58" s="5">
        <f t="shared" si="17"/>
        <v>0.12296498690760807</v>
      </c>
      <c r="AJ58" s="5">
        <f t="shared" si="20"/>
        <v>3060570.48391</v>
      </c>
      <c r="AK58" s="7">
        <f t="shared" si="18"/>
        <v>0.27961222165957111</v>
      </c>
      <c r="AL58" s="17">
        <f>MIN(AC58,'What-If Analysis'!$B$2)</f>
        <v>0.2</v>
      </c>
      <c r="AM58">
        <f>AE58*(1+'What-If Analysis'!$B$3)</f>
        <v>27.3</v>
      </c>
      <c r="AN58">
        <f>Y58*(1+'What-If Analysis'!$B$4)</f>
        <v>1398.21</v>
      </c>
      <c r="AO58">
        <f t="shared" si="19"/>
        <v>42204.052800000005</v>
      </c>
    </row>
    <row r="59" spans="1:41" x14ac:dyDescent="0.3">
      <c r="A59" t="s">
        <v>638</v>
      </c>
      <c r="B59" s="3">
        <v>45141</v>
      </c>
      <c r="C59" s="3">
        <f t="shared" si="0"/>
        <v>45140</v>
      </c>
      <c r="D59" s="3">
        <v>45140</v>
      </c>
      <c r="E59" s="3">
        <f t="shared" si="1"/>
        <v>45141</v>
      </c>
      <c r="F59" s="16">
        <f t="shared" si="2"/>
        <v>1</v>
      </c>
      <c r="G59" s="16">
        <f>IF(Data!F34&lt;=7,1,0)</f>
        <v>0</v>
      </c>
      <c r="H59" s="5" t="str">
        <f t="shared" si="3"/>
        <v>08-2023</v>
      </c>
      <c r="I59" s="5" t="str">
        <f t="shared" si="4"/>
        <v>Q3-2023</v>
      </c>
      <c r="J59" s="3">
        <f t="shared" si="5"/>
        <v>44938</v>
      </c>
      <c r="K59" s="5" t="str">
        <f t="shared" si="6"/>
        <v>01-2023</v>
      </c>
      <c r="L59" t="s">
        <v>647</v>
      </c>
      <c r="M59" t="s">
        <v>659</v>
      </c>
      <c r="N59" t="s">
        <v>685</v>
      </c>
      <c r="O59" t="str">
        <f t="shared" si="7"/>
        <v>Shanghai</v>
      </c>
      <c r="P59" t="s">
        <v>703</v>
      </c>
      <c r="Q59" t="s">
        <v>711</v>
      </c>
      <c r="R59" t="str">
        <f t="shared" si="8"/>
        <v>Direct</v>
      </c>
      <c r="S59" t="s">
        <v>713</v>
      </c>
      <c r="T59" t="str">
        <f t="shared" si="22"/>
        <v>J. Njeri</v>
      </c>
      <c r="U59" t="s">
        <v>729</v>
      </c>
      <c r="V59" t="str">
        <f t="shared" si="9"/>
        <v>High</v>
      </c>
      <c r="W59" t="s">
        <v>1356</v>
      </c>
      <c r="X59" t="str">
        <f t="shared" si="10"/>
        <v>A</v>
      </c>
      <c r="Y59" s="5">
        <v>1021.97</v>
      </c>
      <c r="Z59" s="5">
        <v>2296.25</v>
      </c>
      <c r="AA59" s="5">
        <f t="shared" si="11"/>
        <v>2296.25</v>
      </c>
      <c r="AB59" s="7">
        <v>0.161</v>
      </c>
      <c r="AC59" s="7">
        <f t="shared" si="12"/>
        <v>0.161</v>
      </c>
      <c r="AD59" s="16">
        <f t="shared" si="13"/>
        <v>0</v>
      </c>
      <c r="AE59" s="16">
        <v>26</v>
      </c>
      <c r="AF59" s="5">
        <f t="shared" si="14"/>
        <v>50090.397499999999</v>
      </c>
      <c r="AG59">
        <f t="shared" si="15"/>
        <v>26571.22</v>
      </c>
      <c r="AH59" s="5">
        <f t="shared" si="16"/>
        <v>23519.177499999998</v>
      </c>
      <c r="AI59" s="5">
        <f t="shared" si="17"/>
        <v>0.46953465482081669</v>
      </c>
      <c r="AJ59" s="5">
        <f t="shared" si="20"/>
        <v>3110660.8814099999</v>
      </c>
      <c r="AK59" s="7">
        <f t="shared" si="18"/>
        <v>0.28418845586244851</v>
      </c>
      <c r="AL59" s="17">
        <f>MIN(AC59,'What-If Analysis'!$B$2)</f>
        <v>0.161</v>
      </c>
      <c r="AM59">
        <f>AE59*(1+'What-If Analysis'!$B$3)</f>
        <v>33.800000000000004</v>
      </c>
      <c r="AN59">
        <f>Y59*(1+'What-If Analysis'!$B$4)</f>
        <v>1124.1670000000001</v>
      </c>
      <c r="AO59">
        <f t="shared" si="19"/>
        <v>65117.51675000001</v>
      </c>
    </row>
    <row r="60" spans="1:41" x14ac:dyDescent="0.3">
      <c r="A60" t="s">
        <v>153</v>
      </c>
      <c r="B60" s="3">
        <v>45616</v>
      </c>
      <c r="C60" s="3">
        <f t="shared" si="0"/>
        <v>45616</v>
      </c>
      <c r="D60" s="3">
        <v>45641</v>
      </c>
      <c r="E60" s="3">
        <f t="shared" si="1"/>
        <v>45641</v>
      </c>
      <c r="F60" s="16">
        <f t="shared" si="2"/>
        <v>25</v>
      </c>
      <c r="G60" s="16">
        <f>IF(Data!F71&lt;=7,1,0)</f>
        <v>0</v>
      </c>
      <c r="H60" s="5" t="str">
        <f t="shared" si="3"/>
        <v>11-2024</v>
      </c>
      <c r="I60" s="5" t="str">
        <f t="shared" si="4"/>
        <v>Q4-2024</v>
      </c>
      <c r="J60" s="3">
        <f t="shared" si="5"/>
        <v>44936</v>
      </c>
      <c r="K60" s="5" t="str">
        <f t="shared" si="6"/>
        <v>01-2023</v>
      </c>
      <c r="L60" t="s">
        <v>649</v>
      </c>
      <c r="M60" t="s">
        <v>657</v>
      </c>
      <c r="N60" t="s">
        <v>690</v>
      </c>
      <c r="O60" t="str">
        <f t="shared" si="7"/>
        <v>Paris</v>
      </c>
      <c r="P60" t="s">
        <v>701</v>
      </c>
      <c r="Q60" t="s">
        <v>708</v>
      </c>
      <c r="R60" t="str">
        <f t="shared" si="8"/>
        <v>Online</v>
      </c>
      <c r="S60" t="s">
        <v>715</v>
      </c>
      <c r="T60" t="str">
        <f t="shared" si="22"/>
        <v>G. Dubois</v>
      </c>
      <c r="U60" t="s">
        <v>728</v>
      </c>
      <c r="V60" t="str">
        <f t="shared" si="9"/>
        <v>High</v>
      </c>
      <c r="W60" t="s">
        <v>872</v>
      </c>
      <c r="X60" t="str">
        <f t="shared" si="10"/>
        <v>A</v>
      </c>
      <c r="Y60" s="5">
        <v>1203.58</v>
      </c>
      <c r="Z60" s="5">
        <v>1856.16</v>
      </c>
      <c r="AA60" s="5">
        <f t="shared" si="11"/>
        <v>1856.16</v>
      </c>
      <c r="AB60" s="7">
        <v>0.129</v>
      </c>
      <c r="AC60" s="7">
        <f t="shared" si="12"/>
        <v>0.129</v>
      </c>
      <c r="AD60" s="16">
        <f t="shared" si="13"/>
        <v>0</v>
      </c>
      <c r="AE60" s="16">
        <v>22</v>
      </c>
      <c r="AF60" s="5">
        <f t="shared" si="14"/>
        <v>35567.737920000007</v>
      </c>
      <c r="AG60">
        <f t="shared" si="15"/>
        <v>26478.76</v>
      </c>
      <c r="AH60" s="5">
        <f t="shared" si="16"/>
        <v>9088.9779200000085</v>
      </c>
      <c r="AI60" s="5">
        <f t="shared" si="17"/>
        <v>0.25553994860295032</v>
      </c>
      <c r="AJ60" s="5">
        <f t="shared" si="20"/>
        <v>3146228.6193300001</v>
      </c>
      <c r="AK60" s="7">
        <f t="shared" si="18"/>
        <v>0.28743790699304667</v>
      </c>
      <c r="AL60" s="17">
        <f>MIN(AC60,'What-If Analysis'!$B$2)</f>
        <v>0.129</v>
      </c>
      <c r="AM60">
        <f>AE60*(1+'What-If Analysis'!$B$3)</f>
        <v>28.6</v>
      </c>
      <c r="AN60">
        <f>Y60*(1+'What-If Analysis'!$B$4)</f>
        <v>1323.9380000000001</v>
      </c>
      <c r="AO60">
        <f t="shared" si="19"/>
        <v>46238.059296000007</v>
      </c>
    </row>
    <row r="61" spans="1:41" x14ac:dyDescent="0.3">
      <c r="A61" t="s">
        <v>606</v>
      </c>
      <c r="B61" s="3">
        <v>44984</v>
      </c>
      <c r="C61" s="3">
        <f t="shared" si="0"/>
        <v>44983</v>
      </c>
      <c r="D61" s="3">
        <v>44983</v>
      </c>
      <c r="E61" s="3">
        <f t="shared" si="1"/>
        <v>44984</v>
      </c>
      <c r="F61" s="16">
        <f t="shared" si="2"/>
        <v>1</v>
      </c>
      <c r="G61" s="16">
        <f>IF(Data!F30&lt;=7,1,0)</f>
        <v>1</v>
      </c>
      <c r="H61" s="5" t="str">
        <f t="shared" si="3"/>
        <v>02-2023</v>
      </c>
      <c r="I61" s="5" t="str">
        <f t="shared" si="4"/>
        <v>Q1-2023</v>
      </c>
      <c r="J61" s="3">
        <f t="shared" si="5"/>
        <v>44939</v>
      </c>
      <c r="K61" s="5" t="str">
        <f t="shared" si="6"/>
        <v>01-2023</v>
      </c>
      <c r="L61" t="s">
        <v>648</v>
      </c>
      <c r="M61" t="s">
        <v>660</v>
      </c>
      <c r="N61" t="s">
        <v>686</v>
      </c>
      <c r="O61" t="str">
        <f t="shared" si="7"/>
        <v>San Francisco</v>
      </c>
      <c r="P61" t="s">
        <v>703</v>
      </c>
      <c r="Q61" t="s">
        <v>708</v>
      </c>
      <c r="R61" t="str">
        <f t="shared" si="8"/>
        <v>Online</v>
      </c>
      <c r="S61" t="s">
        <v>716</v>
      </c>
      <c r="T61" t="str">
        <f t="shared" si="22"/>
        <v>L. Okafor</v>
      </c>
      <c r="U61" t="s">
        <v>729</v>
      </c>
      <c r="V61" t="str">
        <f t="shared" si="9"/>
        <v>High</v>
      </c>
      <c r="W61" t="s">
        <v>1324</v>
      </c>
      <c r="X61" t="str">
        <f t="shared" si="10"/>
        <v>A</v>
      </c>
      <c r="Y61" s="5">
        <v>1015.91</v>
      </c>
      <c r="Z61" s="5">
        <v>2331.48</v>
      </c>
      <c r="AA61" s="5">
        <f t="shared" si="11"/>
        <v>2331.48</v>
      </c>
      <c r="AB61" s="7">
        <v>0.14599999999999999</v>
      </c>
      <c r="AC61" s="7">
        <f t="shared" si="12"/>
        <v>0.14599999999999999</v>
      </c>
      <c r="AD61" s="16">
        <f t="shared" si="13"/>
        <v>0</v>
      </c>
      <c r="AE61" s="16">
        <v>26</v>
      </c>
      <c r="AF61" s="5">
        <f t="shared" si="14"/>
        <v>51768.181920000003</v>
      </c>
      <c r="AG61">
        <f t="shared" si="15"/>
        <v>26413.66</v>
      </c>
      <c r="AH61" s="5">
        <f t="shared" si="16"/>
        <v>25354.521920000003</v>
      </c>
      <c r="AI61" s="5">
        <f t="shared" si="17"/>
        <v>0.48977037592669626</v>
      </c>
      <c r="AJ61" s="5">
        <f t="shared" si="20"/>
        <v>3197996.80125</v>
      </c>
      <c r="AK61" s="7">
        <f t="shared" si="18"/>
        <v>0.29216742275947838</v>
      </c>
      <c r="AL61" s="17">
        <f>MIN(AC61,'What-If Analysis'!$B$2)</f>
        <v>0.14599999999999999</v>
      </c>
      <c r="AM61">
        <f>AE61*(1+'What-If Analysis'!$B$3)</f>
        <v>33.800000000000004</v>
      </c>
      <c r="AN61">
        <f>Y61*(1+'What-If Analysis'!$B$4)</f>
        <v>1117.501</v>
      </c>
      <c r="AO61">
        <f t="shared" si="19"/>
        <v>67298.636496000006</v>
      </c>
    </row>
    <row r="62" spans="1:41" x14ac:dyDescent="0.3">
      <c r="A62" t="s">
        <v>209</v>
      </c>
      <c r="B62" s="3">
        <v>45557</v>
      </c>
      <c r="C62" s="3">
        <f t="shared" si="0"/>
        <v>45557</v>
      </c>
      <c r="D62" s="3">
        <v>45566</v>
      </c>
      <c r="E62" s="3">
        <f t="shared" si="1"/>
        <v>45566</v>
      </c>
      <c r="F62" s="16">
        <f t="shared" si="2"/>
        <v>9</v>
      </c>
      <c r="G62" s="16">
        <f>IF(Data!F103&lt;=7,1,0)</f>
        <v>0</v>
      </c>
      <c r="H62" s="5" t="str">
        <f t="shared" si="3"/>
        <v>09-2024</v>
      </c>
      <c r="I62" s="5" t="str">
        <f t="shared" si="4"/>
        <v>Q3-2024</v>
      </c>
      <c r="J62" s="3">
        <f t="shared" si="5"/>
        <v>44955</v>
      </c>
      <c r="K62" s="5" t="str">
        <f t="shared" si="6"/>
        <v>01-2023</v>
      </c>
      <c r="L62" t="s">
        <v>648</v>
      </c>
      <c r="M62" t="s">
        <v>655</v>
      </c>
      <c r="N62" t="s">
        <v>670</v>
      </c>
      <c r="O62" t="str">
        <f t="shared" si="7"/>
        <v>São Paulo</v>
      </c>
      <c r="P62" t="s">
        <v>703</v>
      </c>
      <c r="Q62" t="s">
        <v>708</v>
      </c>
      <c r="R62" t="str">
        <f t="shared" si="8"/>
        <v>Online</v>
      </c>
      <c r="S62" t="s">
        <v>723</v>
      </c>
      <c r="T62" t="str">
        <f t="shared" si="22"/>
        <v>K. Singh</v>
      </c>
      <c r="U62" t="s">
        <v>732</v>
      </c>
      <c r="V62" t="str">
        <f t="shared" si="9"/>
        <v>High</v>
      </c>
      <c r="W62" t="s">
        <v>929</v>
      </c>
      <c r="X62" t="str">
        <f t="shared" si="10"/>
        <v>A</v>
      </c>
      <c r="Y62" s="5">
        <v>1378.8</v>
      </c>
      <c r="Z62" s="5">
        <v>1952.04</v>
      </c>
      <c r="AA62" s="5">
        <f t="shared" si="11"/>
        <v>1952.04</v>
      </c>
      <c r="AB62" s="7">
        <v>0.159</v>
      </c>
      <c r="AC62" s="7">
        <f t="shared" si="12"/>
        <v>0.159</v>
      </c>
      <c r="AD62" s="16">
        <f t="shared" si="13"/>
        <v>0</v>
      </c>
      <c r="AE62" s="16">
        <v>19</v>
      </c>
      <c r="AF62" s="5">
        <f t="shared" si="14"/>
        <v>31191.64716</v>
      </c>
      <c r="AG62">
        <f t="shared" si="15"/>
        <v>26197.200000000001</v>
      </c>
      <c r="AH62" s="5">
        <f t="shared" si="16"/>
        <v>4994.4471599999997</v>
      </c>
      <c r="AI62" s="5">
        <f t="shared" si="17"/>
        <v>0.16012130216723058</v>
      </c>
      <c r="AJ62" s="5">
        <f t="shared" si="20"/>
        <v>3229188.4484100002</v>
      </c>
      <c r="AK62" s="7">
        <f t="shared" si="18"/>
        <v>0.29501707637976915</v>
      </c>
      <c r="AL62" s="17">
        <f>MIN(AC62,'What-If Analysis'!$B$2)</f>
        <v>0.159</v>
      </c>
      <c r="AM62">
        <f>AE62*(1+'What-If Analysis'!$B$3)</f>
        <v>24.7</v>
      </c>
      <c r="AN62">
        <f>Y62*(1+'What-If Analysis'!$B$4)</f>
        <v>1516.68</v>
      </c>
      <c r="AO62">
        <f t="shared" si="19"/>
        <v>40549.141307999998</v>
      </c>
    </row>
    <row r="63" spans="1:41" x14ac:dyDescent="0.3">
      <c r="A63" t="s">
        <v>520</v>
      </c>
      <c r="B63" s="3">
        <v>45774</v>
      </c>
      <c r="C63" s="3">
        <f t="shared" si="0"/>
        <v>45774</v>
      </c>
      <c r="D63" s="3">
        <v>45794</v>
      </c>
      <c r="E63" s="3">
        <f t="shared" si="1"/>
        <v>45794</v>
      </c>
      <c r="F63" s="16">
        <f t="shared" si="2"/>
        <v>20</v>
      </c>
      <c r="G63" s="16">
        <f>IF(Data!F77&lt;=7,1,0)</f>
        <v>1</v>
      </c>
      <c r="H63" s="5" t="str">
        <f t="shared" si="3"/>
        <v>04-2025</v>
      </c>
      <c r="I63" s="5" t="str">
        <f t="shared" si="4"/>
        <v>Q2-2025</v>
      </c>
      <c r="J63" s="3">
        <f t="shared" si="5"/>
        <v>44939</v>
      </c>
      <c r="K63" s="5" t="str">
        <f t="shared" si="6"/>
        <v>01-2023</v>
      </c>
      <c r="L63" t="s">
        <v>648</v>
      </c>
      <c r="M63" t="s">
        <v>660</v>
      </c>
      <c r="N63" t="s">
        <v>697</v>
      </c>
      <c r="O63" t="str">
        <f t="shared" si="7"/>
        <v>Austin</v>
      </c>
      <c r="P63" t="s">
        <v>701</v>
      </c>
      <c r="Q63" t="s">
        <v>711</v>
      </c>
      <c r="R63" t="str">
        <f t="shared" si="8"/>
        <v>Direct</v>
      </c>
      <c r="S63" t="s">
        <v>725</v>
      </c>
      <c r="T63" t="str">
        <f t="shared" si="22"/>
        <v>N. Brown</v>
      </c>
      <c r="U63" t="s">
        <v>730</v>
      </c>
      <c r="V63" t="str">
        <f t="shared" si="9"/>
        <v>Medium</v>
      </c>
      <c r="W63" t="s">
        <v>1239</v>
      </c>
      <c r="X63" t="str">
        <f t="shared" si="10"/>
        <v>A</v>
      </c>
      <c r="Y63" s="5">
        <v>932.26</v>
      </c>
      <c r="Z63" s="5">
        <v>1624.67</v>
      </c>
      <c r="AA63" s="5">
        <f t="shared" si="11"/>
        <v>1624.67</v>
      </c>
      <c r="AB63" s="7">
        <v>0.23499999999999999</v>
      </c>
      <c r="AC63" s="7">
        <f t="shared" si="12"/>
        <v>0.23499999999999999</v>
      </c>
      <c r="AD63" s="16">
        <f t="shared" si="13"/>
        <v>1</v>
      </c>
      <c r="AE63" s="16">
        <v>28</v>
      </c>
      <c r="AF63" s="5">
        <f t="shared" si="14"/>
        <v>34800.431400000001</v>
      </c>
      <c r="AG63">
        <f t="shared" si="15"/>
        <v>26103.279999999999</v>
      </c>
      <c r="AH63" s="5">
        <f t="shared" si="16"/>
        <v>8697.1514000000025</v>
      </c>
      <c r="AI63" s="5">
        <f t="shared" si="17"/>
        <v>0.24991504559337163</v>
      </c>
      <c r="AJ63" s="5">
        <f t="shared" si="20"/>
        <v>3263988.8798100003</v>
      </c>
      <c r="AK63" s="7">
        <f t="shared" si="18"/>
        <v>0.2981964267621966</v>
      </c>
      <c r="AL63" s="17">
        <f>MIN(AC63,'What-If Analysis'!$B$2)</f>
        <v>0.2</v>
      </c>
      <c r="AM63">
        <f>AE63*(1+'What-If Analysis'!$B$3)</f>
        <v>36.4</v>
      </c>
      <c r="AN63">
        <f>Y63*(1+'What-If Analysis'!$B$4)</f>
        <v>1025.4860000000001</v>
      </c>
      <c r="AO63">
        <f t="shared" si="19"/>
        <v>47310.390400000004</v>
      </c>
    </row>
    <row r="64" spans="1:41" x14ac:dyDescent="0.3">
      <c r="A64" t="s">
        <v>570</v>
      </c>
      <c r="B64" s="3">
        <v>45053</v>
      </c>
      <c r="C64" s="3">
        <f t="shared" si="0"/>
        <v>45053</v>
      </c>
      <c r="D64" s="3">
        <v>45066</v>
      </c>
      <c r="E64" s="3">
        <f t="shared" si="1"/>
        <v>45066</v>
      </c>
      <c r="F64" s="16">
        <f t="shared" si="2"/>
        <v>13</v>
      </c>
      <c r="G64" s="16">
        <f>IF(Data!F38&lt;=7,1,0)</f>
        <v>1</v>
      </c>
      <c r="H64" s="5" t="str">
        <f t="shared" si="3"/>
        <v>05-2023</v>
      </c>
      <c r="I64" s="5" t="str">
        <f t="shared" si="4"/>
        <v>Q2-2023</v>
      </c>
      <c r="J64" s="3">
        <f t="shared" si="5"/>
        <v>44955</v>
      </c>
      <c r="K64" s="5" t="str">
        <f t="shared" si="6"/>
        <v>01-2023</v>
      </c>
      <c r="L64" t="s">
        <v>647</v>
      </c>
      <c r="M64" t="s">
        <v>654</v>
      </c>
      <c r="N64" t="s">
        <v>691</v>
      </c>
      <c r="O64" t="str">
        <f t="shared" si="7"/>
        <v>Mumbai</v>
      </c>
      <c r="P64" t="s">
        <v>706</v>
      </c>
      <c r="Q64" t="s">
        <v>707</v>
      </c>
      <c r="R64" t="str">
        <f t="shared" si="8"/>
        <v>Retail</v>
      </c>
      <c r="S64" t="s">
        <v>726</v>
      </c>
      <c r="T64" t="str">
        <f t="shared" si="22"/>
        <v>D. Smith</v>
      </c>
      <c r="U64" t="s">
        <v>733</v>
      </c>
      <c r="V64" t="str">
        <f t="shared" si="9"/>
        <v>High</v>
      </c>
      <c r="W64" t="s">
        <v>1288</v>
      </c>
      <c r="X64" t="str">
        <f t="shared" si="10"/>
        <v>A</v>
      </c>
      <c r="Y64" s="5">
        <v>1443.28</v>
      </c>
      <c r="Z64" s="5">
        <v>2580.5700000000002</v>
      </c>
      <c r="AA64" s="5">
        <f t="shared" si="11"/>
        <v>2580.5700000000002</v>
      </c>
      <c r="AB64" s="7">
        <v>0</v>
      </c>
      <c r="AC64" s="7">
        <f t="shared" si="12"/>
        <v>0</v>
      </c>
      <c r="AD64" s="16">
        <f t="shared" si="13"/>
        <v>0</v>
      </c>
      <c r="AE64" s="16">
        <v>18</v>
      </c>
      <c r="AF64" s="5">
        <f t="shared" si="14"/>
        <v>46450.26</v>
      </c>
      <c r="AG64">
        <f t="shared" si="15"/>
        <v>25979.040000000001</v>
      </c>
      <c r="AH64" s="5">
        <f t="shared" si="16"/>
        <v>20471.22</v>
      </c>
      <c r="AI64" s="5">
        <f t="shared" si="17"/>
        <v>0.4407127107577008</v>
      </c>
      <c r="AJ64" s="5">
        <f t="shared" si="20"/>
        <v>3310439.1398100001</v>
      </c>
      <c r="AK64" s="7">
        <f t="shared" si="18"/>
        <v>0.30244009978444703</v>
      </c>
      <c r="AL64" s="17">
        <f>MIN(AC64,'What-If Analysis'!$B$2)</f>
        <v>0</v>
      </c>
      <c r="AM64">
        <f>AE64*(1+'What-If Analysis'!$B$3)</f>
        <v>23.400000000000002</v>
      </c>
      <c r="AN64">
        <f>Y64*(1+'What-If Analysis'!$B$4)</f>
        <v>1587.6080000000002</v>
      </c>
      <c r="AO64">
        <f t="shared" si="19"/>
        <v>60385.338000000011</v>
      </c>
    </row>
    <row r="65" spans="1:41" x14ac:dyDescent="0.3">
      <c r="A65" t="s">
        <v>421</v>
      </c>
      <c r="B65" s="3">
        <v>45709</v>
      </c>
      <c r="C65" s="3">
        <f t="shared" si="0"/>
        <v>45709</v>
      </c>
      <c r="D65" s="3">
        <v>45737</v>
      </c>
      <c r="E65" s="3">
        <f t="shared" si="1"/>
        <v>45737</v>
      </c>
      <c r="F65" s="16">
        <f t="shared" si="2"/>
        <v>28</v>
      </c>
      <c r="G65" s="16">
        <f>IF(Data!F186&lt;=7,1,0)</f>
        <v>1</v>
      </c>
      <c r="H65" s="5" t="str">
        <f t="shared" si="3"/>
        <v>02-2025</v>
      </c>
      <c r="I65" s="5" t="str">
        <f t="shared" si="4"/>
        <v>Q1-2025</v>
      </c>
      <c r="J65" s="3">
        <f t="shared" si="5"/>
        <v>44939</v>
      </c>
      <c r="K65" s="5" t="str">
        <f t="shared" si="6"/>
        <v>01-2023</v>
      </c>
      <c r="L65" t="s">
        <v>646</v>
      </c>
      <c r="M65" t="s">
        <v>651</v>
      </c>
      <c r="N65" t="s">
        <v>669</v>
      </c>
      <c r="O65" t="str">
        <f t="shared" si="7"/>
        <v>Abuja</v>
      </c>
      <c r="P65" t="s">
        <v>706</v>
      </c>
      <c r="Q65" t="s">
        <v>709</v>
      </c>
      <c r="R65" t="str">
        <f t="shared" si="8"/>
        <v>Marketplace</v>
      </c>
      <c r="S65" t="s">
        <v>714</v>
      </c>
      <c r="T65" t="str">
        <f t="shared" si="22"/>
        <v>I. Johnson</v>
      </c>
      <c r="U65" t="s">
        <v>730</v>
      </c>
      <c r="V65" t="str">
        <f t="shared" si="9"/>
        <v>Medium</v>
      </c>
      <c r="W65" t="s">
        <v>1140</v>
      </c>
      <c r="X65" t="str">
        <f t="shared" si="10"/>
        <v>A</v>
      </c>
      <c r="Y65" s="5">
        <v>1437.39</v>
      </c>
      <c r="Z65" s="5">
        <v>1388.31</v>
      </c>
      <c r="AA65" s="5">
        <f t="shared" si="11"/>
        <v>1388.31</v>
      </c>
      <c r="AB65" s="7">
        <v>0.13800000000000001</v>
      </c>
      <c r="AC65" s="7">
        <f t="shared" si="12"/>
        <v>0.13800000000000001</v>
      </c>
      <c r="AD65" s="16">
        <f t="shared" si="13"/>
        <v>0</v>
      </c>
      <c r="AE65" s="16">
        <v>18</v>
      </c>
      <c r="AF65" s="5">
        <f t="shared" si="14"/>
        <v>21541.017959999997</v>
      </c>
      <c r="AG65">
        <f t="shared" si="15"/>
        <v>25873.02</v>
      </c>
      <c r="AH65" s="5">
        <f t="shared" si="16"/>
        <v>4332.002040000003</v>
      </c>
      <c r="AI65" s="5">
        <f t="shared" si="17"/>
        <v>0.20110479681341872</v>
      </c>
      <c r="AJ65" s="5">
        <f t="shared" si="20"/>
        <v>3331980.1577699999</v>
      </c>
      <c r="AK65" s="7">
        <f t="shared" si="18"/>
        <v>0.30440807664375119</v>
      </c>
      <c r="AL65" s="17">
        <f>MIN(AC65,'What-If Analysis'!$B$2)</f>
        <v>0.13800000000000001</v>
      </c>
      <c r="AM65">
        <f>AE65*(1+'What-If Analysis'!$B$3)</f>
        <v>23.400000000000002</v>
      </c>
      <c r="AN65">
        <f>Y65*(1+'What-If Analysis'!$B$4)</f>
        <v>1581.1290000000001</v>
      </c>
      <c r="AO65">
        <f t="shared" si="19"/>
        <v>28003.323348000002</v>
      </c>
    </row>
    <row r="66" spans="1:41" x14ac:dyDescent="0.3">
      <c r="A66" t="s">
        <v>562</v>
      </c>
      <c r="B66" s="3">
        <v>44985</v>
      </c>
      <c r="C66" s="3">
        <f t="shared" ref="C66:C129" si="23">IF(D66&lt;B66,D66,B66)</f>
        <v>44985</v>
      </c>
      <c r="D66" s="3">
        <v>44991</v>
      </c>
      <c r="E66" s="3">
        <f t="shared" ref="E66:E129" si="24">IF(D66&lt;B66,B66,D66)</f>
        <v>44991</v>
      </c>
      <c r="F66" s="16">
        <f t="shared" ref="F66:F129" si="25">E66-C66</f>
        <v>6</v>
      </c>
      <c r="G66" s="16">
        <f>IF(Data!F97&lt;=7,1,0)</f>
        <v>0</v>
      </c>
      <c r="H66" s="5" t="str">
        <f t="shared" ref="H66:H129" si="26">TEXT(C66,"MM-YYYY")</f>
        <v>02-2023</v>
      </c>
      <c r="I66" s="5" t="str">
        <f t="shared" ref="I66:I129" si="27">"Q"&amp;ROUNDUP(MONTH(H66)/3,0)&amp;"-"&amp;YEAR(H66)</f>
        <v>Q1-2023</v>
      </c>
      <c r="J66" s="3">
        <f t="shared" ref="J66:J129" si="28">_xlfn.MINIFS(C:C,M:M,M66)</f>
        <v>44947</v>
      </c>
      <c r="K66" s="5" t="str">
        <f t="shared" ref="K66:K129" si="29">TEXT(J66,"MM-YYYY")</f>
        <v>01-2023</v>
      </c>
      <c r="L66" t="s">
        <v>649</v>
      </c>
      <c r="M66" t="s">
        <v>656</v>
      </c>
      <c r="N66" t="s">
        <v>698</v>
      </c>
      <c r="O66" t="str">
        <f t="shared" ref="O66:O129" si="30">IF(N66="",_xlfn.XLOOKUP(M66,M:M,N:N),N66)</f>
        <v>Frankfurt</v>
      </c>
      <c r="P66" t="s">
        <v>705</v>
      </c>
      <c r="Q66" t="s">
        <v>709</v>
      </c>
      <c r="R66" t="str">
        <f t="shared" ref="R66:R129" si="31">IF(Q66="",_xlfn.XLOOKUP(M66,M:M,Q:Q),Q66)</f>
        <v>Marketplace</v>
      </c>
      <c r="S66" t="s">
        <v>726</v>
      </c>
      <c r="T66" t="str">
        <f t="shared" si="22"/>
        <v>D. Smith</v>
      </c>
      <c r="U66" t="s">
        <v>728</v>
      </c>
      <c r="V66" t="str">
        <f t="shared" ref="V66:V129" si="32">IF(AA66&lt;815.0987,"Low",IF(AA66&lt;1640.058,"Medium","High"))</f>
        <v>Medium</v>
      </c>
      <c r="W66" t="s">
        <v>1280</v>
      </c>
      <c r="X66" t="str">
        <f t="shared" ref="X66:X129" si="33">IF(AK66&lt;=80%,"A",IF(AK66&lt;=95%,"B","C"))</f>
        <v>A</v>
      </c>
      <c r="Y66" s="5">
        <v>880.02</v>
      </c>
      <c r="Z66" s="5">
        <v>1251.21</v>
      </c>
      <c r="AA66" s="5">
        <f t="shared" ref="AA66:AA129" si="34">ABS(Z66)</f>
        <v>1251.21</v>
      </c>
      <c r="AB66" s="7">
        <v>0.123</v>
      </c>
      <c r="AC66" s="7">
        <f t="shared" ref="AC66:AC129" si="35">MIN(AB66,30%)</f>
        <v>0.123</v>
      </c>
      <c r="AD66" s="16">
        <f t="shared" ref="AD66:AD129" si="36">IF(AC66&gt;20%,1,0)</f>
        <v>0</v>
      </c>
      <c r="AE66" s="16">
        <v>29</v>
      </c>
      <c r="AF66" s="5">
        <f t="shared" ref="AF66:AF129" si="37">AA66*AE66*(1-AC66)</f>
        <v>31822.023930000003</v>
      </c>
      <c r="AG66">
        <f t="shared" ref="AG66:AG129" si="38">Y66*AE66</f>
        <v>25520.579999999998</v>
      </c>
      <c r="AH66" s="5">
        <f t="shared" ref="AH66:AH129" si="39">ABS(AF66-AG66)</f>
        <v>6301.4439300000049</v>
      </c>
      <c r="AI66" s="5">
        <f t="shared" ref="AI66:AI129" si="40">IF(AF66=0,0,AH66/AF66)</f>
        <v>0.19802146915172672</v>
      </c>
      <c r="AJ66" s="5">
        <f t="shared" si="20"/>
        <v>3363802.1817000001</v>
      </c>
      <c r="AK66" s="7">
        <f t="shared" ref="AK66:AK129" si="41">AJ66/SUM(AF:AF)</f>
        <v>0.30731532117726185</v>
      </c>
      <c r="AL66" s="17">
        <f>MIN(AC66,'What-If Analysis'!$B$2)</f>
        <v>0.123</v>
      </c>
      <c r="AM66">
        <f>AE66*(1+'What-If Analysis'!$B$3)</f>
        <v>37.700000000000003</v>
      </c>
      <c r="AN66">
        <f>Y66*(1+'What-If Analysis'!$B$4)</f>
        <v>968.02200000000005</v>
      </c>
      <c r="AO66">
        <f t="shared" ref="AO66:AO129" si="42">AA66*AM66*(1-AL66)</f>
        <v>41368.631109000002</v>
      </c>
    </row>
    <row r="67" spans="1:41" x14ac:dyDescent="0.3">
      <c r="A67" t="s">
        <v>445</v>
      </c>
      <c r="B67" s="3">
        <v>45654</v>
      </c>
      <c r="C67" s="3">
        <f t="shared" si="23"/>
        <v>45654</v>
      </c>
      <c r="D67" s="3">
        <v>45665</v>
      </c>
      <c r="E67" s="3">
        <f t="shared" si="24"/>
        <v>45665</v>
      </c>
      <c r="F67" s="16">
        <f t="shared" si="25"/>
        <v>11</v>
      </c>
      <c r="G67" s="16">
        <f>IF(Data!F24&lt;=7,1,0)</f>
        <v>0</v>
      </c>
      <c r="H67" s="5" t="str">
        <f t="shared" si="26"/>
        <v>12-2024</v>
      </c>
      <c r="I67" s="5" t="str">
        <f t="shared" si="27"/>
        <v>Q4-2024</v>
      </c>
      <c r="J67" s="3">
        <f t="shared" si="28"/>
        <v>44938</v>
      </c>
      <c r="K67" s="5" t="str">
        <f t="shared" si="29"/>
        <v>01-2023</v>
      </c>
      <c r="L67" t="s">
        <v>647</v>
      </c>
      <c r="M67" t="s">
        <v>659</v>
      </c>
      <c r="N67" t="s">
        <v>676</v>
      </c>
      <c r="O67" t="str">
        <f t="shared" si="30"/>
        <v>Shenzhen</v>
      </c>
      <c r="P67" t="s">
        <v>706</v>
      </c>
      <c r="Q67" t="s">
        <v>708</v>
      </c>
      <c r="R67" t="str">
        <f t="shared" si="31"/>
        <v>Online</v>
      </c>
      <c r="S67" t="s">
        <v>723</v>
      </c>
      <c r="T67" t="str">
        <f t="shared" si="22"/>
        <v>K. Singh</v>
      </c>
      <c r="U67" t="s">
        <v>731</v>
      </c>
      <c r="V67" t="str">
        <f t="shared" si="32"/>
        <v>High</v>
      </c>
      <c r="W67" t="s">
        <v>1164</v>
      </c>
      <c r="X67" t="str">
        <f t="shared" si="33"/>
        <v>A</v>
      </c>
      <c r="Y67" s="5">
        <v>1201.31</v>
      </c>
      <c r="Z67" s="5">
        <v>2764.65</v>
      </c>
      <c r="AA67" s="5">
        <f t="shared" si="34"/>
        <v>2764.65</v>
      </c>
      <c r="AB67" s="7">
        <v>0</v>
      </c>
      <c r="AC67" s="7">
        <f t="shared" si="35"/>
        <v>0</v>
      </c>
      <c r="AD67" s="16">
        <f t="shared" si="36"/>
        <v>0</v>
      </c>
      <c r="AE67" s="16">
        <v>21</v>
      </c>
      <c r="AF67" s="5">
        <f t="shared" si="37"/>
        <v>58057.65</v>
      </c>
      <c r="AG67">
        <f t="shared" si="38"/>
        <v>25227.51</v>
      </c>
      <c r="AH67" s="5">
        <f t="shared" si="39"/>
        <v>32830.14</v>
      </c>
      <c r="AI67" s="5">
        <f t="shared" si="40"/>
        <v>0.56547483406579491</v>
      </c>
      <c r="AJ67" s="5">
        <f t="shared" ref="AJ67:AJ130" si="43">AJ66+AF67</f>
        <v>3421859.8317</v>
      </c>
      <c r="AK67" s="7">
        <f t="shared" si="41"/>
        <v>0.31261943966960731</v>
      </c>
      <c r="AL67" s="17">
        <f>MIN(AC67,'What-If Analysis'!$B$2)</f>
        <v>0</v>
      </c>
      <c r="AM67">
        <f>AE67*(1+'What-If Analysis'!$B$3)</f>
        <v>27.3</v>
      </c>
      <c r="AN67">
        <f>Y67*(1+'What-If Analysis'!$B$4)</f>
        <v>1321.441</v>
      </c>
      <c r="AO67">
        <f t="shared" si="42"/>
        <v>75474.945000000007</v>
      </c>
    </row>
    <row r="68" spans="1:41" x14ac:dyDescent="0.3">
      <c r="A68" t="s">
        <v>31</v>
      </c>
      <c r="B68" s="3">
        <v>45636</v>
      </c>
      <c r="C68" s="3">
        <f t="shared" si="23"/>
        <v>45636</v>
      </c>
      <c r="D68" s="3">
        <v>45665</v>
      </c>
      <c r="E68" s="3">
        <f t="shared" si="24"/>
        <v>45665</v>
      </c>
      <c r="F68" s="16">
        <f t="shared" si="25"/>
        <v>29</v>
      </c>
      <c r="G68" s="16">
        <f>IF(Data!F142&lt;=7,1,0)</f>
        <v>0</v>
      </c>
      <c r="H68" s="5" t="str">
        <f t="shared" si="26"/>
        <v>12-2024</v>
      </c>
      <c r="I68" s="5" t="str">
        <f t="shared" si="27"/>
        <v>Q4-2024</v>
      </c>
      <c r="J68" s="3">
        <f t="shared" si="28"/>
        <v>44936</v>
      </c>
      <c r="K68" s="5" t="str">
        <f t="shared" si="29"/>
        <v>01-2023</v>
      </c>
      <c r="L68" t="s">
        <v>649</v>
      </c>
      <c r="M68" t="s">
        <v>657</v>
      </c>
      <c r="N68" t="s">
        <v>673</v>
      </c>
      <c r="O68" t="str">
        <f t="shared" si="30"/>
        <v>Marseille</v>
      </c>
      <c r="P68" t="s">
        <v>705</v>
      </c>
      <c r="Q68" t="s">
        <v>707</v>
      </c>
      <c r="R68" t="str">
        <f t="shared" si="31"/>
        <v>Retail</v>
      </c>
      <c r="S68" t="s">
        <v>723</v>
      </c>
      <c r="T68" t="str">
        <f t="shared" si="22"/>
        <v>K. Singh</v>
      </c>
      <c r="U68" t="s">
        <v>728</v>
      </c>
      <c r="V68" t="str">
        <f t="shared" si="32"/>
        <v>Medium</v>
      </c>
      <c r="W68" t="s">
        <v>750</v>
      </c>
      <c r="X68" t="str">
        <f t="shared" si="33"/>
        <v>A</v>
      </c>
      <c r="Y68" s="5">
        <v>891.08</v>
      </c>
      <c r="Z68" s="5">
        <v>1040.0999999999999</v>
      </c>
      <c r="AA68" s="5">
        <f t="shared" si="34"/>
        <v>1040.0999999999999</v>
      </c>
      <c r="AB68" s="7">
        <v>0.109</v>
      </c>
      <c r="AC68" s="7">
        <f t="shared" si="35"/>
        <v>0.109</v>
      </c>
      <c r="AD68" s="16">
        <f t="shared" si="36"/>
        <v>0</v>
      </c>
      <c r="AE68" s="16">
        <v>28</v>
      </c>
      <c r="AF68" s="5">
        <f t="shared" si="37"/>
        <v>25948.414799999995</v>
      </c>
      <c r="AG68">
        <f t="shared" si="38"/>
        <v>24950.240000000002</v>
      </c>
      <c r="AH68" s="5">
        <f t="shared" si="39"/>
        <v>998.17479999999341</v>
      </c>
      <c r="AI68" s="5">
        <f t="shared" si="40"/>
        <v>3.8467660074556598E-2</v>
      </c>
      <c r="AJ68" s="5">
        <f t="shared" si="43"/>
        <v>3447808.2464999999</v>
      </c>
      <c r="AK68" s="7">
        <f t="shared" si="41"/>
        <v>0.31499007414736746</v>
      </c>
      <c r="AL68" s="17">
        <f>MIN(AC68,'What-If Analysis'!$B$2)</f>
        <v>0.109</v>
      </c>
      <c r="AM68">
        <f>AE68*(1+'What-If Analysis'!$B$3)</f>
        <v>36.4</v>
      </c>
      <c r="AN68">
        <f>Y68*(1+'What-If Analysis'!$B$4)</f>
        <v>980.1880000000001</v>
      </c>
      <c r="AO68">
        <f t="shared" si="42"/>
        <v>33732.939239999992</v>
      </c>
    </row>
    <row r="69" spans="1:41" x14ac:dyDescent="0.3">
      <c r="A69" t="s">
        <v>367</v>
      </c>
      <c r="B69" s="3">
        <v>45512</v>
      </c>
      <c r="C69" s="3">
        <f t="shared" si="23"/>
        <v>45512</v>
      </c>
      <c r="D69" s="3">
        <v>45524</v>
      </c>
      <c r="E69" s="3">
        <f t="shared" si="24"/>
        <v>45524</v>
      </c>
      <c r="F69" s="16">
        <f t="shared" si="25"/>
        <v>12</v>
      </c>
      <c r="G69" s="16">
        <f>IF(Data!F76&lt;=7,1,0)</f>
        <v>0</v>
      </c>
      <c r="H69" s="5" t="str">
        <f t="shared" si="26"/>
        <v>08-2024</v>
      </c>
      <c r="I69" s="5" t="str">
        <f t="shared" si="27"/>
        <v>Q3-2024</v>
      </c>
      <c r="J69" s="3">
        <f t="shared" si="28"/>
        <v>44988</v>
      </c>
      <c r="K69" s="5" t="str">
        <f t="shared" si="29"/>
        <v>03-2023</v>
      </c>
      <c r="L69" t="s">
        <v>647</v>
      </c>
      <c r="M69" t="s">
        <v>652</v>
      </c>
      <c r="N69" t="s">
        <v>666</v>
      </c>
      <c r="O69" t="str">
        <f t="shared" si="30"/>
        <v>Osaka</v>
      </c>
      <c r="P69" t="s">
        <v>705</v>
      </c>
      <c r="Q69" t="s">
        <v>707</v>
      </c>
      <c r="R69" t="str">
        <f t="shared" si="31"/>
        <v>Retail</v>
      </c>
      <c r="S69" t="s">
        <v>722</v>
      </c>
      <c r="T69" t="str">
        <f t="shared" si="22"/>
        <v>H. Kim</v>
      </c>
      <c r="U69" t="s">
        <v>729</v>
      </c>
      <c r="V69" t="str">
        <f t="shared" si="32"/>
        <v>High</v>
      </c>
      <c r="W69" t="s">
        <v>1087</v>
      </c>
      <c r="X69" t="str">
        <f t="shared" si="33"/>
        <v>A</v>
      </c>
      <c r="Y69" s="5">
        <v>1233.3599999999999</v>
      </c>
      <c r="Z69" s="5">
        <v>2120.4</v>
      </c>
      <c r="AA69" s="5">
        <f t="shared" si="34"/>
        <v>2120.4</v>
      </c>
      <c r="AB69" s="7">
        <v>0.17899999999999999</v>
      </c>
      <c r="AC69" s="7">
        <f t="shared" si="35"/>
        <v>0.17899999999999999</v>
      </c>
      <c r="AD69" s="16">
        <f t="shared" si="36"/>
        <v>0</v>
      </c>
      <c r="AE69" s="16">
        <v>20</v>
      </c>
      <c r="AF69" s="5">
        <f t="shared" si="37"/>
        <v>34816.968000000001</v>
      </c>
      <c r="AG69">
        <f t="shared" si="38"/>
        <v>24667.199999999997</v>
      </c>
      <c r="AH69" s="5">
        <f t="shared" si="39"/>
        <v>10149.768000000004</v>
      </c>
      <c r="AI69" s="5">
        <f t="shared" si="40"/>
        <v>0.29151785991244278</v>
      </c>
      <c r="AJ69" s="5">
        <f t="shared" si="43"/>
        <v>3482625.2144999998</v>
      </c>
      <c r="AK69" s="7">
        <f t="shared" si="41"/>
        <v>0.31817093530547841</v>
      </c>
      <c r="AL69" s="17">
        <f>MIN(AC69,'What-If Analysis'!$B$2)</f>
        <v>0.17899999999999999</v>
      </c>
      <c r="AM69">
        <f>AE69*(1+'What-If Analysis'!$B$3)</f>
        <v>26</v>
      </c>
      <c r="AN69">
        <f>Y69*(1+'What-If Analysis'!$B$4)</f>
        <v>1356.6959999999999</v>
      </c>
      <c r="AO69">
        <f t="shared" si="42"/>
        <v>45262.058400000002</v>
      </c>
    </row>
    <row r="70" spans="1:41" x14ac:dyDescent="0.3">
      <c r="A70" t="s">
        <v>632</v>
      </c>
      <c r="B70" s="3">
        <v>45849</v>
      </c>
      <c r="C70" s="3">
        <f t="shared" si="23"/>
        <v>45849</v>
      </c>
      <c r="D70" s="3">
        <v>45854</v>
      </c>
      <c r="E70" s="3">
        <f t="shared" si="24"/>
        <v>45854</v>
      </c>
      <c r="F70" s="16">
        <f t="shared" si="25"/>
        <v>5</v>
      </c>
      <c r="G70" s="16">
        <f>IF(Data!F151&lt;=7,1,0)</f>
        <v>0</v>
      </c>
      <c r="H70" s="5" t="str">
        <f t="shared" si="26"/>
        <v>07-2025</v>
      </c>
      <c r="I70" s="5" t="str">
        <f t="shared" si="27"/>
        <v>Q3-2025</v>
      </c>
      <c r="J70" s="3">
        <f t="shared" si="28"/>
        <v>44945</v>
      </c>
      <c r="K70" s="5" t="str">
        <f t="shared" si="29"/>
        <v>01-2023</v>
      </c>
      <c r="L70" t="s">
        <v>649</v>
      </c>
      <c r="M70" t="s">
        <v>658</v>
      </c>
      <c r="N70" t="s">
        <v>683</v>
      </c>
      <c r="O70" t="str">
        <f t="shared" si="30"/>
        <v>London</v>
      </c>
      <c r="P70" t="s">
        <v>706</v>
      </c>
      <c r="Q70" t="s">
        <v>708</v>
      </c>
      <c r="R70" t="str">
        <f t="shared" si="31"/>
        <v>Online</v>
      </c>
      <c r="S70" t="s">
        <v>723</v>
      </c>
      <c r="T70" t="str">
        <f t="shared" si="22"/>
        <v>K. Singh</v>
      </c>
      <c r="U70" t="s">
        <v>728</v>
      </c>
      <c r="V70" t="str">
        <f t="shared" si="32"/>
        <v>Medium</v>
      </c>
      <c r="W70" t="s">
        <v>1350</v>
      </c>
      <c r="X70" t="str">
        <f t="shared" si="33"/>
        <v>A</v>
      </c>
      <c r="Y70" s="5">
        <v>930.03</v>
      </c>
      <c r="Z70" s="5">
        <v>1086.68</v>
      </c>
      <c r="AA70" s="5">
        <f t="shared" si="34"/>
        <v>1086.68</v>
      </c>
      <c r="AB70" s="7">
        <v>0.109</v>
      </c>
      <c r="AC70" s="7">
        <f t="shared" si="35"/>
        <v>0.109</v>
      </c>
      <c r="AD70" s="16">
        <f t="shared" si="36"/>
        <v>0</v>
      </c>
      <c r="AE70" s="16">
        <v>26</v>
      </c>
      <c r="AF70" s="5">
        <f t="shared" si="37"/>
        <v>25174.028880000002</v>
      </c>
      <c r="AG70">
        <f t="shared" si="38"/>
        <v>24180.78</v>
      </c>
      <c r="AH70" s="5">
        <f t="shared" si="39"/>
        <v>993.24888000000283</v>
      </c>
      <c r="AI70" s="5">
        <f t="shared" si="40"/>
        <v>3.9455300728168656E-2</v>
      </c>
      <c r="AJ70" s="5">
        <f t="shared" si="43"/>
        <v>3507799.2433799999</v>
      </c>
      <c r="AK70" s="7">
        <f t="shared" si="41"/>
        <v>0.32047082226454837</v>
      </c>
      <c r="AL70" s="17">
        <f>MIN(AC70,'What-If Analysis'!$B$2)</f>
        <v>0.109</v>
      </c>
      <c r="AM70">
        <f>AE70*(1+'What-If Analysis'!$B$3)</f>
        <v>33.800000000000004</v>
      </c>
      <c r="AN70">
        <f>Y70*(1+'What-If Analysis'!$B$4)</f>
        <v>1023.033</v>
      </c>
      <c r="AO70">
        <f t="shared" si="42"/>
        <v>32726.237544000007</v>
      </c>
    </row>
    <row r="71" spans="1:41" x14ac:dyDescent="0.3">
      <c r="A71" t="s">
        <v>210</v>
      </c>
      <c r="B71" s="3">
        <v>45588</v>
      </c>
      <c r="C71" s="3">
        <f t="shared" si="23"/>
        <v>45588</v>
      </c>
      <c r="D71" s="3">
        <v>45610</v>
      </c>
      <c r="E71" s="3">
        <f t="shared" si="24"/>
        <v>45610</v>
      </c>
      <c r="F71" s="16">
        <f t="shared" si="25"/>
        <v>22</v>
      </c>
      <c r="G71" s="16">
        <f>IF(Data!F180&lt;=7,1,0)</f>
        <v>1</v>
      </c>
      <c r="H71" s="5" t="str">
        <f t="shared" si="26"/>
        <v>10-2024</v>
      </c>
      <c r="I71" s="5" t="str">
        <f t="shared" si="27"/>
        <v>Q4-2024</v>
      </c>
      <c r="J71" s="3">
        <f t="shared" si="28"/>
        <v>44988</v>
      </c>
      <c r="K71" s="5" t="str">
        <f t="shared" si="29"/>
        <v>03-2023</v>
      </c>
      <c r="L71" t="s">
        <v>647</v>
      </c>
      <c r="M71" t="s">
        <v>652</v>
      </c>
      <c r="N71" t="s">
        <v>666</v>
      </c>
      <c r="O71" t="str">
        <f t="shared" si="30"/>
        <v>Osaka</v>
      </c>
      <c r="P71" t="s">
        <v>703</v>
      </c>
      <c r="Q71" t="s">
        <v>711</v>
      </c>
      <c r="R71" t="str">
        <f t="shared" si="31"/>
        <v>Direct</v>
      </c>
      <c r="S71" t="s">
        <v>717</v>
      </c>
      <c r="T71" t="str">
        <f t="shared" ref="T71:T102" si="44">IF(S71="",_xlfn.XLOOKUP(L71,L:L,S:S),S71)</f>
        <v>B. Chen</v>
      </c>
      <c r="U71" t="s">
        <v>730</v>
      </c>
      <c r="V71" t="str">
        <f t="shared" si="32"/>
        <v>Medium</v>
      </c>
      <c r="W71" t="s">
        <v>930</v>
      </c>
      <c r="X71" t="str">
        <f t="shared" si="33"/>
        <v>A</v>
      </c>
      <c r="Y71" s="5">
        <v>1406.4</v>
      </c>
      <c r="Z71" s="5">
        <v>1564.76</v>
      </c>
      <c r="AA71" s="5">
        <f t="shared" si="34"/>
        <v>1564.76</v>
      </c>
      <c r="AB71" s="7">
        <v>0.185</v>
      </c>
      <c r="AC71" s="7">
        <f t="shared" si="35"/>
        <v>0.185</v>
      </c>
      <c r="AD71" s="16">
        <f t="shared" si="36"/>
        <v>0</v>
      </c>
      <c r="AE71" s="16">
        <v>17</v>
      </c>
      <c r="AF71" s="5">
        <f t="shared" si="37"/>
        <v>21679.749799999998</v>
      </c>
      <c r="AG71">
        <f t="shared" si="38"/>
        <v>23908.800000000003</v>
      </c>
      <c r="AH71" s="5">
        <f t="shared" si="39"/>
        <v>2229.0502000000051</v>
      </c>
      <c r="AI71" s="5">
        <f t="shared" si="40"/>
        <v>0.10281715520536151</v>
      </c>
      <c r="AJ71" s="5">
        <f t="shared" si="43"/>
        <v>3529478.9931799998</v>
      </c>
      <c r="AK71" s="7">
        <f t="shared" si="41"/>
        <v>0.32245147359686377</v>
      </c>
      <c r="AL71" s="17">
        <f>MIN(AC71,'What-If Analysis'!$B$2)</f>
        <v>0.185</v>
      </c>
      <c r="AM71">
        <f>AE71*(1+'What-If Analysis'!$B$3)</f>
        <v>22.1</v>
      </c>
      <c r="AN71">
        <f>Y71*(1+'What-If Analysis'!$B$4)</f>
        <v>1547.0400000000002</v>
      </c>
      <c r="AO71">
        <f t="shared" si="42"/>
        <v>28183.674740000002</v>
      </c>
    </row>
    <row r="72" spans="1:41" x14ac:dyDescent="0.3">
      <c r="A72" t="s">
        <v>571</v>
      </c>
      <c r="B72" s="3">
        <v>45791</v>
      </c>
      <c r="C72" s="3">
        <f t="shared" si="23"/>
        <v>45789</v>
      </c>
      <c r="D72" s="3">
        <v>45789</v>
      </c>
      <c r="E72" s="3">
        <f t="shared" si="24"/>
        <v>45791</v>
      </c>
      <c r="F72" s="16">
        <f t="shared" si="25"/>
        <v>2</v>
      </c>
      <c r="G72" s="16">
        <f>IF(Data!F32&lt;=7,1,0)</f>
        <v>1</v>
      </c>
      <c r="H72" s="5" t="str">
        <f t="shared" si="26"/>
        <v>05-2025</v>
      </c>
      <c r="I72" s="5" t="str">
        <f t="shared" si="27"/>
        <v>Q2-2025</v>
      </c>
      <c r="J72" s="3">
        <f t="shared" si="28"/>
        <v>44928</v>
      </c>
      <c r="K72" s="5" t="str">
        <f t="shared" si="29"/>
        <v>01-2023</v>
      </c>
      <c r="L72" t="s">
        <v>648</v>
      </c>
      <c r="M72" t="s">
        <v>653</v>
      </c>
      <c r="N72" t="s">
        <v>688</v>
      </c>
      <c r="O72" t="str">
        <f t="shared" si="30"/>
        <v>Vancouver</v>
      </c>
      <c r="P72" t="s">
        <v>703</v>
      </c>
      <c r="Q72" t="s">
        <v>710</v>
      </c>
      <c r="R72" t="str">
        <f t="shared" si="31"/>
        <v>Distributor</v>
      </c>
      <c r="S72" t="s">
        <v>721</v>
      </c>
      <c r="T72" t="str">
        <f t="shared" si="44"/>
        <v>F. Müller</v>
      </c>
      <c r="U72" t="s">
        <v>728</v>
      </c>
      <c r="V72" t="str">
        <f t="shared" si="32"/>
        <v>High</v>
      </c>
      <c r="W72" t="s">
        <v>1289</v>
      </c>
      <c r="X72" t="str">
        <f t="shared" si="33"/>
        <v>A</v>
      </c>
      <c r="Y72" s="5">
        <v>883.5</v>
      </c>
      <c r="Z72" s="5">
        <v>1978.91</v>
      </c>
      <c r="AA72" s="5">
        <f t="shared" si="34"/>
        <v>1978.91</v>
      </c>
      <c r="AB72" s="7">
        <v>5.3999999999999999E-2</v>
      </c>
      <c r="AC72" s="7">
        <f t="shared" si="35"/>
        <v>5.3999999999999999E-2</v>
      </c>
      <c r="AD72" s="16">
        <f t="shared" si="36"/>
        <v>0</v>
      </c>
      <c r="AE72" s="16">
        <v>27</v>
      </c>
      <c r="AF72" s="5">
        <f t="shared" si="37"/>
        <v>50545.319219999998</v>
      </c>
      <c r="AG72">
        <f t="shared" si="38"/>
        <v>23854.5</v>
      </c>
      <c r="AH72" s="5">
        <f t="shared" si="39"/>
        <v>26690.819219999998</v>
      </c>
      <c r="AI72" s="5">
        <f t="shared" si="40"/>
        <v>0.52805718970390547</v>
      </c>
      <c r="AJ72" s="5">
        <f t="shared" si="43"/>
        <v>3580024.3123999997</v>
      </c>
      <c r="AK72" s="7">
        <f t="shared" si="41"/>
        <v>0.32706926922545548</v>
      </c>
      <c r="AL72" s="17">
        <f>MIN(AC72,'What-If Analysis'!$B$2)</f>
        <v>5.3999999999999999E-2</v>
      </c>
      <c r="AM72">
        <f>AE72*(1+'What-If Analysis'!$B$3)</f>
        <v>35.1</v>
      </c>
      <c r="AN72">
        <f>Y72*(1+'What-If Analysis'!$B$4)</f>
        <v>971.85</v>
      </c>
      <c r="AO72">
        <f t="shared" si="42"/>
        <v>65708.914986000003</v>
      </c>
    </row>
    <row r="73" spans="1:41" x14ac:dyDescent="0.3">
      <c r="A73" t="s">
        <v>75</v>
      </c>
      <c r="B73" s="3">
        <v>45361</v>
      </c>
      <c r="C73" s="3">
        <f t="shared" si="23"/>
        <v>45361</v>
      </c>
      <c r="D73" s="3">
        <v>45391</v>
      </c>
      <c r="E73" s="3">
        <f t="shared" si="24"/>
        <v>45391</v>
      </c>
      <c r="F73" s="16">
        <f t="shared" si="25"/>
        <v>30</v>
      </c>
      <c r="G73" s="16">
        <f>IF(Data!F84&lt;=7,1,0)</f>
        <v>1</v>
      </c>
      <c r="H73" s="5" t="str">
        <f t="shared" si="26"/>
        <v>03-2024</v>
      </c>
      <c r="I73" s="5" t="str">
        <f t="shared" si="27"/>
        <v>Q1-2024</v>
      </c>
      <c r="J73" s="3">
        <f t="shared" si="28"/>
        <v>44936</v>
      </c>
      <c r="K73" s="5" t="str">
        <f t="shared" si="29"/>
        <v>01-2023</v>
      </c>
      <c r="L73" t="s">
        <v>649</v>
      </c>
      <c r="M73" t="s">
        <v>657</v>
      </c>
      <c r="N73" t="s">
        <v>679</v>
      </c>
      <c r="O73" t="str">
        <f t="shared" si="30"/>
        <v>Lyon</v>
      </c>
      <c r="P73" t="s">
        <v>701</v>
      </c>
      <c r="Q73" t="s">
        <v>711</v>
      </c>
      <c r="R73" t="str">
        <f t="shared" si="31"/>
        <v>Direct</v>
      </c>
      <c r="S73" t="s">
        <v>714</v>
      </c>
      <c r="T73" t="str">
        <f t="shared" si="44"/>
        <v>I. Johnson</v>
      </c>
      <c r="U73" t="s">
        <v>727</v>
      </c>
      <c r="V73" t="str">
        <f t="shared" si="32"/>
        <v>High</v>
      </c>
      <c r="W73" t="s">
        <v>794</v>
      </c>
      <c r="X73" t="str">
        <f t="shared" si="33"/>
        <v>A</v>
      </c>
      <c r="Y73" s="5">
        <v>1176.56</v>
      </c>
      <c r="Z73" s="5">
        <v>1911.89</v>
      </c>
      <c r="AA73" s="5">
        <f t="shared" si="34"/>
        <v>1911.89</v>
      </c>
      <c r="AB73" s="7">
        <v>0.11899999999999999</v>
      </c>
      <c r="AC73" s="7">
        <f t="shared" si="35"/>
        <v>0.11899999999999999</v>
      </c>
      <c r="AD73" s="16">
        <f t="shared" si="36"/>
        <v>0</v>
      </c>
      <c r="AE73" s="16">
        <v>20</v>
      </c>
      <c r="AF73" s="5">
        <f t="shared" si="37"/>
        <v>33687.501800000005</v>
      </c>
      <c r="AG73">
        <f t="shared" si="38"/>
        <v>23531.199999999997</v>
      </c>
      <c r="AH73" s="5">
        <f t="shared" si="39"/>
        <v>10156.301800000008</v>
      </c>
      <c r="AI73" s="5">
        <f t="shared" si="40"/>
        <v>0.30148575160892477</v>
      </c>
      <c r="AJ73" s="5">
        <f t="shared" si="43"/>
        <v>3613711.8141999999</v>
      </c>
      <c r="AK73" s="7">
        <f t="shared" si="41"/>
        <v>0.330146942904261</v>
      </c>
      <c r="AL73" s="17">
        <f>MIN(AC73,'What-If Analysis'!$B$2)</f>
        <v>0.11899999999999999</v>
      </c>
      <c r="AM73">
        <f>AE73*(1+'What-If Analysis'!$B$3)</f>
        <v>26</v>
      </c>
      <c r="AN73">
        <f>Y73*(1+'What-If Analysis'!$B$4)</f>
        <v>1294.2160000000001</v>
      </c>
      <c r="AO73">
        <f t="shared" si="42"/>
        <v>43793.752339999999</v>
      </c>
    </row>
    <row r="74" spans="1:41" x14ac:dyDescent="0.3">
      <c r="A74" t="s">
        <v>199</v>
      </c>
      <c r="B74" s="3">
        <v>45587</v>
      </c>
      <c r="C74" s="3">
        <f t="shared" si="23"/>
        <v>45587</v>
      </c>
      <c r="D74" s="3">
        <v>45594</v>
      </c>
      <c r="E74" s="3">
        <f t="shared" si="24"/>
        <v>45594</v>
      </c>
      <c r="F74" s="16">
        <f t="shared" si="25"/>
        <v>7</v>
      </c>
      <c r="G74" s="16">
        <f>IF(Data!F136&lt;=7,1,0)</f>
        <v>0</v>
      </c>
      <c r="H74" s="5" t="str">
        <f t="shared" si="26"/>
        <v>10-2024</v>
      </c>
      <c r="I74" s="5" t="str">
        <f t="shared" si="27"/>
        <v>Q4-2024</v>
      </c>
      <c r="J74" s="3">
        <f t="shared" si="28"/>
        <v>44939</v>
      </c>
      <c r="K74" s="5" t="str">
        <f t="shared" si="29"/>
        <v>01-2023</v>
      </c>
      <c r="L74" t="s">
        <v>646</v>
      </c>
      <c r="M74" t="s">
        <v>651</v>
      </c>
      <c r="N74" t="s">
        <v>663</v>
      </c>
      <c r="O74" t="str">
        <f t="shared" si="30"/>
        <v>Port Harcourt</v>
      </c>
      <c r="P74" t="s">
        <v>706</v>
      </c>
      <c r="Q74" t="s">
        <v>710</v>
      </c>
      <c r="R74" t="str">
        <f t="shared" si="31"/>
        <v>Distributor</v>
      </c>
      <c r="S74" t="s">
        <v>724</v>
      </c>
      <c r="T74" t="str">
        <f t="shared" si="44"/>
        <v>M. Rossi</v>
      </c>
      <c r="U74" t="s">
        <v>732</v>
      </c>
      <c r="V74" t="str">
        <f t="shared" si="32"/>
        <v>Medium</v>
      </c>
      <c r="W74" t="s">
        <v>918</v>
      </c>
      <c r="X74" t="str">
        <f t="shared" si="33"/>
        <v>A</v>
      </c>
      <c r="Y74" s="5">
        <v>1023.06</v>
      </c>
      <c r="Z74" s="5">
        <v>1355.61</v>
      </c>
      <c r="AA74" s="5">
        <f t="shared" si="34"/>
        <v>1355.61</v>
      </c>
      <c r="AB74" s="7">
        <v>0.153</v>
      </c>
      <c r="AC74" s="7">
        <f t="shared" si="35"/>
        <v>0.153</v>
      </c>
      <c r="AD74" s="16">
        <f t="shared" si="36"/>
        <v>0</v>
      </c>
      <c r="AE74" s="16">
        <v>23</v>
      </c>
      <c r="AF74" s="5">
        <f t="shared" si="37"/>
        <v>26408.63841</v>
      </c>
      <c r="AG74">
        <f t="shared" si="38"/>
        <v>23530.379999999997</v>
      </c>
      <c r="AH74" s="5">
        <f t="shared" si="39"/>
        <v>2878.2584100000022</v>
      </c>
      <c r="AI74" s="5">
        <f t="shared" si="40"/>
        <v>0.10898927711888809</v>
      </c>
      <c r="AJ74" s="5">
        <f t="shared" si="43"/>
        <v>3640120.45261</v>
      </c>
      <c r="AK74" s="7">
        <f t="shared" si="41"/>
        <v>0.33255962318581128</v>
      </c>
      <c r="AL74" s="17">
        <f>MIN(AC74,'What-If Analysis'!$B$2)</f>
        <v>0.153</v>
      </c>
      <c r="AM74">
        <f>AE74*(1+'What-If Analysis'!$B$3)</f>
        <v>29.900000000000002</v>
      </c>
      <c r="AN74">
        <f>Y74*(1+'What-If Analysis'!$B$4)</f>
        <v>1125.366</v>
      </c>
      <c r="AO74">
        <f t="shared" si="42"/>
        <v>34331.229933000002</v>
      </c>
    </row>
    <row r="75" spans="1:41" x14ac:dyDescent="0.3">
      <c r="A75" t="s">
        <v>87</v>
      </c>
      <c r="B75" s="3">
        <v>45394</v>
      </c>
      <c r="C75" s="3">
        <f t="shared" si="23"/>
        <v>45394</v>
      </c>
      <c r="D75" s="3">
        <v>45419</v>
      </c>
      <c r="E75" s="3">
        <f t="shared" si="24"/>
        <v>45419</v>
      </c>
      <c r="F75" s="16">
        <f t="shared" si="25"/>
        <v>25</v>
      </c>
      <c r="G75" s="16">
        <f>IF(Data!F194&lt;=7,1,0)</f>
        <v>0</v>
      </c>
      <c r="H75" s="5" t="str">
        <f t="shared" si="26"/>
        <v>04-2024</v>
      </c>
      <c r="I75" s="5" t="str">
        <f t="shared" si="27"/>
        <v>Q2-2024</v>
      </c>
      <c r="J75" s="3">
        <f t="shared" si="28"/>
        <v>44933</v>
      </c>
      <c r="K75" s="5" t="str">
        <f t="shared" si="29"/>
        <v>01-2023</v>
      </c>
      <c r="L75" t="s">
        <v>646</v>
      </c>
      <c r="M75" t="s">
        <v>661</v>
      </c>
      <c r="N75" t="s">
        <v>682</v>
      </c>
      <c r="O75" t="str">
        <f t="shared" si="30"/>
        <v>Johannesburg</v>
      </c>
      <c r="P75" t="s">
        <v>702</v>
      </c>
      <c r="Q75" t="s">
        <v>710</v>
      </c>
      <c r="R75" t="str">
        <f t="shared" si="31"/>
        <v>Distributor</v>
      </c>
      <c r="S75" t="s">
        <v>720</v>
      </c>
      <c r="T75" t="str">
        <f t="shared" si="44"/>
        <v>A. Patel</v>
      </c>
      <c r="U75" t="s">
        <v>731</v>
      </c>
      <c r="V75" t="str">
        <f t="shared" si="32"/>
        <v>Medium</v>
      </c>
      <c r="W75" t="s">
        <v>806</v>
      </c>
      <c r="X75" t="str">
        <f t="shared" si="33"/>
        <v>A</v>
      </c>
      <c r="Y75" s="5">
        <v>1376.51</v>
      </c>
      <c r="Z75" s="5">
        <v>1455.91</v>
      </c>
      <c r="AA75" s="5">
        <f t="shared" si="34"/>
        <v>1455.91</v>
      </c>
      <c r="AB75" s="7">
        <v>0.185</v>
      </c>
      <c r="AC75" s="7">
        <f t="shared" si="35"/>
        <v>0.185</v>
      </c>
      <c r="AD75" s="16">
        <f t="shared" si="36"/>
        <v>0</v>
      </c>
      <c r="AE75" s="16">
        <v>17</v>
      </c>
      <c r="AF75" s="5">
        <f t="shared" si="37"/>
        <v>20171.63305</v>
      </c>
      <c r="AG75">
        <f t="shared" si="38"/>
        <v>23400.67</v>
      </c>
      <c r="AH75" s="5">
        <f t="shared" si="39"/>
        <v>3229.0369499999979</v>
      </c>
      <c r="AI75" s="5">
        <f t="shared" si="40"/>
        <v>0.1600781127634085</v>
      </c>
      <c r="AJ75" s="5">
        <f t="shared" si="43"/>
        <v>3660292.0856599999</v>
      </c>
      <c r="AK75" s="7">
        <f t="shared" si="41"/>
        <v>0.33440249370987329</v>
      </c>
      <c r="AL75" s="17">
        <f>MIN(AC75,'What-If Analysis'!$B$2)</f>
        <v>0.185</v>
      </c>
      <c r="AM75">
        <f>AE75*(1+'What-If Analysis'!$B$3)</f>
        <v>22.1</v>
      </c>
      <c r="AN75">
        <f>Y75*(1+'What-If Analysis'!$B$4)</f>
        <v>1514.1610000000001</v>
      </c>
      <c r="AO75">
        <f t="shared" si="42"/>
        <v>26223.122965000002</v>
      </c>
    </row>
    <row r="76" spans="1:41" x14ac:dyDescent="0.3">
      <c r="A76" t="s">
        <v>164</v>
      </c>
      <c r="B76" s="3">
        <v>45558</v>
      </c>
      <c r="C76" s="3">
        <f t="shared" si="23"/>
        <v>45558</v>
      </c>
      <c r="D76" s="3">
        <v>45583</v>
      </c>
      <c r="E76" s="3">
        <f t="shared" si="24"/>
        <v>45583</v>
      </c>
      <c r="F76" s="16">
        <f t="shared" si="25"/>
        <v>25</v>
      </c>
      <c r="G76" s="16">
        <f>IF(Data!F45&lt;=7,1,0)</f>
        <v>1</v>
      </c>
      <c r="H76" s="5" t="str">
        <f t="shared" si="26"/>
        <v>09-2024</v>
      </c>
      <c r="I76" s="5" t="str">
        <f t="shared" si="27"/>
        <v>Q3-2024</v>
      </c>
      <c r="J76" s="3">
        <f t="shared" si="28"/>
        <v>44928</v>
      </c>
      <c r="K76" s="5" t="str">
        <f t="shared" si="29"/>
        <v>01-2023</v>
      </c>
      <c r="L76" t="s">
        <v>648</v>
      </c>
      <c r="M76" t="s">
        <v>653</v>
      </c>
      <c r="N76" t="s">
        <v>688</v>
      </c>
      <c r="O76" t="str">
        <f t="shared" si="30"/>
        <v>Vancouver</v>
      </c>
      <c r="P76" t="s">
        <v>705</v>
      </c>
      <c r="Q76" t="s">
        <v>708</v>
      </c>
      <c r="R76" t="str">
        <f t="shared" si="31"/>
        <v>Online</v>
      </c>
      <c r="S76" t="s">
        <v>725</v>
      </c>
      <c r="T76" t="str">
        <f t="shared" si="44"/>
        <v>N. Brown</v>
      </c>
      <c r="U76" t="s">
        <v>730</v>
      </c>
      <c r="V76" t="str">
        <f t="shared" si="32"/>
        <v>High</v>
      </c>
      <c r="W76" t="s">
        <v>883</v>
      </c>
      <c r="X76" t="str">
        <f t="shared" si="33"/>
        <v>A</v>
      </c>
      <c r="Y76" s="5">
        <v>1297</v>
      </c>
      <c r="Z76" s="5">
        <v>2411.52</v>
      </c>
      <c r="AA76" s="5">
        <f t="shared" si="34"/>
        <v>2411.52</v>
      </c>
      <c r="AB76" s="7">
        <v>2.1000000000000001E-2</v>
      </c>
      <c r="AC76" s="7">
        <f t="shared" si="35"/>
        <v>2.1000000000000001E-2</v>
      </c>
      <c r="AD76" s="16">
        <f t="shared" si="36"/>
        <v>0</v>
      </c>
      <c r="AE76" s="16">
        <v>18</v>
      </c>
      <c r="AF76" s="5">
        <f t="shared" si="37"/>
        <v>42495.805439999996</v>
      </c>
      <c r="AG76">
        <f t="shared" si="38"/>
        <v>23346</v>
      </c>
      <c r="AH76" s="5">
        <f t="shared" si="39"/>
        <v>19149.805439999996</v>
      </c>
      <c r="AI76" s="5">
        <f t="shared" si="40"/>
        <v>0.45062813239385913</v>
      </c>
      <c r="AJ76" s="5">
        <f t="shared" si="43"/>
        <v>3702787.8910999997</v>
      </c>
      <c r="AK76" s="7">
        <f t="shared" si="41"/>
        <v>0.33828488969871234</v>
      </c>
      <c r="AL76" s="17">
        <f>MIN(AC76,'What-If Analysis'!$B$2)</f>
        <v>2.1000000000000001E-2</v>
      </c>
      <c r="AM76">
        <f>AE76*(1+'What-If Analysis'!$B$3)</f>
        <v>23.400000000000002</v>
      </c>
      <c r="AN76">
        <f>Y76*(1+'What-If Analysis'!$B$4)</f>
        <v>1426.7</v>
      </c>
      <c r="AO76">
        <f t="shared" si="42"/>
        <v>55244.547072000008</v>
      </c>
    </row>
    <row r="77" spans="1:41" x14ac:dyDescent="0.3">
      <c r="A77" t="s">
        <v>449</v>
      </c>
      <c r="B77" s="3">
        <v>45217</v>
      </c>
      <c r="C77" s="3">
        <f t="shared" si="23"/>
        <v>45217</v>
      </c>
      <c r="D77" s="3">
        <v>45219</v>
      </c>
      <c r="E77" s="3">
        <f t="shared" si="24"/>
        <v>45219</v>
      </c>
      <c r="F77" s="16">
        <f t="shared" si="25"/>
        <v>2</v>
      </c>
      <c r="G77" s="16">
        <f>IF(Data!F130&lt;=7,1,0)</f>
        <v>1</v>
      </c>
      <c r="H77" s="5" t="str">
        <f t="shared" si="26"/>
        <v>10-2023</v>
      </c>
      <c r="I77" s="5" t="str">
        <f t="shared" si="27"/>
        <v>Q4-2023</v>
      </c>
      <c r="J77" s="3">
        <f t="shared" si="28"/>
        <v>44946</v>
      </c>
      <c r="K77" s="5" t="str">
        <f t="shared" si="29"/>
        <v>01-2023</v>
      </c>
      <c r="L77" t="s">
        <v>646</v>
      </c>
      <c r="M77" t="s">
        <v>650</v>
      </c>
      <c r="N77" t="s">
        <v>662</v>
      </c>
      <c r="O77" t="str">
        <f t="shared" si="30"/>
        <v>Kisumu</v>
      </c>
      <c r="P77" t="s">
        <v>704</v>
      </c>
      <c r="Q77" t="s">
        <v>707</v>
      </c>
      <c r="R77" t="str">
        <f t="shared" si="31"/>
        <v>Retail</v>
      </c>
      <c r="S77" t="s">
        <v>713</v>
      </c>
      <c r="T77" t="str">
        <f t="shared" si="44"/>
        <v>J. Njeri</v>
      </c>
      <c r="U77" t="s">
        <v>730</v>
      </c>
      <c r="V77" t="str">
        <f t="shared" si="32"/>
        <v>Medium</v>
      </c>
      <c r="W77" t="s">
        <v>1168</v>
      </c>
      <c r="X77" t="str">
        <f t="shared" si="33"/>
        <v>A</v>
      </c>
      <c r="Y77" s="5">
        <v>774.12</v>
      </c>
      <c r="Z77" s="5">
        <v>908.3</v>
      </c>
      <c r="AA77" s="5">
        <f t="shared" si="34"/>
        <v>908.3</v>
      </c>
      <c r="AB77" s="7">
        <v>0</v>
      </c>
      <c r="AC77" s="7">
        <f t="shared" si="35"/>
        <v>0</v>
      </c>
      <c r="AD77" s="16">
        <f t="shared" si="36"/>
        <v>0</v>
      </c>
      <c r="AE77" s="16">
        <v>30</v>
      </c>
      <c r="AF77" s="5">
        <f t="shared" si="37"/>
        <v>27249</v>
      </c>
      <c r="AG77">
        <f t="shared" si="38"/>
        <v>23223.599999999999</v>
      </c>
      <c r="AH77" s="5">
        <f t="shared" si="39"/>
        <v>4025.4000000000015</v>
      </c>
      <c r="AI77" s="5">
        <f t="shared" si="40"/>
        <v>0.14772652207420461</v>
      </c>
      <c r="AJ77" s="5">
        <f t="shared" si="43"/>
        <v>3730036.8910999997</v>
      </c>
      <c r="AK77" s="7">
        <f t="shared" si="41"/>
        <v>0.34077434500387749</v>
      </c>
      <c r="AL77" s="17">
        <f>MIN(AC77,'What-If Analysis'!$B$2)</f>
        <v>0</v>
      </c>
      <c r="AM77">
        <f>AE77*(1+'What-If Analysis'!$B$3)</f>
        <v>39</v>
      </c>
      <c r="AN77">
        <f>Y77*(1+'What-If Analysis'!$B$4)</f>
        <v>851.53200000000004</v>
      </c>
      <c r="AO77">
        <f t="shared" si="42"/>
        <v>35423.699999999997</v>
      </c>
    </row>
    <row r="78" spans="1:41" x14ac:dyDescent="0.3">
      <c r="A78" t="s">
        <v>60</v>
      </c>
      <c r="B78" s="3">
        <v>45035</v>
      </c>
      <c r="C78" s="3">
        <f t="shared" si="23"/>
        <v>45035</v>
      </c>
      <c r="D78" s="3">
        <v>45046</v>
      </c>
      <c r="E78" s="3">
        <f t="shared" si="24"/>
        <v>45046</v>
      </c>
      <c r="F78" s="16">
        <f t="shared" si="25"/>
        <v>11</v>
      </c>
      <c r="G78" s="16">
        <f>IF(Data!F93&lt;=7,1,0)</f>
        <v>0</v>
      </c>
      <c r="H78" s="5" t="str">
        <f t="shared" si="26"/>
        <v>04-2023</v>
      </c>
      <c r="I78" s="5" t="str">
        <f t="shared" si="27"/>
        <v>Q2-2023</v>
      </c>
      <c r="J78" s="3">
        <f t="shared" si="28"/>
        <v>44955</v>
      </c>
      <c r="K78" s="5" t="str">
        <f t="shared" si="29"/>
        <v>01-2023</v>
      </c>
      <c r="L78" t="s">
        <v>647</v>
      </c>
      <c r="M78" t="s">
        <v>654</v>
      </c>
      <c r="N78" t="s">
        <v>680</v>
      </c>
      <c r="O78" t="str">
        <f t="shared" si="30"/>
        <v>Delhi</v>
      </c>
      <c r="P78" t="s">
        <v>705</v>
      </c>
      <c r="Q78" t="s">
        <v>707</v>
      </c>
      <c r="R78" t="str">
        <f t="shared" si="31"/>
        <v>Retail</v>
      </c>
      <c r="S78" t="s">
        <v>720</v>
      </c>
      <c r="T78" t="str">
        <f t="shared" si="44"/>
        <v>A. Patel</v>
      </c>
      <c r="U78" t="s">
        <v>729</v>
      </c>
      <c r="V78" t="str">
        <f t="shared" si="32"/>
        <v>Medium</v>
      </c>
      <c r="W78" t="s">
        <v>779</v>
      </c>
      <c r="X78" t="str">
        <f t="shared" si="33"/>
        <v>A</v>
      </c>
      <c r="Y78" s="5">
        <v>826.55</v>
      </c>
      <c r="Z78" s="5">
        <v>1397.05</v>
      </c>
      <c r="AA78" s="5">
        <f t="shared" si="34"/>
        <v>1397.05</v>
      </c>
      <c r="AB78" s="7">
        <v>0.16900000000000001</v>
      </c>
      <c r="AC78" s="7">
        <f t="shared" si="35"/>
        <v>0.16900000000000001</v>
      </c>
      <c r="AD78" s="16">
        <f t="shared" si="36"/>
        <v>0</v>
      </c>
      <c r="AE78" s="16">
        <v>28</v>
      </c>
      <c r="AF78" s="5">
        <f t="shared" si="37"/>
        <v>32506.559399999998</v>
      </c>
      <c r="AG78">
        <f t="shared" si="38"/>
        <v>23143.399999999998</v>
      </c>
      <c r="AH78" s="5">
        <f t="shared" si="39"/>
        <v>9363.1594000000005</v>
      </c>
      <c r="AI78" s="5">
        <f t="shared" si="40"/>
        <v>0.28803907804527601</v>
      </c>
      <c r="AJ78" s="5">
        <f t="shared" si="43"/>
        <v>3762543.4504999998</v>
      </c>
      <c r="AK78" s="7">
        <f t="shared" si="41"/>
        <v>0.34374412836293639</v>
      </c>
      <c r="AL78" s="17">
        <f>MIN(AC78,'What-If Analysis'!$B$2)</f>
        <v>0.16900000000000001</v>
      </c>
      <c r="AM78">
        <f>AE78*(1+'What-If Analysis'!$B$3)</f>
        <v>36.4</v>
      </c>
      <c r="AN78">
        <f>Y78*(1+'What-If Analysis'!$B$4)</f>
        <v>909.20500000000004</v>
      </c>
      <c r="AO78">
        <f t="shared" si="42"/>
        <v>42258.527219999996</v>
      </c>
    </row>
    <row r="79" spans="1:41" x14ac:dyDescent="0.3">
      <c r="A79" t="s">
        <v>351</v>
      </c>
      <c r="B79" s="3">
        <v>45340</v>
      </c>
      <c r="C79" s="3">
        <f t="shared" si="23"/>
        <v>45340</v>
      </c>
      <c r="D79" s="3">
        <v>45354</v>
      </c>
      <c r="E79" s="3">
        <f t="shared" si="24"/>
        <v>45354</v>
      </c>
      <c r="F79" s="16">
        <f t="shared" si="25"/>
        <v>14</v>
      </c>
      <c r="G79" s="16">
        <f>IF(Data!F63&lt;=7,1,0)</f>
        <v>0</v>
      </c>
      <c r="H79" s="5" t="str">
        <f t="shared" si="26"/>
        <v>02-2024</v>
      </c>
      <c r="I79" s="5" t="str">
        <f t="shared" si="27"/>
        <v>Q1-2024</v>
      </c>
      <c r="J79" s="3">
        <f t="shared" si="28"/>
        <v>44955</v>
      </c>
      <c r="K79" s="5" t="str">
        <f t="shared" si="29"/>
        <v>01-2023</v>
      </c>
      <c r="L79" t="s">
        <v>648</v>
      </c>
      <c r="M79" t="s">
        <v>655</v>
      </c>
      <c r="O79" t="str">
        <f t="shared" si="30"/>
        <v>São Paulo</v>
      </c>
      <c r="P79" t="s">
        <v>706</v>
      </c>
      <c r="Q79" t="s">
        <v>710</v>
      </c>
      <c r="R79" t="str">
        <f t="shared" si="31"/>
        <v>Distributor</v>
      </c>
      <c r="S79" t="s">
        <v>720</v>
      </c>
      <c r="T79" t="str">
        <f t="shared" si="44"/>
        <v>A. Patel</v>
      </c>
      <c r="U79" t="s">
        <v>728</v>
      </c>
      <c r="V79" t="str">
        <f t="shared" si="32"/>
        <v>Medium</v>
      </c>
      <c r="W79" t="s">
        <v>1071</v>
      </c>
      <c r="X79" t="str">
        <f t="shared" si="33"/>
        <v>A</v>
      </c>
      <c r="Y79" s="5">
        <v>624.23</v>
      </c>
      <c r="Z79" s="5">
        <v>1318.37</v>
      </c>
      <c r="AA79" s="5">
        <f t="shared" si="34"/>
        <v>1318.37</v>
      </c>
      <c r="AB79" s="7">
        <v>0.21</v>
      </c>
      <c r="AC79" s="7">
        <f t="shared" si="35"/>
        <v>0.21</v>
      </c>
      <c r="AD79" s="16">
        <f t="shared" si="36"/>
        <v>1</v>
      </c>
      <c r="AE79" s="16">
        <v>37</v>
      </c>
      <c r="AF79" s="5">
        <f t="shared" si="37"/>
        <v>38535.955099999999</v>
      </c>
      <c r="AG79">
        <f t="shared" si="38"/>
        <v>23096.510000000002</v>
      </c>
      <c r="AH79" s="5">
        <f t="shared" si="39"/>
        <v>15439.445099999997</v>
      </c>
      <c r="AI79" s="5">
        <f t="shared" si="40"/>
        <v>0.40065038118128793</v>
      </c>
      <c r="AJ79" s="5">
        <f t="shared" si="43"/>
        <v>3801079.4055999997</v>
      </c>
      <c r="AK79" s="7">
        <f t="shared" si="41"/>
        <v>0.34726475436254378</v>
      </c>
      <c r="AL79" s="17">
        <f>MIN(AC79,'What-If Analysis'!$B$2)</f>
        <v>0.2</v>
      </c>
      <c r="AM79">
        <f>AE79*(1+'What-If Analysis'!$B$3)</f>
        <v>48.1</v>
      </c>
      <c r="AN79">
        <f>Y79*(1+'What-If Analysis'!$B$4)</f>
        <v>686.65300000000002</v>
      </c>
      <c r="AO79">
        <f t="shared" si="42"/>
        <v>50730.8776</v>
      </c>
    </row>
    <row r="80" spans="1:41" x14ac:dyDescent="0.3">
      <c r="A80" t="s">
        <v>548</v>
      </c>
      <c r="B80" s="3">
        <v>45832</v>
      </c>
      <c r="C80" s="3">
        <f t="shared" si="23"/>
        <v>45832</v>
      </c>
      <c r="D80" s="3">
        <v>45852</v>
      </c>
      <c r="E80" s="3">
        <f t="shared" si="24"/>
        <v>45852</v>
      </c>
      <c r="F80" s="16">
        <f t="shared" si="25"/>
        <v>20</v>
      </c>
      <c r="G80" s="16">
        <f>IF(Data!F46&lt;=7,1,0)</f>
        <v>1</v>
      </c>
      <c r="H80" s="5" t="str">
        <f t="shared" si="26"/>
        <v>06-2025</v>
      </c>
      <c r="I80" s="5" t="str">
        <f t="shared" si="27"/>
        <v>Q2-2025</v>
      </c>
      <c r="J80" s="3">
        <f t="shared" si="28"/>
        <v>44933</v>
      </c>
      <c r="K80" s="5" t="str">
        <f t="shared" si="29"/>
        <v>01-2023</v>
      </c>
      <c r="L80" t="s">
        <v>646</v>
      </c>
      <c r="M80" t="s">
        <v>661</v>
      </c>
      <c r="N80" t="s">
        <v>682</v>
      </c>
      <c r="O80" t="str">
        <f t="shared" si="30"/>
        <v>Johannesburg</v>
      </c>
      <c r="P80" t="s">
        <v>706</v>
      </c>
      <c r="Q80" t="s">
        <v>709</v>
      </c>
      <c r="R80" t="str">
        <f t="shared" si="31"/>
        <v>Marketplace</v>
      </c>
      <c r="S80" t="s">
        <v>713</v>
      </c>
      <c r="T80" t="str">
        <f t="shared" si="44"/>
        <v>J. Njeri</v>
      </c>
      <c r="U80" t="s">
        <v>731</v>
      </c>
      <c r="V80" t="str">
        <f t="shared" si="32"/>
        <v>High</v>
      </c>
      <c r="W80" t="s">
        <v>1267</v>
      </c>
      <c r="X80" t="str">
        <f t="shared" si="33"/>
        <v>A</v>
      </c>
      <c r="Y80" s="5">
        <v>1151.06</v>
      </c>
      <c r="Z80" s="5">
        <v>2821.36</v>
      </c>
      <c r="AA80" s="5">
        <f t="shared" si="34"/>
        <v>2821.36</v>
      </c>
      <c r="AB80" s="7">
        <v>0.248</v>
      </c>
      <c r="AC80" s="7">
        <f t="shared" si="35"/>
        <v>0.248</v>
      </c>
      <c r="AD80" s="16">
        <f t="shared" si="36"/>
        <v>1</v>
      </c>
      <c r="AE80" s="16">
        <v>20</v>
      </c>
      <c r="AF80" s="5">
        <f t="shared" si="37"/>
        <v>42433.254400000005</v>
      </c>
      <c r="AG80">
        <f t="shared" si="38"/>
        <v>23021.199999999997</v>
      </c>
      <c r="AH80" s="5">
        <f t="shared" si="39"/>
        <v>19412.054400000008</v>
      </c>
      <c r="AI80" s="5">
        <f t="shared" si="40"/>
        <v>0.45747267501594235</v>
      </c>
      <c r="AJ80" s="5">
        <f t="shared" si="43"/>
        <v>3843512.6599999997</v>
      </c>
      <c r="AK80" s="7">
        <f t="shared" si="41"/>
        <v>0.35114143571897899</v>
      </c>
      <c r="AL80" s="17">
        <f>MIN(AC80,'What-If Analysis'!$B$2)</f>
        <v>0.2</v>
      </c>
      <c r="AM80">
        <f>AE80*(1+'What-If Analysis'!$B$3)</f>
        <v>26</v>
      </c>
      <c r="AN80">
        <f>Y80*(1+'What-If Analysis'!$B$4)</f>
        <v>1266.1659999999999</v>
      </c>
      <c r="AO80">
        <f t="shared" si="42"/>
        <v>58684.288</v>
      </c>
    </row>
    <row r="81" spans="1:41" x14ac:dyDescent="0.3">
      <c r="A81" t="s">
        <v>640</v>
      </c>
      <c r="B81" s="3">
        <v>45282</v>
      </c>
      <c r="C81" s="3">
        <f t="shared" si="23"/>
        <v>45282</v>
      </c>
      <c r="D81" s="3">
        <v>45307</v>
      </c>
      <c r="E81" s="3">
        <f t="shared" si="24"/>
        <v>45307</v>
      </c>
      <c r="F81" s="16">
        <f t="shared" si="25"/>
        <v>25</v>
      </c>
      <c r="G81" s="16">
        <f>IF(Data!F281&lt;=7,1,0)</f>
        <v>0</v>
      </c>
      <c r="H81" s="5" t="str">
        <f t="shared" si="26"/>
        <v>12-2023</v>
      </c>
      <c r="I81" s="5" t="str">
        <f t="shared" si="27"/>
        <v>Q4-2023</v>
      </c>
      <c r="J81" s="3">
        <f t="shared" si="28"/>
        <v>44955</v>
      </c>
      <c r="K81" s="5" t="str">
        <f t="shared" si="29"/>
        <v>01-2023</v>
      </c>
      <c r="L81" t="s">
        <v>647</v>
      </c>
      <c r="M81" t="s">
        <v>654</v>
      </c>
      <c r="N81" t="s">
        <v>696</v>
      </c>
      <c r="O81" t="str">
        <f t="shared" si="30"/>
        <v>Hyderabad</v>
      </c>
      <c r="P81" t="s">
        <v>705</v>
      </c>
      <c r="Q81" t="s">
        <v>707</v>
      </c>
      <c r="R81" t="str">
        <f t="shared" si="31"/>
        <v>Retail</v>
      </c>
      <c r="S81" t="s">
        <v>720</v>
      </c>
      <c r="T81" t="str">
        <f t="shared" si="44"/>
        <v>A. Patel</v>
      </c>
      <c r="U81" t="s">
        <v>727</v>
      </c>
      <c r="V81" t="str">
        <f t="shared" si="32"/>
        <v>Medium</v>
      </c>
      <c r="W81" t="s">
        <v>1358</v>
      </c>
      <c r="X81" t="str">
        <f t="shared" si="33"/>
        <v>A</v>
      </c>
      <c r="Y81" s="5">
        <v>1346.81</v>
      </c>
      <c r="Z81" s="5">
        <v>978.09</v>
      </c>
      <c r="AA81" s="5">
        <f t="shared" si="34"/>
        <v>978.09</v>
      </c>
      <c r="AB81" s="7">
        <v>0.159</v>
      </c>
      <c r="AC81" s="7">
        <f t="shared" si="35"/>
        <v>0.159</v>
      </c>
      <c r="AD81" s="16">
        <f t="shared" si="36"/>
        <v>0</v>
      </c>
      <c r="AE81" s="16">
        <v>17</v>
      </c>
      <c r="AF81" s="5">
        <f t="shared" si="37"/>
        <v>13983.752729999998</v>
      </c>
      <c r="AG81">
        <f t="shared" si="38"/>
        <v>22895.77</v>
      </c>
      <c r="AH81" s="5">
        <f t="shared" si="39"/>
        <v>8912.0172700000021</v>
      </c>
      <c r="AI81" s="5">
        <f t="shared" si="40"/>
        <v>0.6373122753293996</v>
      </c>
      <c r="AJ81" s="5">
        <f t="shared" si="43"/>
        <v>3857496.4127299995</v>
      </c>
      <c r="AK81" s="7">
        <f t="shared" si="41"/>
        <v>0.35241898452516696</v>
      </c>
      <c r="AL81" s="17">
        <f>MIN(AC81,'What-If Analysis'!$B$2)</f>
        <v>0.159</v>
      </c>
      <c r="AM81">
        <f>AE81*(1+'What-If Analysis'!$B$3)</f>
        <v>22.1</v>
      </c>
      <c r="AN81">
        <f>Y81*(1+'What-If Analysis'!$B$4)</f>
        <v>1481.491</v>
      </c>
      <c r="AO81">
        <f t="shared" si="42"/>
        <v>18178.878549000001</v>
      </c>
    </row>
    <row r="82" spans="1:41" x14ac:dyDescent="0.3">
      <c r="A82" t="s">
        <v>374</v>
      </c>
      <c r="B82" s="3">
        <v>45466</v>
      </c>
      <c r="C82" s="3">
        <f t="shared" si="23"/>
        <v>45466</v>
      </c>
      <c r="D82" s="3">
        <v>45468</v>
      </c>
      <c r="E82" s="3">
        <f t="shared" si="24"/>
        <v>45468</v>
      </c>
      <c r="F82" s="16">
        <f t="shared" si="25"/>
        <v>2</v>
      </c>
      <c r="G82" s="16">
        <f>IF(Data!F74&lt;=7,1,0)</f>
        <v>1</v>
      </c>
      <c r="H82" s="5" t="str">
        <f t="shared" si="26"/>
        <v>06-2024</v>
      </c>
      <c r="I82" s="5" t="str">
        <f t="shared" si="27"/>
        <v>Q2-2024</v>
      </c>
      <c r="J82" s="3">
        <f t="shared" si="28"/>
        <v>44945</v>
      </c>
      <c r="K82" s="5" t="str">
        <f t="shared" si="29"/>
        <v>01-2023</v>
      </c>
      <c r="L82" t="s">
        <v>649</v>
      </c>
      <c r="M82" t="s">
        <v>658</v>
      </c>
      <c r="N82" t="s">
        <v>674</v>
      </c>
      <c r="O82" t="str">
        <f t="shared" si="30"/>
        <v>Birmingham</v>
      </c>
      <c r="P82" t="s">
        <v>705</v>
      </c>
      <c r="Q82" t="s">
        <v>709</v>
      </c>
      <c r="R82" t="str">
        <f t="shared" si="31"/>
        <v>Marketplace</v>
      </c>
      <c r="S82" t="s">
        <v>716</v>
      </c>
      <c r="T82" t="str">
        <f t="shared" si="44"/>
        <v>L. Okafor</v>
      </c>
      <c r="U82" t="s">
        <v>733</v>
      </c>
      <c r="V82" t="str">
        <f t="shared" si="32"/>
        <v>High</v>
      </c>
      <c r="W82" t="s">
        <v>1094</v>
      </c>
      <c r="X82" t="str">
        <f t="shared" si="33"/>
        <v>A</v>
      </c>
      <c r="Y82" s="5">
        <v>951.44</v>
      </c>
      <c r="Z82" s="5">
        <v>1646.43</v>
      </c>
      <c r="AA82" s="5">
        <f t="shared" si="34"/>
        <v>1646.43</v>
      </c>
      <c r="AB82" s="7">
        <v>0.11</v>
      </c>
      <c r="AC82" s="7">
        <f t="shared" si="35"/>
        <v>0.11</v>
      </c>
      <c r="AD82" s="16">
        <f t="shared" si="36"/>
        <v>0</v>
      </c>
      <c r="AE82" s="16">
        <v>24</v>
      </c>
      <c r="AF82" s="5">
        <f t="shared" si="37"/>
        <v>35167.7448</v>
      </c>
      <c r="AG82">
        <f t="shared" si="38"/>
        <v>22834.560000000001</v>
      </c>
      <c r="AH82" s="5">
        <f t="shared" si="39"/>
        <v>12333.184799999999</v>
      </c>
      <c r="AI82" s="5">
        <f t="shared" si="40"/>
        <v>0.35069592520473475</v>
      </c>
      <c r="AJ82" s="5">
        <f t="shared" si="43"/>
        <v>3892664.1575299995</v>
      </c>
      <c r="AK82" s="7">
        <f t="shared" si="41"/>
        <v>0.35563189248006638</v>
      </c>
      <c r="AL82" s="17">
        <f>MIN(AC82,'What-If Analysis'!$B$2)</f>
        <v>0.11</v>
      </c>
      <c r="AM82">
        <f>AE82*(1+'What-If Analysis'!$B$3)</f>
        <v>31.200000000000003</v>
      </c>
      <c r="AN82">
        <f>Y82*(1+'What-If Analysis'!$B$4)</f>
        <v>1046.5840000000001</v>
      </c>
      <c r="AO82">
        <f t="shared" si="42"/>
        <v>45718.068240000008</v>
      </c>
    </row>
    <row r="83" spans="1:41" x14ac:dyDescent="0.3">
      <c r="A83" t="s">
        <v>576</v>
      </c>
      <c r="B83" s="3">
        <v>45626</v>
      </c>
      <c r="C83" s="3">
        <f t="shared" si="23"/>
        <v>45626</v>
      </c>
      <c r="D83" s="3">
        <v>45645</v>
      </c>
      <c r="E83" s="3">
        <f t="shared" si="24"/>
        <v>45645</v>
      </c>
      <c r="F83" s="16">
        <f t="shared" si="25"/>
        <v>19</v>
      </c>
      <c r="G83" s="16">
        <f>IF(Data!F89&lt;=7,1,0)</f>
        <v>0</v>
      </c>
      <c r="H83" s="5" t="str">
        <f t="shared" si="26"/>
        <v>11-2024</v>
      </c>
      <c r="I83" s="5" t="str">
        <f t="shared" si="27"/>
        <v>Q4-2024</v>
      </c>
      <c r="J83" s="3">
        <f t="shared" si="28"/>
        <v>44946</v>
      </c>
      <c r="K83" s="5" t="str">
        <f t="shared" si="29"/>
        <v>01-2023</v>
      </c>
      <c r="L83" t="s">
        <v>646</v>
      </c>
      <c r="M83" t="s">
        <v>650</v>
      </c>
      <c r="N83" t="s">
        <v>662</v>
      </c>
      <c r="O83" t="str">
        <f t="shared" si="30"/>
        <v>Kisumu</v>
      </c>
      <c r="P83" t="s">
        <v>701</v>
      </c>
      <c r="Q83" t="s">
        <v>708</v>
      </c>
      <c r="R83" t="str">
        <f t="shared" si="31"/>
        <v>Online</v>
      </c>
      <c r="S83" t="s">
        <v>716</v>
      </c>
      <c r="T83" t="str">
        <f t="shared" si="44"/>
        <v>L. Okafor</v>
      </c>
      <c r="U83" t="s">
        <v>730</v>
      </c>
      <c r="V83" t="str">
        <f t="shared" si="32"/>
        <v>High</v>
      </c>
      <c r="W83" t="s">
        <v>1294</v>
      </c>
      <c r="X83" t="str">
        <f t="shared" si="33"/>
        <v>A</v>
      </c>
      <c r="Y83" s="5">
        <v>1195.98</v>
      </c>
      <c r="Z83" s="5">
        <v>1841.9</v>
      </c>
      <c r="AA83" s="5">
        <f t="shared" si="34"/>
        <v>1841.9</v>
      </c>
      <c r="AB83" s="7">
        <v>5.5E-2</v>
      </c>
      <c r="AC83" s="7">
        <f t="shared" si="35"/>
        <v>5.5E-2</v>
      </c>
      <c r="AD83" s="16">
        <f t="shared" si="36"/>
        <v>0</v>
      </c>
      <c r="AE83" s="16">
        <v>19</v>
      </c>
      <c r="AF83" s="5">
        <f t="shared" si="37"/>
        <v>33071.3145</v>
      </c>
      <c r="AG83">
        <f t="shared" si="38"/>
        <v>22723.62</v>
      </c>
      <c r="AH83" s="5">
        <f t="shared" si="39"/>
        <v>10347.694500000001</v>
      </c>
      <c r="AI83" s="5">
        <f t="shared" si="40"/>
        <v>0.31289032977506842</v>
      </c>
      <c r="AJ83" s="5">
        <f t="shared" si="43"/>
        <v>3925735.4720299994</v>
      </c>
      <c r="AK83" s="7">
        <f t="shared" si="41"/>
        <v>0.35865327158868726</v>
      </c>
      <c r="AL83" s="17">
        <f>MIN(AC83,'What-If Analysis'!$B$2)</f>
        <v>5.5E-2</v>
      </c>
      <c r="AM83">
        <f>AE83*(1+'What-If Analysis'!$B$3)</f>
        <v>24.7</v>
      </c>
      <c r="AN83">
        <f>Y83*(1+'What-If Analysis'!$B$4)</f>
        <v>1315.5780000000002</v>
      </c>
      <c r="AO83">
        <f t="shared" si="42"/>
        <v>42992.708849999995</v>
      </c>
    </row>
    <row r="84" spans="1:41" x14ac:dyDescent="0.3">
      <c r="A84" t="s">
        <v>327</v>
      </c>
      <c r="B84" s="3">
        <v>45600</v>
      </c>
      <c r="C84" s="3">
        <f t="shared" si="23"/>
        <v>45600</v>
      </c>
      <c r="D84" s="3">
        <v>45601</v>
      </c>
      <c r="E84" s="3">
        <f t="shared" si="24"/>
        <v>45601</v>
      </c>
      <c r="F84" s="16">
        <f t="shared" si="25"/>
        <v>1</v>
      </c>
      <c r="G84" s="16">
        <f>IF(Data!F55&lt;=7,1,0)</f>
        <v>0</v>
      </c>
      <c r="H84" s="5" t="str">
        <f t="shared" si="26"/>
        <v>11-2024</v>
      </c>
      <c r="I84" s="5" t="str">
        <f t="shared" si="27"/>
        <v>Q4-2024</v>
      </c>
      <c r="J84" s="3">
        <f t="shared" si="28"/>
        <v>44945</v>
      </c>
      <c r="K84" s="5" t="str">
        <f t="shared" si="29"/>
        <v>01-2023</v>
      </c>
      <c r="L84" t="s">
        <v>649</v>
      </c>
      <c r="M84" t="s">
        <v>658</v>
      </c>
      <c r="N84" t="s">
        <v>683</v>
      </c>
      <c r="O84" t="str">
        <f t="shared" si="30"/>
        <v>London</v>
      </c>
      <c r="P84" t="s">
        <v>701</v>
      </c>
      <c r="Q84" t="s">
        <v>707</v>
      </c>
      <c r="R84" t="str">
        <f t="shared" si="31"/>
        <v>Retail</v>
      </c>
      <c r="S84" t="s">
        <v>724</v>
      </c>
      <c r="T84" t="str">
        <f t="shared" si="44"/>
        <v>M. Rossi</v>
      </c>
      <c r="U84" t="s">
        <v>728</v>
      </c>
      <c r="V84" t="str">
        <f t="shared" si="32"/>
        <v>Medium</v>
      </c>
      <c r="W84" t="s">
        <v>1047</v>
      </c>
      <c r="X84" t="str">
        <f t="shared" si="33"/>
        <v>A</v>
      </c>
      <c r="Y84" s="5">
        <v>840.68</v>
      </c>
      <c r="Z84" s="5">
        <v>1493.53</v>
      </c>
      <c r="AA84" s="5">
        <f t="shared" si="34"/>
        <v>1493.53</v>
      </c>
      <c r="AB84" s="7">
        <v>0</v>
      </c>
      <c r="AC84" s="7">
        <f t="shared" si="35"/>
        <v>0</v>
      </c>
      <c r="AD84" s="16">
        <f t="shared" si="36"/>
        <v>0</v>
      </c>
      <c r="AE84" s="16">
        <v>27</v>
      </c>
      <c r="AF84" s="5">
        <f t="shared" si="37"/>
        <v>40325.31</v>
      </c>
      <c r="AG84">
        <f t="shared" si="38"/>
        <v>22698.359999999997</v>
      </c>
      <c r="AH84" s="5">
        <f t="shared" si="39"/>
        <v>17626.95</v>
      </c>
      <c r="AI84" s="5">
        <f t="shared" si="40"/>
        <v>0.43711877230454027</v>
      </c>
      <c r="AJ84" s="5">
        <f t="shared" si="43"/>
        <v>3966060.7820299994</v>
      </c>
      <c r="AK84" s="7">
        <f t="shared" si="41"/>
        <v>0.36233737217630257</v>
      </c>
      <c r="AL84" s="17">
        <f>MIN(AC84,'What-If Analysis'!$B$2)</f>
        <v>0</v>
      </c>
      <c r="AM84">
        <f>AE84*(1+'What-If Analysis'!$B$3)</f>
        <v>35.1</v>
      </c>
      <c r="AN84">
        <f>Y84*(1+'What-If Analysis'!$B$4)</f>
        <v>924.74800000000005</v>
      </c>
      <c r="AO84">
        <f t="shared" si="42"/>
        <v>52422.902999999998</v>
      </c>
    </row>
    <row r="85" spans="1:41" x14ac:dyDescent="0.3">
      <c r="A85" t="s">
        <v>196</v>
      </c>
      <c r="B85" s="3">
        <v>45568</v>
      </c>
      <c r="C85" s="3">
        <f t="shared" si="23"/>
        <v>45568</v>
      </c>
      <c r="D85" s="3">
        <v>45576</v>
      </c>
      <c r="E85" s="3">
        <f t="shared" si="24"/>
        <v>45576</v>
      </c>
      <c r="F85" s="16">
        <f t="shared" si="25"/>
        <v>8</v>
      </c>
      <c r="G85" s="16">
        <f>IF(Data!F49&lt;=7,1,0)</f>
        <v>0</v>
      </c>
      <c r="H85" s="5" t="str">
        <f t="shared" si="26"/>
        <v>10-2024</v>
      </c>
      <c r="I85" s="5" t="str">
        <f t="shared" si="27"/>
        <v>Q4-2024</v>
      </c>
      <c r="J85" s="3">
        <f t="shared" si="28"/>
        <v>44938</v>
      </c>
      <c r="K85" s="5" t="str">
        <f t="shared" si="29"/>
        <v>01-2023</v>
      </c>
      <c r="L85" t="s">
        <v>647</v>
      </c>
      <c r="M85" t="s">
        <v>659</v>
      </c>
      <c r="N85" t="s">
        <v>699</v>
      </c>
      <c r="O85" t="str">
        <f t="shared" si="30"/>
        <v>Beijing</v>
      </c>
      <c r="P85" t="s">
        <v>706</v>
      </c>
      <c r="Q85" t="s">
        <v>711</v>
      </c>
      <c r="R85" t="str">
        <f t="shared" si="31"/>
        <v>Direct</v>
      </c>
      <c r="S85" t="s">
        <v>717</v>
      </c>
      <c r="T85" t="str">
        <f t="shared" si="44"/>
        <v>B. Chen</v>
      </c>
      <c r="U85" t="s">
        <v>730</v>
      </c>
      <c r="V85" t="str">
        <f t="shared" si="32"/>
        <v>High</v>
      </c>
      <c r="W85" t="s">
        <v>915</v>
      </c>
      <c r="X85" t="str">
        <f t="shared" si="33"/>
        <v>A</v>
      </c>
      <c r="Y85" s="5">
        <v>1132.6099999999999</v>
      </c>
      <c r="Z85" s="5">
        <v>2206.63</v>
      </c>
      <c r="AA85" s="5">
        <f t="shared" si="34"/>
        <v>2206.63</v>
      </c>
      <c r="AB85" s="7">
        <v>6.3E-2</v>
      </c>
      <c r="AC85" s="7">
        <f t="shared" si="35"/>
        <v>6.3E-2</v>
      </c>
      <c r="AD85" s="16">
        <f t="shared" si="36"/>
        <v>0</v>
      </c>
      <c r="AE85" s="16">
        <v>20</v>
      </c>
      <c r="AF85" s="5">
        <f t="shared" si="37"/>
        <v>41352.246200000009</v>
      </c>
      <c r="AG85">
        <f t="shared" si="38"/>
        <v>22652.199999999997</v>
      </c>
      <c r="AH85" s="5">
        <f t="shared" si="39"/>
        <v>18700.046200000012</v>
      </c>
      <c r="AI85" s="5">
        <f t="shared" si="40"/>
        <v>0.45221355351671338</v>
      </c>
      <c r="AJ85" s="5">
        <f t="shared" si="43"/>
        <v>4007413.0282299994</v>
      </c>
      <c r="AK85" s="7">
        <f t="shared" si="41"/>
        <v>0.36611529315259844</v>
      </c>
      <c r="AL85" s="17">
        <f>MIN(AC85,'What-If Analysis'!$B$2)</f>
        <v>6.3E-2</v>
      </c>
      <c r="AM85">
        <f>AE85*(1+'What-If Analysis'!$B$3)</f>
        <v>26</v>
      </c>
      <c r="AN85">
        <f>Y85*(1+'What-If Analysis'!$B$4)</f>
        <v>1245.8710000000001</v>
      </c>
      <c r="AO85">
        <f t="shared" si="42"/>
        <v>53757.920060000004</v>
      </c>
    </row>
    <row r="86" spans="1:41" x14ac:dyDescent="0.3">
      <c r="A86" t="s">
        <v>443</v>
      </c>
      <c r="B86" s="3">
        <v>45784</v>
      </c>
      <c r="C86" s="3">
        <f t="shared" si="23"/>
        <v>45784</v>
      </c>
      <c r="D86" s="3">
        <v>45790</v>
      </c>
      <c r="E86" s="3">
        <f t="shared" si="24"/>
        <v>45790</v>
      </c>
      <c r="F86" s="16">
        <f t="shared" si="25"/>
        <v>6</v>
      </c>
      <c r="G86" s="16">
        <f>IF(Data!F50&lt;=7,1,0)</f>
        <v>0</v>
      </c>
      <c r="H86" s="5" t="str">
        <f t="shared" si="26"/>
        <v>05-2025</v>
      </c>
      <c r="I86" s="5" t="str">
        <f t="shared" si="27"/>
        <v>Q2-2025</v>
      </c>
      <c r="J86" s="3">
        <f t="shared" si="28"/>
        <v>44955</v>
      </c>
      <c r="K86" s="5" t="str">
        <f t="shared" si="29"/>
        <v>01-2023</v>
      </c>
      <c r="L86" t="s">
        <v>647</v>
      </c>
      <c r="M86" t="s">
        <v>654</v>
      </c>
      <c r="N86" t="s">
        <v>668</v>
      </c>
      <c r="O86" t="str">
        <f t="shared" si="30"/>
        <v>Bengaluru</v>
      </c>
      <c r="P86" t="s">
        <v>706</v>
      </c>
      <c r="Q86" t="s">
        <v>711</v>
      </c>
      <c r="R86" t="str">
        <f t="shared" si="31"/>
        <v>Direct</v>
      </c>
      <c r="S86" t="s">
        <v>713</v>
      </c>
      <c r="T86" t="str">
        <f t="shared" si="44"/>
        <v>J. Njeri</v>
      </c>
      <c r="U86" t="s">
        <v>730</v>
      </c>
      <c r="V86" t="str">
        <f t="shared" si="32"/>
        <v>High</v>
      </c>
      <c r="W86" t="s">
        <v>1162</v>
      </c>
      <c r="X86" t="str">
        <f t="shared" si="33"/>
        <v>A</v>
      </c>
      <c r="Y86" s="5">
        <v>935.98</v>
      </c>
      <c r="Z86" s="5">
        <v>2077.69</v>
      </c>
      <c r="AA86" s="5">
        <f t="shared" si="34"/>
        <v>2077.69</v>
      </c>
      <c r="AB86" s="7">
        <v>0.17499999999999999</v>
      </c>
      <c r="AC86" s="7">
        <f t="shared" si="35"/>
        <v>0.17499999999999999</v>
      </c>
      <c r="AD86" s="16">
        <f t="shared" si="36"/>
        <v>0</v>
      </c>
      <c r="AE86" s="16">
        <v>24</v>
      </c>
      <c r="AF86" s="5">
        <f t="shared" si="37"/>
        <v>41138.261999999995</v>
      </c>
      <c r="AG86">
        <f t="shared" si="38"/>
        <v>22463.52</v>
      </c>
      <c r="AH86" s="5">
        <f t="shared" si="39"/>
        <v>18674.741999999995</v>
      </c>
      <c r="AI86" s="5">
        <f t="shared" si="40"/>
        <v>0.45395067978321491</v>
      </c>
      <c r="AJ86" s="5">
        <f t="shared" si="43"/>
        <v>4048551.2902299995</v>
      </c>
      <c r="AK86" s="7">
        <f t="shared" si="41"/>
        <v>0.3698736646370997</v>
      </c>
      <c r="AL86" s="17">
        <f>MIN(AC86,'What-If Analysis'!$B$2)</f>
        <v>0.17499999999999999</v>
      </c>
      <c r="AM86">
        <f>AE86*(1+'What-If Analysis'!$B$3)</f>
        <v>31.200000000000003</v>
      </c>
      <c r="AN86">
        <f>Y86*(1+'What-If Analysis'!$B$4)</f>
        <v>1029.5780000000002</v>
      </c>
      <c r="AO86">
        <f t="shared" si="42"/>
        <v>53479.740600000005</v>
      </c>
    </row>
    <row r="87" spans="1:41" x14ac:dyDescent="0.3">
      <c r="A87" t="s">
        <v>112</v>
      </c>
      <c r="B87" s="3">
        <v>45440</v>
      </c>
      <c r="C87" s="3">
        <f t="shared" si="23"/>
        <v>45438</v>
      </c>
      <c r="D87" s="3">
        <v>45438</v>
      </c>
      <c r="E87" s="3">
        <f t="shared" si="24"/>
        <v>45440</v>
      </c>
      <c r="F87" s="16">
        <f t="shared" si="25"/>
        <v>2</v>
      </c>
      <c r="G87" s="16">
        <f>IF(Data!F81&lt;=7,1,0)</f>
        <v>0</v>
      </c>
      <c r="H87" s="5" t="str">
        <f t="shared" si="26"/>
        <v>05-2024</v>
      </c>
      <c r="I87" s="5" t="str">
        <f t="shared" si="27"/>
        <v>Q2-2024</v>
      </c>
      <c r="J87" s="3">
        <f t="shared" si="28"/>
        <v>44939</v>
      </c>
      <c r="K87" s="5" t="str">
        <f t="shared" si="29"/>
        <v>01-2023</v>
      </c>
      <c r="L87" t="s">
        <v>646</v>
      </c>
      <c r="M87" t="s">
        <v>651</v>
      </c>
      <c r="N87" t="s">
        <v>669</v>
      </c>
      <c r="O87" t="str">
        <f t="shared" si="30"/>
        <v>Abuja</v>
      </c>
      <c r="P87" t="s">
        <v>706</v>
      </c>
      <c r="Q87" t="s">
        <v>708</v>
      </c>
      <c r="R87" t="str">
        <f t="shared" si="31"/>
        <v>Online</v>
      </c>
      <c r="S87" t="s">
        <v>721</v>
      </c>
      <c r="T87" t="str">
        <f t="shared" si="44"/>
        <v>F. Müller</v>
      </c>
      <c r="U87" t="s">
        <v>733</v>
      </c>
      <c r="V87" t="str">
        <f t="shared" si="32"/>
        <v>High</v>
      </c>
      <c r="W87" t="s">
        <v>831</v>
      </c>
      <c r="X87" t="str">
        <f t="shared" si="33"/>
        <v>A</v>
      </c>
      <c r="Y87" s="5">
        <v>1227.08</v>
      </c>
      <c r="Z87" s="5">
        <v>1896.62</v>
      </c>
      <c r="AA87" s="5">
        <f t="shared" si="34"/>
        <v>1896.62</v>
      </c>
      <c r="AB87" s="7">
        <v>0</v>
      </c>
      <c r="AC87" s="7">
        <f t="shared" si="35"/>
        <v>0</v>
      </c>
      <c r="AD87" s="16">
        <f t="shared" si="36"/>
        <v>0</v>
      </c>
      <c r="AE87" s="16">
        <v>18</v>
      </c>
      <c r="AF87" s="5">
        <f t="shared" si="37"/>
        <v>34139.159999999996</v>
      </c>
      <c r="AG87">
        <f t="shared" si="38"/>
        <v>22087.439999999999</v>
      </c>
      <c r="AH87" s="5">
        <f t="shared" si="39"/>
        <v>12051.719999999998</v>
      </c>
      <c r="AI87" s="5">
        <f t="shared" si="40"/>
        <v>0.353017473189147</v>
      </c>
      <c r="AJ87" s="5">
        <f t="shared" si="43"/>
        <v>4082690.4502299996</v>
      </c>
      <c r="AK87" s="7">
        <f t="shared" si="41"/>
        <v>0.37299260158802933</v>
      </c>
      <c r="AL87" s="17">
        <f>MIN(AC87,'What-If Analysis'!$B$2)</f>
        <v>0</v>
      </c>
      <c r="AM87">
        <f>AE87*(1+'What-If Analysis'!$B$3)</f>
        <v>23.400000000000002</v>
      </c>
      <c r="AN87">
        <f>Y87*(1+'What-If Analysis'!$B$4)</f>
        <v>1349.788</v>
      </c>
      <c r="AO87">
        <f t="shared" si="42"/>
        <v>44380.908000000003</v>
      </c>
    </row>
    <row r="88" spans="1:41" x14ac:dyDescent="0.3">
      <c r="A88" t="s">
        <v>556</v>
      </c>
      <c r="B88" s="3">
        <v>45450</v>
      </c>
      <c r="C88" s="3">
        <f t="shared" si="23"/>
        <v>45450</v>
      </c>
      <c r="D88" s="3">
        <v>45452</v>
      </c>
      <c r="E88" s="3">
        <f t="shared" si="24"/>
        <v>45452</v>
      </c>
      <c r="F88" s="16">
        <f t="shared" si="25"/>
        <v>2</v>
      </c>
      <c r="G88" s="16">
        <f>IF(Data!F107&lt;=7,1,0)</f>
        <v>0</v>
      </c>
      <c r="H88" s="5" t="str">
        <f t="shared" si="26"/>
        <v>06-2024</v>
      </c>
      <c r="I88" s="5" t="str">
        <f t="shared" si="27"/>
        <v>Q2-2024</v>
      </c>
      <c r="J88" s="3">
        <f t="shared" si="28"/>
        <v>44938</v>
      </c>
      <c r="K88" s="5" t="str">
        <f t="shared" si="29"/>
        <v>01-2023</v>
      </c>
      <c r="L88" t="s">
        <v>647</v>
      </c>
      <c r="M88" t="s">
        <v>659</v>
      </c>
      <c r="N88" t="s">
        <v>685</v>
      </c>
      <c r="O88" t="str">
        <f t="shared" si="30"/>
        <v>Shanghai</v>
      </c>
      <c r="P88" t="s">
        <v>701</v>
      </c>
      <c r="Q88" t="s">
        <v>707</v>
      </c>
      <c r="R88" t="str">
        <f t="shared" si="31"/>
        <v>Retail</v>
      </c>
      <c r="S88" t="s">
        <v>719</v>
      </c>
      <c r="T88" t="str">
        <f t="shared" si="44"/>
        <v>O. Wang</v>
      </c>
      <c r="U88" t="s">
        <v>732</v>
      </c>
      <c r="V88" t="str">
        <f t="shared" si="32"/>
        <v>High</v>
      </c>
      <c r="W88" t="s">
        <v>1274</v>
      </c>
      <c r="X88" t="str">
        <f t="shared" si="33"/>
        <v>A</v>
      </c>
      <c r="Y88" s="5">
        <v>1370.28</v>
      </c>
      <c r="Z88" s="5">
        <v>2209.66</v>
      </c>
      <c r="AA88" s="5">
        <f t="shared" si="34"/>
        <v>2209.66</v>
      </c>
      <c r="AB88" s="7">
        <v>0.13300000000000001</v>
      </c>
      <c r="AC88" s="7">
        <f t="shared" si="35"/>
        <v>0.13300000000000001</v>
      </c>
      <c r="AD88" s="16">
        <f t="shared" si="36"/>
        <v>0</v>
      </c>
      <c r="AE88" s="16">
        <v>16</v>
      </c>
      <c r="AF88" s="5">
        <f t="shared" si="37"/>
        <v>30652.403519999996</v>
      </c>
      <c r="AG88">
        <f t="shared" si="38"/>
        <v>21924.48</v>
      </c>
      <c r="AH88" s="5">
        <f t="shared" si="39"/>
        <v>8727.9235199999966</v>
      </c>
      <c r="AI88" s="5">
        <f t="shared" si="40"/>
        <v>0.28473863442079589</v>
      </c>
      <c r="AJ88" s="5">
        <f t="shared" si="43"/>
        <v>4113342.8537499998</v>
      </c>
      <c r="AK88" s="7">
        <f t="shared" si="41"/>
        <v>0.37579299017325918</v>
      </c>
      <c r="AL88" s="17">
        <f>MIN(AC88,'What-If Analysis'!$B$2)</f>
        <v>0.13300000000000001</v>
      </c>
      <c r="AM88">
        <f>AE88*(1+'What-If Analysis'!$B$3)</f>
        <v>20.8</v>
      </c>
      <c r="AN88">
        <f>Y88*(1+'What-If Analysis'!$B$4)</f>
        <v>1507.308</v>
      </c>
      <c r="AO88">
        <f t="shared" si="42"/>
        <v>39848.124576000002</v>
      </c>
    </row>
    <row r="89" spans="1:41" x14ac:dyDescent="0.3">
      <c r="A89" t="s">
        <v>492</v>
      </c>
      <c r="B89" s="3">
        <v>45123</v>
      </c>
      <c r="C89" s="3">
        <f t="shared" si="23"/>
        <v>45123</v>
      </c>
      <c r="D89" s="3">
        <v>45151</v>
      </c>
      <c r="E89" s="3">
        <f t="shared" si="24"/>
        <v>45151</v>
      </c>
      <c r="F89" s="16">
        <f t="shared" si="25"/>
        <v>28</v>
      </c>
      <c r="G89" s="16">
        <f>IF(Data!F47&lt;=7,1,0)</f>
        <v>0</v>
      </c>
      <c r="H89" s="5" t="str">
        <f t="shared" si="26"/>
        <v>07-2023</v>
      </c>
      <c r="I89" s="5" t="str">
        <f t="shared" si="27"/>
        <v>Q3-2023</v>
      </c>
      <c r="J89" s="3">
        <f t="shared" si="28"/>
        <v>44945</v>
      </c>
      <c r="K89" s="5" t="str">
        <f t="shared" si="29"/>
        <v>01-2023</v>
      </c>
      <c r="L89" t="s">
        <v>649</v>
      </c>
      <c r="M89" t="s">
        <v>658</v>
      </c>
      <c r="N89" t="s">
        <v>693</v>
      </c>
      <c r="O89" t="str">
        <f t="shared" si="30"/>
        <v>Manchester</v>
      </c>
      <c r="P89" t="s">
        <v>703</v>
      </c>
      <c r="Q89" t="s">
        <v>708</v>
      </c>
      <c r="R89" t="str">
        <f t="shared" si="31"/>
        <v>Online</v>
      </c>
      <c r="S89" t="s">
        <v>713</v>
      </c>
      <c r="T89" t="str">
        <f t="shared" si="44"/>
        <v>J. Njeri</v>
      </c>
      <c r="U89" t="s">
        <v>731</v>
      </c>
      <c r="V89" t="str">
        <f t="shared" si="32"/>
        <v>High</v>
      </c>
      <c r="W89" t="s">
        <v>1211</v>
      </c>
      <c r="X89" t="str">
        <f t="shared" si="33"/>
        <v>A</v>
      </c>
      <c r="Y89" s="5">
        <v>1039.03</v>
      </c>
      <c r="Z89" s="5">
        <v>2545.81</v>
      </c>
      <c r="AA89" s="5">
        <f t="shared" si="34"/>
        <v>2545.81</v>
      </c>
      <c r="AB89" s="7">
        <v>0.216</v>
      </c>
      <c r="AC89" s="7">
        <f t="shared" si="35"/>
        <v>0.216</v>
      </c>
      <c r="AD89" s="16">
        <f t="shared" si="36"/>
        <v>1</v>
      </c>
      <c r="AE89" s="16">
        <v>21</v>
      </c>
      <c r="AF89" s="5">
        <f t="shared" si="37"/>
        <v>41914.215840000004</v>
      </c>
      <c r="AG89">
        <f t="shared" si="38"/>
        <v>21819.63</v>
      </c>
      <c r="AH89" s="5">
        <f t="shared" si="39"/>
        <v>20094.585840000003</v>
      </c>
      <c r="AI89" s="5">
        <f t="shared" si="40"/>
        <v>0.47942172929364774</v>
      </c>
      <c r="AJ89" s="5">
        <f t="shared" si="43"/>
        <v>4155257.06959</v>
      </c>
      <c r="AK89" s="7">
        <f t="shared" si="41"/>
        <v>0.37962225242085457</v>
      </c>
      <c r="AL89" s="17">
        <f>MIN(AC89,'What-If Analysis'!$B$2)</f>
        <v>0.2</v>
      </c>
      <c r="AM89">
        <f>AE89*(1+'What-If Analysis'!$B$3)</f>
        <v>27.3</v>
      </c>
      <c r="AN89">
        <f>Y89*(1+'What-If Analysis'!$B$4)</f>
        <v>1142.933</v>
      </c>
      <c r="AO89">
        <f t="shared" si="42"/>
        <v>55600.490400000002</v>
      </c>
    </row>
    <row r="90" spans="1:41" x14ac:dyDescent="0.3">
      <c r="A90" t="s">
        <v>370</v>
      </c>
      <c r="B90" s="3">
        <v>45883</v>
      </c>
      <c r="C90" s="3">
        <f t="shared" si="23"/>
        <v>45883</v>
      </c>
      <c r="D90" s="3">
        <v>45911</v>
      </c>
      <c r="E90" s="3">
        <f t="shared" si="24"/>
        <v>45911</v>
      </c>
      <c r="F90" s="16">
        <f t="shared" si="25"/>
        <v>28</v>
      </c>
      <c r="G90" s="16">
        <f>IF(Data!F41&lt;=7,1,0)</f>
        <v>0</v>
      </c>
      <c r="H90" s="5" t="str">
        <f t="shared" si="26"/>
        <v>08-2025</v>
      </c>
      <c r="I90" s="5" t="str">
        <f t="shared" si="27"/>
        <v>Q3-2025</v>
      </c>
      <c r="J90" s="3">
        <f t="shared" si="28"/>
        <v>44955</v>
      </c>
      <c r="K90" s="5" t="str">
        <f t="shared" si="29"/>
        <v>01-2023</v>
      </c>
      <c r="L90" t="s">
        <v>648</v>
      </c>
      <c r="M90" t="s">
        <v>655</v>
      </c>
      <c r="N90" t="s">
        <v>670</v>
      </c>
      <c r="O90" t="str">
        <f t="shared" si="30"/>
        <v>São Paulo</v>
      </c>
      <c r="P90" t="s">
        <v>703</v>
      </c>
      <c r="Q90" t="s">
        <v>711</v>
      </c>
      <c r="R90" t="str">
        <f t="shared" si="31"/>
        <v>Direct</v>
      </c>
      <c r="S90" t="s">
        <v>721</v>
      </c>
      <c r="T90" t="str">
        <f t="shared" si="44"/>
        <v>F. Müller</v>
      </c>
      <c r="U90" t="s">
        <v>728</v>
      </c>
      <c r="V90" t="str">
        <f t="shared" si="32"/>
        <v>High</v>
      </c>
      <c r="W90" t="s">
        <v>1090</v>
      </c>
      <c r="X90" t="str">
        <f t="shared" si="33"/>
        <v>A</v>
      </c>
      <c r="Y90" s="5">
        <v>1203.02</v>
      </c>
      <c r="Z90" s="5">
        <v>2439.33</v>
      </c>
      <c r="AA90" s="5">
        <f t="shared" si="34"/>
        <v>2439.33</v>
      </c>
      <c r="AB90" s="7">
        <v>0</v>
      </c>
      <c r="AC90" s="7">
        <f t="shared" si="35"/>
        <v>0</v>
      </c>
      <c r="AD90" s="16">
        <f t="shared" si="36"/>
        <v>0</v>
      </c>
      <c r="AE90" s="16">
        <v>18</v>
      </c>
      <c r="AF90" s="5">
        <f t="shared" si="37"/>
        <v>43907.94</v>
      </c>
      <c r="AG90">
        <f t="shared" si="38"/>
        <v>21654.36</v>
      </c>
      <c r="AH90" s="5">
        <f t="shared" si="39"/>
        <v>22253.58</v>
      </c>
      <c r="AI90" s="5">
        <f t="shared" si="40"/>
        <v>0.50682359500354612</v>
      </c>
      <c r="AJ90" s="5">
        <f t="shared" si="43"/>
        <v>4199165.0095899999</v>
      </c>
      <c r="AK90" s="7">
        <f t="shared" si="41"/>
        <v>0.38363366033203927</v>
      </c>
      <c r="AL90" s="17">
        <f>MIN(AC90,'What-If Analysis'!$B$2)</f>
        <v>0</v>
      </c>
      <c r="AM90">
        <f>AE90*(1+'What-If Analysis'!$B$3)</f>
        <v>23.400000000000002</v>
      </c>
      <c r="AN90">
        <f>Y90*(1+'What-If Analysis'!$B$4)</f>
        <v>1323.3220000000001</v>
      </c>
      <c r="AO90">
        <f t="shared" si="42"/>
        <v>57080.322</v>
      </c>
    </row>
    <row r="91" spans="1:41" x14ac:dyDescent="0.3">
      <c r="A91" t="s">
        <v>287</v>
      </c>
      <c r="B91" s="3">
        <v>45131</v>
      </c>
      <c r="C91" s="3">
        <f t="shared" si="23"/>
        <v>45131</v>
      </c>
      <c r="D91" s="3">
        <v>45151</v>
      </c>
      <c r="E91" s="3">
        <f t="shared" si="24"/>
        <v>45151</v>
      </c>
      <c r="F91" s="16">
        <f t="shared" si="25"/>
        <v>20</v>
      </c>
      <c r="G91" s="16">
        <f>IF(Data!F116&lt;=7,1,0)</f>
        <v>0</v>
      </c>
      <c r="H91" s="5" t="str">
        <f t="shared" si="26"/>
        <v>07-2023</v>
      </c>
      <c r="I91" s="5" t="str">
        <f t="shared" si="27"/>
        <v>Q3-2023</v>
      </c>
      <c r="J91" s="3">
        <f t="shared" si="28"/>
        <v>44928</v>
      </c>
      <c r="K91" s="5" t="str">
        <f t="shared" si="29"/>
        <v>01-2023</v>
      </c>
      <c r="L91" t="s">
        <v>648</v>
      </c>
      <c r="M91" t="s">
        <v>653</v>
      </c>
      <c r="N91" t="s">
        <v>681</v>
      </c>
      <c r="O91" t="str">
        <f t="shared" si="30"/>
        <v>Montreal</v>
      </c>
      <c r="P91" t="s">
        <v>702</v>
      </c>
      <c r="Q91" t="s">
        <v>711</v>
      </c>
      <c r="R91" t="str">
        <f t="shared" si="31"/>
        <v>Direct</v>
      </c>
      <c r="S91" t="s">
        <v>712</v>
      </c>
      <c r="T91" t="str">
        <f t="shared" si="44"/>
        <v>C. Otieno</v>
      </c>
      <c r="U91" t="s">
        <v>732</v>
      </c>
      <c r="V91" t="str">
        <f t="shared" si="32"/>
        <v>High</v>
      </c>
      <c r="W91" t="s">
        <v>1007</v>
      </c>
      <c r="X91" t="str">
        <f t="shared" si="33"/>
        <v>A</v>
      </c>
      <c r="Y91" s="5">
        <v>1082.3800000000001</v>
      </c>
      <c r="Z91" s="5">
        <v>1766.55</v>
      </c>
      <c r="AA91" s="5">
        <f t="shared" si="34"/>
        <v>1766.55</v>
      </c>
      <c r="AB91" s="7">
        <v>0.16400000000000001</v>
      </c>
      <c r="AC91" s="7">
        <f t="shared" si="35"/>
        <v>0.16400000000000001</v>
      </c>
      <c r="AD91" s="16">
        <f t="shared" si="36"/>
        <v>0</v>
      </c>
      <c r="AE91" s="16">
        <v>20</v>
      </c>
      <c r="AF91" s="5">
        <f t="shared" si="37"/>
        <v>29536.716</v>
      </c>
      <c r="AG91">
        <f t="shared" si="38"/>
        <v>21647.600000000002</v>
      </c>
      <c r="AH91" s="5">
        <f t="shared" si="39"/>
        <v>7889.1159999999982</v>
      </c>
      <c r="AI91" s="5">
        <f t="shared" si="40"/>
        <v>0.26709523157550752</v>
      </c>
      <c r="AJ91" s="5">
        <f t="shared" si="43"/>
        <v>4228701.7255899999</v>
      </c>
      <c r="AK91" s="7">
        <f t="shared" si="41"/>
        <v>0.3863321202514256</v>
      </c>
      <c r="AL91" s="17">
        <f>MIN(AC91,'What-If Analysis'!$B$2)</f>
        <v>0.16400000000000001</v>
      </c>
      <c r="AM91">
        <f>AE91*(1+'What-If Analysis'!$B$3)</f>
        <v>26</v>
      </c>
      <c r="AN91">
        <f>Y91*(1+'What-If Analysis'!$B$4)</f>
        <v>1190.6180000000002</v>
      </c>
      <c r="AO91">
        <f t="shared" si="42"/>
        <v>38397.730799999998</v>
      </c>
    </row>
    <row r="92" spans="1:41" x14ac:dyDescent="0.3">
      <c r="A92" t="s">
        <v>114</v>
      </c>
      <c r="B92" s="3">
        <v>44985</v>
      </c>
      <c r="C92" s="3">
        <f t="shared" si="23"/>
        <v>44985</v>
      </c>
      <c r="D92" s="3">
        <v>45005</v>
      </c>
      <c r="E92" s="3">
        <f t="shared" si="24"/>
        <v>45005</v>
      </c>
      <c r="F92" s="16">
        <f t="shared" si="25"/>
        <v>20</v>
      </c>
      <c r="G92" s="16">
        <f>IF(Data!F146&lt;=7,1,0)</f>
        <v>0</v>
      </c>
      <c r="H92" s="5" t="str">
        <f t="shared" si="26"/>
        <v>02-2023</v>
      </c>
      <c r="I92" s="5" t="str">
        <f t="shared" si="27"/>
        <v>Q1-2023</v>
      </c>
      <c r="J92" s="3">
        <f t="shared" si="28"/>
        <v>44947</v>
      </c>
      <c r="K92" s="5" t="str">
        <f t="shared" si="29"/>
        <v>01-2023</v>
      </c>
      <c r="L92" t="s">
        <v>649</v>
      </c>
      <c r="M92" t="s">
        <v>656</v>
      </c>
      <c r="N92" t="s">
        <v>671</v>
      </c>
      <c r="O92" t="str">
        <f t="shared" si="30"/>
        <v>Berlin</v>
      </c>
      <c r="P92" t="s">
        <v>705</v>
      </c>
      <c r="Q92" t="s">
        <v>711</v>
      </c>
      <c r="R92" t="str">
        <f t="shared" si="31"/>
        <v>Direct</v>
      </c>
      <c r="S92" t="s">
        <v>722</v>
      </c>
      <c r="T92" t="str">
        <f t="shared" si="44"/>
        <v>H. Kim</v>
      </c>
      <c r="U92" t="s">
        <v>731</v>
      </c>
      <c r="V92" t="str">
        <f t="shared" si="32"/>
        <v>High</v>
      </c>
      <c r="W92" t="s">
        <v>833</v>
      </c>
      <c r="X92" t="str">
        <f t="shared" si="33"/>
        <v>A</v>
      </c>
      <c r="Y92" s="5">
        <v>1200.78</v>
      </c>
      <c r="Z92" s="5">
        <v>2001.17</v>
      </c>
      <c r="AA92" s="5">
        <f t="shared" si="34"/>
        <v>2001.17</v>
      </c>
      <c r="AB92" s="7">
        <v>0.29199999999999998</v>
      </c>
      <c r="AC92" s="7">
        <f t="shared" si="35"/>
        <v>0.29199999999999998</v>
      </c>
      <c r="AD92" s="16">
        <f t="shared" si="36"/>
        <v>1</v>
      </c>
      <c r="AE92" s="16">
        <v>18</v>
      </c>
      <c r="AF92" s="5">
        <f t="shared" si="37"/>
        <v>25502.910479999999</v>
      </c>
      <c r="AG92">
        <f t="shared" si="38"/>
        <v>21614.04</v>
      </c>
      <c r="AH92" s="5">
        <f t="shared" si="39"/>
        <v>3888.8704799999978</v>
      </c>
      <c r="AI92" s="5">
        <f t="shared" si="40"/>
        <v>0.15248732034132906</v>
      </c>
      <c r="AJ92" s="5">
        <f t="shared" si="43"/>
        <v>4254204.63607</v>
      </c>
      <c r="AK92" s="7">
        <f t="shared" si="41"/>
        <v>0.38866205367252682</v>
      </c>
      <c r="AL92" s="17">
        <f>MIN(AC92,'What-If Analysis'!$B$2)</f>
        <v>0.2</v>
      </c>
      <c r="AM92">
        <f>AE92*(1+'What-If Analysis'!$B$3)</f>
        <v>23.400000000000002</v>
      </c>
      <c r="AN92">
        <f>Y92*(1+'What-If Analysis'!$B$4)</f>
        <v>1320.8580000000002</v>
      </c>
      <c r="AO92">
        <f t="shared" si="42"/>
        <v>37461.902400000006</v>
      </c>
    </row>
    <row r="93" spans="1:41" x14ac:dyDescent="0.3">
      <c r="A93" t="s">
        <v>115</v>
      </c>
      <c r="B93" s="3">
        <v>45684</v>
      </c>
      <c r="C93" s="3">
        <f t="shared" si="23"/>
        <v>45684</v>
      </c>
      <c r="D93" s="3">
        <v>45703</v>
      </c>
      <c r="E93" s="3">
        <f t="shared" si="24"/>
        <v>45703</v>
      </c>
      <c r="F93" s="16">
        <f t="shared" si="25"/>
        <v>19</v>
      </c>
      <c r="G93" s="16">
        <f>IF(Data!F28&lt;=7,1,0)</f>
        <v>1</v>
      </c>
      <c r="H93" s="5" t="str">
        <f t="shared" si="26"/>
        <v>01-2025</v>
      </c>
      <c r="I93" s="5" t="str">
        <f t="shared" si="27"/>
        <v>Q1-2025</v>
      </c>
      <c r="J93" s="3">
        <f t="shared" si="28"/>
        <v>44938</v>
      </c>
      <c r="K93" s="5" t="str">
        <f t="shared" si="29"/>
        <v>01-2023</v>
      </c>
      <c r="L93" t="s">
        <v>647</v>
      </c>
      <c r="M93" t="s">
        <v>659</v>
      </c>
      <c r="N93" t="s">
        <v>676</v>
      </c>
      <c r="O93" t="str">
        <f t="shared" si="30"/>
        <v>Shenzhen</v>
      </c>
      <c r="P93" t="s">
        <v>703</v>
      </c>
      <c r="Q93" t="s">
        <v>711</v>
      </c>
      <c r="R93" t="str">
        <f t="shared" si="31"/>
        <v>Direct</v>
      </c>
      <c r="S93" t="s">
        <v>716</v>
      </c>
      <c r="T93" t="str">
        <f t="shared" si="44"/>
        <v>L. Okafor</v>
      </c>
      <c r="U93" t="s">
        <v>730</v>
      </c>
      <c r="V93" t="str">
        <f t="shared" si="32"/>
        <v>High</v>
      </c>
      <c r="W93" t="s">
        <v>834</v>
      </c>
      <c r="X93" t="str">
        <f t="shared" si="33"/>
        <v>A</v>
      </c>
      <c r="Y93" s="5">
        <v>1253.22</v>
      </c>
      <c r="Z93" s="5">
        <v>3104.71</v>
      </c>
      <c r="AA93" s="5">
        <f t="shared" si="34"/>
        <v>3104.71</v>
      </c>
      <c r="AB93" s="7">
        <v>0</v>
      </c>
      <c r="AC93" s="7">
        <f t="shared" si="35"/>
        <v>0</v>
      </c>
      <c r="AD93" s="16">
        <f t="shared" si="36"/>
        <v>0</v>
      </c>
      <c r="AE93" s="16">
        <v>17</v>
      </c>
      <c r="AF93" s="5">
        <f t="shared" si="37"/>
        <v>52780.07</v>
      </c>
      <c r="AG93">
        <f t="shared" si="38"/>
        <v>21304.74</v>
      </c>
      <c r="AH93" s="5">
        <f t="shared" si="39"/>
        <v>31475.329999999998</v>
      </c>
      <c r="AI93" s="5">
        <f t="shared" si="40"/>
        <v>0.59634877331538205</v>
      </c>
      <c r="AJ93" s="5">
        <f t="shared" si="43"/>
        <v>4306984.7060700003</v>
      </c>
      <c r="AK93" s="7">
        <f t="shared" si="41"/>
        <v>0.39348401503876007</v>
      </c>
      <c r="AL93" s="17">
        <f>MIN(AC93,'What-If Analysis'!$B$2)</f>
        <v>0</v>
      </c>
      <c r="AM93">
        <f>AE93*(1+'What-If Analysis'!$B$3)</f>
        <v>22.1</v>
      </c>
      <c r="AN93">
        <f>Y93*(1+'What-If Analysis'!$B$4)</f>
        <v>1378.5420000000001</v>
      </c>
      <c r="AO93">
        <f t="shared" si="42"/>
        <v>68614.091</v>
      </c>
    </row>
    <row r="94" spans="1:41" x14ac:dyDescent="0.3">
      <c r="A94" t="s">
        <v>280</v>
      </c>
      <c r="B94" s="3">
        <v>45573</v>
      </c>
      <c r="C94" s="3">
        <f t="shared" si="23"/>
        <v>45573</v>
      </c>
      <c r="D94" s="3">
        <v>45573</v>
      </c>
      <c r="E94" s="3">
        <f t="shared" si="24"/>
        <v>45573</v>
      </c>
      <c r="F94" s="16">
        <f t="shared" si="25"/>
        <v>0</v>
      </c>
      <c r="G94" s="16">
        <f>IF(Data!F62&lt;=7,1,0)</f>
        <v>0</v>
      </c>
      <c r="H94" s="5" t="str">
        <f t="shared" si="26"/>
        <v>10-2024</v>
      </c>
      <c r="I94" s="5" t="str">
        <f t="shared" si="27"/>
        <v>Q4-2024</v>
      </c>
      <c r="J94" s="3">
        <f t="shared" si="28"/>
        <v>44945</v>
      </c>
      <c r="K94" s="5" t="str">
        <f t="shared" si="29"/>
        <v>01-2023</v>
      </c>
      <c r="L94" t="s">
        <v>649</v>
      </c>
      <c r="M94" t="s">
        <v>658</v>
      </c>
      <c r="N94" t="s">
        <v>683</v>
      </c>
      <c r="O94" t="str">
        <f t="shared" si="30"/>
        <v>London</v>
      </c>
      <c r="P94" t="s">
        <v>701</v>
      </c>
      <c r="Q94" t="s">
        <v>708</v>
      </c>
      <c r="R94" t="str">
        <f t="shared" si="31"/>
        <v>Online</v>
      </c>
      <c r="S94" t="s">
        <v>718</v>
      </c>
      <c r="T94" t="str">
        <f t="shared" si="44"/>
        <v>E. Garcia</v>
      </c>
      <c r="U94" t="s">
        <v>732</v>
      </c>
      <c r="V94" t="str">
        <f t="shared" si="32"/>
        <v>High</v>
      </c>
      <c r="W94" t="s">
        <v>1000</v>
      </c>
      <c r="X94" t="str">
        <f t="shared" si="33"/>
        <v>A</v>
      </c>
      <c r="Y94" s="5">
        <v>1108.1099999999999</v>
      </c>
      <c r="Z94" s="5">
        <v>2503.79</v>
      </c>
      <c r="AA94" s="5">
        <f t="shared" si="34"/>
        <v>2503.79</v>
      </c>
      <c r="AB94" s="7">
        <v>0.184</v>
      </c>
      <c r="AC94" s="7">
        <f t="shared" si="35"/>
        <v>0.184</v>
      </c>
      <c r="AD94" s="16">
        <f t="shared" si="36"/>
        <v>0</v>
      </c>
      <c r="AE94" s="16">
        <v>19</v>
      </c>
      <c r="AF94" s="5">
        <f t="shared" si="37"/>
        <v>38818.760160000005</v>
      </c>
      <c r="AG94">
        <f t="shared" si="38"/>
        <v>21054.089999999997</v>
      </c>
      <c r="AH94" s="5">
        <f t="shared" si="39"/>
        <v>17764.670160000009</v>
      </c>
      <c r="AI94" s="5">
        <f t="shared" si="40"/>
        <v>0.45763105485025896</v>
      </c>
      <c r="AJ94" s="5">
        <f t="shared" si="43"/>
        <v>4345803.4662300004</v>
      </c>
      <c r="AK94" s="7">
        <f t="shared" si="41"/>
        <v>0.39703047797025282</v>
      </c>
      <c r="AL94" s="17">
        <f>MIN(AC94,'What-If Analysis'!$B$2)</f>
        <v>0.184</v>
      </c>
      <c r="AM94">
        <f>AE94*(1+'What-If Analysis'!$B$3)</f>
        <v>24.7</v>
      </c>
      <c r="AN94">
        <f>Y94*(1+'What-If Analysis'!$B$4)</f>
        <v>1218.921</v>
      </c>
      <c r="AO94">
        <f t="shared" si="42"/>
        <v>50464.388208000004</v>
      </c>
    </row>
    <row r="95" spans="1:41" x14ac:dyDescent="0.3">
      <c r="A95" t="s">
        <v>441</v>
      </c>
      <c r="B95" s="3">
        <v>45522</v>
      </c>
      <c r="C95" s="3">
        <f t="shared" si="23"/>
        <v>45522</v>
      </c>
      <c r="D95" s="3">
        <v>45547</v>
      </c>
      <c r="E95" s="3">
        <f t="shared" si="24"/>
        <v>45547</v>
      </c>
      <c r="F95" s="16">
        <f t="shared" si="25"/>
        <v>25</v>
      </c>
      <c r="G95" s="16">
        <f>IF(Data!F199&lt;=7,1,0)</f>
        <v>0</v>
      </c>
      <c r="H95" s="5" t="str">
        <f t="shared" si="26"/>
        <v>08-2024</v>
      </c>
      <c r="I95" s="5" t="str">
        <f t="shared" si="27"/>
        <v>Q3-2024</v>
      </c>
      <c r="J95" s="3">
        <f t="shared" si="28"/>
        <v>44955</v>
      </c>
      <c r="K95" s="5" t="str">
        <f t="shared" si="29"/>
        <v>01-2023</v>
      </c>
      <c r="L95" t="s">
        <v>647</v>
      </c>
      <c r="M95" t="s">
        <v>654</v>
      </c>
      <c r="N95" t="s">
        <v>691</v>
      </c>
      <c r="O95" t="str">
        <f t="shared" si="30"/>
        <v>Mumbai</v>
      </c>
      <c r="P95" t="s">
        <v>704</v>
      </c>
      <c r="Q95" t="s">
        <v>709</v>
      </c>
      <c r="R95" t="str">
        <f t="shared" si="31"/>
        <v>Marketplace</v>
      </c>
      <c r="S95" t="s">
        <v>712</v>
      </c>
      <c r="T95" t="str">
        <f t="shared" si="44"/>
        <v>C. Otieno</v>
      </c>
      <c r="U95" t="s">
        <v>730</v>
      </c>
      <c r="V95" t="str">
        <f t="shared" si="32"/>
        <v>Medium</v>
      </c>
      <c r="W95" t="s">
        <v>1160</v>
      </c>
      <c r="X95" t="str">
        <f t="shared" si="33"/>
        <v>A</v>
      </c>
      <c r="Y95" s="5">
        <v>1154.03</v>
      </c>
      <c r="Z95" s="5">
        <v>1590.36</v>
      </c>
      <c r="AA95" s="5">
        <f t="shared" si="34"/>
        <v>1590.36</v>
      </c>
      <c r="AB95" s="7">
        <v>0.314</v>
      </c>
      <c r="AC95" s="7">
        <f t="shared" si="35"/>
        <v>0.3</v>
      </c>
      <c r="AD95" s="16">
        <f t="shared" si="36"/>
        <v>1</v>
      </c>
      <c r="AE95" s="16">
        <v>18</v>
      </c>
      <c r="AF95" s="5">
        <f t="shared" si="37"/>
        <v>20038.536</v>
      </c>
      <c r="AG95">
        <f t="shared" si="38"/>
        <v>20772.54</v>
      </c>
      <c r="AH95" s="5">
        <f t="shared" si="39"/>
        <v>734.00400000000081</v>
      </c>
      <c r="AI95" s="5">
        <f t="shared" si="40"/>
        <v>3.6629622044245191E-2</v>
      </c>
      <c r="AJ95" s="5">
        <f t="shared" si="43"/>
        <v>4365842.0022300007</v>
      </c>
      <c r="AK95" s="7">
        <f t="shared" si="41"/>
        <v>0.39886118881296062</v>
      </c>
      <c r="AL95" s="17">
        <f>MIN(AC95,'What-If Analysis'!$B$2)</f>
        <v>0.2</v>
      </c>
      <c r="AM95">
        <f>AE95*(1+'What-If Analysis'!$B$3)</f>
        <v>23.400000000000002</v>
      </c>
      <c r="AN95">
        <f>Y95*(1+'What-If Analysis'!$B$4)</f>
        <v>1269.433</v>
      </c>
      <c r="AO95">
        <f t="shared" si="42"/>
        <v>29771.539199999999</v>
      </c>
    </row>
    <row r="96" spans="1:41" x14ac:dyDescent="0.3">
      <c r="A96" t="s">
        <v>452</v>
      </c>
      <c r="B96" s="3">
        <v>45290</v>
      </c>
      <c r="C96" s="3">
        <f t="shared" si="23"/>
        <v>45290</v>
      </c>
      <c r="D96" s="3">
        <v>45299</v>
      </c>
      <c r="E96" s="3">
        <f t="shared" si="24"/>
        <v>45299</v>
      </c>
      <c r="F96" s="16">
        <f t="shared" si="25"/>
        <v>9</v>
      </c>
      <c r="G96" s="16">
        <f>IF(Data!F158&lt;=7,1,0)</f>
        <v>0</v>
      </c>
      <c r="H96" s="5" t="str">
        <f t="shared" si="26"/>
        <v>12-2023</v>
      </c>
      <c r="I96" s="5" t="str">
        <f t="shared" si="27"/>
        <v>Q4-2023</v>
      </c>
      <c r="J96" s="3">
        <f t="shared" si="28"/>
        <v>44936</v>
      </c>
      <c r="K96" s="5" t="str">
        <f t="shared" si="29"/>
        <v>01-2023</v>
      </c>
      <c r="L96" t="s">
        <v>649</v>
      </c>
      <c r="M96" t="s">
        <v>657</v>
      </c>
      <c r="N96" t="s">
        <v>673</v>
      </c>
      <c r="O96" t="str">
        <f t="shared" si="30"/>
        <v>Marseille</v>
      </c>
      <c r="P96" t="s">
        <v>704</v>
      </c>
      <c r="Q96" t="s">
        <v>709</v>
      </c>
      <c r="R96" t="str">
        <f t="shared" si="31"/>
        <v>Marketplace</v>
      </c>
      <c r="S96" t="s">
        <v>716</v>
      </c>
      <c r="T96" t="str">
        <f t="shared" si="44"/>
        <v>L. Okafor</v>
      </c>
      <c r="U96" t="s">
        <v>733</v>
      </c>
      <c r="V96" t="str">
        <f t="shared" si="32"/>
        <v>Medium</v>
      </c>
      <c r="W96" t="s">
        <v>1171</v>
      </c>
      <c r="X96" t="str">
        <f t="shared" si="33"/>
        <v>A</v>
      </c>
      <c r="Y96" s="5">
        <v>861.1</v>
      </c>
      <c r="Z96" s="5">
        <v>1224.72</v>
      </c>
      <c r="AA96" s="5">
        <f t="shared" si="34"/>
        <v>1224.72</v>
      </c>
      <c r="AB96" s="7">
        <v>0.17399999999999999</v>
      </c>
      <c r="AC96" s="7">
        <f t="shared" si="35"/>
        <v>0.17399999999999999</v>
      </c>
      <c r="AD96" s="16">
        <f t="shared" si="36"/>
        <v>0</v>
      </c>
      <c r="AE96" s="16">
        <v>24</v>
      </c>
      <c r="AF96" s="5">
        <f t="shared" si="37"/>
        <v>24278.849280000002</v>
      </c>
      <c r="AG96">
        <f t="shared" si="38"/>
        <v>20666.400000000001</v>
      </c>
      <c r="AH96" s="5">
        <f t="shared" si="39"/>
        <v>3612.4492800000007</v>
      </c>
      <c r="AI96" s="5">
        <f t="shared" si="40"/>
        <v>0.14878997098827909</v>
      </c>
      <c r="AJ96" s="5">
        <f t="shared" si="43"/>
        <v>4390120.8515100004</v>
      </c>
      <c r="AK96" s="7">
        <f t="shared" si="41"/>
        <v>0.40107929260184827</v>
      </c>
      <c r="AL96" s="17">
        <f>MIN(AC96,'What-If Analysis'!$B$2)</f>
        <v>0.17399999999999999</v>
      </c>
      <c r="AM96">
        <f>AE96*(1+'What-If Analysis'!$B$3)</f>
        <v>31.200000000000003</v>
      </c>
      <c r="AN96">
        <f>Y96*(1+'What-If Analysis'!$B$4)</f>
        <v>947.21000000000015</v>
      </c>
      <c r="AO96">
        <f t="shared" si="42"/>
        <v>31562.504064000004</v>
      </c>
    </row>
    <row r="97" spans="1:41" x14ac:dyDescent="0.3">
      <c r="A97" t="s">
        <v>63</v>
      </c>
      <c r="B97" s="3">
        <v>45579</v>
      </c>
      <c r="C97" s="3">
        <f t="shared" si="23"/>
        <v>45579</v>
      </c>
      <c r="D97" s="3">
        <v>45604</v>
      </c>
      <c r="E97" s="3">
        <f t="shared" si="24"/>
        <v>45604</v>
      </c>
      <c r="F97" s="16">
        <f t="shared" si="25"/>
        <v>25</v>
      </c>
      <c r="G97" s="16">
        <f>IF(Data!F70&lt;=7,1,0)</f>
        <v>1</v>
      </c>
      <c r="H97" s="5" t="str">
        <f t="shared" si="26"/>
        <v>10-2024</v>
      </c>
      <c r="I97" s="5" t="str">
        <f t="shared" si="27"/>
        <v>Q4-2024</v>
      </c>
      <c r="J97" s="3">
        <f t="shared" si="28"/>
        <v>44939</v>
      </c>
      <c r="K97" s="5" t="str">
        <f t="shared" si="29"/>
        <v>01-2023</v>
      </c>
      <c r="L97" t="s">
        <v>646</v>
      </c>
      <c r="M97" t="s">
        <v>651</v>
      </c>
      <c r="N97" t="s">
        <v>665</v>
      </c>
      <c r="O97" t="str">
        <f t="shared" si="30"/>
        <v>Lagos</v>
      </c>
      <c r="P97" t="s">
        <v>706</v>
      </c>
      <c r="Q97" t="s">
        <v>708</v>
      </c>
      <c r="R97" t="str">
        <f t="shared" si="31"/>
        <v>Online</v>
      </c>
      <c r="S97" t="s">
        <v>719</v>
      </c>
      <c r="T97" t="str">
        <f t="shared" si="44"/>
        <v>O. Wang</v>
      </c>
      <c r="U97" t="s">
        <v>729</v>
      </c>
      <c r="V97" t="str">
        <f t="shared" si="32"/>
        <v>High</v>
      </c>
      <c r="W97" t="s">
        <v>782</v>
      </c>
      <c r="X97" t="str">
        <f t="shared" si="33"/>
        <v>A</v>
      </c>
      <c r="Y97" s="5">
        <v>859.35</v>
      </c>
      <c r="Z97" s="5">
        <v>1825.61</v>
      </c>
      <c r="AA97" s="5">
        <f t="shared" si="34"/>
        <v>1825.61</v>
      </c>
      <c r="AB97" s="7">
        <v>0.187</v>
      </c>
      <c r="AC97" s="7">
        <f t="shared" si="35"/>
        <v>0.187</v>
      </c>
      <c r="AD97" s="16">
        <f t="shared" si="36"/>
        <v>0</v>
      </c>
      <c r="AE97" s="16">
        <v>24</v>
      </c>
      <c r="AF97" s="5">
        <f t="shared" si="37"/>
        <v>35621.302319999995</v>
      </c>
      <c r="AG97">
        <f t="shared" si="38"/>
        <v>20624.400000000001</v>
      </c>
      <c r="AH97" s="5">
        <f t="shared" si="39"/>
        <v>14996.902319999994</v>
      </c>
      <c r="AI97" s="5">
        <f t="shared" si="40"/>
        <v>0.42100937762681989</v>
      </c>
      <c r="AJ97" s="5">
        <f t="shared" si="43"/>
        <v>4425742.1538300002</v>
      </c>
      <c r="AK97" s="7">
        <f t="shared" si="41"/>
        <v>0.40433363734981759</v>
      </c>
      <c r="AL97" s="17">
        <f>MIN(AC97,'What-If Analysis'!$B$2)</f>
        <v>0.187</v>
      </c>
      <c r="AM97">
        <f>AE97*(1+'What-If Analysis'!$B$3)</f>
        <v>31.200000000000003</v>
      </c>
      <c r="AN97">
        <f>Y97*(1+'What-If Analysis'!$B$4)</f>
        <v>945.28500000000008</v>
      </c>
      <c r="AO97">
        <f t="shared" si="42"/>
        <v>46307.693015999997</v>
      </c>
    </row>
    <row r="98" spans="1:41" x14ac:dyDescent="0.3">
      <c r="A98" t="s">
        <v>279</v>
      </c>
      <c r="B98" s="3">
        <v>45902</v>
      </c>
      <c r="C98" s="3">
        <f t="shared" si="23"/>
        <v>45902</v>
      </c>
      <c r="D98" s="3">
        <v>45911</v>
      </c>
      <c r="E98" s="3">
        <f t="shared" si="24"/>
        <v>45911</v>
      </c>
      <c r="F98" s="16">
        <f t="shared" si="25"/>
        <v>9</v>
      </c>
      <c r="G98" s="16">
        <f>IF(Data!F306&lt;=7,1,0)</f>
        <v>0</v>
      </c>
      <c r="H98" s="5" t="str">
        <f t="shared" si="26"/>
        <v>09-2025</v>
      </c>
      <c r="I98" s="5" t="str">
        <f t="shared" si="27"/>
        <v>Q3-2025</v>
      </c>
      <c r="J98" s="3">
        <f t="shared" si="28"/>
        <v>44928</v>
      </c>
      <c r="K98" s="5" t="str">
        <f t="shared" si="29"/>
        <v>01-2023</v>
      </c>
      <c r="L98" t="s">
        <v>648</v>
      </c>
      <c r="M98" t="s">
        <v>653</v>
      </c>
      <c r="N98" t="s">
        <v>667</v>
      </c>
      <c r="O98" t="str">
        <f t="shared" si="30"/>
        <v>Toronto</v>
      </c>
      <c r="P98" t="s">
        <v>701</v>
      </c>
      <c r="Q98" t="s">
        <v>710</v>
      </c>
      <c r="R98" t="str">
        <f t="shared" si="31"/>
        <v>Distributor</v>
      </c>
      <c r="S98" t="s">
        <v>724</v>
      </c>
      <c r="T98" t="str">
        <f t="shared" si="44"/>
        <v>M. Rossi</v>
      </c>
      <c r="U98" t="s">
        <v>728</v>
      </c>
      <c r="V98" t="str">
        <f t="shared" si="32"/>
        <v>Medium</v>
      </c>
      <c r="W98" t="s">
        <v>999</v>
      </c>
      <c r="X98" t="str">
        <f t="shared" si="33"/>
        <v>A</v>
      </c>
      <c r="Y98" s="5">
        <v>1207.6300000000001</v>
      </c>
      <c r="Z98" s="5">
        <v>921.68</v>
      </c>
      <c r="AA98" s="5">
        <f t="shared" si="34"/>
        <v>921.68</v>
      </c>
      <c r="AB98" s="7">
        <v>0.19600000000000001</v>
      </c>
      <c r="AC98" s="7">
        <f t="shared" si="35"/>
        <v>0.19600000000000001</v>
      </c>
      <c r="AD98" s="16">
        <f t="shared" si="36"/>
        <v>0</v>
      </c>
      <c r="AE98" s="16">
        <v>17</v>
      </c>
      <c r="AF98" s="5">
        <f t="shared" si="37"/>
        <v>12597.52224</v>
      </c>
      <c r="AG98">
        <f t="shared" si="38"/>
        <v>20529.710000000003</v>
      </c>
      <c r="AH98" s="5">
        <f t="shared" si="39"/>
        <v>7932.1877600000025</v>
      </c>
      <c r="AI98" s="5">
        <f t="shared" si="40"/>
        <v>0.62966253274897988</v>
      </c>
      <c r="AJ98" s="5">
        <f t="shared" si="43"/>
        <v>4438339.67607</v>
      </c>
      <c r="AK98" s="7">
        <f t="shared" si="41"/>
        <v>0.40548454081681834</v>
      </c>
      <c r="AL98" s="17">
        <f>MIN(AC98,'What-If Analysis'!$B$2)</f>
        <v>0.19600000000000001</v>
      </c>
      <c r="AM98">
        <f>AE98*(1+'What-If Analysis'!$B$3)</f>
        <v>22.1</v>
      </c>
      <c r="AN98">
        <f>Y98*(1+'What-If Analysis'!$B$4)</f>
        <v>1328.3930000000003</v>
      </c>
      <c r="AO98">
        <f t="shared" si="42"/>
        <v>16376.778912000002</v>
      </c>
    </row>
    <row r="99" spans="1:41" x14ac:dyDescent="0.3">
      <c r="A99" t="s">
        <v>411</v>
      </c>
      <c r="B99" s="3">
        <v>45638</v>
      </c>
      <c r="C99" s="3">
        <f t="shared" si="23"/>
        <v>45638</v>
      </c>
      <c r="D99" s="3">
        <v>45646</v>
      </c>
      <c r="E99" s="3">
        <f t="shared" si="24"/>
        <v>45646</v>
      </c>
      <c r="F99" s="16">
        <f t="shared" si="25"/>
        <v>8</v>
      </c>
      <c r="G99" s="16">
        <f>IF(Data!F215&lt;=7,1,0)</f>
        <v>0</v>
      </c>
      <c r="H99" s="5" t="str">
        <f t="shared" si="26"/>
        <v>12-2024</v>
      </c>
      <c r="I99" s="5" t="str">
        <f t="shared" si="27"/>
        <v>Q4-2024</v>
      </c>
      <c r="J99" s="3">
        <f t="shared" si="28"/>
        <v>44988</v>
      </c>
      <c r="K99" s="5" t="str">
        <f t="shared" si="29"/>
        <v>03-2023</v>
      </c>
      <c r="L99" t="s">
        <v>647</v>
      </c>
      <c r="M99" t="s">
        <v>652</v>
      </c>
      <c r="N99" t="s">
        <v>689</v>
      </c>
      <c r="O99" t="str">
        <f t="shared" si="30"/>
        <v>Tokyo</v>
      </c>
      <c r="P99" t="s">
        <v>701</v>
      </c>
      <c r="Q99" t="s">
        <v>707</v>
      </c>
      <c r="R99" t="str">
        <f t="shared" si="31"/>
        <v>Retail</v>
      </c>
      <c r="S99" t="s">
        <v>717</v>
      </c>
      <c r="T99" t="str">
        <f t="shared" si="44"/>
        <v>B. Chen</v>
      </c>
      <c r="U99" t="s">
        <v>731</v>
      </c>
      <c r="V99" t="str">
        <f t="shared" si="32"/>
        <v>Medium</v>
      </c>
      <c r="W99" t="s">
        <v>1130</v>
      </c>
      <c r="X99" t="str">
        <f t="shared" si="33"/>
        <v>A</v>
      </c>
      <c r="Y99" s="5">
        <v>1202.47</v>
      </c>
      <c r="Z99" s="5">
        <v>1444.72</v>
      </c>
      <c r="AA99" s="5">
        <f t="shared" si="34"/>
        <v>1444.72</v>
      </c>
      <c r="AB99" s="7">
        <v>0.24099999999999999</v>
      </c>
      <c r="AC99" s="7">
        <f t="shared" si="35"/>
        <v>0.24099999999999999</v>
      </c>
      <c r="AD99" s="16">
        <f t="shared" si="36"/>
        <v>1</v>
      </c>
      <c r="AE99" s="16">
        <v>17</v>
      </c>
      <c r="AF99" s="5">
        <f t="shared" si="37"/>
        <v>18641.222160000001</v>
      </c>
      <c r="AG99">
        <f t="shared" si="38"/>
        <v>20441.990000000002</v>
      </c>
      <c r="AH99" s="5">
        <f t="shared" si="39"/>
        <v>1800.7678400000004</v>
      </c>
      <c r="AI99" s="5">
        <f t="shared" si="40"/>
        <v>9.6601382921343834E-2</v>
      </c>
      <c r="AJ99" s="5">
        <f t="shared" si="43"/>
        <v>4456980.8982300004</v>
      </c>
      <c r="AK99" s="7">
        <f t="shared" si="41"/>
        <v>0.40718759375090674</v>
      </c>
      <c r="AL99" s="17">
        <f>MIN(AC99,'What-If Analysis'!$B$2)</f>
        <v>0.2</v>
      </c>
      <c r="AM99">
        <f>AE99*(1+'What-If Analysis'!$B$3)</f>
        <v>22.1</v>
      </c>
      <c r="AN99">
        <f>Y99*(1+'What-If Analysis'!$B$4)</f>
        <v>1322.7170000000001</v>
      </c>
      <c r="AO99">
        <f t="shared" si="42"/>
        <v>25542.649600000004</v>
      </c>
    </row>
    <row r="100" spans="1:41" x14ac:dyDescent="0.3">
      <c r="A100" t="s">
        <v>631</v>
      </c>
      <c r="B100" s="3">
        <v>45643</v>
      </c>
      <c r="C100" s="3">
        <f t="shared" si="23"/>
        <v>45643</v>
      </c>
      <c r="D100" s="3">
        <v>45673</v>
      </c>
      <c r="E100" s="3">
        <f t="shared" si="24"/>
        <v>45673</v>
      </c>
      <c r="F100" s="16">
        <f t="shared" si="25"/>
        <v>30</v>
      </c>
      <c r="G100" s="16">
        <f>IF(Data!F600&lt;=7,1,0)</f>
        <v>1</v>
      </c>
      <c r="H100" s="5" t="str">
        <f t="shared" si="26"/>
        <v>12-2024</v>
      </c>
      <c r="I100" s="5" t="str">
        <f t="shared" si="27"/>
        <v>Q4-2024</v>
      </c>
      <c r="J100" s="3">
        <f t="shared" si="28"/>
        <v>44945</v>
      </c>
      <c r="K100" s="5" t="str">
        <f t="shared" si="29"/>
        <v>01-2023</v>
      </c>
      <c r="L100" t="s">
        <v>649</v>
      </c>
      <c r="M100" t="s">
        <v>658</v>
      </c>
      <c r="N100" t="s">
        <v>693</v>
      </c>
      <c r="O100" t="str">
        <f t="shared" si="30"/>
        <v>Manchester</v>
      </c>
      <c r="P100" t="s">
        <v>701</v>
      </c>
      <c r="Q100" t="s">
        <v>707</v>
      </c>
      <c r="R100" t="str">
        <f t="shared" si="31"/>
        <v>Retail</v>
      </c>
      <c r="S100" t="s">
        <v>726</v>
      </c>
      <c r="T100" t="str">
        <f t="shared" si="44"/>
        <v>D. Smith</v>
      </c>
      <c r="U100" t="s">
        <v>732</v>
      </c>
      <c r="V100" t="str">
        <f t="shared" si="32"/>
        <v>Low</v>
      </c>
      <c r="W100" t="s">
        <v>1349</v>
      </c>
      <c r="X100" t="str">
        <f t="shared" si="33"/>
        <v>A</v>
      </c>
      <c r="Y100" s="5">
        <v>722.87</v>
      </c>
      <c r="Z100" s="5">
        <v>-33.659999999999997</v>
      </c>
      <c r="AA100" s="5">
        <f t="shared" si="34"/>
        <v>33.659999999999997</v>
      </c>
      <c r="AB100" s="7">
        <v>0.10199999999999999</v>
      </c>
      <c r="AC100" s="7">
        <f t="shared" si="35"/>
        <v>0.10199999999999999</v>
      </c>
      <c r="AD100" s="16">
        <f t="shared" si="36"/>
        <v>0</v>
      </c>
      <c r="AE100" s="16">
        <v>28</v>
      </c>
      <c r="AF100" s="5">
        <f t="shared" si="37"/>
        <v>846.34703999999988</v>
      </c>
      <c r="AG100">
        <f t="shared" si="38"/>
        <v>20240.36</v>
      </c>
      <c r="AH100" s="5">
        <f t="shared" si="39"/>
        <v>19394.01296</v>
      </c>
      <c r="AI100" s="5">
        <f t="shared" si="40"/>
        <v>22.914965189693348</v>
      </c>
      <c r="AJ100" s="5">
        <f t="shared" si="43"/>
        <v>4457827.2452700008</v>
      </c>
      <c r="AK100" s="7">
        <f t="shared" si="41"/>
        <v>0.4072649156023046</v>
      </c>
      <c r="AL100" s="17">
        <f>MIN(AC100,'What-If Analysis'!$B$2)</f>
        <v>0.10199999999999999</v>
      </c>
      <c r="AM100">
        <f>AE100*(1+'What-If Analysis'!$B$3)</f>
        <v>36.4</v>
      </c>
      <c r="AN100">
        <f>Y100*(1+'What-If Analysis'!$B$4)</f>
        <v>795.15700000000004</v>
      </c>
      <c r="AO100">
        <f t="shared" si="42"/>
        <v>1100.251152</v>
      </c>
    </row>
    <row r="101" spans="1:41" x14ac:dyDescent="0.3">
      <c r="A101" t="s">
        <v>126</v>
      </c>
      <c r="B101" s="3">
        <v>45453</v>
      </c>
      <c r="C101" s="3">
        <f t="shared" si="23"/>
        <v>45453</v>
      </c>
      <c r="D101" s="3">
        <v>45454</v>
      </c>
      <c r="E101" s="3">
        <f t="shared" si="24"/>
        <v>45454</v>
      </c>
      <c r="F101" s="16">
        <f t="shared" si="25"/>
        <v>1</v>
      </c>
      <c r="G101" s="16">
        <f>IF(Data!F111&lt;=7,1,0)</f>
        <v>1</v>
      </c>
      <c r="H101" s="5" t="str">
        <f t="shared" si="26"/>
        <v>06-2024</v>
      </c>
      <c r="I101" s="5" t="str">
        <f t="shared" si="27"/>
        <v>Q2-2024</v>
      </c>
      <c r="J101" s="3">
        <f t="shared" si="28"/>
        <v>44945</v>
      </c>
      <c r="K101" s="5" t="str">
        <f t="shared" si="29"/>
        <v>01-2023</v>
      </c>
      <c r="L101" t="s">
        <v>649</v>
      </c>
      <c r="M101" t="s">
        <v>658</v>
      </c>
      <c r="N101" t="s">
        <v>674</v>
      </c>
      <c r="O101" t="str">
        <f t="shared" si="30"/>
        <v>Birmingham</v>
      </c>
      <c r="P101" t="s">
        <v>705</v>
      </c>
      <c r="Q101" t="s">
        <v>709</v>
      </c>
      <c r="R101" t="str">
        <f t="shared" si="31"/>
        <v>Marketplace</v>
      </c>
      <c r="S101" t="s">
        <v>724</v>
      </c>
      <c r="T101" t="str">
        <f t="shared" si="44"/>
        <v>M. Rossi</v>
      </c>
      <c r="U101" t="s">
        <v>731</v>
      </c>
      <c r="V101" t="str">
        <f t="shared" si="32"/>
        <v>High</v>
      </c>
      <c r="W101" t="s">
        <v>845</v>
      </c>
      <c r="X101" t="str">
        <f t="shared" si="33"/>
        <v>A</v>
      </c>
      <c r="Y101" s="5">
        <v>1187.1300000000001</v>
      </c>
      <c r="Z101" s="5">
        <v>1795.17</v>
      </c>
      <c r="AA101" s="5">
        <f t="shared" si="34"/>
        <v>1795.17</v>
      </c>
      <c r="AB101" s="7">
        <v>1.2E-2</v>
      </c>
      <c r="AC101" s="7">
        <f t="shared" si="35"/>
        <v>1.2E-2</v>
      </c>
      <c r="AD101" s="16">
        <f t="shared" si="36"/>
        <v>0</v>
      </c>
      <c r="AE101" s="16">
        <v>17</v>
      </c>
      <c r="AF101" s="5">
        <f t="shared" si="37"/>
        <v>30151.675319999998</v>
      </c>
      <c r="AG101">
        <f t="shared" si="38"/>
        <v>20181.210000000003</v>
      </c>
      <c r="AH101" s="5">
        <f t="shared" si="39"/>
        <v>9970.4653199999957</v>
      </c>
      <c r="AI101" s="5">
        <f t="shared" si="40"/>
        <v>0.33067699271046663</v>
      </c>
      <c r="AJ101" s="5">
        <f t="shared" si="43"/>
        <v>4487978.9205900012</v>
      </c>
      <c r="AK101" s="7">
        <f t="shared" si="41"/>
        <v>0.41001955790422367</v>
      </c>
      <c r="AL101" s="17">
        <f>MIN(AC101,'What-If Analysis'!$B$2)</f>
        <v>1.2E-2</v>
      </c>
      <c r="AM101">
        <f>AE101*(1+'What-If Analysis'!$B$3)</f>
        <v>22.1</v>
      </c>
      <c r="AN101">
        <f>Y101*(1+'What-If Analysis'!$B$4)</f>
        <v>1305.8430000000003</v>
      </c>
      <c r="AO101">
        <f t="shared" si="42"/>
        <v>39197.177916000008</v>
      </c>
    </row>
    <row r="102" spans="1:41" x14ac:dyDescent="0.3">
      <c r="A102" t="s">
        <v>574</v>
      </c>
      <c r="B102" s="3">
        <v>45299</v>
      </c>
      <c r="C102" s="3">
        <f t="shared" si="23"/>
        <v>45299</v>
      </c>
      <c r="D102" s="3">
        <v>45303</v>
      </c>
      <c r="E102" s="3">
        <f t="shared" si="24"/>
        <v>45303</v>
      </c>
      <c r="F102" s="16">
        <f t="shared" si="25"/>
        <v>4</v>
      </c>
      <c r="G102" s="16">
        <f>IF(Data!F292&lt;=7,1,0)</f>
        <v>0</v>
      </c>
      <c r="H102" s="5" t="str">
        <f t="shared" si="26"/>
        <v>01-2024</v>
      </c>
      <c r="I102" s="5" t="str">
        <f t="shared" si="27"/>
        <v>Q1-2024</v>
      </c>
      <c r="J102" s="3">
        <f t="shared" si="28"/>
        <v>44955</v>
      </c>
      <c r="K102" s="5" t="str">
        <f t="shared" si="29"/>
        <v>01-2023</v>
      </c>
      <c r="L102" t="s">
        <v>647</v>
      </c>
      <c r="M102" t="s">
        <v>654</v>
      </c>
      <c r="N102" t="s">
        <v>668</v>
      </c>
      <c r="O102" t="str">
        <f t="shared" si="30"/>
        <v>Bengaluru</v>
      </c>
      <c r="P102" t="s">
        <v>701</v>
      </c>
      <c r="Q102" t="s">
        <v>711</v>
      </c>
      <c r="R102" t="str">
        <f t="shared" si="31"/>
        <v>Direct</v>
      </c>
      <c r="S102" t="s">
        <v>718</v>
      </c>
      <c r="T102" t="str">
        <f t="shared" si="44"/>
        <v>E. Garcia</v>
      </c>
      <c r="U102" t="s">
        <v>728</v>
      </c>
      <c r="V102" t="str">
        <f t="shared" si="32"/>
        <v>Low</v>
      </c>
      <c r="W102" t="s">
        <v>1292</v>
      </c>
      <c r="X102" t="str">
        <f t="shared" si="33"/>
        <v>A</v>
      </c>
      <c r="Y102" s="5">
        <v>802.32</v>
      </c>
      <c r="Z102" s="5">
        <v>602.34</v>
      </c>
      <c r="AA102" s="5">
        <f t="shared" si="34"/>
        <v>602.34</v>
      </c>
      <c r="AB102" s="7">
        <v>0.12</v>
      </c>
      <c r="AC102" s="7">
        <f t="shared" si="35"/>
        <v>0.12</v>
      </c>
      <c r="AD102" s="16">
        <f t="shared" si="36"/>
        <v>0</v>
      </c>
      <c r="AE102" s="16">
        <v>25</v>
      </c>
      <c r="AF102" s="5">
        <f t="shared" si="37"/>
        <v>13251.48</v>
      </c>
      <c r="AG102">
        <f t="shared" si="38"/>
        <v>20058</v>
      </c>
      <c r="AH102" s="5">
        <f t="shared" si="39"/>
        <v>6806.52</v>
      </c>
      <c r="AI102" s="5">
        <f t="shared" si="40"/>
        <v>0.51364224977134632</v>
      </c>
      <c r="AJ102" s="5">
        <f t="shared" si="43"/>
        <v>4501230.4005900016</v>
      </c>
      <c r="AK102" s="7">
        <f t="shared" si="41"/>
        <v>0.41123020663215099</v>
      </c>
      <c r="AL102" s="17">
        <f>MIN(AC102,'What-If Analysis'!$B$2)</f>
        <v>0.12</v>
      </c>
      <c r="AM102">
        <f>AE102*(1+'What-If Analysis'!$B$3)</f>
        <v>32.5</v>
      </c>
      <c r="AN102">
        <f>Y102*(1+'What-If Analysis'!$B$4)</f>
        <v>882.55200000000013</v>
      </c>
      <c r="AO102">
        <f t="shared" si="42"/>
        <v>17226.923999999999</v>
      </c>
    </row>
    <row r="103" spans="1:41" x14ac:dyDescent="0.3">
      <c r="A103" t="s">
        <v>292</v>
      </c>
      <c r="B103" s="3">
        <v>45459</v>
      </c>
      <c r="C103" s="3">
        <f t="shared" si="23"/>
        <v>45459</v>
      </c>
      <c r="D103" s="3">
        <v>45476</v>
      </c>
      <c r="E103" s="3">
        <f t="shared" si="24"/>
        <v>45476</v>
      </c>
      <c r="F103" s="16">
        <f t="shared" si="25"/>
        <v>17</v>
      </c>
      <c r="G103" s="16">
        <f>IF(Data!F75&lt;=7,1,0)</f>
        <v>0</v>
      </c>
      <c r="H103" s="5" t="str">
        <f t="shared" si="26"/>
        <v>06-2024</v>
      </c>
      <c r="I103" s="5" t="str">
        <f t="shared" si="27"/>
        <v>Q2-2024</v>
      </c>
      <c r="J103" s="3">
        <f t="shared" si="28"/>
        <v>44933</v>
      </c>
      <c r="K103" s="5" t="str">
        <f t="shared" si="29"/>
        <v>01-2023</v>
      </c>
      <c r="L103" t="s">
        <v>646</v>
      </c>
      <c r="M103" t="s">
        <v>661</v>
      </c>
      <c r="N103" t="s">
        <v>682</v>
      </c>
      <c r="O103" t="str">
        <f t="shared" si="30"/>
        <v>Johannesburg</v>
      </c>
      <c r="P103" t="s">
        <v>706</v>
      </c>
      <c r="Q103" t="s">
        <v>709</v>
      </c>
      <c r="R103" t="str">
        <f t="shared" si="31"/>
        <v>Marketplace</v>
      </c>
      <c r="S103" t="s">
        <v>721</v>
      </c>
      <c r="T103" t="str">
        <f t="shared" ref="T103:T134" si="45">IF(S103="",_xlfn.XLOOKUP(L103,L:L,S:S),S103)</f>
        <v>F. Müller</v>
      </c>
      <c r="U103" t="s">
        <v>730</v>
      </c>
      <c r="V103" t="str">
        <f t="shared" si="32"/>
        <v>High</v>
      </c>
      <c r="W103" t="s">
        <v>1012</v>
      </c>
      <c r="X103" t="str">
        <f t="shared" si="33"/>
        <v>A</v>
      </c>
      <c r="Y103" s="5">
        <v>1173.83</v>
      </c>
      <c r="Z103" s="5">
        <v>2328.9</v>
      </c>
      <c r="AA103" s="5">
        <f t="shared" si="34"/>
        <v>2328.9</v>
      </c>
      <c r="AB103" s="7">
        <v>0.12</v>
      </c>
      <c r="AC103" s="7">
        <f t="shared" si="35"/>
        <v>0.12</v>
      </c>
      <c r="AD103" s="16">
        <f t="shared" si="36"/>
        <v>0</v>
      </c>
      <c r="AE103" s="16">
        <v>17</v>
      </c>
      <c r="AF103" s="5">
        <f t="shared" si="37"/>
        <v>34840.344000000005</v>
      </c>
      <c r="AG103">
        <f t="shared" si="38"/>
        <v>19955.11</v>
      </c>
      <c r="AH103" s="5">
        <f t="shared" si="39"/>
        <v>14885.234000000004</v>
      </c>
      <c r="AI103" s="5">
        <f t="shared" si="40"/>
        <v>0.42724130393201637</v>
      </c>
      <c r="AJ103" s="5">
        <f t="shared" si="43"/>
        <v>4536070.7445900012</v>
      </c>
      <c r="AK103" s="7">
        <f t="shared" si="41"/>
        <v>0.4144132034101824</v>
      </c>
      <c r="AL103" s="17">
        <f>MIN(AC103,'What-If Analysis'!$B$2)</f>
        <v>0.12</v>
      </c>
      <c r="AM103">
        <f>AE103*(1+'What-If Analysis'!$B$3)</f>
        <v>22.1</v>
      </c>
      <c r="AN103">
        <f>Y103*(1+'What-If Analysis'!$B$4)</f>
        <v>1291.213</v>
      </c>
      <c r="AO103">
        <f t="shared" si="42"/>
        <v>45292.447200000002</v>
      </c>
    </row>
    <row r="104" spans="1:41" x14ac:dyDescent="0.3">
      <c r="A104" t="s">
        <v>79</v>
      </c>
      <c r="B104" s="3">
        <v>44972</v>
      </c>
      <c r="C104" s="3">
        <f t="shared" si="23"/>
        <v>44972</v>
      </c>
      <c r="D104" s="3">
        <v>44983</v>
      </c>
      <c r="E104" s="3">
        <f t="shared" si="24"/>
        <v>44983</v>
      </c>
      <c r="F104" s="16">
        <f t="shared" si="25"/>
        <v>11</v>
      </c>
      <c r="G104" s="16">
        <f>IF(Data!F137&lt;=7,1,0)</f>
        <v>0</v>
      </c>
      <c r="H104" s="5" t="str">
        <f t="shared" si="26"/>
        <v>02-2023</v>
      </c>
      <c r="I104" s="5" t="str">
        <f t="shared" si="27"/>
        <v>Q1-2023</v>
      </c>
      <c r="J104" s="3">
        <f t="shared" si="28"/>
        <v>44933</v>
      </c>
      <c r="K104" s="5" t="str">
        <f t="shared" si="29"/>
        <v>01-2023</v>
      </c>
      <c r="L104" t="s">
        <v>646</v>
      </c>
      <c r="M104" t="s">
        <v>661</v>
      </c>
      <c r="N104" t="s">
        <v>682</v>
      </c>
      <c r="O104" t="str">
        <f t="shared" si="30"/>
        <v>Johannesburg</v>
      </c>
      <c r="P104" t="s">
        <v>703</v>
      </c>
      <c r="Q104" t="s">
        <v>707</v>
      </c>
      <c r="R104" t="str">
        <f t="shared" si="31"/>
        <v>Retail</v>
      </c>
      <c r="S104" t="s">
        <v>723</v>
      </c>
      <c r="T104" t="str">
        <f t="shared" si="45"/>
        <v>K. Singh</v>
      </c>
      <c r="U104" t="s">
        <v>731</v>
      </c>
      <c r="V104" t="str">
        <f t="shared" si="32"/>
        <v>Low</v>
      </c>
      <c r="W104" t="s">
        <v>798</v>
      </c>
      <c r="X104" t="str">
        <f t="shared" si="33"/>
        <v>A</v>
      </c>
      <c r="Y104" s="5">
        <v>498.5</v>
      </c>
      <c r="Z104" s="5">
        <v>755.87</v>
      </c>
      <c r="AA104" s="5">
        <f t="shared" si="34"/>
        <v>755.87</v>
      </c>
      <c r="AB104" s="7">
        <v>0.13</v>
      </c>
      <c r="AC104" s="7">
        <f t="shared" si="35"/>
        <v>0.13</v>
      </c>
      <c r="AD104" s="16">
        <f t="shared" si="36"/>
        <v>0</v>
      </c>
      <c r="AE104" s="16">
        <v>40</v>
      </c>
      <c r="AF104" s="5">
        <f t="shared" si="37"/>
        <v>26304.275999999998</v>
      </c>
      <c r="AG104">
        <f t="shared" si="38"/>
        <v>19940</v>
      </c>
      <c r="AH104" s="5">
        <f t="shared" si="39"/>
        <v>6364.275999999998</v>
      </c>
      <c r="AI104" s="5">
        <f t="shared" si="40"/>
        <v>0.24194834330357537</v>
      </c>
      <c r="AJ104" s="5">
        <f t="shared" si="43"/>
        <v>4562375.0205900008</v>
      </c>
      <c r="AK104" s="7">
        <f t="shared" si="41"/>
        <v>0.41681634919302679</v>
      </c>
      <c r="AL104" s="17">
        <f>MIN(AC104,'What-If Analysis'!$B$2)</f>
        <v>0.13</v>
      </c>
      <c r="AM104">
        <f>AE104*(1+'What-If Analysis'!$B$3)</f>
        <v>52</v>
      </c>
      <c r="AN104">
        <f>Y104*(1+'What-If Analysis'!$B$4)</f>
        <v>548.35</v>
      </c>
      <c r="AO104">
        <f t="shared" si="42"/>
        <v>34195.558799999999</v>
      </c>
    </row>
    <row r="105" spans="1:41" x14ac:dyDescent="0.3">
      <c r="A105" t="s">
        <v>46</v>
      </c>
      <c r="B105" s="3">
        <v>44980</v>
      </c>
      <c r="C105" s="3">
        <f t="shared" si="23"/>
        <v>44980</v>
      </c>
      <c r="D105" s="3">
        <v>45010</v>
      </c>
      <c r="E105" s="3">
        <f t="shared" si="24"/>
        <v>45010</v>
      </c>
      <c r="F105" s="16">
        <f t="shared" si="25"/>
        <v>30</v>
      </c>
      <c r="G105" s="16">
        <f>IF(Data!F138&lt;=7,1,0)</f>
        <v>0</v>
      </c>
      <c r="H105" s="5" t="str">
        <f t="shared" si="26"/>
        <v>02-2023</v>
      </c>
      <c r="I105" s="5" t="str">
        <f t="shared" si="27"/>
        <v>Q1-2023</v>
      </c>
      <c r="J105" s="3">
        <f t="shared" si="28"/>
        <v>44928</v>
      </c>
      <c r="K105" s="5" t="str">
        <f t="shared" si="29"/>
        <v>01-2023</v>
      </c>
      <c r="L105" t="s">
        <v>648</v>
      </c>
      <c r="M105" t="s">
        <v>653</v>
      </c>
      <c r="N105" t="s">
        <v>681</v>
      </c>
      <c r="O105" t="str">
        <f t="shared" si="30"/>
        <v>Montreal</v>
      </c>
      <c r="P105" t="s">
        <v>706</v>
      </c>
      <c r="Q105" t="s">
        <v>708</v>
      </c>
      <c r="R105" t="str">
        <f t="shared" si="31"/>
        <v>Online</v>
      </c>
      <c r="S105" t="s">
        <v>726</v>
      </c>
      <c r="T105" t="str">
        <f t="shared" si="45"/>
        <v>D. Smith</v>
      </c>
      <c r="U105" t="s">
        <v>730</v>
      </c>
      <c r="V105" t="str">
        <f t="shared" si="32"/>
        <v>High</v>
      </c>
      <c r="W105" t="s">
        <v>765</v>
      </c>
      <c r="X105" t="str">
        <f t="shared" si="33"/>
        <v>A</v>
      </c>
      <c r="Y105" s="5">
        <v>1242.6600000000001</v>
      </c>
      <c r="Z105" s="5">
        <v>1794.07</v>
      </c>
      <c r="AA105" s="5">
        <f t="shared" si="34"/>
        <v>1794.07</v>
      </c>
      <c r="AB105" s="7">
        <v>8.8999999999999996E-2</v>
      </c>
      <c r="AC105" s="7">
        <f t="shared" si="35"/>
        <v>8.8999999999999996E-2</v>
      </c>
      <c r="AD105" s="16">
        <f t="shared" si="36"/>
        <v>0</v>
      </c>
      <c r="AE105" s="16">
        <v>16</v>
      </c>
      <c r="AF105" s="5">
        <f t="shared" si="37"/>
        <v>26150.364320000001</v>
      </c>
      <c r="AG105">
        <f t="shared" si="38"/>
        <v>19882.560000000001</v>
      </c>
      <c r="AH105" s="5">
        <f t="shared" si="39"/>
        <v>6267.8043199999993</v>
      </c>
      <c r="AI105" s="5">
        <f t="shared" si="40"/>
        <v>0.23968325042440553</v>
      </c>
      <c r="AJ105" s="5">
        <f t="shared" si="43"/>
        <v>4588525.3849100005</v>
      </c>
      <c r="AK105" s="7">
        <f t="shared" si="41"/>
        <v>0.41920543368010615</v>
      </c>
      <c r="AL105" s="17">
        <f>MIN(AC105,'What-If Analysis'!$B$2)</f>
        <v>8.8999999999999996E-2</v>
      </c>
      <c r="AM105">
        <f>AE105*(1+'What-If Analysis'!$B$3)</f>
        <v>20.8</v>
      </c>
      <c r="AN105">
        <f>Y105*(1+'What-If Analysis'!$B$4)</f>
        <v>1366.9260000000002</v>
      </c>
      <c r="AO105">
        <f t="shared" si="42"/>
        <v>33995.473616000003</v>
      </c>
    </row>
    <row r="106" spans="1:41" x14ac:dyDescent="0.3">
      <c r="A106" t="s">
        <v>601</v>
      </c>
      <c r="B106" s="3">
        <v>45364</v>
      </c>
      <c r="C106" s="3">
        <f t="shared" si="23"/>
        <v>45364</v>
      </c>
      <c r="D106" s="3">
        <v>45388</v>
      </c>
      <c r="E106" s="3">
        <f t="shared" si="24"/>
        <v>45388</v>
      </c>
      <c r="F106" s="16">
        <f t="shared" si="25"/>
        <v>24</v>
      </c>
      <c r="G106" s="16">
        <f>IF(Data!F152&lt;=7,1,0)</f>
        <v>0</v>
      </c>
      <c r="H106" s="5" t="str">
        <f t="shared" si="26"/>
        <v>03-2024</v>
      </c>
      <c r="I106" s="5" t="str">
        <f t="shared" si="27"/>
        <v>Q1-2024</v>
      </c>
      <c r="J106" s="3">
        <f t="shared" si="28"/>
        <v>44939</v>
      </c>
      <c r="K106" s="5" t="str">
        <f t="shared" si="29"/>
        <v>01-2023</v>
      </c>
      <c r="L106" t="s">
        <v>646</v>
      </c>
      <c r="M106" t="s">
        <v>651</v>
      </c>
      <c r="N106" t="s">
        <v>669</v>
      </c>
      <c r="O106" t="str">
        <f t="shared" si="30"/>
        <v>Abuja</v>
      </c>
      <c r="P106" t="s">
        <v>704</v>
      </c>
      <c r="Q106" t="s">
        <v>710</v>
      </c>
      <c r="R106" t="str">
        <f t="shared" si="31"/>
        <v>Distributor</v>
      </c>
      <c r="S106" t="s">
        <v>716</v>
      </c>
      <c r="T106" t="str">
        <f t="shared" si="45"/>
        <v>L. Okafor</v>
      </c>
      <c r="U106" t="s">
        <v>727</v>
      </c>
      <c r="V106" t="str">
        <f t="shared" si="32"/>
        <v>High</v>
      </c>
      <c r="W106" t="s">
        <v>1319</v>
      </c>
      <c r="X106" t="str">
        <f t="shared" si="33"/>
        <v>A</v>
      </c>
      <c r="Y106" s="5">
        <v>1232.78</v>
      </c>
      <c r="Z106" s="5">
        <v>1731.75</v>
      </c>
      <c r="AA106" s="5">
        <f t="shared" si="34"/>
        <v>1731.75</v>
      </c>
      <c r="AB106" s="7">
        <v>9.2999999999999999E-2</v>
      </c>
      <c r="AC106" s="7">
        <f t="shared" si="35"/>
        <v>9.2999999999999999E-2</v>
      </c>
      <c r="AD106" s="16">
        <f t="shared" si="36"/>
        <v>0</v>
      </c>
      <c r="AE106" s="16">
        <v>16</v>
      </c>
      <c r="AF106" s="5">
        <f t="shared" si="37"/>
        <v>25131.155999999999</v>
      </c>
      <c r="AG106">
        <f t="shared" si="38"/>
        <v>19724.48</v>
      </c>
      <c r="AH106" s="5">
        <f t="shared" si="39"/>
        <v>5406.6759999999995</v>
      </c>
      <c r="AI106" s="5">
        <f t="shared" si="40"/>
        <v>0.21513837246484005</v>
      </c>
      <c r="AJ106" s="5">
        <f t="shared" si="43"/>
        <v>4613656.5409100009</v>
      </c>
      <c r="AK106" s="7">
        <f t="shared" si="41"/>
        <v>0.42150140379384005</v>
      </c>
      <c r="AL106" s="17">
        <f>MIN(AC106,'What-If Analysis'!$B$2)</f>
        <v>9.2999999999999999E-2</v>
      </c>
      <c r="AM106">
        <f>AE106*(1+'What-If Analysis'!$B$3)</f>
        <v>20.8</v>
      </c>
      <c r="AN106">
        <f>Y106*(1+'What-If Analysis'!$B$4)</f>
        <v>1356.058</v>
      </c>
      <c r="AO106">
        <f t="shared" si="42"/>
        <v>32670.502800000002</v>
      </c>
    </row>
    <row r="107" spans="1:41" x14ac:dyDescent="0.3">
      <c r="A107" t="s">
        <v>32</v>
      </c>
      <c r="B107" s="3">
        <v>45908</v>
      </c>
      <c r="C107" s="3">
        <f t="shared" si="23"/>
        <v>45908</v>
      </c>
      <c r="D107" s="3">
        <v>45916</v>
      </c>
      <c r="E107" s="3">
        <f t="shared" si="24"/>
        <v>45916</v>
      </c>
      <c r="F107" s="16">
        <f t="shared" si="25"/>
        <v>8</v>
      </c>
      <c r="G107" s="16">
        <f>IF(Data!F73&lt;=7,1,0)</f>
        <v>0</v>
      </c>
      <c r="H107" s="5" t="str">
        <f t="shared" si="26"/>
        <v>09-2025</v>
      </c>
      <c r="I107" s="5" t="str">
        <f t="shared" si="27"/>
        <v>Q3-2025</v>
      </c>
      <c r="J107" s="3">
        <f t="shared" si="28"/>
        <v>44988</v>
      </c>
      <c r="K107" s="5" t="str">
        <f t="shared" si="29"/>
        <v>03-2023</v>
      </c>
      <c r="L107" t="s">
        <v>647</v>
      </c>
      <c r="M107" t="s">
        <v>652</v>
      </c>
      <c r="N107" t="s">
        <v>666</v>
      </c>
      <c r="O107" t="str">
        <f t="shared" si="30"/>
        <v>Osaka</v>
      </c>
      <c r="P107" t="s">
        <v>701</v>
      </c>
      <c r="Q107" t="s">
        <v>710</v>
      </c>
      <c r="R107" t="str">
        <f t="shared" si="31"/>
        <v>Distributor</v>
      </c>
      <c r="S107" t="s">
        <v>712</v>
      </c>
      <c r="T107" t="str">
        <f t="shared" si="45"/>
        <v>C. Otieno</v>
      </c>
      <c r="U107" t="s">
        <v>730</v>
      </c>
      <c r="V107" t="str">
        <f t="shared" si="32"/>
        <v>High</v>
      </c>
      <c r="W107" t="s">
        <v>751</v>
      </c>
      <c r="X107" t="str">
        <f t="shared" si="33"/>
        <v>A</v>
      </c>
      <c r="Y107" s="5">
        <v>1225.57</v>
      </c>
      <c r="Z107" s="5">
        <v>2705.57</v>
      </c>
      <c r="AA107" s="5">
        <f t="shared" si="34"/>
        <v>2705.57</v>
      </c>
      <c r="AB107" s="7">
        <v>0.183</v>
      </c>
      <c r="AC107" s="7">
        <f t="shared" si="35"/>
        <v>0.183</v>
      </c>
      <c r="AD107" s="16">
        <f t="shared" si="36"/>
        <v>0</v>
      </c>
      <c r="AE107" s="16">
        <v>16</v>
      </c>
      <c r="AF107" s="5">
        <f t="shared" si="37"/>
        <v>35367.211040000002</v>
      </c>
      <c r="AG107">
        <f t="shared" si="38"/>
        <v>19609.12</v>
      </c>
      <c r="AH107" s="5">
        <f t="shared" si="39"/>
        <v>15758.091040000003</v>
      </c>
      <c r="AI107" s="5">
        <f t="shared" si="40"/>
        <v>0.44555650775453404</v>
      </c>
      <c r="AJ107" s="5">
        <f t="shared" si="43"/>
        <v>4649023.7519500013</v>
      </c>
      <c r="AK107" s="7">
        <f t="shared" si="41"/>
        <v>0.42473253488681317</v>
      </c>
      <c r="AL107" s="17">
        <f>MIN(AC107,'What-If Analysis'!$B$2)</f>
        <v>0.183</v>
      </c>
      <c r="AM107">
        <f>AE107*(1+'What-If Analysis'!$B$3)</f>
        <v>20.8</v>
      </c>
      <c r="AN107">
        <f>Y107*(1+'What-If Analysis'!$B$4)</f>
        <v>1348.127</v>
      </c>
      <c r="AO107">
        <f t="shared" si="42"/>
        <v>45977.374352000006</v>
      </c>
    </row>
    <row r="108" spans="1:41" x14ac:dyDescent="0.3">
      <c r="A108" t="s">
        <v>57</v>
      </c>
      <c r="B108" s="3">
        <v>45590</v>
      </c>
      <c r="C108" s="3">
        <f t="shared" si="23"/>
        <v>45590</v>
      </c>
      <c r="D108" s="3">
        <v>45610</v>
      </c>
      <c r="E108" s="3">
        <f t="shared" si="24"/>
        <v>45610</v>
      </c>
      <c r="F108" s="16">
        <f t="shared" si="25"/>
        <v>20</v>
      </c>
      <c r="G108" s="16">
        <f>IF(Data!F102&lt;=7,1,0)</f>
        <v>1</v>
      </c>
      <c r="H108" s="5" t="str">
        <f t="shared" si="26"/>
        <v>10-2024</v>
      </c>
      <c r="I108" s="5" t="str">
        <f t="shared" si="27"/>
        <v>Q4-2024</v>
      </c>
      <c r="J108" s="3">
        <f t="shared" si="28"/>
        <v>44946</v>
      </c>
      <c r="K108" s="5" t="str">
        <f t="shared" si="29"/>
        <v>01-2023</v>
      </c>
      <c r="L108" t="s">
        <v>646</v>
      </c>
      <c r="M108" t="s">
        <v>650</v>
      </c>
      <c r="N108" t="s">
        <v>675</v>
      </c>
      <c r="O108" t="str">
        <f t="shared" si="30"/>
        <v>Mombasa</v>
      </c>
      <c r="P108" t="s">
        <v>701</v>
      </c>
      <c r="Q108" t="s">
        <v>711</v>
      </c>
      <c r="R108" t="str">
        <f t="shared" si="31"/>
        <v>Direct</v>
      </c>
      <c r="S108" t="s">
        <v>722</v>
      </c>
      <c r="T108" t="str">
        <f t="shared" si="45"/>
        <v>H. Kim</v>
      </c>
      <c r="U108" t="s">
        <v>728</v>
      </c>
      <c r="V108" t="str">
        <f t="shared" si="32"/>
        <v>High</v>
      </c>
      <c r="W108" t="s">
        <v>776</v>
      </c>
      <c r="X108" t="str">
        <f t="shared" si="33"/>
        <v>A</v>
      </c>
      <c r="Y108" s="5">
        <v>1396.48</v>
      </c>
      <c r="Z108" s="5">
        <v>3204.5</v>
      </c>
      <c r="AA108" s="5">
        <f t="shared" si="34"/>
        <v>3204.5</v>
      </c>
      <c r="AB108" s="7">
        <v>0.318</v>
      </c>
      <c r="AC108" s="7">
        <f t="shared" si="35"/>
        <v>0.3</v>
      </c>
      <c r="AD108" s="16">
        <f t="shared" si="36"/>
        <v>1</v>
      </c>
      <c r="AE108" s="16">
        <v>14</v>
      </c>
      <c r="AF108" s="5">
        <f t="shared" si="37"/>
        <v>31404.1</v>
      </c>
      <c r="AG108">
        <f t="shared" si="38"/>
        <v>19550.72</v>
      </c>
      <c r="AH108" s="5">
        <f t="shared" si="39"/>
        <v>11853.379999999997</v>
      </c>
      <c r="AI108" s="5">
        <f t="shared" si="40"/>
        <v>0.3774468938769141</v>
      </c>
      <c r="AJ108" s="5">
        <f t="shared" si="43"/>
        <v>4680427.851950001</v>
      </c>
      <c r="AK108" s="7">
        <f t="shared" si="41"/>
        <v>0.42760159809459825</v>
      </c>
      <c r="AL108" s="17">
        <f>MIN(AC108,'What-If Analysis'!$B$2)</f>
        <v>0.2</v>
      </c>
      <c r="AM108">
        <f>AE108*(1+'What-If Analysis'!$B$3)</f>
        <v>18.2</v>
      </c>
      <c r="AN108">
        <f>Y108*(1+'What-If Analysis'!$B$4)</f>
        <v>1536.1280000000002</v>
      </c>
      <c r="AO108">
        <f t="shared" si="42"/>
        <v>46657.52</v>
      </c>
    </row>
    <row r="109" spans="1:41" x14ac:dyDescent="0.3">
      <c r="A109" t="s">
        <v>110</v>
      </c>
      <c r="B109" s="3">
        <v>45022</v>
      </c>
      <c r="C109" s="3">
        <f t="shared" si="23"/>
        <v>45022</v>
      </c>
      <c r="D109" s="3">
        <v>45043</v>
      </c>
      <c r="E109" s="3">
        <f t="shared" si="24"/>
        <v>45043</v>
      </c>
      <c r="F109" s="16">
        <f t="shared" si="25"/>
        <v>21</v>
      </c>
      <c r="G109" s="16">
        <f>IF(Data!F43&lt;=7,1,0)</f>
        <v>0</v>
      </c>
      <c r="H109" s="5" t="str">
        <f t="shared" si="26"/>
        <v>04-2023</v>
      </c>
      <c r="I109" s="5" t="str">
        <f t="shared" si="27"/>
        <v>Q2-2023</v>
      </c>
      <c r="J109" s="3">
        <f t="shared" si="28"/>
        <v>44945</v>
      </c>
      <c r="K109" s="5" t="str">
        <f t="shared" si="29"/>
        <v>01-2023</v>
      </c>
      <c r="L109" t="s">
        <v>649</v>
      </c>
      <c r="M109" t="s">
        <v>658</v>
      </c>
      <c r="N109" t="s">
        <v>693</v>
      </c>
      <c r="O109" t="str">
        <f t="shared" si="30"/>
        <v>Manchester</v>
      </c>
      <c r="P109" t="s">
        <v>706</v>
      </c>
      <c r="Q109" t="s">
        <v>710</v>
      </c>
      <c r="R109" t="str">
        <f t="shared" si="31"/>
        <v>Distributor</v>
      </c>
      <c r="S109" t="s">
        <v>714</v>
      </c>
      <c r="T109" t="str">
        <f t="shared" si="45"/>
        <v>I. Johnson</v>
      </c>
      <c r="U109" t="s">
        <v>728</v>
      </c>
      <c r="V109" t="str">
        <f t="shared" si="32"/>
        <v>High</v>
      </c>
      <c r="W109" t="s">
        <v>829</v>
      </c>
      <c r="X109" t="str">
        <f t="shared" si="33"/>
        <v>A</v>
      </c>
      <c r="Y109" s="5">
        <v>1084.79</v>
      </c>
      <c r="Z109" s="5">
        <v>2484.9899999999998</v>
      </c>
      <c r="AA109" s="5">
        <f t="shared" si="34"/>
        <v>2484.9899999999998</v>
      </c>
      <c r="AB109" s="7">
        <v>3.4000000000000002E-2</v>
      </c>
      <c r="AC109" s="7">
        <f t="shared" si="35"/>
        <v>3.4000000000000002E-2</v>
      </c>
      <c r="AD109" s="16">
        <f t="shared" si="36"/>
        <v>0</v>
      </c>
      <c r="AE109" s="16">
        <v>18</v>
      </c>
      <c r="AF109" s="5">
        <f t="shared" si="37"/>
        <v>43209.006119999991</v>
      </c>
      <c r="AG109">
        <f t="shared" si="38"/>
        <v>19526.22</v>
      </c>
      <c r="AH109" s="5">
        <f t="shared" si="39"/>
        <v>23682.78611999999</v>
      </c>
      <c r="AI109" s="5">
        <f t="shared" si="40"/>
        <v>0.54809837685755114</v>
      </c>
      <c r="AJ109" s="5">
        <f t="shared" si="43"/>
        <v>4723636.858070001</v>
      </c>
      <c r="AK109" s="7">
        <f t="shared" si="41"/>
        <v>0.4315491517485433</v>
      </c>
      <c r="AL109" s="17">
        <f>MIN(AC109,'What-If Analysis'!$B$2)</f>
        <v>3.4000000000000002E-2</v>
      </c>
      <c r="AM109">
        <f>AE109*(1+'What-If Analysis'!$B$3)</f>
        <v>23.400000000000002</v>
      </c>
      <c r="AN109">
        <f>Y109*(1+'What-If Analysis'!$B$4)</f>
        <v>1193.269</v>
      </c>
      <c r="AO109">
        <f t="shared" si="42"/>
        <v>56171.707955999998</v>
      </c>
    </row>
    <row r="110" spans="1:41" x14ac:dyDescent="0.3">
      <c r="A110" t="s">
        <v>494</v>
      </c>
      <c r="B110" s="3">
        <v>45293</v>
      </c>
      <c r="C110" s="3">
        <f t="shared" si="23"/>
        <v>45293</v>
      </c>
      <c r="D110" s="3">
        <v>45306</v>
      </c>
      <c r="E110" s="3">
        <f t="shared" si="24"/>
        <v>45306</v>
      </c>
      <c r="F110" s="16">
        <f t="shared" si="25"/>
        <v>13</v>
      </c>
      <c r="G110" s="16">
        <f>IF(Data!F53&lt;=7,1,0)</f>
        <v>0</v>
      </c>
      <c r="H110" s="5" t="str">
        <f t="shared" si="26"/>
        <v>01-2024</v>
      </c>
      <c r="I110" s="5" t="str">
        <f t="shared" si="27"/>
        <v>Q1-2024</v>
      </c>
      <c r="J110" s="3">
        <f t="shared" si="28"/>
        <v>44988</v>
      </c>
      <c r="K110" s="5" t="str">
        <f t="shared" si="29"/>
        <v>03-2023</v>
      </c>
      <c r="L110" t="s">
        <v>647</v>
      </c>
      <c r="M110" t="s">
        <v>652</v>
      </c>
      <c r="N110" t="s">
        <v>694</v>
      </c>
      <c r="O110" t="str">
        <f t="shared" si="30"/>
        <v>Nagoya</v>
      </c>
      <c r="P110" t="s">
        <v>705</v>
      </c>
      <c r="Q110" t="s">
        <v>709</v>
      </c>
      <c r="R110" t="str">
        <f t="shared" si="31"/>
        <v>Marketplace</v>
      </c>
      <c r="S110" t="s">
        <v>715</v>
      </c>
      <c r="T110" t="str">
        <f t="shared" si="45"/>
        <v>G. Dubois</v>
      </c>
      <c r="U110" t="s">
        <v>729</v>
      </c>
      <c r="V110" t="str">
        <f t="shared" si="32"/>
        <v>High</v>
      </c>
      <c r="W110" t="s">
        <v>1213</v>
      </c>
      <c r="X110" t="str">
        <f t="shared" si="33"/>
        <v>A</v>
      </c>
      <c r="Y110" s="5">
        <v>1219.06</v>
      </c>
      <c r="Z110" s="5">
        <v>2738.69</v>
      </c>
      <c r="AA110" s="5">
        <f t="shared" si="34"/>
        <v>2738.69</v>
      </c>
      <c r="AB110" s="7">
        <v>7.5999999999999998E-2</v>
      </c>
      <c r="AC110" s="7">
        <f t="shared" si="35"/>
        <v>7.5999999999999998E-2</v>
      </c>
      <c r="AD110" s="16">
        <f t="shared" si="36"/>
        <v>0</v>
      </c>
      <c r="AE110" s="16">
        <v>16</v>
      </c>
      <c r="AF110" s="5">
        <f t="shared" si="37"/>
        <v>40488.792960000006</v>
      </c>
      <c r="AG110">
        <f t="shared" si="38"/>
        <v>19504.96</v>
      </c>
      <c r="AH110" s="5">
        <f t="shared" si="39"/>
        <v>20983.832960000007</v>
      </c>
      <c r="AI110" s="5">
        <f t="shared" si="40"/>
        <v>0.51826274447673737</v>
      </c>
      <c r="AJ110" s="5">
        <f t="shared" si="43"/>
        <v>4764125.6510300012</v>
      </c>
      <c r="AK110" s="7">
        <f t="shared" si="41"/>
        <v>0.43524818805938059</v>
      </c>
      <c r="AL110" s="17">
        <f>MIN(AC110,'What-If Analysis'!$B$2)</f>
        <v>7.5999999999999998E-2</v>
      </c>
      <c r="AM110">
        <f>AE110*(1+'What-If Analysis'!$B$3)</f>
        <v>20.8</v>
      </c>
      <c r="AN110">
        <f>Y110*(1+'What-If Analysis'!$B$4)</f>
        <v>1340.9660000000001</v>
      </c>
      <c r="AO110">
        <f t="shared" si="42"/>
        <v>52635.430848000004</v>
      </c>
    </row>
    <row r="111" spans="1:41" x14ac:dyDescent="0.3">
      <c r="A111" t="s">
        <v>617</v>
      </c>
      <c r="B111" s="3">
        <v>45793</v>
      </c>
      <c r="C111" s="3">
        <f t="shared" si="23"/>
        <v>45793</v>
      </c>
      <c r="D111" s="3">
        <v>45795</v>
      </c>
      <c r="E111" s="3">
        <f t="shared" si="24"/>
        <v>45795</v>
      </c>
      <c r="F111" s="16">
        <f t="shared" si="25"/>
        <v>2</v>
      </c>
      <c r="G111" s="16">
        <f>IF(Data!F57&lt;=7,1,0)</f>
        <v>0</v>
      </c>
      <c r="H111" s="5" t="str">
        <f t="shared" si="26"/>
        <v>05-2025</v>
      </c>
      <c r="I111" s="5" t="str">
        <f t="shared" si="27"/>
        <v>Q2-2025</v>
      </c>
      <c r="J111" s="3">
        <f t="shared" si="28"/>
        <v>44988</v>
      </c>
      <c r="K111" s="5" t="str">
        <f t="shared" si="29"/>
        <v>03-2023</v>
      </c>
      <c r="L111" t="s">
        <v>647</v>
      </c>
      <c r="M111" t="s">
        <v>652</v>
      </c>
      <c r="N111" t="s">
        <v>689</v>
      </c>
      <c r="O111" t="str">
        <f t="shared" si="30"/>
        <v>Tokyo</v>
      </c>
      <c r="P111" t="s">
        <v>706</v>
      </c>
      <c r="Q111" t="s">
        <v>707</v>
      </c>
      <c r="R111" t="str">
        <f t="shared" si="31"/>
        <v>Retail</v>
      </c>
      <c r="S111" t="s">
        <v>713</v>
      </c>
      <c r="T111" t="str">
        <f t="shared" si="45"/>
        <v>J. Njeri</v>
      </c>
      <c r="U111" t="s">
        <v>728</v>
      </c>
      <c r="V111" t="str">
        <f t="shared" si="32"/>
        <v>High</v>
      </c>
      <c r="W111" t="s">
        <v>1335</v>
      </c>
      <c r="X111" t="str">
        <f t="shared" si="33"/>
        <v>A</v>
      </c>
      <c r="Y111" s="5">
        <v>1144.3800000000001</v>
      </c>
      <c r="Z111" s="5">
        <v>2755.04</v>
      </c>
      <c r="AA111" s="5">
        <f t="shared" si="34"/>
        <v>2755.04</v>
      </c>
      <c r="AB111" s="7">
        <v>0.15</v>
      </c>
      <c r="AC111" s="7">
        <f t="shared" si="35"/>
        <v>0.15</v>
      </c>
      <c r="AD111" s="16">
        <f t="shared" si="36"/>
        <v>0</v>
      </c>
      <c r="AE111" s="16">
        <v>17</v>
      </c>
      <c r="AF111" s="5">
        <f t="shared" si="37"/>
        <v>39810.328000000001</v>
      </c>
      <c r="AG111">
        <f t="shared" si="38"/>
        <v>19454.460000000003</v>
      </c>
      <c r="AH111" s="5">
        <f t="shared" si="39"/>
        <v>20355.867999999999</v>
      </c>
      <c r="AI111" s="5">
        <f t="shared" si="40"/>
        <v>0.51132128326096682</v>
      </c>
      <c r="AJ111" s="5">
        <f t="shared" si="43"/>
        <v>4803935.979030001</v>
      </c>
      <c r="AK111" s="7">
        <f t="shared" si="41"/>
        <v>0.43888524014349251</v>
      </c>
      <c r="AL111" s="17">
        <f>MIN(AC111,'What-If Analysis'!$B$2)</f>
        <v>0.15</v>
      </c>
      <c r="AM111">
        <f>AE111*(1+'What-If Analysis'!$B$3)</f>
        <v>22.1</v>
      </c>
      <c r="AN111">
        <f>Y111*(1+'What-If Analysis'!$B$4)</f>
        <v>1258.8180000000002</v>
      </c>
      <c r="AO111">
        <f t="shared" si="42"/>
        <v>51753.426400000004</v>
      </c>
    </row>
    <row r="112" spans="1:41" x14ac:dyDescent="0.3">
      <c r="A112" t="s">
        <v>496</v>
      </c>
      <c r="B112" s="3">
        <v>45899</v>
      </c>
      <c r="C112" s="3">
        <f t="shared" si="23"/>
        <v>45899</v>
      </c>
      <c r="D112" s="3">
        <v>45903</v>
      </c>
      <c r="E112" s="3">
        <f t="shared" si="24"/>
        <v>45903</v>
      </c>
      <c r="F112" s="16">
        <f t="shared" si="25"/>
        <v>4</v>
      </c>
      <c r="G112" s="16">
        <f>IF(Data!F69&lt;=7,1,0)</f>
        <v>0</v>
      </c>
      <c r="H112" s="5" t="str">
        <f t="shared" si="26"/>
        <v>08-2025</v>
      </c>
      <c r="I112" s="5" t="str">
        <f t="shared" si="27"/>
        <v>Q3-2025</v>
      </c>
      <c r="J112" s="3">
        <f t="shared" si="28"/>
        <v>44936</v>
      </c>
      <c r="K112" s="5" t="str">
        <f t="shared" si="29"/>
        <v>01-2023</v>
      </c>
      <c r="L112" t="s">
        <v>649</v>
      </c>
      <c r="M112" t="s">
        <v>657</v>
      </c>
      <c r="N112" t="s">
        <v>673</v>
      </c>
      <c r="O112" t="str">
        <f t="shared" si="30"/>
        <v>Marseille</v>
      </c>
      <c r="P112" t="s">
        <v>705</v>
      </c>
      <c r="Q112" t="s">
        <v>709</v>
      </c>
      <c r="R112" t="str">
        <f t="shared" si="31"/>
        <v>Marketplace</v>
      </c>
      <c r="S112" t="s">
        <v>713</v>
      </c>
      <c r="T112" t="str">
        <f t="shared" si="45"/>
        <v>J. Njeri</v>
      </c>
      <c r="U112" t="s">
        <v>731</v>
      </c>
      <c r="V112" t="str">
        <f t="shared" si="32"/>
        <v>High</v>
      </c>
      <c r="W112" t="s">
        <v>1215</v>
      </c>
      <c r="X112" t="str">
        <f t="shared" si="33"/>
        <v>A</v>
      </c>
      <c r="Y112" s="5">
        <v>1286.56</v>
      </c>
      <c r="Z112" s="5">
        <v>2777.35</v>
      </c>
      <c r="AA112" s="5">
        <f t="shared" si="34"/>
        <v>2777.35</v>
      </c>
      <c r="AB112" s="7">
        <v>0.13200000000000001</v>
      </c>
      <c r="AC112" s="7">
        <f t="shared" si="35"/>
        <v>0.13200000000000001</v>
      </c>
      <c r="AD112" s="16">
        <f t="shared" si="36"/>
        <v>0</v>
      </c>
      <c r="AE112" s="16">
        <v>15</v>
      </c>
      <c r="AF112" s="5">
        <f t="shared" si="37"/>
        <v>36161.097000000002</v>
      </c>
      <c r="AG112">
        <f t="shared" si="38"/>
        <v>19298.399999999998</v>
      </c>
      <c r="AH112" s="5">
        <f t="shared" si="39"/>
        <v>16862.697000000004</v>
      </c>
      <c r="AI112" s="5">
        <f t="shared" si="40"/>
        <v>0.46632150014696744</v>
      </c>
      <c r="AJ112" s="5">
        <f t="shared" si="43"/>
        <v>4840097.076030001</v>
      </c>
      <c r="AK112" s="7">
        <f t="shared" si="41"/>
        <v>0.44218890026926744</v>
      </c>
      <c r="AL112" s="17">
        <f>MIN(AC112,'What-If Analysis'!$B$2)</f>
        <v>0.13200000000000001</v>
      </c>
      <c r="AM112">
        <f>AE112*(1+'What-If Analysis'!$B$3)</f>
        <v>19.5</v>
      </c>
      <c r="AN112">
        <f>Y112*(1+'What-If Analysis'!$B$4)</f>
        <v>1415.2160000000001</v>
      </c>
      <c r="AO112">
        <f t="shared" si="42"/>
        <v>47009.426099999997</v>
      </c>
    </row>
    <row r="113" spans="1:41" x14ac:dyDescent="0.3">
      <c r="A113" t="s">
        <v>643</v>
      </c>
      <c r="B113" s="3">
        <v>45267</v>
      </c>
      <c r="C113" s="3">
        <f t="shared" si="23"/>
        <v>45267</v>
      </c>
      <c r="D113" s="3">
        <v>45293</v>
      </c>
      <c r="E113" s="3">
        <f t="shared" si="24"/>
        <v>45293</v>
      </c>
      <c r="F113" s="16">
        <f t="shared" si="25"/>
        <v>26</v>
      </c>
      <c r="G113" s="16">
        <f>IF(Data!F54&lt;=7,1,0)</f>
        <v>0</v>
      </c>
      <c r="H113" s="5" t="str">
        <f t="shared" si="26"/>
        <v>12-2023</v>
      </c>
      <c r="I113" s="5" t="str">
        <f t="shared" si="27"/>
        <v>Q4-2023</v>
      </c>
      <c r="J113" s="3">
        <f t="shared" si="28"/>
        <v>44947</v>
      </c>
      <c r="K113" s="5" t="str">
        <f t="shared" si="29"/>
        <v>01-2023</v>
      </c>
      <c r="L113" t="s">
        <v>649</v>
      </c>
      <c r="M113" t="s">
        <v>656</v>
      </c>
      <c r="N113" t="s">
        <v>698</v>
      </c>
      <c r="O113" t="str">
        <f t="shared" si="30"/>
        <v>Frankfurt</v>
      </c>
      <c r="P113" t="s">
        <v>706</v>
      </c>
      <c r="Q113" t="s">
        <v>710</v>
      </c>
      <c r="R113" t="str">
        <f t="shared" si="31"/>
        <v>Distributor</v>
      </c>
      <c r="S113" t="s">
        <v>718</v>
      </c>
      <c r="T113" t="str">
        <f t="shared" si="45"/>
        <v>E. Garcia</v>
      </c>
      <c r="U113" t="s">
        <v>727</v>
      </c>
      <c r="V113" t="str">
        <f t="shared" si="32"/>
        <v>High</v>
      </c>
      <c r="W113" t="s">
        <v>1361</v>
      </c>
      <c r="X113" t="str">
        <f t="shared" si="33"/>
        <v>A</v>
      </c>
      <c r="Y113" s="5">
        <v>1071.99</v>
      </c>
      <c r="Z113" s="5">
        <v>2397.3000000000002</v>
      </c>
      <c r="AA113" s="5">
        <f t="shared" si="34"/>
        <v>2397.3000000000002</v>
      </c>
      <c r="AB113" s="7">
        <v>6.2E-2</v>
      </c>
      <c r="AC113" s="7">
        <f t="shared" si="35"/>
        <v>6.2E-2</v>
      </c>
      <c r="AD113" s="16">
        <f t="shared" si="36"/>
        <v>0</v>
      </c>
      <c r="AE113" s="16">
        <v>18</v>
      </c>
      <c r="AF113" s="5">
        <f t="shared" si="37"/>
        <v>40476.013200000001</v>
      </c>
      <c r="AG113">
        <f t="shared" si="38"/>
        <v>19295.82</v>
      </c>
      <c r="AH113" s="5">
        <f t="shared" si="39"/>
        <v>21180.193200000002</v>
      </c>
      <c r="AI113" s="5">
        <f t="shared" si="40"/>
        <v>0.52327765324476183</v>
      </c>
      <c r="AJ113" s="5">
        <f t="shared" si="43"/>
        <v>4880573.089230001</v>
      </c>
      <c r="AK113" s="7">
        <f t="shared" si="41"/>
        <v>0.4458867690274852</v>
      </c>
      <c r="AL113" s="17">
        <f>MIN(AC113,'What-If Analysis'!$B$2)</f>
        <v>6.2E-2</v>
      </c>
      <c r="AM113">
        <f>AE113*(1+'What-If Analysis'!$B$3)</f>
        <v>23.400000000000002</v>
      </c>
      <c r="AN113">
        <f>Y113*(1+'What-If Analysis'!$B$4)</f>
        <v>1179.1890000000001</v>
      </c>
      <c r="AO113">
        <f t="shared" si="42"/>
        <v>52618.817160000006</v>
      </c>
    </row>
    <row r="114" spans="1:41" x14ac:dyDescent="0.3">
      <c r="A114" t="s">
        <v>34</v>
      </c>
      <c r="B114" s="3">
        <v>45798</v>
      </c>
      <c r="C114" s="3">
        <f t="shared" si="23"/>
        <v>45796</v>
      </c>
      <c r="D114" s="3">
        <v>45796</v>
      </c>
      <c r="E114" s="3">
        <f t="shared" si="24"/>
        <v>45798</v>
      </c>
      <c r="F114" s="16">
        <f t="shared" si="25"/>
        <v>2</v>
      </c>
      <c r="G114" s="16">
        <f>IF(Data!F61&lt;=7,1,0)</f>
        <v>1</v>
      </c>
      <c r="H114" s="5" t="str">
        <f t="shared" si="26"/>
        <v>05-2025</v>
      </c>
      <c r="I114" s="5" t="str">
        <f t="shared" si="27"/>
        <v>Q2-2025</v>
      </c>
      <c r="J114" s="3">
        <f t="shared" si="28"/>
        <v>44945</v>
      </c>
      <c r="K114" s="5" t="str">
        <f t="shared" si="29"/>
        <v>01-2023</v>
      </c>
      <c r="L114" t="s">
        <v>649</v>
      </c>
      <c r="M114" t="s">
        <v>658</v>
      </c>
      <c r="N114" t="s">
        <v>674</v>
      </c>
      <c r="O114" t="str">
        <f t="shared" si="30"/>
        <v>Birmingham</v>
      </c>
      <c r="P114" t="s">
        <v>706</v>
      </c>
      <c r="Q114" t="s">
        <v>708</v>
      </c>
      <c r="R114" t="str">
        <f t="shared" si="31"/>
        <v>Online</v>
      </c>
      <c r="S114" t="s">
        <v>724</v>
      </c>
      <c r="T114" t="str">
        <f t="shared" si="45"/>
        <v>M. Rossi</v>
      </c>
      <c r="U114" t="s">
        <v>731</v>
      </c>
      <c r="V114" t="str">
        <f t="shared" si="32"/>
        <v>High</v>
      </c>
      <c r="W114" t="s">
        <v>753</v>
      </c>
      <c r="X114" t="str">
        <f t="shared" si="33"/>
        <v>A</v>
      </c>
      <c r="Y114" s="5">
        <v>1015.16</v>
      </c>
      <c r="Z114" s="5">
        <v>2148.14</v>
      </c>
      <c r="AA114" s="5">
        <f t="shared" si="34"/>
        <v>2148.14</v>
      </c>
      <c r="AB114" s="7">
        <v>3.7999999999999999E-2</v>
      </c>
      <c r="AC114" s="7">
        <f t="shared" si="35"/>
        <v>3.7999999999999999E-2</v>
      </c>
      <c r="AD114" s="16">
        <f t="shared" si="36"/>
        <v>0</v>
      </c>
      <c r="AE114" s="16">
        <v>19</v>
      </c>
      <c r="AF114" s="5">
        <f t="shared" si="37"/>
        <v>39263.702919999996</v>
      </c>
      <c r="AG114">
        <f t="shared" si="38"/>
        <v>19288.04</v>
      </c>
      <c r="AH114" s="5">
        <f t="shared" si="39"/>
        <v>19975.662919999995</v>
      </c>
      <c r="AI114" s="5">
        <f t="shared" si="40"/>
        <v>0.50875647059322227</v>
      </c>
      <c r="AJ114" s="5">
        <f t="shared" si="43"/>
        <v>4919836.792150001</v>
      </c>
      <c r="AK114" s="7">
        <f t="shared" si="41"/>
        <v>0.44947388171179004</v>
      </c>
      <c r="AL114" s="17">
        <f>MIN(AC114,'What-If Analysis'!$B$2)</f>
        <v>3.7999999999999999E-2</v>
      </c>
      <c r="AM114">
        <f>AE114*(1+'What-If Analysis'!$B$3)</f>
        <v>24.7</v>
      </c>
      <c r="AN114">
        <f>Y114*(1+'What-If Analysis'!$B$4)</f>
        <v>1116.6760000000002</v>
      </c>
      <c r="AO114">
        <f t="shared" si="42"/>
        <v>51042.813795999995</v>
      </c>
    </row>
    <row r="115" spans="1:41" x14ac:dyDescent="0.3">
      <c r="A115" t="s">
        <v>51</v>
      </c>
      <c r="B115" s="3">
        <v>45358</v>
      </c>
      <c r="C115" s="3">
        <f t="shared" si="23"/>
        <v>45358</v>
      </c>
      <c r="D115" s="3">
        <v>45376</v>
      </c>
      <c r="E115" s="3">
        <f t="shared" si="24"/>
        <v>45376</v>
      </c>
      <c r="F115" s="16">
        <f t="shared" si="25"/>
        <v>18</v>
      </c>
      <c r="G115" s="16">
        <f>IF(Data!F213&lt;=7,1,0)</f>
        <v>0</v>
      </c>
      <c r="H115" s="5" t="str">
        <f t="shared" si="26"/>
        <v>03-2024</v>
      </c>
      <c r="I115" s="5" t="str">
        <f t="shared" si="27"/>
        <v>Q1-2024</v>
      </c>
      <c r="J115" s="3">
        <f t="shared" si="28"/>
        <v>44947</v>
      </c>
      <c r="K115" s="5" t="str">
        <f t="shared" si="29"/>
        <v>01-2023</v>
      </c>
      <c r="L115" t="s">
        <v>649</v>
      </c>
      <c r="M115" t="s">
        <v>656</v>
      </c>
      <c r="N115" t="s">
        <v>684</v>
      </c>
      <c r="O115" t="str">
        <f t="shared" si="30"/>
        <v>Munich</v>
      </c>
      <c r="P115" t="s">
        <v>701</v>
      </c>
      <c r="Q115" t="s">
        <v>708</v>
      </c>
      <c r="R115" t="str">
        <f t="shared" si="31"/>
        <v>Online</v>
      </c>
      <c r="S115" t="s">
        <v>717</v>
      </c>
      <c r="T115" t="str">
        <f t="shared" si="45"/>
        <v>B. Chen</v>
      </c>
      <c r="U115" t="s">
        <v>727</v>
      </c>
      <c r="V115" t="str">
        <f t="shared" si="32"/>
        <v>Medium</v>
      </c>
      <c r="W115" t="s">
        <v>770</v>
      </c>
      <c r="X115" t="str">
        <f t="shared" si="33"/>
        <v>A</v>
      </c>
      <c r="Y115" s="5">
        <v>712.84</v>
      </c>
      <c r="Z115" s="5">
        <v>927.51</v>
      </c>
      <c r="AA115" s="5">
        <f t="shared" si="34"/>
        <v>927.51</v>
      </c>
      <c r="AB115" s="7">
        <v>0.24299999999999999</v>
      </c>
      <c r="AC115" s="7">
        <f t="shared" si="35"/>
        <v>0.24299999999999999</v>
      </c>
      <c r="AD115" s="16">
        <f t="shared" si="36"/>
        <v>1</v>
      </c>
      <c r="AE115" s="16">
        <v>27</v>
      </c>
      <c r="AF115" s="5">
        <f t="shared" si="37"/>
        <v>18957.37689</v>
      </c>
      <c r="AG115">
        <f t="shared" si="38"/>
        <v>19246.68</v>
      </c>
      <c r="AH115" s="5">
        <f t="shared" si="39"/>
        <v>289.30311000000074</v>
      </c>
      <c r="AI115" s="5">
        <f t="shared" si="40"/>
        <v>1.5260714163076427E-2</v>
      </c>
      <c r="AJ115" s="5">
        <f t="shared" si="43"/>
        <v>4938794.169040001</v>
      </c>
      <c r="AK115" s="7">
        <f t="shared" si="41"/>
        <v>0.45120581838729468</v>
      </c>
      <c r="AL115" s="17">
        <f>MIN(AC115,'What-If Analysis'!$B$2)</f>
        <v>0.2</v>
      </c>
      <c r="AM115">
        <f>AE115*(1+'What-If Analysis'!$B$3)</f>
        <v>35.1</v>
      </c>
      <c r="AN115">
        <f>Y115*(1+'What-If Analysis'!$B$4)</f>
        <v>784.12400000000014</v>
      </c>
      <c r="AO115">
        <f t="shared" si="42"/>
        <v>26044.480800000005</v>
      </c>
    </row>
    <row r="116" spans="1:41" x14ac:dyDescent="0.3">
      <c r="A116" t="s">
        <v>33</v>
      </c>
      <c r="B116" s="3">
        <v>45858</v>
      </c>
      <c r="C116" s="3">
        <f t="shared" si="23"/>
        <v>45858</v>
      </c>
      <c r="D116" s="3">
        <v>45874</v>
      </c>
      <c r="E116" s="3">
        <f t="shared" si="24"/>
        <v>45874</v>
      </c>
      <c r="F116" s="16">
        <f t="shared" si="25"/>
        <v>16</v>
      </c>
      <c r="G116" s="16">
        <f>IF(Data!F65&lt;=7,1,0)</f>
        <v>0</v>
      </c>
      <c r="H116" s="5" t="str">
        <f t="shared" si="26"/>
        <v>07-2025</v>
      </c>
      <c r="I116" s="5" t="str">
        <f t="shared" si="27"/>
        <v>Q3-2025</v>
      </c>
      <c r="J116" s="3">
        <f t="shared" si="28"/>
        <v>44955</v>
      </c>
      <c r="K116" s="5" t="str">
        <f t="shared" si="29"/>
        <v>01-2023</v>
      </c>
      <c r="L116" t="s">
        <v>648</v>
      </c>
      <c r="M116" t="s">
        <v>655</v>
      </c>
      <c r="N116" t="s">
        <v>672</v>
      </c>
      <c r="O116" t="str">
        <f t="shared" si="30"/>
        <v>Brasília</v>
      </c>
      <c r="P116" t="s">
        <v>706</v>
      </c>
      <c r="Q116" t="s">
        <v>709</v>
      </c>
      <c r="R116" t="str">
        <f t="shared" si="31"/>
        <v>Marketplace</v>
      </c>
      <c r="S116" t="s">
        <v>715</v>
      </c>
      <c r="T116" t="str">
        <f t="shared" si="45"/>
        <v>G. Dubois</v>
      </c>
      <c r="U116" t="s">
        <v>733</v>
      </c>
      <c r="V116" t="str">
        <f t="shared" si="32"/>
        <v>High</v>
      </c>
      <c r="W116" t="s">
        <v>752</v>
      </c>
      <c r="X116" t="str">
        <f t="shared" si="33"/>
        <v>A</v>
      </c>
      <c r="Y116" s="5">
        <v>1068.17</v>
      </c>
      <c r="Z116" s="5">
        <v>2375.37</v>
      </c>
      <c r="AA116" s="5">
        <f t="shared" si="34"/>
        <v>2375.37</v>
      </c>
      <c r="AB116" s="7">
        <v>0.109</v>
      </c>
      <c r="AC116" s="7">
        <f t="shared" si="35"/>
        <v>0.109</v>
      </c>
      <c r="AD116" s="16">
        <f t="shared" si="36"/>
        <v>0</v>
      </c>
      <c r="AE116" s="16">
        <v>18</v>
      </c>
      <c r="AF116" s="5">
        <f t="shared" si="37"/>
        <v>38096.18406</v>
      </c>
      <c r="AG116">
        <f t="shared" si="38"/>
        <v>19227.060000000001</v>
      </c>
      <c r="AH116" s="5">
        <f t="shared" si="39"/>
        <v>18869.124059999998</v>
      </c>
      <c r="AI116" s="5">
        <f t="shared" si="40"/>
        <v>0.49530220744108822</v>
      </c>
      <c r="AJ116" s="5">
        <f t="shared" si="43"/>
        <v>4976890.3531000009</v>
      </c>
      <c r="AK116" s="7">
        <f t="shared" si="41"/>
        <v>0.45468626711989829</v>
      </c>
      <c r="AL116" s="17">
        <f>MIN(AC116,'What-If Analysis'!$B$2)</f>
        <v>0.109</v>
      </c>
      <c r="AM116">
        <f>AE116*(1+'What-If Analysis'!$B$3)</f>
        <v>23.400000000000002</v>
      </c>
      <c r="AN116">
        <f>Y116*(1+'What-If Analysis'!$B$4)</f>
        <v>1174.9870000000001</v>
      </c>
      <c r="AO116">
        <f t="shared" si="42"/>
        <v>49525.039278000004</v>
      </c>
    </row>
    <row r="117" spans="1:41" x14ac:dyDescent="0.3">
      <c r="A117" t="s">
        <v>420</v>
      </c>
      <c r="B117" s="3">
        <v>45646</v>
      </c>
      <c r="C117" s="3">
        <f t="shared" si="23"/>
        <v>45646</v>
      </c>
      <c r="D117" s="3">
        <v>45671</v>
      </c>
      <c r="E117" s="3">
        <f t="shared" si="24"/>
        <v>45671</v>
      </c>
      <c r="F117" s="16">
        <f t="shared" si="25"/>
        <v>25</v>
      </c>
      <c r="G117" s="16">
        <f>IF(Data!F174&lt;=7,1,0)</f>
        <v>0</v>
      </c>
      <c r="H117" s="5" t="str">
        <f t="shared" si="26"/>
        <v>12-2024</v>
      </c>
      <c r="I117" s="5" t="str">
        <f t="shared" si="27"/>
        <v>Q4-2024</v>
      </c>
      <c r="J117" s="3">
        <f t="shared" si="28"/>
        <v>44955</v>
      </c>
      <c r="K117" s="5" t="str">
        <f t="shared" si="29"/>
        <v>01-2023</v>
      </c>
      <c r="L117" t="s">
        <v>647</v>
      </c>
      <c r="M117" t="s">
        <v>654</v>
      </c>
      <c r="N117" t="s">
        <v>680</v>
      </c>
      <c r="O117" t="str">
        <f t="shared" si="30"/>
        <v>Delhi</v>
      </c>
      <c r="P117" t="s">
        <v>705</v>
      </c>
      <c r="Q117" t="s">
        <v>707</v>
      </c>
      <c r="R117" t="str">
        <f t="shared" si="31"/>
        <v>Retail</v>
      </c>
      <c r="S117" t="s">
        <v>724</v>
      </c>
      <c r="T117" t="str">
        <f t="shared" si="45"/>
        <v>M. Rossi</v>
      </c>
      <c r="U117" t="s">
        <v>728</v>
      </c>
      <c r="V117" t="str">
        <f t="shared" si="32"/>
        <v>High</v>
      </c>
      <c r="W117" t="s">
        <v>1139</v>
      </c>
      <c r="X117" t="str">
        <f t="shared" si="33"/>
        <v>A</v>
      </c>
      <c r="Y117" s="5">
        <v>1361.34</v>
      </c>
      <c r="Z117" s="5">
        <v>1737.9</v>
      </c>
      <c r="AA117" s="5">
        <f t="shared" si="34"/>
        <v>1737.9</v>
      </c>
      <c r="AB117" s="7">
        <v>7.6999999999999999E-2</v>
      </c>
      <c r="AC117" s="7">
        <f t="shared" si="35"/>
        <v>7.6999999999999999E-2</v>
      </c>
      <c r="AD117" s="16">
        <f t="shared" si="36"/>
        <v>0</v>
      </c>
      <c r="AE117" s="16">
        <v>14</v>
      </c>
      <c r="AF117" s="5">
        <f t="shared" si="37"/>
        <v>22457.143800000002</v>
      </c>
      <c r="AG117">
        <f t="shared" si="38"/>
        <v>19058.759999999998</v>
      </c>
      <c r="AH117" s="5">
        <f t="shared" si="39"/>
        <v>3398.3838000000032</v>
      </c>
      <c r="AI117" s="5">
        <f t="shared" si="40"/>
        <v>0.15132751654731813</v>
      </c>
      <c r="AJ117" s="5">
        <f t="shared" si="43"/>
        <v>4999347.4969000006</v>
      </c>
      <c r="AK117" s="7">
        <f t="shared" si="41"/>
        <v>0.45673794078762059</v>
      </c>
      <c r="AL117" s="17">
        <f>MIN(AC117,'What-If Analysis'!$B$2)</f>
        <v>7.6999999999999999E-2</v>
      </c>
      <c r="AM117">
        <f>AE117*(1+'What-If Analysis'!$B$3)</f>
        <v>18.2</v>
      </c>
      <c r="AN117">
        <f>Y117*(1+'What-If Analysis'!$B$4)</f>
        <v>1497.4739999999999</v>
      </c>
      <c r="AO117">
        <f t="shared" si="42"/>
        <v>29194.286940000002</v>
      </c>
    </row>
    <row r="118" spans="1:41" x14ac:dyDescent="0.3">
      <c r="A118" t="s">
        <v>379</v>
      </c>
      <c r="B118" s="3">
        <v>45737</v>
      </c>
      <c r="C118" s="3">
        <f t="shared" si="23"/>
        <v>45737</v>
      </c>
      <c r="D118" s="3">
        <v>45756</v>
      </c>
      <c r="E118" s="3">
        <f t="shared" si="24"/>
        <v>45756</v>
      </c>
      <c r="F118" s="16">
        <f t="shared" si="25"/>
        <v>19</v>
      </c>
      <c r="G118" s="16">
        <f>IF(Data!F183&lt;=7,1,0)</f>
        <v>1</v>
      </c>
      <c r="H118" s="5" t="str">
        <f t="shared" si="26"/>
        <v>03-2025</v>
      </c>
      <c r="I118" s="5" t="str">
        <f t="shared" si="27"/>
        <v>Q1-2025</v>
      </c>
      <c r="J118" s="3">
        <f t="shared" si="28"/>
        <v>44988</v>
      </c>
      <c r="K118" s="5" t="str">
        <f t="shared" si="29"/>
        <v>03-2023</v>
      </c>
      <c r="L118" t="s">
        <v>647</v>
      </c>
      <c r="M118" t="s">
        <v>652</v>
      </c>
      <c r="N118" t="s">
        <v>689</v>
      </c>
      <c r="O118" t="str">
        <f t="shared" si="30"/>
        <v>Tokyo</v>
      </c>
      <c r="P118" t="s">
        <v>705</v>
      </c>
      <c r="Q118" t="s">
        <v>710</v>
      </c>
      <c r="R118" t="str">
        <f t="shared" si="31"/>
        <v>Distributor</v>
      </c>
      <c r="S118" t="s">
        <v>718</v>
      </c>
      <c r="T118" t="str">
        <f t="shared" si="45"/>
        <v>E. Garcia</v>
      </c>
      <c r="U118" t="s">
        <v>727</v>
      </c>
      <c r="V118" t="str">
        <f t="shared" si="32"/>
        <v>Medium</v>
      </c>
      <c r="W118" t="s">
        <v>1099</v>
      </c>
      <c r="X118" t="str">
        <f t="shared" si="33"/>
        <v>A</v>
      </c>
      <c r="Y118" s="5">
        <v>1055.45</v>
      </c>
      <c r="Z118" s="5">
        <v>1210.04</v>
      </c>
      <c r="AA118" s="5">
        <f t="shared" si="34"/>
        <v>1210.04</v>
      </c>
      <c r="AB118" s="7">
        <v>8.9999999999999993E-3</v>
      </c>
      <c r="AC118" s="7">
        <f t="shared" si="35"/>
        <v>8.9999999999999993E-3</v>
      </c>
      <c r="AD118" s="16">
        <f t="shared" si="36"/>
        <v>0</v>
      </c>
      <c r="AE118" s="16">
        <v>18</v>
      </c>
      <c r="AF118" s="5">
        <f t="shared" si="37"/>
        <v>21584.693520000001</v>
      </c>
      <c r="AG118">
        <f t="shared" si="38"/>
        <v>18998.100000000002</v>
      </c>
      <c r="AH118" s="5">
        <f t="shared" si="39"/>
        <v>2586.5935199999985</v>
      </c>
      <c r="AI118" s="5">
        <f t="shared" si="40"/>
        <v>0.1198346188053727</v>
      </c>
      <c r="AJ118" s="5">
        <f t="shared" si="43"/>
        <v>5020932.1904200008</v>
      </c>
      <c r="AK118" s="7">
        <f t="shared" si="41"/>
        <v>0.45870990782471294</v>
      </c>
      <c r="AL118" s="17">
        <f>MIN(AC118,'What-If Analysis'!$B$2)</f>
        <v>8.9999999999999993E-3</v>
      </c>
      <c r="AM118">
        <f>AE118*(1+'What-If Analysis'!$B$3)</f>
        <v>23.400000000000002</v>
      </c>
      <c r="AN118">
        <f>Y118*(1+'What-If Analysis'!$B$4)</f>
        <v>1160.9950000000001</v>
      </c>
      <c r="AO118">
        <f t="shared" si="42"/>
        <v>28060.101576000001</v>
      </c>
    </row>
    <row r="119" spans="1:41" x14ac:dyDescent="0.3">
      <c r="A119" t="s">
        <v>188</v>
      </c>
      <c r="B119" s="3">
        <v>45798</v>
      </c>
      <c r="C119" s="3">
        <f t="shared" si="23"/>
        <v>45796</v>
      </c>
      <c r="D119" s="3">
        <v>45796</v>
      </c>
      <c r="E119" s="3">
        <f t="shared" si="24"/>
        <v>45798</v>
      </c>
      <c r="F119" s="16">
        <f t="shared" si="25"/>
        <v>2</v>
      </c>
      <c r="G119" s="16">
        <f>IF(Data!F99&lt;=7,1,0)</f>
        <v>0</v>
      </c>
      <c r="H119" s="5" t="str">
        <f t="shared" si="26"/>
        <v>05-2025</v>
      </c>
      <c r="I119" s="5" t="str">
        <f t="shared" si="27"/>
        <v>Q2-2025</v>
      </c>
      <c r="J119" s="3">
        <f t="shared" si="28"/>
        <v>44933</v>
      </c>
      <c r="K119" s="5" t="str">
        <f t="shared" si="29"/>
        <v>01-2023</v>
      </c>
      <c r="L119" t="s">
        <v>646</v>
      </c>
      <c r="M119" t="s">
        <v>661</v>
      </c>
      <c r="N119" t="s">
        <v>682</v>
      </c>
      <c r="O119" t="str">
        <f t="shared" si="30"/>
        <v>Johannesburg</v>
      </c>
      <c r="P119" t="s">
        <v>703</v>
      </c>
      <c r="Q119" t="s">
        <v>710</v>
      </c>
      <c r="R119" t="str">
        <f t="shared" si="31"/>
        <v>Distributor</v>
      </c>
      <c r="S119" t="s">
        <v>719</v>
      </c>
      <c r="T119" t="str">
        <f t="shared" si="45"/>
        <v>O. Wang</v>
      </c>
      <c r="U119" t="s">
        <v>731</v>
      </c>
      <c r="V119" t="str">
        <f t="shared" si="32"/>
        <v>High</v>
      </c>
      <c r="W119" t="s">
        <v>907</v>
      </c>
      <c r="X119" t="str">
        <f t="shared" si="33"/>
        <v>A</v>
      </c>
      <c r="Y119" s="5">
        <v>1263.8399999999999</v>
      </c>
      <c r="Z119" s="5">
        <v>2281.7199999999998</v>
      </c>
      <c r="AA119" s="5">
        <f t="shared" si="34"/>
        <v>2281.7199999999998</v>
      </c>
      <c r="AB119" s="7">
        <v>7.8E-2</v>
      </c>
      <c r="AC119" s="7">
        <f t="shared" si="35"/>
        <v>7.8E-2</v>
      </c>
      <c r="AD119" s="16">
        <f t="shared" si="36"/>
        <v>0</v>
      </c>
      <c r="AE119" s="16">
        <v>15</v>
      </c>
      <c r="AF119" s="5">
        <f t="shared" si="37"/>
        <v>31556.187599999997</v>
      </c>
      <c r="AG119">
        <f t="shared" si="38"/>
        <v>18957.599999999999</v>
      </c>
      <c r="AH119" s="5">
        <f t="shared" si="39"/>
        <v>12598.587599999999</v>
      </c>
      <c r="AI119" s="5">
        <f t="shared" si="40"/>
        <v>0.39924301882398494</v>
      </c>
      <c r="AJ119" s="5">
        <f t="shared" si="43"/>
        <v>5052488.3780200006</v>
      </c>
      <c r="AK119" s="7">
        <f t="shared" si="41"/>
        <v>0.461592865681207</v>
      </c>
      <c r="AL119" s="17">
        <f>MIN(AC119,'What-If Analysis'!$B$2)</f>
        <v>7.8E-2</v>
      </c>
      <c r="AM119">
        <f>AE119*(1+'What-If Analysis'!$B$3)</f>
        <v>19.5</v>
      </c>
      <c r="AN119">
        <f>Y119*(1+'What-If Analysis'!$B$4)</f>
        <v>1390.2239999999999</v>
      </c>
      <c r="AO119">
        <f t="shared" si="42"/>
        <v>41023.043879999997</v>
      </c>
    </row>
    <row r="120" spans="1:41" x14ac:dyDescent="0.3">
      <c r="A120" t="s">
        <v>96</v>
      </c>
      <c r="B120" s="3">
        <v>45157</v>
      </c>
      <c r="C120" s="3">
        <f t="shared" si="23"/>
        <v>45157</v>
      </c>
      <c r="D120" s="3">
        <v>45181</v>
      </c>
      <c r="E120" s="3">
        <f t="shared" si="24"/>
        <v>45181</v>
      </c>
      <c r="F120" s="16">
        <f t="shared" si="25"/>
        <v>24</v>
      </c>
      <c r="G120" s="16">
        <f>IF(Data!F219&lt;=7,1,0)</f>
        <v>0</v>
      </c>
      <c r="H120" s="5" t="str">
        <f t="shared" si="26"/>
        <v>08-2023</v>
      </c>
      <c r="I120" s="5" t="str">
        <f t="shared" si="27"/>
        <v>Q3-2023</v>
      </c>
      <c r="J120" s="3">
        <f t="shared" si="28"/>
        <v>44928</v>
      </c>
      <c r="K120" s="5" t="str">
        <f t="shared" si="29"/>
        <v>01-2023</v>
      </c>
      <c r="L120" t="s">
        <v>648</v>
      </c>
      <c r="M120" t="s">
        <v>653</v>
      </c>
      <c r="N120" t="s">
        <v>688</v>
      </c>
      <c r="O120" t="str">
        <f t="shared" si="30"/>
        <v>Vancouver</v>
      </c>
      <c r="P120" t="s">
        <v>706</v>
      </c>
      <c r="Q120" t="s">
        <v>707</v>
      </c>
      <c r="R120" t="str">
        <f t="shared" si="31"/>
        <v>Retail</v>
      </c>
      <c r="S120" t="s">
        <v>714</v>
      </c>
      <c r="T120" t="str">
        <f t="shared" si="45"/>
        <v>I. Johnson</v>
      </c>
      <c r="U120" t="s">
        <v>728</v>
      </c>
      <c r="V120" t="str">
        <f t="shared" si="32"/>
        <v>Medium</v>
      </c>
      <c r="W120" t="s">
        <v>815</v>
      </c>
      <c r="X120" t="str">
        <f t="shared" si="33"/>
        <v>A</v>
      </c>
      <c r="Y120" s="5">
        <v>1183.95</v>
      </c>
      <c r="Z120" s="5">
        <v>1503.53</v>
      </c>
      <c r="AA120" s="5">
        <f t="shared" si="34"/>
        <v>1503.53</v>
      </c>
      <c r="AB120" s="7">
        <v>0.24099999999999999</v>
      </c>
      <c r="AC120" s="7">
        <f t="shared" si="35"/>
        <v>0.24099999999999999</v>
      </c>
      <c r="AD120" s="16">
        <f t="shared" si="36"/>
        <v>1</v>
      </c>
      <c r="AE120" s="16">
        <v>16</v>
      </c>
      <c r="AF120" s="5">
        <f t="shared" si="37"/>
        <v>18258.868320000001</v>
      </c>
      <c r="AG120">
        <f t="shared" si="38"/>
        <v>18943.2</v>
      </c>
      <c r="AH120" s="5">
        <f t="shared" si="39"/>
        <v>684.33167999999932</v>
      </c>
      <c r="AI120" s="5">
        <f t="shared" si="40"/>
        <v>3.7479413729623705E-2</v>
      </c>
      <c r="AJ120" s="5">
        <f t="shared" si="43"/>
        <v>5070747.246340001</v>
      </c>
      <c r="AK120" s="7">
        <f t="shared" si="41"/>
        <v>0.46326098695558537</v>
      </c>
      <c r="AL120" s="17">
        <f>MIN(AC120,'What-If Analysis'!$B$2)</f>
        <v>0.2</v>
      </c>
      <c r="AM120">
        <f>AE120*(1+'What-If Analysis'!$B$3)</f>
        <v>20.8</v>
      </c>
      <c r="AN120">
        <f>Y120*(1+'What-If Analysis'!$B$4)</f>
        <v>1302.3450000000003</v>
      </c>
      <c r="AO120">
        <f t="shared" si="42"/>
        <v>25018.7392</v>
      </c>
    </row>
    <row r="121" spans="1:41" x14ac:dyDescent="0.3">
      <c r="A121" t="s">
        <v>92</v>
      </c>
      <c r="B121" s="3">
        <v>45473</v>
      </c>
      <c r="C121" s="3">
        <f t="shared" si="23"/>
        <v>45471</v>
      </c>
      <c r="D121" s="3">
        <v>45471</v>
      </c>
      <c r="E121" s="3">
        <f t="shared" si="24"/>
        <v>45473</v>
      </c>
      <c r="F121" s="16">
        <f t="shared" si="25"/>
        <v>2</v>
      </c>
      <c r="G121" s="16">
        <f>IF(Data!F90&lt;=7,1,0)</f>
        <v>0</v>
      </c>
      <c r="H121" s="5" t="str">
        <f t="shared" si="26"/>
        <v>06-2024</v>
      </c>
      <c r="I121" s="5" t="str">
        <f t="shared" si="27"/>
        <v>Q2-2024</v>
      </c>
      <c r="J121" s="3">
        <f t="shared" si="28"/>
        <v>44955</v>
      </c>
      <c r="K121" s="5" t="str">
        <f t="shared" si="29"/>
        <v>01-2023</v>
      </c>
      <c r="L121" t="s">
        <v>648</v>
      </c>
      <c r="M121" t="s">
        <v>655</v>
      </c>
      <c r="N121" t="s">
        <v>692</v>
      </c>
      <c r="O121" t="str">
        <f t="shared" si="30"/>
        <v>Rio de Janeiro</v>
      </c>
      <c r="P121" t="s">
        <v>705</v>
      </c>
      <c r="Q121" t="s">
        <v>711</v>
      </c>
      <c r="R121" t="str">
        <f t="shared" si="31"/>
        <v>Direct</v>
      </c>
      <c r="S121" t="s">
        <v>716</v>
      </c>
      <c r="T121" t="str">
        <f t="shared" si="45"/>
        <v>L. Okafor</v>
      </c>
      <c r="U121" t="s">
        <v>733</v>
      </c>
      <c r="V121" t="str">
        <f t="shared" si="32"/>
        <v>High</v>
      </c>
      <c r="W121" t="s">
        <v>811</v>
      </c>
      <c r="X121" t="str">
        <f t="shared" si="33"/>
        <v>A</v>
      </c>
      <c r="Y121" s="5">
        <v>1112.98</v>
      </c>
      <c r="Z121" s="5">
        <v>2095.73</v>
      </c>
      <c r="AA121" s="5">
        <f t="shared" si="34"/>
        <v>2095.73</v>
      </c>
      <c r="AB121" s="7">
        <v>7.1999999999999995E-2</v>
      </c>
      <c r="AC121" s="7">
        <f t="shared" si="35"/>
        <v>7.1999999999999995E-2</v>
      </c>
      <c r="AD121" s="16">
        <f t="shared" si="36"/>
        <v>0</v>
      </c>
      <c r="AE121" s="16">
        <v>17</v>
      </c>
      <c r="AF121" s="5">
        <f t="shared" si="37"/>
        <v>33062.236480000007</v>
      </c>
      <c r="AG121">
        <f t="shared" si="38"/>
        <v>18920.66</v>
      </c>
      <c r="AH121" s="5">
        <f t="shared" si="39"/>
        <v>14141.576480000007</v>
      </c>
      <c r="AI121" s="5">
        <f t="shared" si="40"/>
        <v>0.42772594916724777</v>
      </c>
      <c r="AJ121" s="5">
        <f t="shared" si="43"/>
        <v>5103809.4828200014</v>
      </c>
      <c r="AK121" s="7">
        <f t="shared" si="41"/>
        <v>0.46628153670074163</v>
      </c>
      <c r="AL121" s="17">
        <f>MIN(AC121,'What-If Analysis'!$B$2)</f>
        <v>7.1999999999999995E-2</v>
      </c>
      <c r="AM121">
        <f>AE121*(1+'What-If Analysis'!$B$3)</f>
        <v>22.1</v>
      </c>
      <c r="AN121">
        <f>Y121*(1+'What-If Analysis'!$B$4)</f>
        <v>1224.278</v>
      </c>
      <c r="AO121">
        <f t="shared" si="42"/>
        <v>42980.907424000005</v>
      </c>
    </row>
    <row r="122" spans="1:41" x14ac:dyDescent="0.3">
      <c r="A122" t="s">
        <v>639</v>
      </c>
      <c r="B122" s="3">
        <v>45249</v>
      </c>
      <c r="C122" s="3">
        <f t="shared" si="23"/>
        <v>45249</v>
      </c>
      <c r="D122" s="3">
        <v>45272</v>
      </c>
      <c r="E122" s="3">
        <f t="shared" si="24"/>
        <v>45272</v>
      </c>
      <c r="F122" s="16">
        <f t="shared" si="25"/>
        <v>23</v>
      </c>
      <c r="G122" s="16">
        <f>IF(Data!F92&lt;=7,1,0)</f>
        <v>0</v>
      </c>
      <c r="H122" s="5" t="str">
        <f t="shared" si="26"/>
        <v>11-2023</v>
      </c>
      <c r="I122" s="5" t="str">
        <f t="shared" si="27"/>
        <v>Q4-2023</v>
      </c>
      <c r="J122" s="3">
        <f t="shared" si="28"/>
        <v>44955</v>
      </c>
      <c r="K122" s="5" t="str">
        <f t="shared" si="29"/>
        <v>01-2023</v>
      </c>
      <c r="L122" t="s">
        <v>647</v>
      </c>
      <c r="M122" t="s">
        <v>654</v>
      </c>
      <c r="N122" t="s">
        <v>680</v>
      </c>
      <c r="O122" t="str">
        <f t="shared" si="30"/>
        <v>Delhi</v>
      </c>
      <c r="P122" t="s">
        <v>705</v>
      </c>
      <c r="Q122" t="s">
        <v>711</v>
      </c>
      <c r="R122" t="str">
        <f t="shared" si="31"/>
        <v>Direct</v>
      </c>
      <c r="S122" t="s">
        <v>712</v>
      </c>
      <c r="T122" t="str">
        <f t="shared" si="45"/>
        <v>C. Otieno</v>
      </c>
      <c r="U122" t="s">
        <v>729</v>
      </c>
      <c r="V122" t="str">
        <f t="shared" si="32"/>
        <v>High</v>
      </c>
      <c r="W122" t="s">
        <v>1357</v>
      </c>
      <c r="X122" t="str">
        <f t="shared" si="33"/>
        <v>A</v>
      </c>
      <c r="Y122" s="5">
        <v>1349.04</v>
      </c>
      <c r="Z122" s="5">
        <v>2636.6</v>
      </c>
      <c r="AA122" s="5">
        <f t="shared" si="34"/>
        <v>2636.6</v>
      </c>
      <c r="AB122" s="7">
        <v>0.114</v>
      </c>
      <c r="AC122" s="7">
        <f t="shared" si="35"/>
        <v>0.114</v>
      </c>
      <c r="AD122" s="16">
        <f t="shared" si="36"/>
        <v>0</v>
      </c>
      <c r="AE122" s="16">
        <v>14</v>
      </c>
      <c r="AF122" s="5">
        <f t="shared" si="37"/>
        <v>32704.386400000003</v>
      </c>
      <c r="AG122">
        <f t="shared" si="38"/>
        <v>18886.559999999998</v>
      </c>
      <c r="AH122" s="5">
        <f t="shared" si="39"/>
        <v>13817.826400000005</v>
      </c>
      <c r="AI122" s="5">
        <f t="shared" si="40"/>
        <v>0.42250682312143928</v>
      </c>
      <c r="AJ122" s="5">
        <f t="shared" si="43"/>
        <v>5136513.8692200016</v>
      </c>
      <c r="AK122" s="7">
        <f t="shared" si="41"/>
        <v>0.46926939343771001</v>
      </c>
      <c r="AL122" s="17">
        <f>MIN(AC122,'What-If Analysis'!$B$2)</f>
        <v>0.114</v>
      </c>
      <c r="AM122">
        <f>AE122*(1+'What-If Analysis'!$B$3)</f>
        <v>18.2</v>
      </c>
      <c r="AN122">
        <f>Y122*(1+'What-If Analysis'!$B$4)</f>
        <v>1483.9440000000002</v>
      </c>
      <c r="AO122">
        <f t="shared" si="42"/>
        <v>42515.702319999997</v>
      </c>
    </row>
    <row r="123" spans="1:41" x14ac:dyDescent="0.3">
      <c r="A123" t="s">
        <v>204</v>
      </c>
      <c r="B123" s="3">
        <v>45325</v>
      </c>
      <c r="C123" s="3">
        <f t="shared" si="23"/>
        <v>45325</v>
      </c>
      <c r="D123" s="3">
        <v>45341</v>
      </c>
      <c r="E123" s="3">
        <f t="shared" si="24"/>
        <v>45341</v>
      </c>
      <c r="F123" s="16">
        <f t="shared" si="25"/>
        <v>16</v>
      </c>
      <c r="G123" s="16">
        <f>IF(Data!F207&lt;=7,1,0)</f>
        <v>0</v>
      </c>
      <c r="H123" s="5" t="str">
        <f t="shared" si="26"/>
        <v>02-2024</v>
      </c>
      <c r="I123" s="5" t="str">
        <f t="shared" si="27"/>
        <v>Q1-2024</v>
      </c>
      <c r="J123" s="3">
        <f t="shared" si="28"/>
        <v>44938</v>
      </c>
      <c r="K123" s="5" t="str">
        <f t="shared" si="29"/>
        <v>01-2023</v>
      </c>
      <c r="L123" t="s">
        <v>647</v>
      </c>
      <c r="M123" t="s">
        <v>659</v>
      </c>
      <c r="N123" t="s">
        <v>676</v>
      </c>
      <c r="O123" t="str">
        <f t="shared" si="30"/>
        <v>Shenzhen</v>
      </c>
      <c r="P123" t="s">
        <v>705</v>
      </c>
      <c r="Q123" t="s">
        <v>708</v>
      </c>
      <c r="R123" t="str">
        <f t="shared" si="31"/>
        <v>Online</v>
      </c>
      <c r="S123" t="s">
        <v>722</v>
      </c>
      <c r="T123" t="str">
        <f t="shared" si="45"/>
        <v>H. Kim</v>
      </c>
      <c r="U123" t="s">
        <v>731</v>
      </c>
      <c r="V123" t="str">
        <f t="shared" si="32"/>
        <v>Medium</v>
      </c>
      <c r="W123" t="s">
        <v>924</v>
      </c>
      <c r="X123" t="str">
        <f t="shared" si="33"/>
        <v>A</v>
      </c>
      <c r="Y123" s="5">
        <v>993.75</v>
      </c>
      <c r="Z123" s="5">
        <v>1310.29</v>
      </c>
      <c r="AA123" s="5">
        <f t="shared" si="34"/>
        <v>1310.29</v>
      </c>
      <c r="AB123" s="7">
        <v>0.215</v>
      </c>
      <c r="AC123" s="7">
        <f t="shared" si="35"/>
        <v>0.215</v>
      </c>
      <c r="AD123" s="16">
        <f t="shared" si="36"/>
        <v>1</v>
      </c>
      <c r="AE123" s="16">
        <v>19</v>
      </c>
      <c r="AF123" s="5">
        <f t="shared" si="37"/>
        <v>19542.975350000001</v>
      </c>
      <c r="AG123">
        <f t="shared" si="38"/>
        <v>18881.25</v>
      </c>
      <c r="AH123" s="5">
        <f t="shared" si="39"/>
        <v>661.72535000000062</v>
      </c>
      <c r="AI123" s="5">
        <f t="shared" si="40"/>
        <v>3.3860010471742245E-2</v>
      </c>
      <c r="AJ123" s="5">
        <f t="shared" si="43"/>
        <v>5156056.8445700016</v>
      </c>
      <c r="AK123" s="7">
        <f t="shared" si="41"/>
        <v>0.4710548301019461</v>
      </c>
      <c r="AL123" s="17">
        <f>MIN(AC123,'What-If Analysis'!$B$2)</f>
        <v>0.2</v>
      </c>
      <c r="AM123">
        <f>AE123*(1+'What-If Analysis'!$B$3)</f>
        <v>24.7</v>
      </c>
      <c r="AN123">
        <f>Y123*(1+'What-If Analysis'!$B$4)</f>
        <v>1093.125</v>
      </c>
      <c r="AO123">
        <f t="shared" si="42"/>
        <v>25891.330399999999</v>
      </c>
    </row>
    <row r="124" spans="1:41" x14ac:dyDescent="0.3">
      <c r="A124" t="s">
        <v>614</v>
      </c>
      <c r="B124" s="3">
        <v>45360</v>
      </c>
      <c r="C124" s="3">
        <f t="shared" si="23"/>
        <v>45360</v>
      </c>
      <c r="D124" s="3">
        <v>45373</v>
      </c>
      <c r="E124" s="3">
        <f t="shared" si="24"/>
        <v>45373</v>
      </c>
      <c r="F124" s="16">
        <f t="shared" si="25"/>
        <v>13</v>
      </c>
      <c r="G124" s="16">
        <f>IF(Data!F83&lt;=7,1,0)</f>
        <v>0</v>
      </c>
      <c r="H124" s="5" t="str">
        <f t="shared" si="26"/>
        <v>03-2024</v>
      </c>
      <c r="I124" s="5" t="str">
        <f t="shared" si="27"/>
        <v>Q1-2024</v>
      </c>
      <c r="J124" s="3">
        <f t="shared" si="28"/>
        <v>44945</v>
      </c>
      <c r="K124" s="5" t="str">
        <f t="shared" si="29"/>
        <v>01-2023</v>
      </c>
      <c r="L124" t="s">
        <v>649</v>
      </c>
      <c r="M124" t="s">
        <v>658</v>
      </c>
      <c r="N124" t="s">
        <v>693</v>
      </c>
      <c r="O124" t="str">
        <f t="shared" si="30"/>
        <v>Manchester</v>
      </c>
      <c r="P124" t="s">
        <v>704</v>
      </c>
      <c r="Q124" t="s">
        <v>708</v>
      </c>
      <c r="R124" t="str">
        <f t="shared" si="31"/>
        <v>Online</v>
      </c>
      <c r="S124" t="s">
        <v>718</v>
      </c>
      <c r="T124" t="str">
        <f t="shared" si="45"/>
        <v>E. Garcia</v>
      </c>
      <c r="U124" t="s">
        <v>731</v>
      </c>
      <c r="V124" t="str">
        <f t="shared" si="32"/>
        <v>High</v>
      </c>
      <c r="W124" t="s">
        <v>1332</v>
      </c>
      <c r="X124" t="str">
        <f t="shared" si="33"/>
        <v>A</v>
      </c>
      <c r="Y124" s="5">
        <v>985.45</v>
      </c>
      <c r="Z124" s="5">
        <v>1802.44</v>
      </c>
      <c r="AA124" s="5">
        <f t="shared" si="34"/>
        <v>1802.44</v>
      </c>
      <c r="AB124" s="7">
        <v>8.9999999999999993E-3</v>
      </c>
      <c r="AC124" s="7">
        <f t="shared" si="35"/>
        <v>8.9999999999999993E-3</v>
      </c>
      <c r="AD124" s="16">
        <f t="shared" si="36"/>
        <v>0</v>
      </c>
      <c r="AE124" s="16">
        <v>19</v>
      </c>
      <c r="AF124" s="5">
        <f t="shared" si="37"/>
        <v>33938.142760000002</v>
      </c>
      <c r="AG124">
        <f t="shared" si="38"/>
        <v>18723.55</v>
      </c>
      <c r="AH124" s="5">
        <f t="shared" si="39"/>
        <v>15214.592760000003</v>
      </c>
      <c r="AI124" s="5">
        <f t="shared" si="40"/>
        <v>0.44830363486867486</v>
      </c>
      <c r="AJ124" s="5">
        <f t="shared" si="43"/>
        <v>5189994.9873300018</v>
      </c>
      <c r="AK124" s="7">
        <f t="shared" si="41"/>
        <v>0.47415540221620112</v>
      </c>
      <c r="AL124" s="17">
        <f>MIN(AC124,'What-If Analysis'!$B$2)</f>
        <v>8.9999999999999993E-3</v>
      </c>
      <c r="AM124">
        <f>AE124*(1+'What-If Analysis'!$B$3)</f>
        <v>24.7</v>
      </c>
      <c r="AN124">
        <f>Y124*(1+'What-If Analysis'!$B$4)</f>
        <v>1083.9950000000001</v>
      </c>
      <c r="AO124">
        <f t="shared" si="42"/>
        <v>44119.585588000002</v>
      </c>
    </row>
    <row r="125" spans="1:41" x14ac:dyDescent="0.3">
      <c r="A125" t="s">
        <v>202</v>
      </c>
      <c r="B125" s="3">
        <v>45126</v>
      </c>
      <c r="C125" s="3">
        <f t="shared" si="23"/>
        <v>45126</v>
      </c>
      <c r="D125" s="3">
        <v>45138</v>
      </c>
      <c r="E125" s="3">
        <f t="shared" si="24"/>
        <v>45138</v>
      </c>
      <c r="F125" s="16">
        <f t="shared" si="25"/>
        <v>12</v>
      </c>
      <c r="G125" s="16">
        <f>IF(Data!F123&lt;=7,1,0)</f>
        <v>0</v>
      </c>
      <c r="H125" s="5" t="str">
        <f t="shared" si="26"/>
        <v>07-2023</v>
      </c>
      <c r="I125" s="5" t="str">
        <f t="shared" si="27"/>
        <v>Q3-2023</v>
      </c>
      <c r="J125" s="3">
        <f t="shared" si="28"/>
        <v>44955</v>
      </c>
      <c r="K125" s="5" t="str">
        <f t="shared" si="29"/>
        <v>01-2023</v>
      </c>
      <c r="L125" t="s">
        <v>648</v>
      </c>
      <c r="M125" t="s">
        <v>655</v>
      </c>
      <c r="N125" t="s">
        <v>692</v>
      </c>
      <c r="O125" t="str">
        <f t="shared" si="30"/>
        <v>Rio de Janeiro</v>
      </c>
      <c r="P125" t="s">
        <v>701</v>
      </c>
      <c r="Q125" t="s">
        <v>707</v>
      </c>
      <c r="R125" t="str">
        <f t="shared" si="31"/>
        <v>Retail</v>
      </c>
      <c r="S125" t="s">
        <v>712</v>
      </c>
      <c r="T125" t="str">
        <f t="shared" si="45"/>
        <v>C. Otieno</v>
      </c>
      <c r="U125" t="s">
        <v>732</v>
      </c>
      <c r="V125" t="str">
        <f t="shared" si="32"/>
        <v>High</v>
      </c>
      <c r="W125" t="s">
        <v>922</v>
      </c>
      <c r="X125" t="str">
        <f t="shared" si="33"/>
        <v>A</v>
      </c>
      <c r="Y125" s="5">
        <v>1334.64</v>
      </c>
      <c r="Z125" s="5">
        <v>2273.42</v>
      </c>
      <c r="AA125" s="5">
        <f t="shared" si="34"/>
        <v>2273.42</v>
      </c>
      <c r="AB125" s="7">
        <v>0.11799999999999999</v>
      </c>
      <c r="AC125" s="7">
        <f t="shared" si="35"/>
        <v>0.11799999999999999</v>
      </c>
      <c r="AD125" s="16">
        <f t="shared" si="36"/>
        <v>0</v>
      </c>
      <c r="AE125" s="16">
        <v>14</v>
      </c>
      <c r="AF125" s="5">
        <f t="shared" si="37"/>
        <v>28072.190160000002</v>
      </c>
      <c r="AG125">
        <f t="shared" si="38"/>
        <v>18684.960000000003</v>
      </c>
      <c r="AH125" s="5">
        <f t="shared" si="39"/>
        <v>9387.2301599999992</v>
      </c>
      <c r="AI125" s="5">
        <f t="shared" si="40"/>
        <v>0.33439607335575267</v>
      </c>
      <c r="AJ125" s="5">
        <f t="shared" si="43"/>
        <v>5218067.1774900015</v>
      </c>
      <c r="AK125" s="7">
        <f t="shared" si="41"/>
        <v>0.47672006377153958</v>
      </c>
      <c r="AL125" s="17">
        <f>MIN(AC125,'What-If Analysis'!$B$2)</f>
        <v>0.11799999999999999</v>
      </c>
      <c r="AM125">
        <f>AE125*(1+'What-If Analysis'!$B$3)</f>
        <v>18.2</v>
      </c>
      <c r="AN125">
        <f>Y125*(1+'What-If Analysis'!$B$4)</f>
        <v>1468.1040000000003</v>
      </c>
      <c r="AO125">
        <f t="shared" si="42"/>
        <v>36493.847207999999</v>
      </c>
    </row>
    <row r="126" spans="1:41" x14ac:dyDescent="0.3">
      <c r="A126" t="s">
        <v>642</v>
      </c>
      <c r="B126" s="3">
        <v>45100</v>
      </c>
      <c r="C126" s="3">
        <f t="shared" si="23"/>
        <v>45100</v>
      </c>
      <c r="D126" s="3">
        <v>45125</v>
      </c>
      <c r="E126" s="3">
        <f t="shared" si="24"/>
        <v>45125</v>
      </c>
      <c r="F126" s="16">
        <f t="shared" si="25"/>
        <v>25</v>
      </c>
      <c r="G126" s="16">
        <f>IF(Data!F91&lt;=7,1,0)</f>
        <v>0</v>
      </c>
      <c r="H126" s="5" t="str">
        <f t="shared" si="26"/>
        <v>06-2023</v>
      </c>
      <c r="I126" s="5" t="str">
        <f t="shared" si="27"/>
        <v>Q2-2023</v>
      </c>
      <c r="J126" s="3">
        <f t="shared" si="28"/>
        <v>44928</v>
      </c>
      <c r="K126" s="5" t="str">
        <f t="shared" si="29"/>
        <v>01-2023</v>
      </c>
      <c r="L126" t="s">
        <v>648</v>
      </c>
      <c r="M126" t="s">
        <v>653</v>
      </c>
      <c r="N126" t="s">
        <v>688</v>
      </c>
      <c r="O126" t="str">
        <f t="shared" si="30"/>
        <v>Vancouver</v>
      </c>
      <c r="P126" t="s">
        <v>706</v>
      </c>
      <c r="Q126" t="s">
        <v>708</v>
      </c>
      <c r="R126" t="str">
        <f t="shared" si="31"/>
        <v>Online</v>
      </c>
      <c r="S126" t="s">
        <v>725</v>
      </c>
      <c r="T126" t="str">
        <f t="shared" si="45"/>
        <v>N. Brown</v>
      </c>
      <c r="U126" t="s">
        <v>730</v>
      </c>
      <c r="V126" t="str">
        <f t="shared" si="32"/>
        <v>Medium</v>
      </c>
      <c r="W126" t="s">
        <v>1360</v>
      </c>
      <c r="X126" t="str">
        <f t="shared" si="33"/>
        <v>A</v>
      </c>
      <c r="Y126" s="5">
        <v>807.02</v>
      </c>
      <c r="Z126" s="5">
        <v>1435.54</v>
      </c>
      <c r="AA126" s="5">
        <f t="shared" si="34"/>
        <v>1435.54</v>
      </c>
      <c r="AB126" s="7">
        <v>0</v>
      </c>
      <c r="AC126" s="7">
        <f t="shared" si="35"/>
        <v>0</v>
      </c>
      <c r="AD126" s="16">
        <f t="shared" si="36"/>
        <v>0</v>
      </c>
      <c r="AE126" s="16">
        <v>23</v>
      </c>
      <c r="AF126" s="5">
        <f t="shared" si="37"/>
        <v>33017.42</v>
      </c>
      <c r="AG126">
        <f t="shared" si="38"/>
        <v>18561.46</v>
      </c>
      <c r="AH126" s="5">
        <f t="shared" si="39"/>
        <v>14455.96</v>
      </c>
      <c r="AI126" s="5">
        <f t="shared" si="40"/>
        <v>0.43782827368098415</v>
      </c>
      <c r="AJ126" s="5">
        <f t="shared" si="43"/>
        <v>5251084.5974900015</v>
      </c>
      <c r="AK126" s="7">
        <f t="shared" si="41"/>
        <v>0.47973651910501475</v>
      </c>
      <c r="AL126" s="17">
        <f>MIN(AC126,'What-If Analysis'!$B$2)</f>
        <v>0</v>
      </c>
      <c r="AM126">
        <f>AE126*(1+'What-If Analysis'!$B$3)</f>
        <v>29.900000000000002</v>
      </c>
      <c r="AN126">
        <f>Y126*(1+'What-If Analysis'!$B$4)</f>
        <v>887.72200000000009</v>
      </c>
      <c r="AO126">
        <f t="shared" si="42"/>
        <v>42922.646000000001</v>
      </c>
    </row>
    <row r="127" spans="1:41" x14ac:dyDescent="0.3">
      <c r="A127" t="s">
        <v>99</v>
      </c>
      <c r="B127" s="3">
        <v>45741</v>
      </c>
      <c r="C127" s="3">
        <f t="shared" si="23"/>
        <v>45741</v>
      </c>
      <c r="D127" s="3">
        <v>45764</v>
      </c>
      <c r="E127" s="3">
        <f t="shared" si="24"/>
        <v>45764</v>
      </c>
      <c r="F127" s="16">
        <f t="shared" si="25"/>
        <v>23</v>
      </c>
      <c r="G127" s="16">
        <f>IF(Data!F187&lt;=7,1,0)</f>
        <v>1</v>
      </c>
      <c r="H127" s="5" t="str">
        <f t="shared" si="26"/>
        <v>03-2025</v>
      </c>
      <c r="I127" s="5" t="str">
        <f t="shared" si="27"/>
        <v>Q1-2025</v>
      </c>
      <c r="J127" s="3">
        <f t="shared" si="28"/>
        <v>44945</v>
      </c>
      <c r="K127" s="5" t="str">
        <f t="shared" si="29"/>
        <v>01-2023</v>
      </c>
      <c r="L127" t="s">
        <v>649</v>
      </c>
      <c r="M127" t="s">
        <v>658</v>
      </c>
      <c r="N127" t="s">
        <v>683</v>
      </c>
      <c r="O127" t="str">
        <f t="shared" si="30"/>
        <v>London</v>
      </c>
      <c r="P127" t="s">
        <v>704</v>
      </c>
      <c r="Q127" t="s">
        <v>707</v>
      </c>
      <c r="R127" t="str">
        <f t="shared" si="31"/>
        <v>Retail</v>
      </c>
      <c r="S127" t="s">
        <v>722</v>
      </c>
      <c r="T127" t="str">
        <f t="shared" si="45"/>
        <v>H. Kim</v>
      </c>
      <c r="U127" t="s">
        <v>729</v>
      </c>
      <c r="V127" t="str">
        <f t="shared" si="32"/>
        <v>High</v>
      </c>
      <c r="W127" t="s">
        <v>818</v>
      </c>
      <c r="X127" t="str">
        <f t="shared" si="33"/>
        <v>A</v>
      </c>
      <c r="Y127" s="5">
        <v>1421.19</v>
      </c>
      <c r="Z127" s="5">
        <v>1808.26</v>
      </c>
      <c r="AA127" s="5">
        <f t="shared" si="34"/>
        <v>1808.26</v>
      </c>
      <c r="AB127" s="7">
        <v>0.104</v>
      </c>
      <c r="AC127" s="7">
        <f t="shared" si="35"/>
        <v>0.104</v>
      </c>
      <c r="AD127" s="16">
        <f t="shared" si="36"/>
        <v>0</v>
      </c>
      <c r="AE127" s="16">
        <v>13</v>
      </c>
      <c r="AF127" s="5">
        <f t="shared" si="37"/>
        <v>21062.61248</v>
      </c>
      <c r="AG127">
        <f t="shared" si="38"/>
        <v>18475.47</v>
      </c>
      <c r="AH127" s="5">
        <f t="shared" si="39"/>
        <v>2587.1424799999986</v>
      </c>
      <c r="AI127" s="5">
        <f t="shared" si="40"/>
        <v>0.12283103449093123</v>
      </c>
      <c r="AJ127" s="5">
        <f t="shared" si="43"/>
        <v>5272147.2099700011</v>
      </c>
      <c r="AK127" s="7">
        <f t="shared" si="41"/>
        <v>0.48166078907378329</v>
      </c>
      <c r="AL127" s="17">
        <f>MIN(AC127,'What-If Analysis'!$B$2)</f>
        <v>0.104</v>
      </c>
      <c r="AM127">
        <f>AE127*(1+'What-If Analysis'!$B$3)</f>
        <v>16.900000000000002</v>
      </c>
      <c r="AN127">
        <f>Y127*(1+'What-If Analysis'!$B$4)</f>
        <v>1563.3090000000002</v>
      </c>
      <c r="AO127">
        <f t="shared" si="42"/>
        <v>27381.396224000004</v>
      </c>
    </row>
    <row r="128" spans="1:41" x14ac:dyDescent="0.3">
      <c r="A128" t="s">
        <v>135</v>
      </c>
      <c r="B128" s="3">
        <v>45827</v>
      </c>
      <c r="C128" s="3">
        <f t="shared" si="23"/>
        <v>45827</v>
      </c>
      <c r="D128" s="3">
        <v>45850</v>
      </c>
      <c r="E128" s="3">
        <f t="shared" si="24"/>
        <v>45850</v>
      </c>
      <c r="F128" s="16">
        <f t="shared" si="25"/>
        <v>23</v>
      </c>
      <c r="G128" s="16">
        <f>IF(Data!F60&lt;=7,1,0)</f>
        <v>0</v>
      </c>
      <c r="H128" s="5" t="str">
        <f t="shared" si="26"/>
        <v>06-2025</v>
      </c>
      <c r="I128" s="5" t="str">
        <f t="shared" si="27"/>
        <v>Q2-2025</v>
      </c>
      <c r="J128" s="3">
        <f t="shared" si="28"/>
        <v>44945</v>
      </c>
      <c r="K128" s="5" t="str">
        <f t="shared" si="29"/>
        <v>01-2023</v>
      </c>
      <c r="L128" t="s">
        <v>649</v>
      </c>
      <c r="M128" t="s">
        <v>658</v>
      </c>
      <c r="O128" t="str">
        <f t="shared" si="30"/>
        <v>Birmingham</v>
      </c>
      <c r="P128" t="s">
        <v>703</v>
      </c>
      <c r="Q128" t="s">
        <v>711</v>
      </c>
      <c r="R128" t="str">
        <f t="shared" si="31"/>
        <v>Direct</v>
      </c>
      <c r="T128" t="str">
        <f t="shared" si="45"/>
        <v>H. Kim</v>
      </c>
      <c r="U128" t="s">
        <v>729</v>
      </c>
      <c r="V128" t="str">
        <f t="shared" si="32"/>
        <v>High</v>
      </c>
      <c r="W128" t="s">
        <v>854</v>
      </c>
      <c r="X128" t="str">
        <f t="shared" si="33"/>
        <v>A</v>
      </c>
      <c r="Y128" s="5">
        <v>801.24</v>
      </c>
      <c r="Z128" s="5">
        <v>1959.09</v>
      </c>
      <c r="AA128" s="5">
        <f t="shared" si="34"/>
        <v>1959.09</v>
      </c>
      <c r="AB128" s="7">
        <v>0.123</v>
      </c>
      <c r="AC128" s="7">
        <f t="shared" si="35"/>
        <v>0.123</v>
      </c>
      <c r="AD128" s="16">
        <f t="shared" si="36"/>
        <v>0</v>
      </c>
      <c r="AE128" s="16">
        <v>23</v>
      </c>
      <c r="AF128" s="5">
        <f t="shared" si="37"/>
        <v>39516.804389999998</v>
      </c>
      <c r="AG128">
        <f t="shared" si="38"/>
        <v>18428.52</v>
      </c>
      <c r="AH128" s="5">
        <f t="shared" si="39"/>
        <v>21088.284389999997</v>
      </c>
      <c r="AI128" s="5">
        <f t="shared" si="40"/>
        <v>0.53365358650651762</v>
      </c>
      <c r="AJ128" s="5">
        <f t="shared" si="43"/>
        <v>5311664.0143600013</v>
      </c>
      <c r="AK128" s="7">
        <f t="shared" si="41"/>
        <v>0.48527102498452718</v>
      </c>
      <c r="AL128" s="17">
        <f>MIN(AC128,'What-If Analysis'!$B$2)</f>
        <v>0.123</v>
      </c>
      <c r="AM128">
        <f>AE128*(1+'What-If Analysis'!$B$3)</f>
        <v>29.900000000000002</v>
      </c>
      <c r="AN128">
        <f>Y128*(1+'What-If Analysis'!$B$4)</f>
        <v>881.36400000000003</v>
      </c>
      <c r="AO128">
        <f t="shared" si="42"/>
        <v>51371.845707000008</v>
      </c>
    </row>
    <row r="129" spans="1:41" x14ac:dyDescent="0.3">
      <c r="A129" t="s">
        <v>493</v>
      </c>
      <c r="B129" s="3">
        <v>45032</v>
      </c>
      <c r="C129" s="3">
        <f t="shared" si="23"/>
        <v>45032</v>
      </c>
      <c r="D129" s="3">
        <v>45035</v>
      </c>
      <c r="E129" s="3">
        <f t="shared" si="24"/>
        <v>45035</v>
      </c>
      <c r="F129" s="16">
        <f t="shared" si="25"/>
        <v>3</v>
      </c>
      <c r="G129" s="16">
        <f>IF(Data!F172&lt;=7,1,0)</f>
        <v>0</v>
      </c>
      <c r="H129" s="5" t="str">
        <f t="shared" si="26"/>
        <v>04-2023</v>
      </c>
      <c r="I129" s="5" t="str">
        <f t="shared" si="27"/>
        <v>Q2-2023</v>
      </c>
      <c r="J129" s="3">
        <f t="shared" si="28"/>
        <v>44947</v>
      </c>
      <c r="K129" s="5" t="str">
        <f t="shared" si="29"/>
        <v>01-2023</v>
      </c>
      <c r="L129" t="s">
        <v>649</v>
      </c>
      <c r="M129" t="s">
        <v>656</v>
      </c>
      <c r="N129" t="s">
        <v>684</v>
      </c>
      <c r="O129" t="str">
        <f t="shared" si="30"/>
        <v>Munich</v>
      </c>
      <c r="P129" t="s">
        <v>701</v>
      </c>
      <c r="Q129" t="s">
        <v>711</v>
      </c>
      <c r="R129" t="str">
        <f t="shared" si="31"/>
        <v>Direct</v>
      </c>
      <c r="S129" t="s">
        <v>717</v>
      </c>
      <c r="T129" t="str">
        <f t="shared" si="45"/>
        <v>B. Chen</v>
      </c>
      <c r="U129" t="s">
        <v>733</v>
      </c>
      <c r="V129" t="str">
        <f t="shared" si="32"/>
        <v>Low</v>
      </c>
      <c r="W129" t="s">
        <v>1212</v>
      </c>
      <c r="X129" t="str">
        <f t="shared" si="33"/>
        <v>A</v>
      </c>
      <c r="Y129" s="5">
        <v>553.61</v>
      </c>
      <c r="Z129" s="5">
        <v>699.47</v>
      </c>
      <c r="AA129" s="5">
        <f t="shared" si="34"/>
        <v>699.47</v>
      </c>
      <c r="AB129" s="7">
        <v>0.02</v>
      </c>
      <c r="AC129" s="7">
        <f t="shared" si="35"/>
        <v>0.02</v>
      </c>
      <c r="AD129" s="16">
        <f t="shared" si="36"/>
        <v>0</v>
      </c>
      <c r="AE129" s="16">
        <v>33</v>
      </c>
      <c r="AF129" s="5">
        <f t="shared" si="37"/>
        <v>22620.859800000002</v>
      </c>
      <c r="AG129">
        <f t="shared" si="38"/>
        <v>18269.13</v>
      </c>
      <c r="AH129" s="5">
        <f t="shared" si="39"/>
        <v>4351.729800000001</v>
      </c>
      <c r="AI129" s="5">
        <f t="shared" si="40"/>
        <v>0.19237685209472014</v>
      </c>
      <c r="AJ129" s="5">
        <f t="shared" si="43"/>
        <v>5334284.8741600011</v>
      </c>
      <c r="AK129" s="7">
        <f t="shared" si="41"/>
        <v>0.48733765566589188</v>
      </c>
      <c r="AL129" s="17">
        <f>MIN(AC129,'What-If Analysis'!$B$2)</f>
        <v>0.02</v>
      </c>
      <c r="AM129">
        <f>AE129*(1+'What-If Analysis'!$B$3)</f>
        <v>42.9</v>
      </c>
      <c r="AN129">
        <f>Y129*(1+'What-If Analysis'!$B$4)</f>
        <v>608.97100000000012</v>
      </c>
      <c r="AO129">
        <f t="shared" si="42"/>
        <v>29407.117739999998</v>
      </c>
    </row>
    <row r="130" spans="1:41" x14ac:dyDescent="0.3">
      <c r="A130" t="s">
        <v>336</v>
      </c>
      <c r="B130" s="3">
        <v>44985</v>
      </c>
      <c r="C130" s="3">
        <f t="shared" ref="C130:C193" si="46">IF(D130&lt;B130,D130,B130)</f>
        <v>44984</v>
      </c>
      <c r="D130" s="3">
        <v>44984</v>
      </c>
      <c r="E130" s="3">
        <f t="shared" ref="E130:E193" si="47">IF(D130&lt;B130,B130,D130)</f>
        <v>44985</v>
      </c>
      <c r="F130" s="16">
        <f t="shared" ref="F130:F193" si="48">E130-C130</f>
        <v>1</v>
      </c>
      <c r="G130" s="16">
        <f>IF(Data!F59&lt;=7,1,0)</f>
        <v>1</v>
      </c>
      <c r="H130" s="5" t="str">
        <f t="shared" ref="H130:H193" si="49">TEXT(C130,"MM-YYYY")</f>
        <v>02-2023</v>
      </c>
      <c r="I130" s="5" t="str">
        <f t="shared" ref="I130:I193" si="50">"Q"&amp;ROUNDUP(MONTH(H130)/3,0)&amp;"-"&amp;YEAR(H130)</f>
        <v>Q1-2023</v>
      </c>
      <c r="J130" s="3">
        <f t="shared" ref="J130:J193" si="51">_xlfn.MINIFS(C:C,M:M,M130)</f>
        <v>44936</v>
      </c>
      <c r="K130" s="5" t="str">
        <f t="shared" ref="K130:K193" si="52">TEXT(J130,"MM-YYYY")</f>
        <v>01-2023</v>
      </c>
      <c r="L130" t="s">
        <v>649</v>
      </c>
      <c r="M130" t="s">
        <v>657</v>
      </c>
      <c r="N130" t="s">
        <v>673</v>
      </c>
      <c r="O130" t="str">
        <f t="shared" ref="O130:O193" si="53">IF(N130="",_xlfn.XLOOKUP(M130,M:M,N:N),N130)</f>
        <v>Marseille</v>
      </c>
      <c r="P130" t="s">
        <v>701</v>
      </c>
      <c r="Q130" t="s">
        <v>707</v>
      </c>
      <c r="R130" t="str">
        <f t="shared" ref="R130:R193" si="54">IF(Q130="",_xlfn.XLOOKUP(M130,M:M,Q:Q),Q130)</f>
        <v>Retail</v>
      </c>
      <c r="S130" t="s">
        <v>723</v>
      </c>
      <c r="T130" t="str">
        <f t="shared" si="45"/>
        <v>K. Singh</v>
      </c>
      <c r="U130" t="s">
        <v>729</v>
      </c>
      <c r="V130" t="str">
        <f t="shared" ref="V130:V193" si="55">IF(AA130&lt;815.0987,"Low",IF(AA130&lt;1640.058,"Medium","High"))</f>
        <v>High</v>
      </c>
      <c r="W130" t="s">
        <v>1056</v>
      </c>
      <c r="X130" t="str">
        <f t="shared" ref="X130:X193" si="56">IF(AK130&lt;=80%,"A",IF(AK130&lt;=95%,"B","C"))</f>
        <v>A</v>
      </c>
      <c r="Y130" s="5">
        <v>1299.81</v>
      </c>
      <c r="Z130" s="5">
        <v>3149.13</v>
      </c>
      <c r="AA130" s="5">
        <f t="shared" ref="AA130:AA193" si="57">ABS(Z130)</f>
        <v>3149.13</v>
      </c>
      <c r="AB130" s="7">
        <v>0.10299999999999999</v>
      </c>
      <c r="AC130" s="7">
        <f t="shared" ref="AC130:AC193" si="58">MIN(AB130,30%)</f>
        <v>0.10299999999999999</v>
      </c>
      <c r="AD130" s="16">
        <f t="shared" ref="AD130:AD193" si="59">IF(AC130&gt;20%,1,0)</f>
        <v>0</v>
      </c>
      <c r="AE130" s="16">
        <v>14</v>
      </c>
      <c r="AF130" s="5">
        <f t="shared" ref="AF130:AF193" si="60">AA130*AE130*(1-AC130)</f>
        <v>39546.774539999999</v>
      </c>
      <c r="AG130">
        <f t="shared" ref="AG130:AG193" si="61">Y130*AE130</f>
        <v>18197.34</v>
      </c>
      <c r="AH130" s="5">
        <f t="shared" ref="AH130:AH193" si="62">ABS(AF130-AG130)</f>
        <v>21349.434539999998</v>
      </c>
      <c r="AI130" s="5">
        <f t="shared" ref="AI130:AI193" si="63">IF(AF130=0,0,AH130/AF130)</f>
        <v>0.53985273864511729</v>
      </c>
      <c r="AJ130" s="5">
        <f t="shared" si="43"/>
        <v>5373831.6487000007</v>
      </c>
      <c r="AK130" s="7">
        <f t="shared" ref="AK130:AK193" si="64">AJ130/SUM(AF:AF)</f>
        <v>0.49095062963487318</v>
      </c>
      <c r="AL130" s="17">
        <f>MIN(AC130,'What-If Analysis'!$B$2)</f>
        <v>0.10299999999999999</v>
      </c>
      <c r="AM130">
        <f>AE130*(1+'What-If Analysis'!$B$3)</f>
        <v>18.2</v>
      </c>
      <c r="AN130">
        <f>Y130*(1+'What-If Analysis'!$B$4)</f>
        <v>1429.7910000000002</v>
      </c>
      <c r="AO130">
        <f t="shared" ref="AO130:AO193" si="65">AA130*AM130*(1-AL130)</f>
        <v>51410.806901999997</v>
      </c>
    </row>
    <row r="131" spans="1:41" x14ac:dyDescent="0.3">
      <c r="A131" t="s">
        <v>149</v>
      </c>
      <c r="B131" s="3">
        <v>45647</v>
      </c>
      <c r="C131" s="3">
        <f t="shared" si="46"/>
        <v>45647</v>
      </c>
      <c r="D131" s="3">
        <v>45652</v>
      </c>
      <c r="E131" s="3">
        <f t="shared" si="47"/>
        <v>45652</v>
      </c>
      <c r="F131" s="16">
        <f t="shared" si="48"/>
        <v>5</v>
      </c>
      <c r="G131" s="16">
        <f>IF(Data!F319&lt;=7,1,0)</f>
        <v>0</v>
      </c>
      <c r="H131" s="5" t="str">
        <f t="shared" si="49"/>
        <v>12-2024</v>
      </c>
      <c r="I131" s="5" t="str">
        <f t="shared" si="50"/>
        <v>Q4-2024</v>
      </c>
      <c r="J131" s="3">
        <f t="shared" si="51"/>
        <v>44939</v>
      </c>
      <c r="K131" s="5" t="str">
        <f t="shared" si="52"/>
        <v>01-2023</v>
      </c>
      <c r="L131" t="s">
        <v>648</v>
      </c>
      <c r="M131" t="s">
        <v>660</v>
      </c>
      <c r="N131" t="s">
        <v>686</v>
      </c>
      <c r="O131" t="str">
        <f t="shared" si="53"/>
        <v>San Francisco</v>
      </c>
      <c r="P131" t="s">
        <v>704</v>
      </c>
      <c r="Q131" t="s">
        <v>709</v>
      </c>
      <c r="R131" t="str">
        <f t="shared" si="54"/>
        <v>Marketplace</v>
      </c>
      <c r="S131" t="s">
        <v>724</v>
      </c>
      <c r="T131" t="str">
        <f t="shared" si="45"/>
        <v>M. Rossi</v>
      </c>
      <c r="U131" t="s">
        <v>728</v>
      </c>
      <c r="V131" t="str">
        <f t="shared" si="55"/>
        <v>Low</v>
      </c>
      <c r="W131" t="s">
        <v>868</v>
      </c>
      <c r="X131" t="str">
        <f t="shared" si="56"/>
        <v>A</v>
      </c>
      <c r="Y131" s="5">
        <v>699.57</v>
      </c>
      <c r="Z131" s="5">
        <v>572.71</v>
      </c>
      <c r="AA131" s="5">
        <f t="shared" si="57"/>
        <v>572.71</v>
      </c>
      <c r="AB131" s="7">
        <v>0.192</v>
      </c>
      <c r="AC131" s="7">
        <f t="shared" si="58"/>
        <v>0.192</v>
      </c>
      <c r="AD131" s="16">
        <f t="shared" si="59"/>
        <v>0</v>
      </c>
      <c r="AE131" s="16">
        <v>26</v>
      </c>
      <c r="AF131" s="5">
        <f t="shared" si="60"/>
        <v>12031.491680000001</v>
      </c>
      <c r="AG131">
        <f t="shared" si="61"/>
        <v>18188.82</v>
      </c>
      <c r="AH131" s="5">
        <f t="shared" si="62"/>
        <v>6157.3283199999987</v>
      </c>
      <c r="AI131" s="5">
        <f t="shared" si="63"/>
        <v>0.51176765805651114</v>
      </c>
      <c r="AJ131" s="5">
        <f t="shared" ref="AJ131:AJ194" si="66">AJ130+AF131</f>
        <v>5385863.1403800007</v>
      </c>
      <c r="AK131" s="7">
        <f t="shared" si="64"/>
        <v>0.49204982082691057</v>
      </c>
      <c r="AL131" s="17">
        <f>MIN(AC131,'What-If Analysis'!$B$2)</f>
        <v>0.192</v>
      </c>
      <c r="AM131">
        <f>AE131*(1+'What-If Analysis'!$B$3)</f>
        <v>33.800000000000004</v>
      </c>
      <c r="AN131">
        <f>Y131*(1+'What-If Analysis'!$B$4)</f>
        <v>769.52700000000016</v>
      </c>
      <c r="AO131">
        <f t="shared" si="65"/>
        <v>15640.939184000006</v>
      </c>
    </row>
    <row r="132" spans="1:41" x14ac:dyDescent="0.3">
      <c r="A132" t="s">
        <v>26</v>
      </c>
      <c r="B132" s="3">
        <v>45660</v>
      </c>
      <c r="C132" s="3">
        <f t="shared" si="46"/>
        <v>45660</v>
      </c>
      <c r="D132" s="3">
        <v>45680</v>
      </c>
      <c r="E132" s="3">
        <f t="shared" si="47"/>
        <v>45680</v>
      </c>
      <c r="F132" s="16">
        <f t="shared" si="48"/>
        <v>20</v>
      </c>
      <c r="G132" s="16">
        <f>IF(Data!F357&lt;=7,1,0)</f>
        <v>0</v>
      </c>
      <c r="H132" s="5" t="str">
        <f t="shared" si="49"/>
        <v>01-2025</v>
      </c>
      <c r="I132" s="5" t="str">
        <f t="shared" si="50"/>
        <v>Q1-2025</v>
      </c>
      <c r="J132" s="3">
        <f t="shared" si="51"/>
        <v>44988</v>
      </c>
      <c r="K132" s="5" t="str">
        <f t="shared" si="52"/>
        <v>03-2023</v>
      </c>
      <c r="L132" t="s">
        <v>647</v>
      </c>
      <c r="M132" t="s">
        <v>652</v>
      </c>
      <c r="N132" t="s">
        <v>666</v>
      </c>
      <c r="O132" t="str">
        <f t="shared" si="53"/>
        <v>Osaka</v>
      </c>
      <c r="P132" t="s">
        <v>701</v>
      </c>
      <c r="Q132" t="s">
        <v>710</v>
      </c>
      <c r="R132" t="str">
        <f t="shared" si="54"/>
        <v>Distributor</v>
      </c>
      <c r="S132" t="s">
        <v>721</v>
      </c>
      <c r="T132" t="str">
        <f t="shared" si="45"/>
        <v>F. Müller</v>
      </c>
      <c r="U132" t="s">
        <v>730</v>
      </c>
      <c r="V132" t="str">
        <f t="shared" si="55"/>
        <v>Low</v>
      </c>
      <c r="W132" t="s">
        <v>745</v>
      </c>
      <c r="X132" t="str">
        <f t="shared" si="56"/>
        <v>A</v>
      </c>
      <c r="Y132" s="5">
        <v>908.6</v>
      </c>
      <c r="Z132" s="5">
        <v>691.37</v>
      </c>
      <c r="AA132" s="5">
        <f t="shared" si="57"/>
        <v>691.37</v>
      </c>
      <c r="AB132" s="7">
        <v>0.25</v>
      </c>
      <c r="AC132" s="7">
        <f t="shared" si="58"/>
        <v>0.25</v>
      </c>
      <c r="AD132" s="16">
        <f t="shared" si="59"/>
        <v>1</v>
      </c>
      <c r="AE132" s="16">
        <v>20</v>
      </c>
      <c r="AF132" s="5">
        <f t="shared" si="60"/>
        <v>10370.549999999999</v>
      </c>
      <c r="AG132">
        <f t="shared" si="61"/>
        <v>18172</v>
      </c>
      <c r="AH132" s="5">
        <f t="shared" si="62"/>
        <v>7801.4500000000007</v>
      </c>
      <c r="AI132" s="5">
        <f t="shared" si="63"/>
        <v>0.75226964818645115</v>
      </c>
      <c r="AJ132" s="5">
        <f t="shared" si="66"/>
        <v>5396233.6903800005</v>
      </c>
      <c r="AK132" s="7">
        <f t="shared" si="64"/>
        <v>0.49299726919987763</v>
      </c>
      <c r="AL132" s="17">
        <f>MIN(AC132,'What-If Analysis'!$B$2)</f>
        <v>0.2</v>
      </c>
      <c r="AM132">
        <f>AE132*(1+'What-If Analysis'!$B$3)</f>
        <v>26</v>
      </c>
      <c r="AN132">
        <f>Y132*(1+'What-If Analysis'!$B$4)</f>
        <v>999.46000000000015</v>
      </c>
      <c r="AO132">
        <f t="shared" si="65"/>
        <v>14380.495999999999</v>
      </c>
    </row>
    <row r="133" spans="1:41" x14ac:dyDescent="0.3">
      <c r="A133" t="s">
        <v>366</v>
      </c>
      <c r="B133" s="3">
        <v>45121</v>
      </c>
      <c r="C133" s="3">
        <f t="shared" si="46"/>
        <v>45121</v>
      </c>
      <c r="D133" s="3">
        <v>45121</v>
      </c>
      <c r="E133" s="3">
        <f t="shared" si="47"/>
        <v>45121</v>
      </c>
      <c r="F133" s="16">
        <f t="shared" si="48"/>
        <v>0</v>
      </c>
      <c r="G133" s="16">
        <f>IF(Data!F135&lt;=7,1,0)</f>
        <v>0</v>
      </c>
      <c r="H133" s="5" t="str">
        <f t="shared" si="49"/>
        <v>07-2023</v>
      </c>
      <c r="I133" s="5" t="str">
        <f t="shared" si="50"/>
        <v>Q3-2023</v>
      </c>
      <c r="J133" s="3">
        <f t="shared" si="51"/>
        <v>44939</v>
      </c>
      <c r="K133" s="5" t="str">
        <f t="shared" si="52"/>
        <v>01-2023</v>
      </c>
      <c r="L133" t="s">
        <v>646</v>
      </c>
      <c r="M133" t="s">
        <v>651</v>
      </c>
      <c r="N133" t="s">
        <v>665</v>
      </c>
      <c r="O133" t="str">
        <f t="shared" si="53"/>
        <v>Lagos</v>
      </c>
      <c r="P133" t="s">
        <v>702</v>
      </c>
      <c r="Q133" t="s">
        <v>707</v>
      </c>
      <c r="R133" t="str">
        <f t="shared" si="54"/>
        <v>Retail</v>
      </c>
      <c r="S133" t="s">
        <v>714</v>
      </c>
      <c r="T133" t="str">
        <f t="shared" si="45"/>
        <v>I. Johnson</v>
      </c>
      <c r="U133" t="s">
        <v>733</v>
      </c>
      <c r="V133" t="str">
        <f t="shared" si="55"/>
        <v>Medium</v>
      </c>
      <c r="W133" t="s">
        <v>1086</v>
      </c>
      <c r="X133" t="str">
        <f t="shared" si="56"/>
        <v>A</v>
      </c>
      <c r="Y133" s="5">
        <v>956.38</v>
      </c>
      <c r="Z133" s="5">
        <v>1454.22</v>
      </c>
      <c r="AA133" s="5">
        <f t="shared" si="57"/>
        <v>1454.22</v>
      </c>
      <c r="AB133" s="7">
        <v>3.9E-2</v>
      </c>
      <c r="AC133" s="7">
        <f t="shared" si="58"/>
        <v>3.9E-2</v>
      </c>
      <c r="AD133" s="16">
        <f t="shared" si="59"/>
        <v>0</v>
      </c>
      <c r="AE133" s="16">
        <v>19</v>
      </c>
      <c r="AF133" s="5">
        <f t="shared" si="60"/>
        <v>26552.60298</v>
      </c>
      <c r="AG133">
        <f t="shared" si="61"/>
        <v>18171.22</v>
      </c>
      <c r="AH133" s="5">
        <f t="shared" si="62"/>
        <v>8381.3829799999985</v>
      </c>
      <c r="AI133" s="5">
        <f t="shared" si="63"/>
        <v>0.31565202802576603</v>
      </c>
      <c r="AJ133" s="5">
        <f t="shared" si="66"/>
        <v>5422786.2933600005</v>
      </c>
      <c r="AK133" s="7">
        <f t="shared" si="64"/>
        <v>0.49542310201409123</v>
      </c>
      <c r="AL133" s="17">
        <f>MIN(AC133,'What-If Analysis'!$B$2)</f>
        <v>3.9E-2</v>
      </c>
      <c r="AM133">
        <f>AE133*(1+'What-If Analysis'!$B$3)</f>
        <v>24.7</v>
      </c>
      <c r="AN133">
        <f>Y133*(1+'What-If Analysis'!$B$4)</f>
        <v>1052.018</v>
      </c>
      <c r="AO133">
        <f t="shared" si="65"/>
        <v>34518.383873999999</v>
      </c>
    </row>
    <row r="134" spans="1:41" x14ac:dyDescent="0.3">
      <c r="A134" t="s">
        <v>266</v>
      </c>
      <c r="B134" s="3">
        <v>45366</v>
      </c>
      <c r="C134" s="3">
        <f t="shared" si="46"/>
        <v>45366</v>
      </c>
      <c r="D134" s="3">
        <v>45391</v>
      </c>
      <c r="E134" s="3">
        <f t="shared" si="47"/>
        <v>45391</v>
      </c>
      <c r="F134" s="16">
        <f t="shared" si="48"/>
        <v>25</v>
      </c>
      <c r="G134" s="16">
        <f>IF(Data!F227&lt;=7,1,0)</f>
        <v>0</v>
      </c>
      <c r="H134" s="5" t="str">
        <f t="shared" si="49"/>
        <v>03-2024</v>
      </c>
      <c r="I134" s="5" t="str">
        <f t="shared" si="50"/>
        <v>Q1-2024</v>
      </c>
      <c r="J134" s="3">
        <f t="shared" si="51"/>
        <v>44928</v>
      </c>
      <c r="K134" s="5" t="str">
        <f t="shared" si="52"/>
        <v>01-2023</v>
      </c>
      <c r="L134" t="s">
        <v>648</v>
      </c>
      <c r="M134" t="s">
        <v>653</v>
      </c>
      <c r="N134" t="s">
        <v>688</v>
      </c>
      <c r="O134" t="str">
        <f t="shared" si="53"/>
        <v>Vancouver</v>
      </c>
      <c r="P134" t="s">
        <v>704</v>
      </c>
      <c r="Q134" t="s">
        <v>708</v>
      </c>
      <c r="R134" t="str">
        <f t="shared" si="54"/>
        <v>Online</v>
      </c>
      <c r="S134" t="s">
        <v>721</v>
      </c>
      <c r="T134" t="str">
        <f t="shared" si="45"/>
        <v>F. Müller</v>
      </c>
      <c r="U134" t="s">
        <v>732</v>
      </c>
      <c r="V134" t="str">
        <f t="shared" si="55"/>
        <v>Medium</v>
      </c>
      <c r="W134" t="s">
        <v>986</v>
      </c>
      <c r="X134" t="str">
        <f t="shared" si="56"/>
        <v>A</v>
      </c>
      <c r="Y134" s="5">
        <v>648.64</v>
      </c>
      <c r="Z134" s="5">
        <v>815.19</v>
      </c>
      <c r="AA134" s="5">
        <f t="shared" si="57"/>
        <v>815.19</v>
      </c>
      <c r="AB134" s="7">
        <v>0.22500000000000001</v>
      </c>
      <c r="AC134" s="7">
        <f t="shared" si="58"/>
        <v>0.22500000000000001</v>
      </c>
      <c r="AD134" s="16">
        <f t="shared" si="59"/>
        <v>1</v>
      </c>
      <c r="AE134" s="16">
        <v>28</v>
      </c>
      <c r="AF134" s="5">
        <f t="shared" si="60"/>
        <v>17689.623</v>
      </c>
      <c r="AG134">
        <f t="shared" si="61"/>
        <v>18161.919999999998</v>
      </c>
      <c r="AH134" s="5">
        <f t="shared" si="62"/>
        <v>472.29699999999866</v>
      </c>
      <c r="AI134" s="5">
        <f t="shared" si="63"/>
        <v>2.6699099240272032E-2</v>
      </c>
      <c r="AJ134" s="5">
        <f t="shared" si="66"/>
        <v>5440475.9163600001</v>
      </c>
      <c r="AK134" s="7">
        <f t="shared" si="64"/>
        <v>0.49703921731460576</v>
      </c>
      <c r="AL134" s="17">
        <f>MIN(AC134,'What-If Analysis'!$B$2)</f>
        <v>0.2</v>
      </c>
      <c r="AM134">
        <f>AE134*(1+'What-If Analysis'!$B$3)</f>
        <v>36.4</v>
      </c>
      <c r="AN134">
        <f>Y134*(1+'What-If Analysis'!$B$4)</f>
        <v>713.50400000000002</v>
      </c>
      <c r="AO134">
        <f t="shared" si="65"/>
        <v>23738.332800000004</v>
      </c>
    </row>
    <row r="135" spans="1:41" x14ac:dyDescent="0.3">
      <c r="A135" t="s">
        <v>91</v>
      </c>
      <c r="B135" s="3">
        <v>45532</v>
      </c>
      <c r="C135" s="3">
        <f t="shared" si="46"/>
        <v>45532</v>
      </c>
      <c r="D135" s="3">
        <v>45560</v>
      </c>
      <c r="E135" s="3">
        <f t="shared" si="47"/>
        <v>45560</v>
      </c>
      <c r="F135" s="16">
        <f t="shared" si="48"/>
        <v>28</v>
      </c>
      <c r="G135" s="16">
        <f>IF(Data!F72&lt;=7,1,0)</f>
        <v>1</v>
      </c>
      <c r="H135" s="5" t="str">
        <f t="shared" si="49"/>
        <v>08-2024</v>
      </c>
      <c r="I135" s="5" t="str">
        <f t="shared" si="50"/>
        <v>Q3-2024</v>
      </c>
      <c r="J135" s="3">
        <f t="shared" si="51"/>
        <v>44955</v>
      </c>
      <c r="K135" s="5" t="str">
        <f t="shared" si="52"/>
        <v>01-2023</v>
      </c>
      <c r="L135" t="s">
        <v>648</v>
      </c>
      <c r="M135" t="s">
        <v>655</v>
      </c>
      <c r="N135" t="s">
        <v>692</v>
      </c>
      <c r="O135" t="str">
        <f t="shared" si="53"/>
        <v>Rio de Janeiro</v>
      </c>
      <c r="P135" t="s">
        <v>703</v>
      </c>
      <c r="Q135" t="s">
        <v>708</v>
      </c>
      <c r="R135" t="str">
        <f t="shared" si="54"/>
        <v>Online</v>
      </c>
      <c r="T135" t="str">
        <f t="shared" ref="T135:T143" si="67">IF(S135="",_xlfn.XLOOKUP(L135,L:L,S:S),S135)</f>
        <v>H. Kim</v>
      </c>
      <c r="U135" t="s">
        <v>733</v>
      </c>
      <c r="V135" t="str">
        <f t="shared" si="55"/>
        <v>High</v>
      </c>
      <c r="W135" t="s">
        <v>810</v>
      </c>
      <c r="X135" t="str">
        <f t="shared" si="56"/>
        <v>A</v>
      </c>
      <c r="Y135" s="5">
        <v>1394.65</v>
      </c>
      <c r="Z135" s="5">
        <v>3144.1</v>
      </c>
      <c r="AA135" s="5">
        <f t="shared" si="57"/>
        <v>3144.1</v>
      </c>
      <c r="AB135" s="7">
        <v>0.13400000000000001</v>
      </c>
      <c r="AC135" s="7">
        <f t="shared" si="58"/>
        <v>0.13400000000000001</v>
      </c>
      <c r="AD135" s="16">
        <f t="shared" si="59"/>
        <v>0</v>
      </c>
      <c r="AE135" s="16">
        <v>13</v>
      </c>
      <c r="AF135" s="5">
        <f t="shared" si="60"/>
        <v>35396.277799999996</v>
      </c>
      <c r="AG135">
        <f t="shared" si="61"/>
        <v>18130.45</v>
      </c>
      <c r="AH135" s="5">
        <f t="shared" si="62"/>
        <v>17265.827799999995</v>
      </c>
      <c r="AI135" s="5">
        <f t="shared" si="63"/>
        <v>0.4877865378263021</v>
      </c>
      <c r="AJ135" s="5">
        <f t="shared" si="66"/>
        <v>5475872.1941600004</v>
      </c>
      <c r="AK135" s="7">
        <f t="shared" si="64"/>
        <v>0.50027300393254803</v>
      </c>
      <c r="AL135" s="17">
        <f>MIN(AC135,'What-If Analysis'!$B$2)</f>
        <v>0.13400000000000001</v>
      </c>
      <c r="AM135">
        <f>AE135*(1+'What-If Analysis'!$B$3)</f>
        <v>16.900000000000002</v>
      </c>
      <c r="AN135">
        <f>Y135*(1+'What-If Analysis'!$B$4)</f>
        <v>1534.1150000000002</v>
      </c>
      <c r="AO135">
        <f t="shared" si="65"/>
        <v>46015.161140000004</v>
      </c>
    </row>
    <row r="136" spans="1:41" x14ac:dyDescent="0.3">
      <c r="A136" t="s">
        <v>485</v>
      </c>
      <c r="B136" s="3">
        <v>45167</v>
      </c>
      <c r="C136" s="3">
        <f t="shared" si="46"/>
        <v>45167</v>
      </c>
      <c r="D136" s="3">
        <v>45188</v>
      </c>
      <c r="E136" s="3">
        <f t="shared" si="47"/>
        <v>45188</v>
      </c>
      <c r="F136" s="16">
        <f t="shared" si="48"/>
        <v>21</v>
      </c>
      <c r="G136" s="16">
        <f>IF(Data!F68&lt;=7,1,0)</f>
        <v>0</v>
      </c>
      <c r="H136" s="5" t="str">
        <f t="shared" si="49"/>
        <v>08-2023</v>
      </c>
      <c r="I136" s="5" t="str">
        <f t="shared" si="50"/>
        <v>Q3-2023</v>
      </c>
      <c r="J136" s="3">
        <f t="shared" si="51"/>
        <v>44936</v>
      </c>
      <c r="K136" s="5" t="str">
        <f t="shared" si="52"/>
        <v>01-2023</v>
      </c>
      <c r="L136" t="s">
        <v>649</v>
      </c>
      <c r="M136" t="s">
        <v>657</v>
      </c>
      <c r="N136" t="s">
        <v>679</v>
      </c>
      <c r="O136" t="str">
        <f t="shared" si="53"/>
        <v>Lyon</v>
      </c>
      <c r="P136" t="s">
        <v>705</v>
      </c>
      <c r="Q136" t="s">
        <v>711</v>
      </c>
      <c r="R136" t="str">
        <f t="shared" si="54"/>
        <v>Direct</v>
      </c>
      <c r="S136" t="s">
        <v>717</v>
      </c>
      <c r="T136" t="str">
        <f t="shared" si="67"/>
        <v>B. Chen</v>
      </c>
      <c r="U136" t="s">
        <v>728</v>
      </c>
      <c r="V136" t="str">
        <f t="shared" si="55"/>
        <v>High</v>
      </c>
      <c r="W136" t="s">
        <v>1204</v>
      </c>
      <c r="X136" t="str">
        <f t="shared" si="56"/>
        <v>A</v>
      </c>
      <c r="Y136" s="5">
        <v>784.46</v>
      </c>
      <c r="Z136" s="5">
        <v>1843.51</v>
      </c>
      <c r="AA136" s="5">
        <f t="shared" si="57"/>
        <v>1843.51</v>
      </c>
      <c r="AB136" s="7">
        <v>0.13800000000000001</v>
      </c>
      <c r="AC136" s="7">
        <f t="shared" si="58"/>
        <v>0.13800000000000001</v>
      </c>
      <c r="AD136" s="16">
        <f t="shared" si="59"/>
        <v>0</v>
      </c>
      <c r="AE136" s="16">
        <v>23</v>
      </c>
      <c r="AF136" s="5">
        <f t="shared" si="60"/>
        <v>36549.429260000004</v>
      </c>
      <c r="AG136">
        <f t="shared" si="61"/>
        <v>18042.580000000002</v>
      </c>
      <c r="AH136" s="5">
        <f t="shared" si="62"/>
        <v>18506.849260000003</v>
      </c>
      <c r="AI136" s="5">
        <f t="shared" si="63"/>
        <v>0.50635125184441798</v>
      </c>
      <c r="AJ136" s="5">
        <f t="shared" si="66"/>
        <v>5512421.6234200001</v>
      </c>
      <c r="AK136" s="7">
        <f t="shared" si="64"/>
        <v>0.50361214190355863</v>
      </c>
      <c r="AL136" s="17">
        <f>MIN(AC136,'What-If Analysis'!$B$2)</f>
        <v>0.13800000000000001</v>
      </c>
      <c r="AM136">
        <f>AE136*(1+'What-If Analysis'!$B$3)</f>
        <v>29.900000000000002</v>
      </c>
      <c r="AN136">
        <f>Y136*(1+'What-If Analysis'!$B$4)</f>
        <v>862.90600000000006</v>
      </c>
      <c r="AO136">
        <f t="shared" si="65"/>
        <v>47514.258038</v>
      </c>
    </row>
    <row r="137" spans="1:41" x14ac:dyDescent="0.3">
      <c r="A137" t="s">
        <v>166</v>
      </c>
      <c r="B137" s="3">
        <v>45110</v>
      </c>
      <c r="C137" s="3">
        <f t="shared" si="46"/>
        <v>45110</v>
      </c>
      <c r="D137" s="3">
        <v>45130</v>
      </c>
      <c r="E137" s="3">
        <f t="shared" si="47"/>
        <v>45130</v>
      </c>
      <c r="F137" s="16">
        <f t="shared" si="48"/>
        <v>20</v>
      </c>
      <c r="G137" s="16">
        <f>IF(Data!F185&lt;=7,1,0)</f>
        <v>0</v>
      </c>
      <c r="H137" s="5" t="str">
        <f t="shared" si="49"/>
        <v>07-2023</v>
      </c>
      <c r="I137" s="5" t="str">
        <f t="shared" si="50"/>
        <v>Q3-2023</v>
      </c>
      <c r="J137" s="3">
        <f t="shared" si="51"/>
        <v>44933</v>
      </c>
      <c r="K137" s="5" t="str">
        <f t="shared" si="52"/>
        <v>01-2023</v>
      </c>
      <c r="L137" t="s">
        <v>646</v>
      </c>
      <c r="M137" t="s">
        <v>661</v>
      </c>
      <c r="N137" t="s">
        <v>682</v>
      </c>
      <c r="O137" t="str">
        <f t="shared" si="53"/>
        <v>Johannesburg</v>
      </c>
      <c r="P137" t="s">
        <v>705</v>
      </c>
      <c r="Q137" t="s">
        <v>710</v>
      </c>
      <c r="R137" t="str">
        <f t="shared" si="54"/>
        <v>Distributor</v>
      </c>
      <c r="S137" t="s">
        <v>721</v>
      </c>
      <c r="T137" t="str">
        <f t="shared" si="67"/>
        <v>F. Müller</v>
      </c>
      <c r="U137" t="s">
        <v>731</v>
      </c>
      <c r="V137" t="str">
        <f t="shared" si="55"/>
        <v>Medium</v>
      </c>
      <c r="W137" t="s">
        <v>885</v>
      </c>
      <c r="X137" t="str">
        <f t="shared" si="56"/>
        <v>A</v>
      </c>
      <c r="Y137" s="5">
        <v>1001.96</v>
      </c>
      <c r="Z137" s="5">
        <v>1254.95</v>
      </c>
      <c r="AA137" s="5">
        <f t="shared" si="57"/>
        <v>1254.95</v>
      </c>
      <c r="AB137" s="7">
        <v>4.4999999999999998E-2</v>
      </c>
      <c r="AC137" s="7">
        <f t="shared" si="58"/>
        <v>4.4999999999999998E-2</v>
      </c>
      <c r="AD137" s="16">
        <f t="shared" si="59"/>
        <v>0</v>
      </c>
      <c r="AE137" s="16">
        <v>18</v>
      </c>
      <c r="AF137" s="5">
        <f t="shared" si="60"/>
        <v>21572.590500000002</v>
      </c>
      <c r="AG137">
        <f t="shared" si="61"/>
        <v>18035.28</v>
      </c>
      <c r="AH137" s="5">
        <f t="shared" si="62"/>
        <v>3537.3105000000032</v>
      </c>
      <c r="AI137" s="5">
        <f t="shared" si="63"/>
        <v>0.16397244920585699</v>
      </c>
      <c r="AJ137" s="5">
        <f t="shared" si="66"/>
        <v>5533994.21392</v>
      </c>
      <c r="AK137" s="7">
        <f t="shared" si="64"/>
        <v>0.50558300321466654</v>
      </c>
      <c r="AL137" s="17">
        <f>MIN(AC137,'What-If Analysis'!$B$2)</f>
        <v>4.4999999999999998E-2</v>
      </c>
      <c r="AM137">
        <f>AE137*(1+'What-If Analysis'!$B$3)</f>
        <v>23.400000000000002</v>
      </c>
      <c r="AN137">
        <f>Y137*(1+'What-If Analysis'!$B$4)</f>
        <v>1102.1560000000002</v>
      </c>
      <c r="AO137">
        <f t="shared" si="65"/>
        <v>28044.367650000004</v>
      </c>
    </row>
    <row r="138" spans="1:41" x14ac:dyDescent="0.3">
      <c r="A138" t="s">
        <v>388</v>
      </c>
      <c r="B138" s="3">
        <v>45429</v>
      </c>
      <c r="C138" s="3">
        <f t="shared" si="46"/>
        <v>45429</v>
      </c>
      <c r="D138" s="3">
        <v>45439</v>
      </c>
      <c r="E138" s="3">
        <f t="shared" si="47"/>
        <v>45439</v>
      </c>
      <c r="F138" s="16">
        <f t="shared" si="48"/>
        <v>10</v>
      </c>
      <c r="G138" s="16">
        <f>IF(Data!F104&lt;=7,1,0)</f>
        <v>0</v>
      </c>
      <c r="H138" s="5" t="str">
        <f t="shared" si="49"/>
        <v>05-2024</v>
      </c>
      <c r="I138" s="5" t="str">
        <f t="shared" si="50"/>
        <v>Q2-2024</v>
      </c>
      <c r="J138" s="3">
        <f t="shared" si="51"/>
        <v>44939</v>
      </c>
      <c r="K138" s="5" t="str">
        <f t="shared" si="52"/>
        <v>01-2023</v>
      </c>
      <c r="L138" t="s">
        <v>648</v>
      </c>
      <c r="M138" t="s">
        <v>660</v>
      </c>
      <c r="N138" t="s">
        <v>697</v>
      </c>
      <c r="O138" t="str">
        <f t="shared" si="53"/>
        <v>Austin</v>
      </c>
      <c r="P138" t="s">
        <v>703</v>
      </c>
      <c r="Q138" t="s">
        <v>708</v>
      </c>
      <c r="R138" t="str">
        <f t="shared" si="54"/>
        <v>Online</v>
      </c>
      <c r="S138" t="s">
        <v>712</v>
      </c>
      <c r="T138" t="str">
        <f t="shared" si="67"/>
        <v>C. Otieno</v>
      </c>
      <c r="U138" t="s">
        <v>730</v>
      </c>
      <c r="V138" t="str">
        <f t="shared" si="55"/>
        <v>High</v>
      </c>
      <c r="W138" t="s">
        <v>1108</v>
      </c>
      <c r="X138" t="str">
        <f t="shared" si="56"/>
        <v>A</v>
      </c>
      <c r="Y138" s="5">
        <v>1484.23</v>
      </c>
      <c r="Z138" s="5">
        <v>3472.81</v>
      </c>
      <c r="AA138" s="5">
        <f t="shared" si="57"/>
        <v>3472.81</v>
      </c>
      <c r="AB138" s="7">
        <v>0.25600000000000001</v>
      </c>
      <c r="AC138" s="7">
        <f t="shared" si="58"/>
        <v>0.25600000000000001</v>
      </c>
      <c r="AD138" s="16">
        <f t="shared" si="59"/>
        <v>1</v>
      </c>
      <c r="AE138" s="16">
        <v>12</v>
      </c>
      <c r="AF138" s="5">
        <f t="shared" si="60"/>
        <v>31005.24768</v>
      </c>
      <c r="AG138">
        <f t="shared" si="61"/>
        <v>17810.760000000002</v>
      </c>
      <c r="AH138" s="5">
        <f t="shared" si="62"/>
        <v>13194.487679999998</v>
      </c>
      <c r="AI138" s="5">
        <f t="shared" si="63"/>
        <v>0.42555659661803413</v>
      </c>
      <c r="AJ138" s="5">
        <f t="shared" si="66"/>
        <v>5564999.4616</v>
      </c>
      <c r="AK138" s="7">
        <f t="shared" si="64"/>
        <v>0.50841562746968272</v>
      </c>
      <c r="AL138" s="17">
        <f>MIN(AC138,'What-If Analysis'!$B$2)</f>
        <v>0.2</v>
      </c>
      <c r="AM138">
        <f>AE138*(1+'What-If Analysis'!$B$3)</f>
        <v>15.600000000000001</v>
      </c>
      <c r="AN138">
        <f>Y138*(1+'What-If Analysis'!$B$4)</f>
        <v>1632.6530000000002</v>
      </c>
      <c r="AO138">
        <f t="shared" si="65"/>
        <v>43340.668800000007</v>
      </c>
    </row>
    <row r="139" spans="1:41" x14ac:dyDescent="0.3">
      <c r="A139" t="s">
        <v>76</v>
      </c>
      <c r="B139" s="3">
        <v>45910</v>
      </c>
      <c r="C139" s="3">
        <f t="shared" si="46"/>
        <v>45910</v>
      </c>
      <c r="D139" s="3">
        <v>45912</v>
      </c>
      <c r="E139" s="3">
        <f t="shared" si="47"/>
        <v>45912</v>
      </c>
      <c r="F139" s="16">
        <f t="shared" si="48"/>
        <v>2</v>
      </c>
      <c r="G139" s="16">
        <f>IF(Data!F125&lt;=7,1,0)</f>
        <v>0</v>
      </c>
      <c r="H139" s="5" t="str">
        <f t="shared" si="49"/>
        <v>09-2025</v>
      </c>
      <c r="I139" s="5" t="str">
        <f t="shared" si="50"/>
        <v>Q3-2025</v>
      </c>
      <c r="J139" s="3">
        <f t="shared" si="51"/>
        <v>44988</v>
      </c>
      <c r="K139" s="5" t="str">
        <f t="shared" si="52"/>
        <v>03-2023</v>
      </c>
      <c r="L139" t="s">
        <v>647</v>
      </c>
      <c r="M139" t="s">
        <v>652</v>
      </c>
      <c r="N139" t="s">
        <v>689</v>
      </c>
      <c r="O139" t="str">
        <f t="shared" si="53"/>
        <v>Tokyo</v>
      </c>
      <c r="P139" t="s">
        <v>704</v>
      </c>
      <c r="Q139" t="s">
        <v>708</v>
      </c>
      <c r="R139" t="str">
        <f t="shared" si="54"/>
        <v>Online</v>
      </c>
      <c r="S139" t="s">
        <v>719</v>
      </c>
      <c r="T139" t="str">
        <f t="shared" si="67"/>
        <v>O. Wang</v>
      </c>
      <c r="U139" t="s">
        <v>727</v>
      </c>
      <c r="V139" t="str">
        <f t="shared" si="55"/>
        <v>High</v>
      </c>
      <c r="W139" t="s">
        <v>795</v>
      </c>
      <c r="X139" t="str">
        <f t="shared" si="56"/>
        <v>A</v>
      </c>
      <c r="Y139" s="5">
        <v>1470.15</v>
      </c>
      <c r="Z139" s="5">
        <v>2593.7800000000002</v>
      </c>
      <c r="AA139" s="5">
        <f t="shared" si="57"/>
        <v>2593.7800000000002</v>
      </c>
      <c r="AB139" s="7">
        <v>0.11</v>
      </c>
      <c r="AC139" s="7">
        <f t="shared" si="58"/>
        <v>0.11</v>
      </c>
      <c r="AD139" s="16">
        <f t="shared" si="59"/>
        <v>0</v>
      </c>
      <c r="AE139" s="16">
        <v>12</v>
      </c>
      <c r="AF139" s="5">
        <f t="shared" si="60"/>
        <v>27701.570400000001</v>
      </c>
      <c r="AG139">
        <f t="shared" si="61"/>
        <v>17641.800000000003</v>
      </c>
      <c r="AH139" s="5">
        <f t="shared" si="62"/>
        <v>10059.770399999998</v>
      </c>
      <c r="AI139" s="5">
        <f t="shared" si="63"/>
        <v>0.36314801849645306</v>
      </c>
      <c r="AJ139" s="5">
        <f t="shared" si="66"/>
        <v>5592701.0319999997</v>
      </c>
      <c r="AK139" s="7">
        <f t="shared" si="64"/>
        <v>0.51094642938511758</v>
      </c>
      <c r="AL139" s="17">
        <f>MIN(AC139,'What-If Analysis'!$B$2)</f>
        <v>0.11</v>
      </c>
      <c r="AM139">
        <f>AE139*(1+'What-If Analysis'!$B$3)</f>
        <v>15.600000000000001</v>
      </c>
      <c r="AN139">
        <f>Y139*(1+'What-If Analysis'!$B$4)</f>
        <v>1617.1650000000002</v>
      </c>
      <c r="AO139">
        <f t="shared" si="65"/>
        <v>36012.041520000006</v>
      </c>
    </row>
    <row r="140" spans="1:41" x14ac:dyDescent="0.3">
      <c r="A140" t="s">
        <v>240</v>
      </c>
      <c r="B140" s="3">
        <v>45137</v>
      </c>
      <c r="C140" s="3">
        <f t="shared" si="46"/>
        <v>45137</v>
      </c>
      <c r="D140" s="3">
        <v>45145</v>
      </c>
      <c r="E140" s="3">
        <f t="shared" si="47"/>
        <v>45145</v>
      </c>
      <c r="F140" s="16">
        <f t="shared" si="48"/>
        <v>8</v>
      </c>
      <c r="G140" s="16">
        <f>IF(Data!F108&lt;=7,1,0)</f>
        <v>0</v>
      </c>
      <c r="H140" s="5" t="str">
        <f t="shared" si="49"/>
        <v>07-2023</v>
      </c>
      <c r="I140" s="5" t="str">
        <f t="shared" si="50"/>
        <v>Q3-2023</v>
      </c>
      <c r="J140" s="3">
        <f t="shared" si="51"/>
        <v>44988</v>
      </c>
      <c r="K140" s="5" t="str">
        <f t="shared" si="52"/>
        <v>03-2023</v>
      </c>
      <c r="L140" t="s">
        <v>647</v>
      </c>
      <c r="M140" t="s">
        <v>652</v>
      </c>
      <c r="N140" t="s">
        <v>694</v>
      </c>
      <c r="O140" t="str">
        <f t="shared" si="53"/>
        <v>Nagoya</v>
      </c>
      <c r="P140" t="s">
        <v>702</v>
      </c>
      <c r="Q140" t="s">
        <v>709</v>
      </c>
      <c r="R140" t="str">
        <f t="shared" si="54"/>
        <v>Marketplace</v>
      </c>
      <c r="S140" t="s">
        <v>720</v>
      </c>
      <c r="T140" t="str">
        <f t="shared" si="67"/>
        <v>A. Patel</v>
      </c>
      <c r="U140" t="s">
        <v>729</v>
      </c>
      <c r="V140" t="str">
        <f t="shared" si="55"/>
        <v>High</v>
      </c>
      <c r="W140" t="s">
        <v>960</v>
      </c>
      <c r="X140" t="str">
        <f t="shared" si="56"/>
        <v>A</v>
      </c>
      <c r="Y140" s="5">
        <v>1352.44</v>
      </c>
      <c r="Z140" s="5">
        <v>2698.01</v>
      </c>
      <c r="AA140" s="5">
        <f t="shared" si="57"/>
        <v>2698.01</v>
      </c>
      <c r="AB140" s="7">
        <v>0.13100000000000001</v>
      </c>
      <c r="AC140" s="7">
        <f t="shared" si="58"/>
        <v>0.13100000000000001</v>
      </c>
      <c r="AD140" s="16">
        <f t="shared" si="59"/>
        <v>0</v>
      </c>
      <c r="AE140" s="16">
        <v>13</v>
      </c>
      <c r="AF140" s="5">
        <f t="shared" si="60"/>
        <v>30479.418970000002</v>
      </c>
      <c r="AG140">
        <f t="shared" si="61"/>
        <v>17581.72</v>
      </c>
      <c r="AH140" s="5">
        <f t="shared" si="62"/>
        <v>12897.698970000001</v>
      </c>
      <c r="AI140" s="5">
        <f t="shared" si="63"/>
        <v>0.42316091992090887</v>
      </c>
      <c r="AJ140" s="5">
        <f t="shared" si="66"/>
        <v>5623180.4509699997</v>
      </c>
      <c r="AK140" s="7">
        <f t="shared" si="64"/>
        <v>0.51373101418651279</v>
      </c>
      <c r="AL140" s="17">
        <f>MIN(AC140,'What-If Analysis'!$B$2)</f>
        <v>0.13100000000000001</v>
      </c>
      <c r="AM140">
        <f>AE140*(1+'What-If Analysis'!$B$3)</f>
        <v>16.900000000000002</v>
      </c>
      <c r="AN140">
        <f>Y140*(1+'What-If Analysis'!$B$4)</f>
        <v>1487.6840000000002</v>
      </c>
      <c r="AO140">
        <f t="shared" si="65"/>
        <v>39623.244661000004</v>
      </c>
    </row>
    <row r="141" spans="1:41" x14ac:dyDescent="0.3">
      <c r="A141" t="s">
        <v>482</v>
      </c>
      <c r="B141" s="3">
        <v>45809</v>
      </c>
      <c r="C141" s="3">
        <f t="shared" si="46"/>
        <v>45809</v>
      </c>
      <c r="D141" s="3">
        <v>45813</v>
      </c>
      <c r="E141" s="3">
        <f t="shared" si="47"/>
        <v>45813</v>
      </c>
      <c r="F141" s="16">
        <f t="shared" si="48"/>
        <v>4</v>
      </c>
      <c r="G141" s="16">
        <f>IF(Data!F149&lt;=7,1,0)</f>
        <v>1</v>
      </c>
      <c r="H141" s="5" t="str">
        <f t="shared" si="49"/>
        <v>06-2025</v>
      </c>
      <c r="I141" s="5" t="str">
        <f t="shared" si="50"/>
        <v>Q2-2025</v>
      </c>
      <c r="J141" s="3">
        <f t="shared" si="51"/>
        <v>44947</v>
      </c>
      <c r="K141" s="5" t="str">
        <f t="shared" si="52"/>
        <v>01-2023</v>
      </c>
      <c r="L141" t="s">
        <v>649</v>
      </c>
      <c r="M141" t="s">
        <v>656</v>
      </c>
      <c r="N141" t="s">
        <v>684</v>
      </c>
      <c r="O141" t="str">
        <f t="shared" si="53"/>
        <v>Munich</v>
      </c>
      <c r="P141" t="s">
        <v>706</v>
      </c>
      <c r="Q141" t="s">
        <v>711</v>
      </c>
      <c r="R141" t="str">
        <f t="shared" si="54"/>
        <v>Direct</v>
      </c>
      <c r="S141" t="s">
        <v>724</v>
      </c>
      <c r="T141" t="str">
        <f t="shared" si="67"/>
        <v>M. Rossi</v>
      </c>
      <c r="U141" t="s">
        <v>727</v>
      </c>
      <c r="V141" t="str">
        <f t="shared" si="55"/>
        <v>High</v>
      </c>
      <c r="W141" t="s">
        <v>1201</v>
      </c>
      <c r="X141" t="str">
        <f t="shared" si="56"/>
        <v>A</v>
      </c>
      <c r="Y141" s="5">
        <v>1171.42</v>
      </c>
      <c r="Z141" s="5">
        <v>2187.8000000000002</v>
      </c>
      <c r="AA141" s="5">
        <f t="shared" si="57"/>
        <v>2187.8000000000002</v>
      </c>
      <c r="AB141" s="7">
        <v>0.23</v>
      </c>
      <c r="AC141" s="7">
        <f t="shared" si="58"/>
        <v>0.23</v>
      </c>
      <c r="AD141" s="16">
        <f t="shared" si="59"/>
        <v>1</v>
      </c>
      <c r="AE141" s="16">
        <v>15</v>
      </c>
      <c r="AF141" s="5">
        <f t="shared" si="60"/>
        <v>25269.09</v>
      </c>
      <c r="AG141">
        <f t="shared" si="61"/>
        <v>17571.300000000003</v>
      </c>
      <c r="AH141" s="5">
        <f t="shared" si="62"/>
        <v>7697.7899999999972</v>
      </c>
      <c r="AI141" s="5">
        <f t="shared" si="63"/>
        <v>0.30463265594447592</v>
      </c>
      <c r="AJ141" s="5">
        <f t="shared" si="66"/>
        <v>5648449.5409699995</v>
      </c>
      <c r="AK141" s="7">
        <f t="shared" si="64"/>
        <v>0.51603958588298593</v>
      </c>
      <c r="AL141" s="17">
        <f>MIN(AC141,'What-If Analysis'!$B$2)</f>
        <v>0.2</v>
      </c>
      <c r="AM141">
        <f>AE141*(1+'What-If Analysis'!$B$3)</f>
        <v>19.5</v>
      </c>
      <c r="AN141">
        <f>Y141*(1+'What-If Analysis'!$B$4)</f>
        <v>1288.5620000000001</v>
      </c>
      <c r="AO141">
        <f t="shared" si="65"/>
        <v>34129.680000000008</v>
      </c>
    </row>
    <row r="142" spans="1:41" x14ac:dyDescent="0.3">
      <c r="A142" t="s">
        <v>17</v>
      </c>
      <c r="B142" s="3">
        <v>44985</v>
      </c>
      <c r="C142" s="3">
        <f t="shared" si="46"/>
        <v>44985</v>
      </c>
      <c r="D142" s="3">
        <v>45010</v>
      </c>
      <c r="E142" s="3">
        <f t="shared" si="47"/>
        <v>45010</v>
      </c>
      <c r="F142" s="16">
        <f t="shared" si="48"/>
        <v>25</v>
      </c>
      <c r="G142" s="16">
        <f>IF(Data!F623&lt;=7,1,0)</f>
        <v>1</v>
      </c>
      <c r="H142" s="5" t="str">
        <f t="shared" si="49"/>
        <v>02-2023</v>
      </c>
      <c r="I142" s="5" t="str">
        <f t="shared" si="50"/>
        <v>Q1-2023</v>
      </c>
      <c r="J142" s="3">
        <f t="shared" si="51"/>
        <v>44946</v>
      </c>
      <c r="K142" s="5" t="str">
        <f t="shared" si="52"/>
        <v>01-2023</v>
      </c>
      <c r="L142" t="s">
        <v>646</v>
      </c>
      <c r="M142" t="s">
        <v>650</v>
      </c>
      <c r="N142" t="s">
        <v>664</v>
      </c>
      <c r="O142" t="str">
        <f t="shared" si="53"/>
        <v>Nairobi</v>
      </c>
      <c r="P142" t="s">
        <v>701</v>
      </c>
      <c r="Q142" t="s">
        <v>707</v>
      </c>
      <c r="R142" t="str">
        <f t="shared" si="54"/>
        <v>Retail</v>
      </c>
      <c r="S142" t="s">
        <v>714</v>
      </c>
      <c r="T142" t="str">
        <f t="shared" si="67"/>
        <v>I. Johnson</v>
      </c>
      <c r="U142" t="s">
        <v>729</v>
      </c>
      <c r="V142" t="str">
        <f t="shared" si="55"/>
        <v>Low</v>
      </c>
      <c r="W142" t="s">
        <v>736</v>
      </c>
      <c r="X142" t="str">
        <f t="shared" si="56"/>
        <v>A</v>
      </c>
      <c r="Y142" s="5">
        <v>1460.76</v>
      </c>
      <c r="Z142" s="5">
        <v>-30.66</v>
      </c>
      <c r="AA142" s="5">
        <f t="shared" si="57"/>
        <v>30.66</v>
      </c>
      <c r="AB142" s="7">
        <v>0.13100000000000001</v>
      </c>
      <c r="AC142" s="7">
        <f t="shared" si="58"/>
        <v>0.13100000000000001</v>
      </c>
      <c r="AD142" s="16">
        <f t="shared" si="59"/>
        <v>0</v>
      </c>
      <c r="AE142" s="16">
        <v>12</v>
      </c>
      <c r="AF142" s="5">
        <f t="shared" si="60"/>
        <v>319.72248000000002</v>
      </c>
      <c r="AG142">
        <f t="shared" si="61"/>
        <v>17529.12</v>
      </c>
      <c r="AH142" s="5">
        <f t="shared" si="62"/>
        <v>17209.397519999999</v>
      </c>
      <c r="AI142" s="5">
        <f t="shared" si="63"/>
        <v>53.826047890032626</v>
      </c>
      <c r="AJ142" s="5">
        <f t="shared" si="66"/>
        <v>5648769.2634499995</v>
      </c>
      <c r="AK142" s="7">
        <f t="shared" si="64"/>
        <v>0.51606879557229624</v>
      </c>
      <c r="AL142" s="17">
        <f>MIN(AC142,'What-If Analysis'!$B$2)</f>
        <v>0.13100000000000001</v>
      </c>
      <c r="AM142">
        <f>AE142*(1+'What-If Analysis'!$B$3)</f>
        <v>15.600000000000001</v>
      </c>
      <c r="AN142">
        <f>Y142*(1+'What-If Analysis'!$B$4)</f>
        <v>1606.836</v>
      </c>
      <c r="AO142">
        <f t="shared" si="65"/>
        <v>415.63922400000001</v>
      </c>
    </row>
    <row r="143" spans="1:41" x14ac:dyDescent="0.3">
      <c r="A143" t="s">
        <v>530</v>
      </c>
      <c r="B143" s="3">
        <v>45199</v>
      </c>
      <c r="C143" s="3">
        <f t="shared" si="46"/>
        <v>45199</v>
      </c>
      <c r="D143" s="3">
        <v>45229</v>
      </c>
      <c r="E143" s="3">
        <f t="shared" si="47"/>
        <v>45229</v>
      </c>
      <c r="F143" s="16">
        <f t="shared" si="48"/>
        <v>30</v>
      </c>
      <c r="G143" s="16">
        <f>IF(Data!F176&lt;=7,1,0)</f>
        <v>0</v>
      </c>
      <c r="H143" s="5" t="str">
        <f t="shared" si="49"/>
        <v>09-2023</v>
      </c>
      <c r="I143" s="5" t="str">
        <f t="shared" si="50"/>
        <v>Q3-2023</v>
      </c>
      <c r="J143" s="3">
        <f t="shared" si="51"/>
        <v>44988</v>
      </c>
      <c r="K143" s="5" t="str">
        <f t="shared" si="52"/>
        <v>03-2023</v>
      </c>
      <c r="L143" t="s">
        <v>647</v>
      </c>
      <c r="M143" t="s">
        <v>652</v>
      </c>
      <c r="N143" t="s">
        <v>689</v>
      </c>
      <c r="O143" t="str">
        <f t="shared" si="53"/>
        <v>Tokyo</v>
      </c>
      <c r="P143" t="s">
        <v>706</v>
      </c>
      <c r="Q143" t="s">
        <v>708</v>
      </c>
      <c r="R143" t="str">
        <f t="shared" si="54"/>
        <v>Online</v>
      </c>
      <c r="S143" t="s">
        <v>726</v>
      </c>
      <c r="T143" t="str">
        <f t="shared" si="67"/>
        <v>D. Smith</v>
      </c>
      <c r="U143" t="s">
        <v>728</v>
      </c>
      <c r="V143" t="str">
        <f t="shared" si="55"/>
        <v>Medium</v>
      </c>
      <c r="W143" t="s">
        <v>1249</v>
      </c>
      <c r="X143" t="str">
        <f t="shared" si="56"/>
        <v>A</v>
      </c>
      <c r="Y143" s="5">
        <v>649.13</v>
      </c>
      <c r="Z143" s="5">
        <v>975.43</v>
      </c>
      <c r="AA143" s="5">
        <f t="shared" si="57"/>
        <v>975.43</v>
      </c>
      <c r="AB143" s="7">
        <v>0.157</v>
      </c>
      <c r="AC143" s="7">
        <f t="shared" si="58"/>
        <v>0.157</v>
      </c>
      <c r="AD143" s="16">
        <f t="shared" si="59"/>
        <v>0</v>
      </c>
      <c r="AE143" s="16">
        <v>27</v>
      </c>
      <c r="AF143" s="5">
        <f t="shared" si="60"/>
        <v>22201.762229999997</v>
      </c>
      <c r="AG143">
        <f t="shared" si="61"/>
        <v>17526.509999999998</v>
      </c>
      <c r="AH143" s="5">
        <f t="shared" si="62"/>
        <v>4675.2522299999982</v>
      </c>
      <c r="AI143" s="5">
        <f t="shared" si="63"/>
        <v>0.21058023149543473</v>
      </c>
      <c r="AJ143" s="5">
        <f t="shared" si="66"/>
        <v>5670971.02568</v>
      </c>
      <c r="AK143" s="7">
        <f t="shared" si="64"/>
        <v>0.5180971377047594</v>
      </c>
      <c r="AL143" s="17">
        <f>MIN(AC143,'What-If Analysis'!$B$2)</f>
        <v>0.157</v>
      </c>
      <c r="AM143">
        <f>AE143*(1+'What-If Analysis'!$B$3)</f>
        <v>35.1</v>
      </c>
      <c r="AN143">
        <f>Y143*(1+'What-If Analysis'!$B$4)</f>
        <v>714.04300000000001</v>
      </c>
      <c r="AO143">
        <f t="shared" si="65"/>
        <v>28862.290899</v>
      </c>
    </row>
    <row r="144" spans="1:41" x14ac:dyDescent="0.3">
      <c r="A144" t="s">
        <v>353</v>
      </c>
      <c r="B144" s="3">
        <v>45121</v>
      </c>
      <c r="C144" s="3">
        <f t="shared" si="46"/>
        <v>45121</v>
      </c>
      <c r="D144" s="3">
        <v>45128</v>
      </c>
      <c r="E144" s="3">
        <f t="shared" si="47"/>
        <v>45128</v>
      </c>
      <c r="F144" s="16">
        <f t="shared" si="48"/>
        <v>7</v>
      </c>
      <c r="G144" s="16">
        <f>IF(Data!F140&lt;=7,1,0)</f>
        <v>0</v>
      </c>
      <c r="H144" s="5" t="str">
        <f t="shared" si="49"/>
        <v>07-2023</v>
      </c>
      <c r="I144" s="5" t="str">
        <f t="shared" si="50"/>
        <v>Q3-2023</v>
      </c>
      <c r="J144" s="3">
        <f t="shared" si="51"/>
        <v>44933</v>
      </c>
      <c r="K144" s="5" t="str">
        <f t="shared" si="52"/>
        <v>01-2023</v>
      </c>
      <c r="L144" t="s">
        <v>646</v>
      </c>
      <c r="M144" t="s">
        <v>661</v>
      </c>
      <c r="N144" t="s">
        <v>687</v>
      </c>
      <c r="O144" t="str">
        <f t="shared" si="53"/>
        <v>Durban</v>
      </c>
      <c r="P144" t="s">
        <v>706</v>
      </c>
      <c r="Q144" t="s">
        <v>709</v>
      </c>
      <c r="R144" t="str">
        <f t="shared" si="54"/>
        <v>Marketplace</v>
      </c>
      <c r="T144" t="s">
        <v>724</v>
      </c>
      <c r="U144" t="s">
        <v>732</v>
      </c>
      <c r="V144" t="str">
        <f t="shared" si="55"/>
        <v>Medium</v>
      </c>
      <c r="W144" t="s">
        <v>1073</v>
      </c>
      <c r="X144" t="str">
        <f t="shared" si="56"/>
        <v>A</v>
      </c>
      <c r="Y144" s="5">
        <v>620.74</v>
      </c>
      <c r="Z144" s="5">
        <v>1330.07</v>
      </c>
      <c r="AA144" s="5">
        <f t="shared" si="57"/>
        <v>1330.07</v>
      </c>
      <c r="AB144" s="7">
        <v>0.29899999999999999</v>
      </c>
      <c r="AC144" s="7">
        <f t="shared" si="58"/>
        <v>0.29899999999999999</v>
      </c>
      <c r="AD144" s="16">
        <f t="shared" si="59"/>
        <v>1</v>
      </c>
      <c r="AE144" s="16">
        <v>28</v>
      </c>
      <c r="AF144" s="5">
        <f t="shared" si="60"/>
        <v>26106.613960000002</v>
      </c>
      <c r="AG144">
        <f t="shared" si="61"/>
        <v>17380.72</v>
      </c>
      <c r="AH144" s="5">
        <f t="shared" si="62"/>
        <v>8725.8939600000012</v>
      </c>
      <c r="AI144" s="5">
        <f t="shared" si="63"/>
        <v>0.33424073965967516</v>
      </c>
      <c r="AJ144" s="5">
        <f t="shared" si="66"/>
        <v>5697077.6396399997</v>
      </c>
      <c r="AK144" s="7">
        <f t="shared" si="64"/>
        <v>0.52048222518035925</v>
      </c>
      <c r="AL144" s="17">
        <f>MIN(AC144,'What-If Analysis'!$B$2)</f>
        <v>0.2</v>
      </c>
      <c r="AM144">
        <f>AE144*(1+'What-If Analysis'!$B$3)</f>
        <v>36.4</v>
      </c>
      <c r="AN144">
        <f>Y144*(1+'What-If Analysis'!$B$4)</f>
        <v>682.81400000000008</v>
      </c>
      <c r="AO144">
        <f t="shared" si="65"/>
        <v>38731.638399999996</v>
      </c>
    </row>
    <row r="145" spans="1:41" x14ac:dyDescent="0.3">
      <c r="A145" t="s">
        <v>402</v>
      </c>
      <c r="B145" s="3">
        <v>45199</v>
      </c>
      <c r="C145" s="3">
        <f t="shared" si="46"/>
        <v>45199</v>
      </c>
      <c r="D145" s="3">
        <v>45202</v>
      </c>
      <c r="E145" s="3">
        <f t="shared" si="47"/>
        <v>45202</v>
      </c>
      <c r="F145" s="16">
        <f t="shared" si="48"/>
        <v>3</v>
      </c>
      <c r="G145" s="16">
        <f>IF(Data!F280&lt;=7,1,0)</f>
        <v>1</v>
      </c>
      <c r="H145" s="5" t="str">
        <f t="shared" si="49"/>
        <v>09-2023</v>
      </c>
      <c r="I145" s="5" t="str">
        <f t="shared" si="50"/>
        <v>Q3-2023</v>
      </c>
      <c r="J145" s="3">
        <f t="shared" si="51"/>
        <v>44938</v>
      </c>
      <c r="K145" s="5" t="str">
        <f t="shared" si="52"/>
        <v>01-2023</v>
      </c>
      <c r="L145" t="s">
        <v>647</v>
      </c>
      <c r="M145" t="s">
        <v>659</v>
      </c>
      <c r="N145" t="s">
        <v>699</v>
      </c>
      <c r="O145" t="str">
        <f t="shared" si="53"/>
        <v>Beijing</v>
      </c>
      <c r="P145" t="s">
        <v>703</v>
      </c>
      <c r="Q145" t="s">
        <v>707</v>
      </c>
      <c r="R145" t="str">
        <f t="shared" si="54"/>
        <v>Retail</v>
      </c>
      <c r="S145" t="s">
        <v>713</v>
      </c>
      <c r="T145" t="str">
        <f t="shared" ref="T145:T208" si="68">IF(S145="",_xlfn.XLOOKUP(L145,L:L,S:S),S145)</f>
        <v>J. Njeri</v>
      </c>
      <c r="U145" t="s">
        <v>731</v>
      </c>
      <c r="V145" t="str">
        <f t="shared" si="55"/>
        <v>Medium</v>
      </c>
      <c r="W145" t="s">
        <v>1121</v>
      </c>
      <c r="X145" t="str">
        <f t="shared" si="56"/>
        <v>A</v>
      </c>
      <c r="Y145" s="5">
        <v>1019.36</v>
      </c>
      <c r="Z145" s="5">
        <v>972.91</v>
      </c>
      <c r="AA145" s="5">
        <f t="shared" si="57"/>
        <v>972.91</v>
      </c>
      <c r="AB145" s="7">
        <v>0.14699999999999999</v>
      </c>
      <c r="AC145" s="7">
        <f t="shared" si="58"/>
        <v>0.14699999999999999</v>
      </c>
      <c r="AD145" s="16">
        <f t="shared" si="59"/>
        <v>0</v>
      </c>
      <c r="AE145" s="16">
        <v>17</v>
      </c>
      <c r="AF145" s="5">
        <f t="shared" si="60"/>
        <v>14108.16791</v>
      </c>
      <c r="AG145">
        <f t="shared" si="61"/>
        <v>17329.12</v>
      </c>
      <c r="AH145" s="5">
        <f t="shared" si="62"/>
        <v>3220.9520899999989</v>
      </c>
      <c r="AI145" s="5">
        <f t="shared" si="63"/>
        <v>0.22830406545678819</v>
      </c>
      <c r="AJ145" s="5">
        <f t="shared" si="66"/>
        <v>5711185.80755</v>
      </c>
      <c r="AK145" s="7">
        <f t="shared" si="64"/>
        <v>0.52177114049650708</v>
      </c>
      <c r="AL145" s="17">
        <f>MIN(AC145,'What-If Analysis'!$B$2)</f>
        <v>0.14699999999999999</v>
      </c>
      <c r="AM145">
        <f>AE145*(1+'What-If Analysis'!$B$3)</f>
        <v>22.1</v>
      </c>
      <c r="AN145">
        <f>Y145*(1+'What-If Analysis'!$B$4)</f>
        <v>1121.296</v>
      </c>
      <c r="AO145">
        <f t="shared" si="65"/>
        <v>18340.618283</v>
      </c>
    </row>
    <row r="146" spans="1:41" x14ac:dyDescent="0.3">
      <c r="A146" t="s">
        <v>81</v>
      </c>
      <c r="B146" s="3">
        <v>45004</v>
      </c>
      <c r="C146" s="3">
        <f t="shared" si="46"/>
        <v>45004</v>
      </c>
      <c r="D146" s="3">
        <v>45025</v>
      </c>
      <c r="E146" s="3">
        <f t="shared" si="47"/>
        <v>45025</v>
      </c>
      <c r="F146" s="16">
        <f t="shared" si="48"/>
        <v>21</v>
      </c>
      <c r="G146" s="16">
        <f>IF(Data!F247&lt;=7,1,0)</f>
        <v>0</v>
      </c>
      <c r="H146" s="5" t="str">
        <f t="shared" si="49"/>
        <v>03-2023</v>
      </c>
      <c r="I146" s="5" t="str">
        <f t="shared" si="50"/>
        <v>Q1-2023</v>
      </c>
      <c r="J146" s="3">
        <f t="shared" si="51"/>
        <v>44945</v>
      </c>
      <c r="K146" s="5" t="str">
        <f t="shared" si="52"/>
        <v>01-2023</v>
      </c>
      <c r="L146" t="s">
        <v>649</v>
      </c>
      <c r="M146" t="s">
        <v>658</v>
      </c>
      <c r="N146" t="s">
        <v>693</v>
      </c>
      <c r="O146" t="str">
        <f t="shared" si="53"/>
        <v>Manchester</v>
      </c>
      <c r="P146" t="s">
        <v>704</v>
      </c>
      <c r="Q146" t="s">
        <v>707</v>
      </c>
      <c r="R146" t="str">
        <f t="shared" si="54"/>
        <v>Retail</v>
      </c>
      <c r="S146" t="s">
        <v>716</v>
      </c>
      <c r="T146" t="str">
        <f t="shared" si="68"/>
        <v>L. Okafor</v>
      </c>
      <c r="U146" t="s">
        <v>733</v>
      </c>
      <c r="V146" t="str">
        <f t="shared" si="55"/>
        <v>Medium</v>
      </c>
      <c r="W146" t="s">
        <v>800</v>
      </c>
      <c r="X146" t="str">
        <f t="shared" si="56"/>
        <v>A</v>
      </c>
      <c r="Y146" s="5">
        <v>1082.17</v>
      </c>
      <c r="Z146" s="5">
        <v>1234.0999999999999</v>
      </c>
      <c r="AA146" s="5">
        <f t="shared" si="57"/>
        <v>1234.0999999999999</v>
      </c>
      <c r="AB146" s="7">
        <v>0.189</v>
      </c>
      <c r="AC146" s="7">
        <f t="shared" si="58"/>
        <v>0.189</v>
      </c>
      <c r="AD146" s="16">
        <f t="shared" si="59"/>
        <v>0</v>
      </c>
      <c r="AE146" s="16">
        <v>16</v>
      </c>
      <c r="AF146" s="5">
        <f t="shared" si="60"/>
        <v>16013.681599999998</v>
      </c>
      <c r="AG146">
        <f t="shared" si="61"/>
        <v>17314.72</v>
      </c>
      <c r="AH146" s="5">
        <f t="shared" si="62"/>
        <v>1301.0384000000031</v>
      </c>
      <c r="AI146" s="5">
        <f t="shared" si="63"/>
        <v>8.124542703534228E-2</v>
      </c>
      <c r="AJ146" s="5">
        <f t="shared" si="66"/>
        <v>5727199.4891499998</v>
      </c>
      <c r="AK146" s="7">
        <f t="shared" si="64"/>
        <v>0.52323414261087253</v>
      </c>
      <c r="AL146" s="17">
        <f>MIN(AC146,'What-If Analysis'!$B$2)</f>
        <v>0.189</v>
      </c>
      <c r="AM146">
        <f>AE146*(1+'What-If Analysis'!$B$3)</f>
        <v>20.8</v>
      </c>
      <c r="AN146">
        <f>Y146*(1+'What-If Analysis'!$B$4)</f>
        <v>1190.3870000000002</v>
      </c>
      <c r="AO146">
        <f t="shared" si="65"/>
        <v>20817.786079999998</v>
      </c>
    </row>
    <row r="147" spans="1:41" x14ac:dyDescent="0.3">
      <c r="A147" t="s">
        <v>536</v>
      </c>
      <c r="B147" s="3">
        <v>45482</v>
      </c>
      <c r="C147" s="3">
        <f t="shared" si="46"/>
        <v>45482</v>
      </c>
      <c r="D147" s="3">
        <v>45485</v>
      </c>
      <c r="E147" s="3">
        <f t="shared" si="47"/>
        <v>45485</v>
      </c>
      <c r="F147" s="16">
        <f t="shared" si="48"/>
        <v>3</v>
      </c>
      <c r="G147" s="16">
        <f>IF(Data!F173&lt;=7,1,0)</f>
        <v>1</v>
      </c>
      <c r="H147" s="5" t="str">
        <f t="shared" si="49"/>
        <v>07-2024</v>
      </c>
      <c r="I147" s="5" t="str">
        <f t="shared" si="50"/>
        <v>Q3-2024</v>
      </c>
      <c r="J147" s="3">
        <f t="shared" si="51"/>
        <v>44938</v>
      </c>
      <c r="K147" s="5" t="str">
        <f t="shared" si="52"/>
        <v>01-2023</v>
      </c>
      <c r="L147" t="s">
        <v>647</v>
      </c>
      <c r="M147" t="s">
        <v>659</v>
      </c>
      <c r="N147" t="s">
        <v>685</v>
      </c>
      <c r="O147" t="str">
        <f t="shared" si="53"/>
        <v>Shanghai</v>
      </c>
      <c r="P147" t="s">
        <v>705</v>
      </c>
      <c r="Q147" t="s">
        <v>707</v>
      </c>
      <c r="R147" t="str">
        <f t="shared" si="54"/>
        <v>Retail</v>
      </c>
      <c r="S147" t="s">
        <v>726</v>
      </c>
      <c r="T147" t="str">
        <f t="shared" si="68"/>
        <v>D. Smith</v>
      </c>
      <c r="U147" t="s">
        <v>733</v>
      </c>
      <c r="V147" t="str">
        <f t="shared" si="55"/>
        <v>Medium</v>
      </c>
      <c r="W147" t="s">
        <v>1255</v>
      </c>
      <c r="X147" t="str">
        <f t="shared" si="56"/>
        <v>A</v>
      </c>
      <c r="Y147" s="5">
        <v>748.39</v>
      </c>
      <c r="Z147" s="5">
        <v>979.42</v>
      </c>
      <c r="AA147" s="5">
        <f t="shared" si="57"/>
        <v>979.42</v>
      </c>
      <c r="AB147" s="7">
        <v>0</v>
      </c>
      <c r="AC147" s="7">
        <f t="shared" si="58"/>
        <v>0</v>
      </c>
      <c r="AD147" s="16">
        <f t="shared" si="59"/>
        <v>0</v>
      </c>
      <c r="AE147" s="16">
        <v>23</v>
      </c>
      <c r="AF147" s="5">
        <f t="shared" si="60"/>
        <v>22526.66</v>
      </c>
      <c r="AG147">
        <f t="shared" si="61"/>
        <v>17212.97</v>
      </c>
      <c r="AH147" s="5">
        <f t="shared" si="62"/>
        <v>5313.6899999999987</v>
      </c>
      <c r="AI147" s="5">
        <f t="shared" si="63"/>
        <v>0.23588450307324738</v>
      </c>
      <c r="AJ147" s="5">
        <f t="shared" si="66"/>
        <v>5749726.14915</v>
      </c>
      <c r="AK147" s="7">
        <f t="shared" si="64"/>
        <v>0.52529216724460781</v>
      </c>
      <c r="AL147" s="17">
        <f>MIN(AC147,'What-If Analysis'!$B$2)</f>
        <v>0</v>
      </c>
      <c r="AM147">
        <f>AE147*(1+'What-If Analysis'!$B$3)</f>
        <v>29.900000000000002</v>
      </c>
      <c r="AN147">
        <f>Y147*(1+'What-If Analysis'!$B$4)</f>
        <v>823.22900000000004</v>
      </c>
      <c r="AO147">
        <f t="shared" si="65"/>
        <v>29284.657999999999</v>
      </c>
    </row>
    <row r="148" spans="1:41" x14ac:dyDescent="0.3">
      <c r="A148" t="s">
        <v>174</v>
      </c>
      <c r="B148" s="3">
        <v>45870</v>
      </c>
      <c r="C148" s="3">
        <f t="shared" si="46"/>
        <v>45870</v>
      </c>
      <c r="D148" s="3">
        <v>45890</v>
      </c>
      <c r="E148" s="3">
        <f t="shared" si="47"/>
        <v>45890</v>
      </c>
      <c r="F148" s="16">
        <f t="shared" si="48"/>
        <v>20</v>
      </c>
      <c r="G148" s="16">
        <f>IF(Data!F117&lt;=7,1,0)</f>
        <v>0</v>
      </c>
      <c r="H148" s="5" t="str">
        <f t="shared" si="49"/>
        <v>08-2025</v>
      </c>
      <c r="I148" s="5" t="str">
        <f t="shared" si="50"/>
        <v>Q3-2025</v>
      </c>
      <c r="J148" s="3">
        <f t="shared" si="51"/>
        <v>44938</v>
      </c>
      <c r="K148" s="5" t="str">
        <f t="shared" si="52"/>
        <v>01-2023</v>
      </c>
      <c r="L148" t="s">
        <v>647</v>
      </c>
      <c r="M148" t="s">
        <v>659</v>
      </c>
      <c r="N148" t="s">
        <v>685</v>
      </c>
      <c r="O148" t="str">
        <f t="shared" si="53"/>
        <v>Shanghai</v>
      </c>
      <c r="P148" t="s">
        <v>701</v>
      </c>
      <c r="Q148" t="s">
        <v>711</v>
      </c>
      <c r="R148" t="str">
        <f t="shared" si="54"/>
        <v>Direct</v>
      </c>
      <c r="S148" t="s">
        <v>714</v>
      </c>
      <c r="T148" t="str">
        <f t="shared" si="68"/>
        <v>I. Johnson</v>
      </c>
      <c r="U148" t="s">
        <v>730</v>
      </c>
      <c r="V148" t="str">
        <f t="shared" si="55"/>
        <v>High</v>
      </c>
      <c r="W148" t="s">
        <v>893</v>
      </c>
      <c r="X148" t="str">
        <f t="shared" si="56"/>
        <v>A</v>
      </c>
      <c r="Y148" s="5">
        <v>1220.4100000000001</v>
      </c>
      <c r="Z148" s="5">
        <v>2552.2199999999998</v>
      </c>
      <c r="AA148" s="5">
        <f t="shared" si="57"/>
        <v>2552.2199999999998</v>
      </c>
      <c r="AB148" s="7">
        <v>0.18099999999999999</v>
      </c>
      <c r="AC148" s="7">
        <f t="shared" si="58"/>
        <v>0.18099999999999999</v>
      </c>
      <c r="AD148" s="16">
        <f t="shared" si="59"/>
        <v>0</v>
      </c>
      <c r="AE148" s="16">
        <v>14</v>
      </c>
      <c r="AF148" s="5">
        <f t="shared" si="60"/>
        <v>29263.754519999995</v>
      </c>
      <c r="AG148">
        <f t="shared" si="61"/>
        <v>17085.740000000002</v>
      </c>
      <c r="AH148" s="5">
        <f t="shared" si="62"/>
        <v>12178.014519999993</v>
      </c>
      <c r="AI148" s="5">
        <f t="shared" si="63"/>
        <v>0.41614668793360271</v>
      </c>
      <c r="AJ148" s="5">
        <f t="shared" si="66"/>
        <v>5778989.9036699999</v>
      </c>
      <c r="AK148" s="7">
        <f t="shared" si="64"/>
        <v>0.52796568953676037</v>
      </c>
      <c r="AL148" s="17">
        <f>MIN(AC148,'What-If Analysis'!$B$2)</f>
        <v>0.18099999999999999</v>
      </c>
      <c r="AM148">
        <f>AE148*(1+'What-If Analysis'!$B$3)</f>
        <v>18.2</v>
      </c>
      <c r="AN148">
        <f>Y148*(1+'What-If Analysis'!$B$4)</f>
        <v>1342.4510000000002</v>
      </c>
      <c r="AO148">
        <f t="shared" si="65"/>
        <v>38042.880875999996</v>
      </c>
    </row>
    <row r="149" spans="1:41" x14ac:dyDescent="0.3">
      <c r="A149" t="s">
        <v>498</v>
      </c>
      <c r="B149" s="3">
        <v>45148</v>
      </c>
      <c r="C149" s="3">
        <f t="shared" si="46"/>
        <v>45148</v>
      </c>
      <c r="D149" s="3">
        <v>45153</v>
      </c>
      <c r="E149" s="3">
        <f t="shared" si="47"/>
        <v>45153</v>
      </c>
      <c r="F149" s="16">
        <f t="shared" si="48"/>
        <v>5</v>
      </c>
      <c r="G149" s="16">
        <f>IF(Data!F179&lt;=7,1,0)</f>
        <v>0</v>
      </c>
      <c r="H149" s="5" t="str">
        <f t="shared" si="49"/>
        <v>08-2023</v>
      </c>
      <c r="I149" s="5" t="str">
        <f t="shared" si="50"/>
        <v>Q3-2023</v>
      </c>
      <c r="J149" s="3">
        <f t="shared" si="51"/>
        <v>44955</v>
      </c>
      <c r="K149" s="5" t="str">
        <f t="shared" si="52"/>
        <v>01-2023</v>
      </c>
      <c r="L149" t="s">
        <v>648</v>
      </c>
      <c r="M149" t="s">
        <v>655</v>
      </c>
      <c r="N149" t="s">
        <v>670</v>
      </c>
      <c r="O149" t="str">
        <f t="shared" si="53"/>
        <v>São Paulo</v>
      </c>
      <c r="P149" t="s">
        <v>702</v>
      </c>
      <c r="Q149" t="s">
        <v>711</v>
      </c>
      <c r="R149" t="str">
        <f t="shared" si="54"/>
        <v>Direct</v>
      </c>
      <c r="S149" t="s">
        <v>715</v>
      </c>
      <c r="T149" t="str">
        <f t="shared" si="68"/>
        <v>G. Dubois</v>
      </c>
      <c r="U149" t="s">
        <v>729</v>
      </c>
      <c r="V149" t="str">
        <f t="shared" si="55"/>
        <v>High</v>
      </c>
      <c r="W149" t="s">
        <v>1217</v>
      </c>
      <c r="X149" t="str">
        <f t="shared" si="56"/>
        <v>A</v>
      </c>
      <c r="Y149" s="5">
        <v>1307.52</v>
      </c>
      <c r="Z149" s="5">
        <v>1921.65</v>
      </c>
      <c r="AA149" s="5">
        <f t="shared" si="57"/>
        <v>1921.65</v>
      </c>
      <c r="AB149" s="7">
        <v>0.123</v>
      </c>
      <c r="AC149" s="7">
        <f t="shared" si="58"/>
        <v>0.123</v>
      </c>
      <c r="AD149" s="16">
        <f t="shared" si="59"/>
        <v>0</v>
      </c>
      <c r="AE149" s="16">
        <v>13</v>
      </c>
      <c r="AF149" s="5">
        <f t="shared" si="60"/>
        <v>21908.731650000002</v>
      </c>
      <c r="AG149">
        <f t="shared" si="61"/>
        <v>16997.759999999998</v>
      </c>
      <c r="AH149" s="5">
        <f t="shared" si="62"/>
        <v>4910.9716500000031</v>
      </c>
      <c r="AI149" s="5">
        <f t="shared" si="63"/>
        <v>0.22415590863289445</v>
      </c>
      <c r="AJ149" s="5">
        <f t="shared" si="66"/>
        <v>5800898.6353200004</v>
      </c>
      <c r="AK149" s="7">
        <f t="shared" si="64"/>
        <v>0.52996726053883503</v>
      </c>
      <c r="AL149" s="17">
        <f>MIN(AC149,'What-If Analysis'!$B$2)</f>
        <v>0.123</v>
      </c>
      <c r="AM149">
        <f>AE149*(1+'What-If Analysis'!$B$3)</f>
        <v>16.900000000000002</v>
      </c>
      <c r="AN149">
        <f>Y149*(1+'What-If Analysis'!$B$4)</f>
        <v>1438.2720000000002</v>
      </c>
      <c r="AO149">
        <f t="shared" si="65"/>
        <v>28481.351145000004</v>
      </c>
    </row>
    <row r="150" spans="1:41" x14ac:dyDescent="0.3">
      <c r="A150" t="s">
        <v>423</v>
      </c>
      <c r="B150" s="3">
        <v>45276</v>
      </c>
      <c r="C150" s="3">
        <f t="shared" si="46"/>
        <v>45276</v>
      </c>
      <c r="D150" s="3">
        <v>45279</v>
      </c>
      <c r="E150" s="3">
        <f t="shared" si="47"/>
        <v>45279</v>
      </c>
      <c r="F150" s="16">
        <f t="shared" si="48"/>
        <v>3</v>
      </c>
      <c r="G150" s="16">
        <f>IF(Data!F165&lt;=7,1,0)</f>
        <v>0</v>
      </c>
      <c r="H150" s="5" t="str">
        <f t="shared" si="49"/>
        <v>12-2023</v>
      </c>
      <c r="I150" s="5" t="str">
        <f t="shared" si="50"/>
        <v>Q4-2023</v>
      </c>
      <c r="J150" s="3">
        <f t="shared" si="51"/>
        <v>44938</v>
      </c>
      <c r="K150" s="5" t="str">
        <f t="shared" si="52"/>
        <v>01-2023</v>
      </c>
      <c r="L150" t="s">
        <v>647</v>
      </c>
      <c r="M150" t="s">
        <v>659</v>
      </c>
      <c r="N150" t="s">
        <v>699</v>
      </c>
      <c r="O150" t="str">
        <f t="shared" si="53"/>
        <v>Beijing</v>
      </c>
      <c r="P150" t="s">
        <v>702</v>
      </c>
      <c r="Q150" t="s">
        <v>707</v>
      </c>
      <c r="R150" t="str">
        <f t="shared" si="54"/>
        <v>Retail</v>
      </c>
      <c r="S150" t="s">
        <v>720</v>
      </c>
      <c r="T150" t="str">
        <f t="shared" si="68"/>
        <v>A. Patel</v>
      </c>
      <c r="U150" t="s">
        <v>733</v>
      </c>
      <c r="V150" t="str">
        <f t="shared" si="55"/>
        <v>High</v>
      </c>
      <c r="W150" t="s">
        <v>1142</v>
      </c>
      <c r="X150" t="str">
        <f t="shared" si="56"/>
        <v>A</v>
      </c>
      <c r="Y150" s="5">
        <v>1415.05</v>
      </c>
      <c r="Z150" s="5">
        <v>1972.38</v>
      </c>
      <c r="AA150" s="5">
        <f t="shared" si="57"/>
        <v>1972.38</v>
      </c>
      <c r="AB150" s="7">
        <v>0</v>
      </c>
      <c r="AC150" s="7">
        <f t="shared" si="58"/>
        <v>0</v>
      </c>
      <c r="AD150" s="16">
        <f t="shared" si="59"/>
        <v>0</v>
      </c>
      <c r="AE150" s="16">
        <v>12</v>
      </c>
      <c r="AF150" s="5">
        <f t="shared" si="60"/>
        <v>23668.560000000001</v>
      </c>
      <c r="AG150">
        <f t="shared" si="61"/>
        <v>16980.599999999999</v>
      </c>
      <c r="AH150" s="5">
        <f t="shared" si="62"/>
        <v>6687.9600000000028</v>
      </c>
      <c r="AI150" s="5">
        <f t="shared" si="63"/>
        <v>0.28256725377462771</v>
      </c>
      <c r="AJ150" s="5">
        <f t="shared" si="66"/>
        <v>5824567.1953199999</v>
      </c>
      <c r="AK150" s="7">
        <f t="shared" si="64"/>
        <v>0.53212960859775904</v>
      </c>
      <c r="AL150" s="17">
        <f>MIN(AC150,'What-If Analysis'!$B$2)</f>
        <v>0</v>
      </c>
      <c r="AM150">
        <f>AE150*(1+'What-If Analysis'!$B$3)</f>
        <v>15.600000000000001</v>
      </c>
      <c r="AN150">
        <f>Y150*(1+'What-If Analysis'!$B$4)</f>
        <v>1556.5550000000001</v>
      </c>
      <c r="AO150">
        <f t="shared" si="65"/>
        <v>30769.128000000004</v>
      </c>
    </row>
    <row r="151" spans="1:41" x14ac:dyDescent="0.3">
      <c r="A151" t="s">
        <v>398</v>
      </c>
      <c r="B151" s="3">
        <v>45491</v>
      </c>
      <c r="C151" s="3">
        <f t="shared" si="46"/>
        <v>45491</v>
      </c>
      <c r="D151" s="3">
        <v>45511</v>
      </c>
      <c r="E151" s="3">
        <f t="shared" si="47"/>
        <v>45511</v>
      </c>
      <c r="F151" s="16">
        <f t="shared" si="48"/>
        <v>20</v>
      </c>
      <c r="G151" s="16">
        <f>IF(Data!F259&lt;=7,1,0)</f>
        <v>0</v>
      </c>
      <c r="H151" s="5" t="str">
        <f t="shared" si="49"/>
        <v>07-2024</v>
      </c>
      <c r="I151" s="5" t="str">
        <f t="shared" si="50"/>
        <v>Q3-2024</v>
      </c>
      <c r="J151" s="3">
        <f t="shared" si="51"/>
        <v>44936</v>
      </c>
      <c r="K151" s="5" t="str">
        <f t="shared" si="52"/>
        <v>01-2023</v>
      </c>
      <c r="L151" t="s">
        <v>649</v>
      </c>
      <c r="M151" t="s">
        <v>657</v>
      </c>
      <c r="N151" t="s">
        <v>673</v>
      </c>
      <c r="O151" t="str">
        <f t="shared" si="53"/>
        <v>Marseille</v>
      </c>
      <c r="P151" t="s">
        <v>701</v>
      </c>
      <c r="Q151" t="s">
        <v>707</v>
      </c>
      <c r="R151" t="str">
        <f t="shared" si="54"/>
        <v>Retail</v>
      </c>
      <c r="S151" t="s">
        <v>721</v>
      </c>
      <c r="T151" t="str">
        <f t="shared" si="68"/>
        <v>F. Müller</v>
      </c>
      <c r="U151" t="s">
        <v>732</v>
      </c>
      <c r="V151" t="str">
        <f t="shared" si="55"/>
        <v>Medium</v>
      </c>
      <c r="W151" t="s">
        <v>1117</v>
      </c>
      <c r="X151" t="str">
        <f t="shared" si="56"/>
        <v>A</v>
      </c>
      <c r="Y151" s="5">
        <v>941.35</v>
      </c>
      <c r="Z151" s="5">
        <v>899.83</v>
      </c>
      <c r="AA151" s="5">
        <f t="shared" si="57"/>
        <v>899.83</v>
      </c>
      <c r="AB151" s="7">
        <v>5.8000000000000003E-2</v>
      </c>
      <c r="AC151" s="7">
        <f t="shared" si="58"/>
        <v>5.8000000000000003E-2</v>
      </c>
      <c r="AD151" s="16">
        <f t="shared" si="59"/>
        <v>0</v>
      </c>
      <c r="AE151" s="16">
        <v>18</v>
      </c>
      <c r="AF151" s="5">
        <f t="shared" si="60"/>
        <v>15257.51748</v>
      </c>
      <c r="AG151">
        <f t="shared" si="61"/>
        <v>16944.3</v>
      </c>
      <c r="AH151" s="5">
        <f t="shared" si="62"/>
        <v>1686.7825199999988</v>
      </c>
      <c r="AI151" s="5">
        <f t="shared" si="63"/>
        <v>0.11055419220139073</v>
      </c>
      <c r="AJ151" s="5">
        <f t="shared" si="66"/>
        <v>5839824.7127999999</v>
      </c>
      <c r="AK151" s="7">
        <f t="shared" si="64"/>
        <v>0.53352352792816515</v>
      </c>
      <c r="AL151" s="17">
        <f>MIN(AC151,'What-If Analysis'!$B$2)</f>
        <v>5.8000000000000003E-2</v>
      </c>
      <c r="AM151">
        <f>AE151*(1+'What-If Analysis'!$B$3)</f>
        <v>23.400000000000002</v>
      </c>
      <c r="AN151">
        <f>Y151*(1+'What-If Analysis'!$B$4)</f>
        <v>1035.4850000000001</v>
      </c>
      <c r="AO151">
        <f t="shared" si="65"/>
        <v>19834.772724000002</v>
      </c>
    </row>
    <row r="152" spans="1:41" x14ac:dyDescent="0.3">
      <c r="A152" t="s">
        <v>80</v>
      </c>
      <c r="B152" s="3">
        <v>45263</v>
      </c>
      <c r="C152" s="3">
        <f t="shared" si="46"/>
        <v>45263</v>
      </c>
      <c r="D152" s="3">
        <v>45286</v>
      </c>
      <c r="E152" s="3">
        <f t="shared" si="47"/>
        <v>45286</v>
      </c>
      <c r="F152" s="16">
        <f t="shared" si="48"/>
        <v>23</v>
      </c>
      <c r="G152" s="16">
        <f>IF(Data!F315&lt;=7,1,0)</f>
        <v>0</v>
      </c>
      <c r="H152" s="5" t="str">
        <f t="shared" si="49"/>
        <v>12-2023</v>
      </c>
      <c r="I152" s="5" t="str">
        <f t="shared" si="50"/>
        <v>Q4-2023</v>
      </c>
      <c r="J152" s="3">
        <f t="shared" si="51"/>
        <v>44955</v>
      </c>
      <c r="K152" s="5" t="str">
        <f t="shared" si="52"/>
        <v>01-2023</v>
      </c>
      <c r="L152" t="s">
        <v>648</v>
      </c>
      <c r="M152" t="s">
        <v>655</v>
      </c>
      <c r="N152" t="s">
        <v>692</v>
      </c>
      <c r="O152" t="str">
        <f t="shared" si="53"/>
        <v>Rio de Janeiro</v>
      </c>
      <c r="P152" t="s">
        <v>702</v>
      </c>
      <c r="Q152" t="s">
        <v>707</v>
      </c>
      <c r="R152" t="str">
        <f t="shared" si="54"/>
        <v>Retail</v>
      </c>
      <c r="S152" t="s">
        <v>719</v>
      </c>
      <c r="T152" t="str">
        <f t="shared" si="68"/>
        <v>O. Wang</v>
      </c>
      <c r="U152" t="s">
        <v>730</v>
      </c>
      <c r="V152" t="str">
        <f t="shared" si="55"/>
        <v>Medium</v>
      </c>
      <c r="W152" t="s">
        <v>799</v>
      </c>
      <c r="X152" t="str">
        <f t="shared" si="56"/>
        <v>A</v>
      </c>
      <c r="Y152" s="5">
        <v>1303.1099999999999</v>
      </c>
      <c r="Z152" s="5">
        <v>1145.67</v>
      </c>
      <c r="AA152" s="5">
        <f t="shared" si="57"/>
        <v>1145.67</v>
      </c>
      <c r="AB152" s="7">
        <v>0.184</v>
      </c>
      <c r="AC152" s="7">
        <f t="shared" si="58"/>
        <v>0.184</v>
      </c>
      <c r="AD152" s="16">
        <f t="shared" si="59"/>
        <v>0</v>
      </c>
      <c r="AE152" s="16">
        <v>13</v>
      </c>
      <c r="AF152" s="5">
        <f t="shared" si="60"/>
        <v>12153.267360000002</v>
      </c>
      <c r="AG152">
        <f t="shared" si="61"/>
        <v>16940.43</v>
      </c>
      <c r="AH152" s="5">
        <f t="shared" si="62"/>
        <v>4787.1626399999986</v>
      </c>
      <c r="AI152" s="5">
        <f t="shared" si="63"/>
        <v>0.39389922875851208</v>
      </c>
      <c r="AJ152" s="5">
        <f t="shared" si="66"/>
        <v>5851977.9801599998</v>
      </c>
      <c r="AK152" s="7">
        <f t="shared" si="64"/>
        <v>0.53463384448673401</v>
      </c>
      <c r="AL152" s="17">
        <f>MIN(AC152,'What-If Analysis'!$B$2)</f>
        <v>0.184</v>
      </c>
      <c r="AM152">
        <f>AE152*(1+'What-If Analysis'!$B$3)</f>
        <v>16.900000000000002</v>
      </c>
      <c r="AN152">
        <f>Y152*(1+'What-If Analysis'!$B$4)</f>
        <v>1433.421</v>
      </c>
      <c r="AO152">
        <f t="shared" si="65"/>
        <v>15799.247568000004</v>
      </c>
    </row>
    <row r="153" spans="1:41" x14ac:dyDescent="0.3">
      <c r="A153" t="s">
        <v>583</v>
      </c>
      <c r="B153" s="3">
        <v>45342</v>
      </c>
      <c r="C153" s="3">
        <f t="shared" si="46"/>
        <v>45342</v>
      </c>
      <c r="D153" s="3">
        <v>45342</v>
      </c>
      <c r="E153" s="3">
        <f t="shared" si="47"/>
        <v>45342</v>
      </c>
      <c r="F153" s="16">
        <f t="shared" si="48"/>
        <v>0</v>
      </c>
      <c r="G153" s="16">
        <f>IF(Data!F80&lt;=7,1,0)</f>
        <v>0</v>
      </c>
      <c r="H153" s="5" t="str">
        <f t="shared" si="49"/>
        <v>02-2024</v>
      </c>
      <c r="I153" s="5" t="str">
        <f t="shared" si="50"/>
        <v>Q1-2024</v>
      </c>
      <c r="J153" s="3">
        <f t="shared" si="51"/>
        <v>44939</v>
      </c>
      <c r="K153" s="5" t="str">
        <f t="shared" si="52"/>
        <v>01-2023</v>
      </c>
      <c r="L153" t="s">
        <v>648</v>
      </c>
      <c r="M153" t="s">
        <v>660</v>
      </c>
      <c r="N153" t="s">
        <v>700</v>
      </c>
      <c r="O153" t="str">
        <f t="shared" si="53"/>
        <v>New York</v>
      </c>
      <c r="P153" t="s">
        <v>706</v>
      </c>
      <c r="Q153" t="s">
        <v>708</v>
      </c>
      <c r="R153" t="str">
        <f t="shared" si="54"/>
        <v>Online</v>
      </c>
      <c r="S153" t="s">
        <v>712</v>
      </c>
      <c r="T153" t="str">
        <f t="shared" si="68"/>
        <v>C. Otieno</v>
      </c>
      <c r="U153" t="s">
        <v>729</v>
      </c>
      <c r="V153" t="str">
        <f t="shared" si="55"/>
        <v>High</v>
      </c>
      <c r="W153" t="s">
        <v>1301</v>
      </c>
      <c r="X153" t="str">
        <f t="shared" si="56"/>
        <v>A</v>
      </c>
      <c r="Y153" s="5">
        <v>1407.05</v>
      </c>
      <c r="Z153" s="5">
        <v>2858.93</v>
      </c>
      <c r="AA153" s="5">
        <f t="shared" si="57"/>
        <v>2858.93</v>
      </c>
      <c r="AB153" s="7">
        <v>0</v>
      </c>
      <c r="AC153" s="7">
        <f t="shared" si="58"/>
        <v>0</v>
      </c>
      <c r="AD153" s="16">
        <f t="shared" si="59"/>
        <v>0</v>
      </c>
      <c r="AE153" s="16">
        <v>12</v>
      </c>
      <c r="AF153" s="5">
        <f t="shared" si="60"/>
        <v>34307.159999999996</v>
      </c>
      <c r="AG153">
        <f t="shared" si="61"/>
        <v>16884.599999999999</v>
      </c>
      <c r="AH153" s="5">
        <f t="shared" si="62"/>
        <v>17422.559999999998</v>
      </c>
      <c r="AI153" s="5">
        <f t="shared" si="63"/>
        <v>0.50784034586366222</v>
      </c>
      <c r="AJ153" s="5">
        <f t="shared" si="66"/>
        <v>5886285.14016</v>
      </c>
      <c r="AK153" s="7">
        <f t="shared" si="64"/>
        <v>0.53776812983544953</v>
      </c>
      <c r="AL153" s="17">
        <f>MIN(AC153,'What-If Analysis'!$B$2)</f>
        <v>0</v>
      </c>
      <c r="AM153">
        <f>AE153*(1+'What-If Analysis'!$B$3)</f>
        <v>15.600000000000001</v>
      </c>
      <c r="AN153">
        <f>Y153*(1+'What-If Analysis'!$B$4)</f>
        <v>1547.7550000000001</v>
      </c>
      <c r="AO153">
        <f t="shared" si="65"/>
        <v>44599.308000000005</v>
      </c>
    </row>
    <row r="154" spans="1:41" x14ac:dyDescent="0.3">
      <c r="A154" t="s">
        <v>324</v>
      </c>
      <c r="B154" s="3">
        <v>45655</v>
      </c>
      <c r="C154" s="3">
        <f t="shared" si="46"/>
        <v>45655</v>
      </c>
      <c r="D154" s="3">
        <v>45669</v>
      </c>
      <c r="E154" s="3">
        <f t="shared" si="47"/>
        <v>45669</v>
      </c>
      <c r="F154" s="16">
        <f t="shared" si="48"/>
        <v>14</v>
      </c>
      <c r="G154" s="16">
        <f>IF(Data!F105&lt;=7,1,0)</f>
        <v>0</v>
      </c>
      <c r="H154" s="5" t="str">
        <f t="shared" si="49"/>
        <v>12-2024</v>
      </c>
      <c r="I154" s="5" t="str">
        <f t="shared" si="50"/>
        <v>Q4-2024</v>
      </c>
      <c r="J154" s="3">
        <f t="shared" si="51"/>
        <v>44945</v>
      </c>
      <c r="K154" s="5" t="str">
        <f t="shared" si="52"/>
        <v>01-2023</v>
      </c>
      <c r="L154" t="s">
        <v>649</v>
      </c>
      <c r="M154" t="s">
        <v>658</v>
      </c>
      <c r="N154" t="s">
        <v>693</v>
      </c>
      <c r="O154" t="str">
        <f t="shared" si="53"/>
        <v>Manchester</v>
      </c>
      <c r="P154" t="s">
        <v>701</v>
      </c>
      <c r="Q154" t="s">
        <v>711</v>
      </c>
      <c r="R154" t="str">
        <f t="shared" si="54"/>
        <v>Direct</v>
      </c>
      <c r="S154" t="s">
        <v>717</v>
      </c>
      <c r="T154" t="str">
        <f t="shared" si="68"/>
        <v>B. Chen</v>
      </c>
      <c r="U154" t="s">
        <v>732</v>
      </c>
      <c r="V154" t="str">
        <f t="shared" si="55"/>
        <v>High</v>
      </c>
      <c r="W154" t="s">
        <v>1044</v>
      </c>
      <c r="X154" t="str">
        <f t="shared" si="56"/>
        <v>A</v>
      </c>
      <c r="Y154" s="5">
        <v>1399.72</v>
      </c>
      <c r="Z154" s="5">
        <v>3149.21</v>
      </c>
      <c r="AA154" s="5">
        <f t="shared" si="57"/>
        <v>3149.21</v>
      </c>
      <c r="AB154" s="7">
        <v>0.185</v>
      </c>
      <c r="AC154" s="7">
        <f t="shared" si="58"/>
        <v>0.185</v>
      </c>
      <c r="AD154" s="16">
        <f t="shared" si="59"/>
        <v>0</v>
      </c>
      <c r="AE154" s="16">
        <v>12</v>
      </c>
      <c r="AF154" s="5">
        <f t="shared" si="60"/>
        <v>30799.273800000003</v>
      </c>
      <c r="AG154">
        <f t="shared" si="61"/>
        <v>16796.64</v>
      </c>
      <c r="AH154" s="5">
        <f t="shared" si="62"/>
        <v>14002.633800000003</v>
      </c>
      <c r="AI154" s="5">
        <f t="shared" si="63"/>
        <v>0.45464168703873797</v>
      </c>
      <c r="AJ154" s="5">
        <f t="shared" si="66"/>
        <v>5917084.4139599996</v>
      </c>
      <c r="AK154" s="7">
        <f t="shared" si="64"/>
        <v>0.54058193641758623</v>
      </c>
      <c r="AL154" s="17">
        <f>MIN(AC154,'What-If Analysis'!$B$2)</f>
        <v>0.185</v>
      </c>
      <c r="AM154">
        <f>AE154*(1+'What-If Analysis'!$B$3)</f>
        <v>15.600000000000001</v>
      </c>
      <c r="AN154">
        <f>Y154*(1+'What-If Analysis'!$B$4)</f>
        <v>1539.6920000000002</v>
      </c>
      <c r="AO154">
        <f t="shared" si="65"/>
        <v>40039.055940000006</v>
      </c>
    </row>
    <row r="155" spans="1:41" x14ac:dyDescent="0.3">
      <c r="A155" t="s">
        <v>137</v>
      </c>
      <c r="B155" s="3">
        <v>45289</v>
      </c>
      <c r="C155" s="3">
        <f t="shared" si="46"/>
        <v>45289</v>
      </c>
      <c r="D155" s="3">
        <v>45311</v>
      </c>
      <c r="E155" s="3">
        <f t="shared" si="47"/>
        <v>45311</v>
      </c>
      <c r="F155" s="16">
        <f t="shared" si="48"/>
        <v>22</v>
      </c>
      <c r="G155" s="16">
        <f>IF(Data!F246&lt;=7,1,0)</f>
        <v>1</v>
      </c>
      <c r="H155" s="5" t="str">
        <f t="shared" si="49"/>
        <v>12-2023</v>
      </c>
      <c r="I155" s="5" t="str">
        <f t="shared" si="50"/>
        <v>Q4-2023</v>
      </c>
      <c r="J155" s="3">
        <f t="shared" si="51"/>
        <v>44946</v>
      </c>
      <c r="K155" s="5" t="str">
        <f t="shared" si="52"/>
        <v>01-2023</v>
      </c>
      <c r="L155" t="s">
        <v>646</v>
      </c>
      <c r="M155" t="s">
        <v>650</v>
      </c>
      <c r="N155" t="s">
        <v>662</v>
      </c>
      <c r="O155" t="str">
        <f t="shared" si="53"/>
        <v>Kisumu</v>
      </c>
      <c r="P155" t="s">
        <v>701</v>
      </c>
      <c r="Q155" t="s">
        <v>711</v>
      </c>
      <c r="R155" t="str">
        <f t="shared" si="54"/>
        <v>Direct</v>
      </c>
      <c r="S155" t="s">
        <v>716</v>
      </c>
      <c r="T155" t="str">
        <f t="shared" si="68"/>
        <v>L. Okafor</v>
      </c>
      <c r="U155" t="s">
        <v>730</v>
      </c>
      <c r="V155" t="str">
        <f t="shared" si="55"/>
        <v>High</v>
      </c>
      <c r="W155" t="s">
        <v>856</v>
      </c>
      <c r="X155" t="str">
        <f t="shared" si="56"/>
        <v>A</v>
      </c>
      <c r="Y155" s="5">
        <v>1395.49</v>
      </c>
      <c r="Z155" s="5">
        <v>1679.42</v>
      </c>
      <c r="AA155" s="5">
        <f t="shared" si="57"/>
        <v>1679.42</v>
      </c>
      <c r="AB155" s="7">
        <v>0.20300000000000001</v>
      </c>
      <c r="AC155" s="7">
        <f t="shared" si="58"/>
        <v>0.20300000000000001</v>
      </c>
      <c r="AD155" s="16">
        <f t="shared" si="59"/>
        <v>1</v>
      </c>
      <c r="AE155" s="16">
        <v>12</v>
      </c>
      <c r="AF155" s="5">
        <f t="shared" si="60"/>
        <v>16061.972879999999</v>
      </c>
      <c r="AG155">
        <f t="shared" si="61"/>
        <v>16745.88</v>
      </c>
      <c r="AH155" s="5">
        <f t="shared" si="62"/>
        <v>683.90712000000167</v>
      </c>
      <c r="AI155" s="5">
        <f t="shared" si="63"/>
        <v>4.2579272490964493E-2</v>
      </c>
      <c r="AJ155" s="5">
        <f t="shared" si="66"/>
        <v>5933146.3868399998</v>
      </c>
      <c r="AK155" s="7">
        <f t="shared" si="64"/>
        <v>0.54204935039966029</v>
      </c>
      <c r="AL155" s="17">
        <f>MIN(AC155,'What-If Analysis'!$B$2)</f>
        <v>0.2</v>
      </c>
      <c r="AM155">
        <f>AE155*(1+'What-If Analysis'!$B$3)</f>
        <v>15.600000000000001</v>
      </c>
      <c r="AN155">
        <f>Y155*(1+'What-If Analysis'!$B$4)</f>
        <v>1535.0390000000002</v>
      </c>
      <c r="AO155">
        <f t="shared" si="65"/>
        <v>20959.161600000007</v>
      </c>
    </row>
    <row r="156" spans="1:41" x14ac:dyDescent="0.3">
      <c r="A156" t="s">
        <v>386</v>
      </c>
      <c r="B156" s="3">
        <v>45022</v>
      </c>
      <c r="C156" s="3">
        <f t="shared" si="46"/>
        <v>45022</v>
      </c>
      <c r="D156" s="3">
        <v>45024</v>
      </c>
      <c r="E156" s="3">
        <f t="shared" si="47"/>
        <v>45024</v>
      </c>
      <c r="F156" s="16">
        <f t="shared" si="48"/>
        <v>2</v>
      </c>
      <c r="G156" s="16">
        <f>IF(Data!F95&lt;=7,1,0)</f>
        <v>0</v>
      </c>
      <c r="H156" s="5" t="str">
        <f t="shared" si="49"/>
        <v>04-2023</v>
      </c>
      <c r="I156" s="5" t="str">
        <f t="shared" si="50"/>
        <v>Q2-2023</v>
      </c>
      <c r="J156" s="3">
        <f t="shared" si="51"/>
        <v>44939</v>
      </c>
      <c r="K156" s="5" t="str">
        <f t="shared" si="52"/>
        <v>01-2023</v>
      </c>
      <c r="L156" t="s">
        <v>646</v>
      </c>
      <c r="M156" t="s">
        <v>651</v>
      </c>
      <c r="N156" t="s">
        <v>669</v>
      </c>
      <c r="O156" t="str">
        <f t="shared" si="53"/>
        <v>Abuja</v>
      </c>
      <c r="P156" t="s">
        <v>705</v>
      </c>
      <c r="Q156" t="s">
        <v>709</v>
      </c>
      <c r="R156" t="str">
        <f t="shared" si="54"/>
        <v>Marketplace</v>
      </c>
      <c r="S156" t="s">
        <v>723</v>
      </c>
      <c r="T156" t="str">
        <f t="shared" si="68"/>
        <v>K. Singh</v>
      </c>
      <c r="U156" t="s">
        <v>732</v>
      </c>
      <c r="V156" t="str">
        <f t="shared" si="55"/>
        <v>Medium</v>
      </c>
      <c r="W156" t="s">
        <v>1106</v>
      </c>
      <c r="X156" t="str">
        <f t="shared" si="56"/>
        <v>A</v>
      </c>
      <c r="Y156" s="5">
        <v>720.35</v>
      </c>
      <c r="Z156" s="5">
        <v>1571.66</v>
      </c>
      <c r="AA156" s="5">
        <f t="shared" si="57"/>
        <v>1571.66</v>
      </c>
      <c r="AB156" s="7">
        <v>0.107</v>
      </c>
      <c r="AC156" s="7">
        <f t="shared" si="58"/>
        <v>0.107</v>
      </c>
      <c r="AD156" s="16">
        <f t="shared" si="59"/>
        <v>0</v>
      </c>
      <c r="AE156" s="16">
        <v>23</v>
      </c>
      <c r="AF156" s="5">
        <f t="shared" si="60"/>
        <v>32280.32474</v>
      </c>
      <c r="AG156">
        <f t="shared" si="61"/>
        <v>16568.05</v>
      </c>
      <c r="AH156" s="5">
        <f t="shared" si="62"/>
        <v>15712.274740000001</v>
      </c>
      <c r="AI156" s="5">
        <f t="shared" si="63"/>
        <v>0.4867446305622265</v>
      </c>
      <c r="AJ156" s="5">
        <f t="shared" si="66"/>
        <v>5965426.7115799999</v>
      </c>
      <c r="AK156" s="7">
        <f t="shared" si="64"/>
        <v>0.544998465070894</v>
      </c>
      <c r="AL156" s="17">
        <f>MIN(AC156,'What-If Analysis'!$B$2)</f>
        <v>0.107</v>
      </c>
      <c r="AM156">
        <f>AE156*(1+'What-If Analysis'!$B$3)</f>
        <v>29.900000000000002</v>
      </c>
      <c r="AN156">
        <f>Y156*(1+'What-If Analysis'!$B$4)</f>
        <v>792.3850000000001</v>
      </c>
      <c r="AO156">
        <f t="shared" si="65"/>
        <v>41964.422162000003</v>
      </c>
    </row>
    <row r="157" spans="1:41" x14ac:dyDescent="0.3">
      <c r="A157" t="s">
        <v>303</v>
      </c>
      <c r="B157" s="3">
        <v>45125</v>
      </c>
      <c r="C157" s="3">
        <f t="shared" si="46"/>
        <v>45125</v>
      </c>
      <c r="D157" s="3">
        <v>45148</v>
      </c>
      <c r="E157" s="3">
        <f t="shared" si="47"/>
        <v>45148</v>
      </c>
      <c r="F157" s="16">
        <f t="shared" si="48"/>
        <v>23</v>
      </c>
      <c r="G157" s="16">
        <f>IF(Data!F352&lt;=7,1,0)</f>
        <v>0</v>
      </c>
      <c r="H157" s="5" t="str">
        <f t="shared" si="49"/>
        <v>07-2023</v>
      </c>
      <c r="I157" s="5" t="str">
        <f t="shared" si="50"/>
        <v>Q3-2023</v>
      </c>
      <c r="J157" s="3">
        <f t="shared" si="51"/>
        <v>44933</v>
      </c>
      <c r="K157" s="5" t="str">
        <f t="shared" si="52"/>
        <v>01-2023</v>
      </c>
      <c r="L157" t="s">
        <v>646</v>
      </c>
      <c r="M157" t="s">
        <v>661</v>
      </c>
      <c r="N157" t="s">
        <v>682</v>
      </c>
      <c r="O157" t="str">
        <f t="shared" si="53"/>
        <v>Johannesburg</v>
      </c>
      <c r="P157" t="s">
        <v>705</v>
      </c>
      <c r="Q157" t="s">
        <v>707</v>
      </c>
      <c r="R157" t="str">
        <f t="shared" si="54"/>
        <v>Retail</v>
      </c>
      <c r="S157" t="s">
        <v>716</v>
      </c>
      <c r="T157" t="str">
        <f t="shared" si="68"/>
        <v>L. Okafor</v>
      </c>
      <c r="U157" t="s">
        <v>727</v>
      </c>
      <c r="V157" t="str">
        <f t="shared" si="55"/>
        <v>Medium</v>
      </c>
      <c r="W157" t="s">
        <v>1023</v>
      </c>
      <c r="X157" t="str">
        <f t="shared" si="56"/>
        <v>A</v>
      </c>
      <c r="Y157" s="5">
        <v>1271.56</v>
      </c>
      <c r="Z157" s="5">
        <v>995.47</v>
      </c>
      <c r="AA157" s="5">
        <f t="shared" si="57"/>
        <v>995.47</v>
      </c>
      <c r="AB157" s="7">
        <v>0.192</v>
      </c>
      <c r="AC157" s="7">
        <f t="shared" si="58"/>
        <v>0.192</v>
      </c>
      <c r="AD157" s="16">
        <f t="shared" si="59"/>
        <v>0</v>
      </c>
      <c r="AE157" s="16">
        <v>13</v>
      </c>
      <c r="AF157" s="5">
        <f t="shared" si="60"/>
        <v>10456.416880000001</v>
      </c>
      <c r="AG157">
        <f t="shared" si="61"/>
        <v>16530.28</v>
      </c>
      <c r="AH157" s="5">
        <f t="shared" si="62"/>
        <v>6073.8631199999982</v>
      </c>
      <c r="AI157" s="5">
        <f t="shared" si="63"/>
        <v>0.58087423155607754</v>
      </c>
      <c r="AJ157" s="5">
        <f t="shared" si="66"/>
        <v>5975883.1284600003</v>
      </c>
      <c r="AK157" s="7">
        <f t="shared" si="64"/>
        <v>0.54595375819999725</v>
      </c>
      <c r="AL157" s="17">
        <f>MIN(AC157,'What-If Analysis'!$B$2)</f>
        <v>0.192</v>
      </c>
      <c r="AM157">
        <f>AE157*(1+'What-If Analysis'!$B$3)</f>
        <v>16.900000000000002</v>
      </c>
      <c r="AN157">
        <f>Y157*(1+'What-If Analysis'!$B$4)</f>
        <v>1398.7160000000001</v>
      </c>
      <c r="AO157">
        <f t="shared" si="65"/>
        <v>13593.341944000003</v>
      </c>
    </row>
    <row r="158" spans="1:41" x14ac:dyDescent="0.3">
      <c r="A158" t="s">
        <v>473</v>
      </c>
      <c r="B158" s="3">
        <v>45417</v>
      </c>
      <c r="C158" s="3">
        <f t="shared" si="46"/>
        <v>45417</v>
      </c>
      <c r="D158" s="3">
        <v>45430</v>
      </c>
      <c r="E158" s="3">
        <f t="shared" si="47"/>
        <v>45430</v>
      </c>
      <c r="F158" s="16">
        <f t="shared" si="48"/>
        <v>13</v>
      </c>
      <c r="G158" s="16">
        <f>IF(Data!F157&lt;=7,1,0)</f>
        <v>0</v>
      </c>
      <c r="H158" s="5" t="str">
        <f t="shared" si="49"/>
        <v>05-2024</v>
      </c>
      <c r="I158" s="5" t="str">
        <f t="shared" si="50"/>
        <v>Q2-2024</v>
      </c>
      <c r="J158" s="3">
        <f t="shared" si="51"/>
        <v>44936</v>
      </c>
      <c r="K158" s="5" t="str">
        <f t="shared" si="52"/>
        <v>01-2023</v>
      </c>
      <c r="L158" t="s">
        <v>649</v>
      </c>
      <c r="M158" t="s">
        <v>657</v>
      </c>
      <c r="N158" t="s">
        <v>673</v>
      </c>
      <c r="O158" t="str">
        <f t="shared" si="53"/>
        <v>Marseille</v>
      </c>
      <c r="P158" t="s">
        <v>701</v>
      </c>
      <c r="Q158" t="s">
        <v>709</v>
      </c>
      <c r="R158" t="str">
        <f t="shared" si="54"/>
        <v>Marketplace</v>
      </c>
      <c r="S158" t="s">
        <v>720</v>
      </c>
      <c r="T158" t="str">
        <f t="shared" si="68"/>
        <v>A. Patel</v>
      </c>
      <c r="U158" t="s">
        <v>727</v>
      </c>
      <c r="V158" t="str">
        <f t="shared" si="55"/>
        <v>High</v>
      </c>
      <c r="W158" t="s">
        <v>1192</v>
      </c>
      <c r="X158" t="str">
        <f t="shared" si="56"/>
        <v>A</v>
      </c>
      <c r="Y158" s="5">
        <v>1264.04</v>
      </c>
      <c r="Z158" s="5">
        <v>1870.89</v>
      </c>
      <c r="AA158" s="5">
        <f t="shared" si="57"/>
        <v>1870.89</v>
      </c>
      <c r="AB158" s="7">
        <v>0</v>
      </c>
      <c r="AC158" s="7">
        <f t="shared" si="58"/>
        <v>0</v>
      </c>
      <c r="AD158" s="16">
        <f t="shared" si="59"/>
        <v>0</v>
      </c>
      <c r="AE158" s="16">
        <v>13</v>
      </c>
      <c r="AF158" s="5">
        <f t="shared" si="60"/>
        <v>24321.57</v>
      </c>
      <c r="AG158">
        <f t="shared" si="61"/>
        <v>16432.52</v>
      </c>
      <c r="AH158" s="5">
        <f t="shared" si="62"/>
        <v>7889.0499999999993</v>
      </c>
      <c r="AI158" s="5">
        <f t="shared" si="63"/>
        <v>0.32436433996653996</v>
      </c>
      <c r="AJ158" s="5">
        <f t="shared" si="66"/>
        <v>6000204.6984600006</v>
      </c>
      <c r="AK158" s="7">
        <f t="shared" si="64"/>
        <v>0.54817576493295805</v>
      </c>
      <c r="AL158" s="17">
        <f>MIN(AC158,'What-If Analysis'!$B$2)</f>
        <v>0</v>
      </c>
      <c r="AM158">
        <f>AE158*(1+'What-If Analysis'!$B$3)</f>
        <v>16.900000000000002</v>
      </c>
      <c r="AN158">
        <f>Y158*(1+'What-If Analysis'!$B$4)</f>
        <v>1390.444</v>
      </c>
      <c r="AO158">
        <f t="shared" si="65"/>
        <v>31618.041000000005</v>
      </c>
    </row>
    <row r="159" spans="1:41" x14ac:dyDescent="0.3">
      <c r="A159" t="s">
        <v>314</v>
      </c>
      <c r="B159" s="3">
        <v>45787</v>
      </c>
      <c r="C159" s="3">
        <f t="shared" si="46"/>
        <v>45787</v>
      </c>
      <c r="D159" s="3">
        <v>45804</v>
      </c>
      <c r="E159" s="3">
        <f t="shared" si="47"/>
        <v>45804</v>
      </c>
      <c r="F159" s="16">
        <f t="shared" si="48"/>
        <v>17</v>
      </c>
      <c r="G159" s="16">
        <f>IF(Data!F144&lt;=7,1,0)</f>
        <v>1</v>
      </c>
      <c r="H159" s="5" t="str">
        <f t="shared" si="49"/>
        <v>05-2025</v>
      </c>
      <c r="I159" s="5" t="str">
        <f t="shared" si="50"/>
        <v>Q2-2025</v>
      </c>
      <c r="J159" s="3">
        <f t="shared" si="51"/>
        <v>44928</v>
      </c>
      <c r="K159" s="5" t="str">
        <f t="shared" si="52"/>
        <v>01-2023</v>
      </c>
      <c r="L159" t="s">
        <v>648</v>
      </c>
      <c r="M159" t="s">
        <v>653</v>
      </c>
      <c r="N159" t="s">
        <v>688</v>
      </c>
      <c r="O159" t="str">
        <f t="shared" si="53"/>
        <v>Vancouver</v>
      </c>
      <c r="P159" t="s">
        <v>702</v>
      </c>
      <c r="Q159" t="s">
        <v>711</v>
      </c>
      <c r="R159" t="str">
        <f t="shared" si="54"/>
        <v>Direct</v>
      </c>
      <c r="S159" t="s">
        <v>712</v>
      </c>
      <c r="T159" t="str">
        <f t="shared" si="68"/>
        <v>C. Otieno</v>
      </c>
      <c r="U159" t="s">
        <v>727</v>
      </c>
      <c r="V159" t="str">
        <f t="shared" si="55"/>
        <v>Medium</v>
      </c>
      <c r="W159" t="s">
        <v>1034</v>
      </c>
      <c r="X159" t="str">
        <f t="shared" si="56"/>
        <v>A</v>
      </c>
      <c r="Y159" s="5">
        <v>862.89</v>
      </c>
      <c r="Z159" s="5">
        <v>1426.03</v>
      </c>
      <c r="AA159" s="5">
        <f t="shared" si="57"/>
        <v>1426.03</v>
      </c>
      <c r="AB159" s="7">
        <v>5.6000000000000001E-2</v>
      </c>
      <c r="AC159" s="7">
        <f t="shared" si="58"/>
        <v>5.6000000000000001E-2</v>
      </c>
      <c r="AD159" s="16">
        <f t="shared" si="59"/>
        <v>0</v>
      </c>
      <c r="AE159" s="16">
        <v>19</v>
      </c>
      <c r="AF159" s="5">
        <f t="shared" si="60"/>
        <v>25577.274079999999</v>
      </c>
      <c r="AG159">
        <f t="shared" si="61"/>
        <v>16394.91</v>
      </c>
      <c r="AH159" s="5">
        <f t="shared" si="62"/>
        <v>9182.3640799999994</v>
      </c>
      <c r="AI159" s="5">
        <f t="shared" si="63"/>
        <v>0.35900479665188778</v>
      </c>
      <c r="AJ159" s="5">
        <f t="shared" si="66"/>
        <v>6025781.9725400005</v>
      </c>
      <c r="AK159" s="7">
        <f t="shared" si="64"/>
        <v>0.55051249217616394</v>
      </c>
      <c r="AL159" s="17">
        <f>MIN(AC159,'What-If Analysis'!$B$2)</f>
        <v>5.6000000000000001E-2</v>
      </c>
      <c r="AM159">
        <f>AE159*(1+'What-If Analysis'!$B$3)</f>
        <v>24.7</v>
      </c>
      <c r="AN159">
        <f>Y159*(1+'What-If Analysis'!$B$4)</f>
        <v>949.17900000000009</v>
      </c>
      <c r="AO159">
        <f t="shared" si="65"/>
        <v>33250.456303999999</v>
      </c>
    </row>
    <row r="160" spans="1:41" x14ac:dyDescent="0.3">
      <c r="A160" t="s">
        <v>404</v>
      </c>
      <c r="B160" s="3">
        <v>45823</v>
      </c>
      <c r="C160" s="3">
        <f t="shared" si="46"/>
        <v>45823</v>
      </c>
      <c r="D160" s="3">
        <v>45838</v>
      </c>
      <c r="E160" s="3">
        <f t="shared" si="47"/>
        <v>45838</v>
      </c>
      <c r="F160" s="16">
        <f t="shared" si="48"/>
        <v>15</v>
      </c>
      <c r="G160" s="16">
        <f>IF(Data!F242&lt;=7,1,0)</f>
        <v>0</v>
      </c>
      <c r="H160" s="5" t="str">
        <f t="shared" si="49"/>
        <v>06-2025</v>
      </c>
      <c r="I160" s="5" t="str">
        <f t="shared" si="50"/>
        <v>Q2-2025</v>
      </c>
      <c r="J160" s="3">
        <f t="shared" si="51"/>
        <v>44933</v>
      </c>
      <c r="K160" s="5" t="str">
        <f t="shared" si="52"/>
        <v>01-2023</v>
      </c>
      <c r="L160" t="s">
        <v>646</v>
      </c>
      <c r="M160" t="s">
        <v>661</v>
      </c>
      <c r="N160" t="s">
        <v>682</v>
      </c>
      <c r="O160" t="str">
        <f t="shared" si="53"/>
        <v>Johannesburg</v>
      </c>
      <c r="P160" t="s">
        <v>705</v>
      </c>
      <c r="Q160" t="s">
        <v>711</v>
      </c>
      <c r="R160" t="str">
        <f t="shared" si="54"/>
        <v>Direct</v>
      </c>
      <c r="S160" t="s">
        <v>712</v>
      </c>
      <c r="T160" t="str">
        <f t="shared" si="68"/>
        <v>C. Otieno</v>
      </c>
      <c r="U160" t="s">
        <v>732</v>
      </c>
      <c r="V160" t="str">
        <f t="shared" si="55"/>
        <v>Medium</v>
      </c>
      <c r="W160" t="s">
        <v>1123</v>
      </c>
      <c r="X160" t="str">
        <f t="shared" si="56"/>
        <v>A</v>
      </c>
      <c r="Y160" s="5">
        <v>1487.59</v>
      </c>
      <c r="Z160" s="5">
        <v>1480.83</v>
      </c>
      <c r="AA160" s="5">
        <f t="shared" si="57"/>
        <v>1480.83</v>
      </c>
      <c r="AB160" s="7">
        <v>8.9999999999999993E-3</v>
      </c>
      <c r="AC160" s="7">
        <f t="shared" si="58"/>
        <v>8.9999999999999993E-3</v>
      </c>
      <c r="AD160" s="16">
        <f t="shared" si="59"/>
        <v>0</v>
      </c>
      <c r="AE160" s="16">
        <v>11</v>
      </c>
      <c r="AF160" s="5">
        <f t="shared" si="60"/>
        <v>16142.527829999999</v>
      </c>
      <c r="AG160">
        <f t="shared" si="61"/>
        <v>16363.49</v>
      </c>
      <c r="AH160" s="5">
        <f t="shared" si="62"/>
        <v>220.9621700000007</v>
      </c>
      <c r="AI160" s="5">
        <f t="shared" si="63"/>
        <v>1.3688201273492908E-2</v>
      </c>
      <c r="AJ160" s="5">
        <f t="shared" si="66"/>
        <v>6041924.5003700005</v>
      </c>
      <c r="AK160" s="7">
        <f t="shared" si="64"/>
        <v>0.55198726561904887</v>
      </c>
      <c r="AL160" s="17">
        <f>MIN(AC160,'What-If Analysis'!$B$2)</f>
        <v>8.9999999999999993E-3</v>
      </c>
      <c r="AM160">
        <f>AE160*(1+'What-If Analysis'!$B$3)</f>
        <v>14.3</v>
      </c>
      <c r="AN160">
        <f>Y160*(1+'What-If Analysis'!$B$4)</f>
        <v>1636.3489999999999</v>
      </c>
      <c r="AO160">
        <f t="shared" si="65"/>
        <v>20985.286178999999</v>
      </c>
    </row>
    <row r="161" spans="1:41" x14ac:dyDescent="0.3">
      <c r="A161" t="s">
        <v>238</v>
      </c>
      <c r="B161" s="3">
        <v>45035</v>
      </c>
      <c r="C161" s="3">
        <f t="shared" si="46"/>
        <v>45035</v>
      </c>
      <c r="D161" s="3">
        <v>45053</v>
      </c>
      <c r="E161" s="3">
        <f t="shared" si="47"/>
        <v>45053</v>
      </c>
      <c r="F161" s="16">
        <f t="shared" si="48"/>
        <v>18</v>
      </c>
      <c r="G161" s="16">
        <f>IF(Data!F254&lt;=7,1,0)</f>
        <v>1</v>
      </c>
      <c r="H161" s="5" t="str">
        <f t="shared" si="49"/>
        <v>04-2023</v>
      </c>
      <c r="I161" s="5" t="str">
        <f t="shared" si="50"/>
        <v>Q2-2023</v>
      </c>
      <c r="J161" s="3">
        <f t="shared" si="51"/>
        <v>44945</v>
      </c>
      <c r="K161" s="5" t="str">
        <f t="shared" si="52"/>
        <v>01-2023</v>
      </c>
      <c r="L161" t="s">
        <v>649</v>
      </c>
      <c r="M161" t="s">
        <v>658</v>
      </c>
      <c r="N161" t="s">
        <v>674</v>
      </c>
      <c r="O161" t="str">
        <f t="shared" si="53"/>
        <v>Birmingham</v>
      </c>
      <c r="P161" t="s">
        <v>706</v>
      </c>
      <c r="Q161" t="s">
        <v>707</v>
      </c>
      <c r="R161" t="str">
        <f t="shared" si="54"/>
        <v>Retail</v>
      </c>
      <c r="S161" t="s">
        <v>725</v>
      </c>
      <c r="T161" t="str">
        <f t="shared" si="68"/>
        <v>N. Brown</v>
      </c>
      <c r="U161" t="s">
        <v>731</v>
      </c>
      <c r="V161" t="str">
        <f t="shared" si="55"/>
        <v>Medium</v>
      </c>
      <c r="W161" t="s">
        <v>958</v>
      </c>
      <c r="X161" t="str">
        <f t="shared" si="56"/>
        <v>A</v>
      </c>
      <c r="Y161" s="5">
        <v>1089.1500000000001</v>
      </c>
      <c r="Z161" s="5">
        <v>1088.2</v>
      </c>
      <c r="AA161" s="5">
        <f t="shared" si="57"/>
        <v>1088.2</v>
      </c>
      <c r="AB161" s="7">
        <v>5.0999999999999997E-2</v>
      </c>
      <c r="AC161" s="7">
        <f t="shared" si="58"/>
        <v>5.0999999999999997E-2</v>
      </c>
      <c r="AD161" s="16">
        <f t="shared" si="59"/>
        <v>0</v>
      </c>
      <c r="AE161" s="16">
        <v>15</v>
      </c>
      <c r="AF161" s="5">
        <f t="shared" si="60"/>
        <v>15490.527</v>
      </c>
      <c r="AG161">
        <f t="shared" si="61"/>
        <v>16337.250000000002</v>
      </c>
      <c r="AH161" s="5">
        <f t="shared" si="62"/>
        <v>846.72300000000178</v>
      </c>
      <c r="AI161" s="5">
        <f t="shared" si="63"/>
        <v>5.4660696824582002E-2</v>
      </c>
      <c r="AJ161" s="5">
        <f t="shared" si="66"/>
        <v>6057415.0273700003</v>
      </c>
      <c r="AK161" s="7">
        <f t="shared" si="64"/>
        <v>0.55340247258517428</v>
      </c>
      <c r="AL161" s="17">
        <f>MIN(AC161,'What-If Analysis'!$B$2)</f>
        <v>5.0999999999999997E-2</v>
      </c>
      <c r="AM161">
        <f>AE161*(1+'What-If Analysis'!$B$3)</f>
        <v>19.5</v>
      </c>
      <c r="AN161">
        <f>Y161*(1+'What-If Analysis'!$B$4)</f>
        <v>1198.0650000000003</v>
      </c>
      <c r="AO161">
        <f t="shared" si="65"/>
        <v>20137.685099999999</v>
      </c>
    </row>
    <row r="162" spans="1:41" x14ac:dyDescent="0.3">
      <c r="A162" t="s">
        <v>416</v>
      </c>
      <c r="B162" s="3">
        <v>45601</v>
      </c>
      <c r="C162" s="3">
        <f t="shared" si="46"/>
        <v>45601</v>
      </c>
      <c r="D162" s="3">
        <v>45604</v>
      </c>
      <c r="E162" s="3">
        <f t="shared" si="47"/>
        <v>45604</v>
      </c>
      <c r="F162" s="16">
        <f t="shared" si="48"/>
        <v>3</v>
      </c>
      <c r="G162" s="16">
        <f>IF(Data!F234&lt;=7,1,0)</f>
        <v>0</v>
      </c>
      <c r="H162" s="5" t="str">
        <f t="shared" si="49"/>
        <v>11-2024</v>
      </c>
      <c r="I162" s="5" t="str">
        <f t="shared" si="50"/>
        <v>Q4-2024</v>
      </c>
      <c r="J162" s="3">
        <f t="shared" si="51"/>
        <v>44928</v>
      </c>
      <c r="K162" s="5" t="str">
        <f t="shared" si="52"/>
        <v>01-2023</v>
      </c>
      <c r="L162" t="s">
        <v>648</v>
      </c>
      <c r="M162" t="s">
        <v>653</v>
      </c>
      <c r="N162" t="s">
        <v>667</v>
      </c>
      <c r="O162" t="str">
        <f t="shared" si="53"/>
        <v>Toronto</v>
      </c>
      <c r="P162" t="s">
        <v>702</v>
      </c>
      <c r="Q162" t="s">
        <v>709</v>
      </c>
      <c r="R162" t="str">
        <f t="shared" si="54"/>
        <v>Marketplace</v>
      </c>
      <c r="S162" t="s">
        <v>719</v>
      </c>
      <c r="T162" t="str">
        <f t="shared" si="68"/>
        <v>O. Wang</v>
      </c>
      <c r="U162" t="s">
        <v>727</v>
      </c>
      <c r="V162" t="str">
        <f t="shared" si="55"/>
        <v>Medium</v>
      </c>
      <c r="W162" t="s">
        <v>1135</v>
      </c>
      <c r="X162" t="str">
        <f t="shared" si="56"/>
        <v>A</v>
      </c>
      <c r="Y162" s="5">
        <v>1020.4</v>
      </c>
      <c r="Z162" s="5">
        <v>1184.71</v>
      </c>
      <c r="AA162" s="5">
        <f t="shared" si="57"/>
        <v>1184.71</v>
      </c>
      <c r="AB162" s="7">
        <v>0.106</v>
      </c>
      <c r="AC162" s="7">
        <f t="shared" si="58"/>
        <v>0.106</v>
      </c>
      <c r="AD162" s="16">
        <f t="shared" si="59"/>
        <v>0</v>
      </c>
      <c r="AE162" s="16">
        <v>16</v>
      </c>
      <c r="AF162" s="5">
        <f t="shared" si="60"/>
        <v>16946.091840000001</v>
      </c>
      <c r="AG162">
        <f t="shared" si="61"/>
        <v>16326.4</v>
      </c>
      <c r="AH162" s="5">
        <f t="shared" si="62"/>
        <v>619.69184000000132</v>
      </c>
      <c r="AI162" s="5">
        <f t="shared" si="63"/>
        <v>3.6568422138328345E-2</v>
      </c>
      <c r="AJ162" s="5">
        <f t="shared" si="66"/>
        <v>6074361.1192100001</v>
      </c>
      <c r="AK162" s="7">
        <f t="shared" si="64"/>
        <v>0.55495065924277287</v>
      </c>
      <c r="AL162" s="17">
        <f>MIN(AC162,'What-If Analysis'!$B$2)</f>
        <v>0.106</v>
      </c>
      <c r="AM162">
        <f>AE162*(1+'What-If Analysis'!$B$3)</f>
        <v>20.8</v>
      </c>
      <c r="AN162">
        <f>Y162*(1+'What-If Analysis'!$B$4)</f>
        <v>1122.44</v>
      </c>
      <c r="AO162">
        <f t="shared" si="65"/>
        <v>22029.919392</v>
      </c>
    </row>
    <row r="163" spans="1:41" x14ac:dyDescent="0.3">
      <c r="A163" t="s">
        <v>401</v>
      </c>
      <c r="B163" s="3">
        <v>45419</v>
      </c>
      <c r="C163" s="3">
        <f t="shared" si="46"/>
        <v>45419</v>
      </c>
      <c r="D163" s="3">
        <v>45424</v>
      </c>
      <c r="E163" s="3">
        <f t="shared" si="47"/>
        <v>45424</v>
      </c>
      <c r="F163" s="16">
        <f t="shared" si="48"/>
        <v>5</v>
      </c>
      <c r="G163" s="16">
        <f>IF(Data!F203&lt;=7,1,0)</f>
        <v>0</v>
      </c>
      <c r="H163" s="5" t="str">
        <f t="shared" si="49"/>
        <v>05-2024</v>
      </c>
      <c r="I163" s="5" t="str">
        <f t="shared" si="50"/>
        <v>Q2-2024</v>
      </c>
      <c r="J163" s="3">
        <f t="shared" si="51"/>
        <v>44939</v>
      </c>
      <c r="K163" s="5" t="str">
        <f t="shared" si="52"/>
        <v>01-2023</v>
      </c>
      <c r="L163" t="s">
        <v>646</v>
      </c>
      <c r="M163" t="s">
        <v>651</v>
      </c>
      <c r="N163" t="s">
        <v>669</v>
      </c>
      <c r="O163" t="str">
        <f t="shared" si="53"/>
        <v>Abuja</v>
      </c>
      <c r="P163" t="s">
        <v>703</v>
      </c>
      <c r="Q163" t="s">
        <v>710</v>
      </c>
      <c r="R163" t="str">
        <f t="shared" si="54"/>
        <v>Distributor</v>
      </c>
      <c r="S163" t="s">
        <v>716</v>
      </c>
      <c r="T163" t="str">
        <f t="shared" si="68"/>
        <v>L. Okafor</v>
      </c>
      <c r="U163" t="s">
        <v>731</v>
      </c>
      <c r="V163" t="str">
        <f t="shared" si="55"/>
        <v>Medium</v>
      </c>
      <c r="W163" t="s">
        <v>1120</v>
      </c>
      <c r="X163" t="str">
        <f t="shared" si="56"/>
        <v>A</v>
      </c>
      <c r="Y163" s="5">
        <v>1163.99</v>
      </c>
      <c r="Z163" s="5">
        <v>1617.85</v>
      </c>
      <c r="AA163" s="5">
        <f t="shared" si="57"/>
        <v>1617.85</v>
      </c>
      <c r="AB163" s="7">
        <v>0.127</v>
      </c>
      <c r="AC163" s="7">
        <f t="shared" si="58"/>
        <v>0.127</v>
      </c>
      <c r="AD163" s="16">
        <f t="shared" si="59"/>
        <v>0</v>
      </c>
      <c r="AE163" s="16">
        <v>14</v>
      </c>
      <c r="AF163" s="5">
        <f t="shared" si="60"/>
        <v>19773.362699999998</v>
      </c>
      <c r="AG163">
        <f t="shared" si="61"/>
        <v>16295.86</v>
      </c>
      <c r="AH163" s="5">
        <f t="shared" si="62"/>
        <v>3477.5026999999973</v>
      </c>
      <c r="AI163" s="5">
        <f t="shared" si="63"/>
        <v>0.17586804797749436</v>
      </c>
      <c r="AJ163" s="5">
        <f t="shared" si="66"/>
        <v>6094134.4819100006</v>
      </c>
      <c r="AK163" s="7">
        <f t="shared" si="64"/>
        <v>0.55675714398256049</v>
      </c>
      <c r="AL163" s="17">
        <f>MIN(AC163,'What-If Analysis'!$B$2)</f>
        <v>0.127</v>
      </c>
      <c r="AM163">
        <f>AE163*(1+'What-If Analysis'!$B$3)</f>
        <v>18.2</v>
      </c>
      <c r="AN163">
        <f>Y163*(1+'What-If Analysis'!$B$4)</f>
        <v>1280.3890000000001</v>
      </c>
      <c r="AO163">
        <f t="shared" si="65"/>
        <v>25705.371510000001</v>
      </c>
    </row>
    <row r="164" spans="1:41" x14ac:dyDescent="0.3">
      <c r="A164" t="s">
        <v>258</v>
      </c>
      <c r="B164" s="3">
        <v>45035</v>
      </c>
      <c r="C164" s="3">
        <f t="shared" si="46"/>
        <v>45035</v>
      </c>
      <c r="D164" s="3">
        <v>45044</v>
      </c>
      <c r="E164" s="3">
        <f t="shared" si="47"/>
        <v>45044</v>
      </c>
      <c r="F164" s="16">
        <f t="shared" si="48"/>
        <v>9</v>
      </c>
      <c r="G164" s="16">
        <f>IF(Data!F311&lt;=7,1,0)</f>
        <v>1</v>
      </c>
      <c r="H164" s="5" t="str">
        <f t="shared" si="49"/>
        <v>04-2023</v>
      </c>
      <c r="I164" s="5" t="str">
        <f t="shared" si="50"/>
        <v>Q2-2023</v>
      </c>
      <c r="J164" s="3">
        <f t="shared" si="51"/>
        <v>44955</v>
      </c>
      <c r="K164" s="5" t="str">
        <f t="shared" si="52"/>
        <v>01-2023</v>
      </c>
      <c r="L164" t="s">
        <v>648</v>
      </c>
      <c r="M164" t="s">
        <v>655</v>
      </c>
      <c r="N164" t="s">
        <v>692</v>
      </c>
      <c r="O164" t="str">
        <f t="shared" si="53"/>
        <v>Rio de Janeiro</v>
      </c>
      <c r="P164" t="s">
        <v>701</v>
      </c>
      <c r="Q164" t="s">
        <v>710</v>
      </c>
      <c r="R164" t="str">
        <f t="shared" si="54"/>
        <v>Distributor</v>
      </c>
      <c r="S164" t="s">
        <v>724</v>
      </c>
      <c r="T164" t="str">
        <f t="shared" si="68"/>
        <v>M. Rossi</v>
      </c>
      <c r="U164" t="s">
        <v>730</v>
      </c>
      <c r="V164" t="str">
        <f t="shared" si="55"/>
        <v>Medium</v>
      </c>
      <c r="W164" t="s">
        <v>978</v>
      </c>
      <c r="X164" t="str">
        <f t="shared" si="56"/>
        <v>A</v>
      </c>
      <c r="Y164" s="5">
        <v>1013.54</v>
      </c>
      <c r="Z164" s="5">
        <v>927.93</v>
      </c>
      <c r="AA164" s="5">
        <f t="shared" si="57"/>
        <v>927.93</v>
      </c>
      <c r="AB164" s="7">
        <v>0.17499999999999999</v>
      </c>
      <c r="AC164" s="7">
        <f t="shared" si="58"/>
        <v>0.17499999999999999</v>
      </c>
      <c r="AD164" s="16">
        <f t="shared" si="59"/>
        <v>0</v>
      </c>
      <c r="AE164" s="16">
        <v>16</v>
      </c>
      <c r="AF164" s="5">
        <f t="shared" si="60"/>
        <v>12248.675999999999</v>
      </c>
      <c r="AG164">
        <f t="shared" si="61"/>
        <v>16216.64</v>
      </c>
      <c r="AH164" s="5">
        <f t="shared" si="62"/>
        <v>3967.9639999999999</v>
      </c>
      <c r="AI164" s="5">
        <f t="shared" si="63"/>
        <v>0.32395044166406234</v>
      </c>
      <c r="AJ164" s="5">
        <f t="shared" si="66"/>
        <v>6106383.1579100005</v>
      </c>
      <c r="AK164" s="7">
        <f t="shared" si="64"/>
        <v>0.55787617702778958</v>
      </c>
      <c r="AL164" s="17">
        <f>MIN(AC164,'What-If Analysis'!$B$2)</f>
        <v>0.17499999999999999</v>
      </c>
      <c r="AM164">
        <f>AE164*(1+'What-If Analysis'!$B$3)</f>
        <v>20.8</v>
      </c>
      <c r="AN164">
        <f>Y164*(1+'What-If Analysis'!$B$4)</f>
        <v>1114.894</v>
      </c>
      <c r="AO164">
        <f t="shared" si="65"/>
        <v>15923.278799999998</v>
      </c>
    </row>
    <row r="165" spans="1:41" x14ac:dyDescent="0.3">
      <c r="A165" t="s">
        <v>159</v>
      </c>
      <c r="B165" s="3">
        <v>45112</v>
      </c>
      <c r="C165" s="3">
        <f t="shared" si="46"/>
        <v>45112</v>
      </c>
      <c r="D165" s="3">
        <v>45121</v>
      </c>
      <c r="E165" s="3">
        <f t="shared" si="47"/>
        <v>45121</v>
      </c>
      <c r="F165" s="16">
        <f t="shared" si="48"/>
        <v>9</v>
      </c>
      <c r="G165" s="16">
        <f>IF(Data!F143&lt;=7,1,0)</f>
        <v>0</v>
      </c>
      <c r="H165" s="5" t="str">
        <f t="shared" si="49"/>
        <v>07-2023</v>
      </c>
      <c r="I165" s="5" t="str">
        <f t="shared" si="50"/>
        <v>Q3-2023</v>
      </c>
      <c r="J165" s="3">
        <f t="shared" si="51"/>
        <v>44955</v>
      </c>
      <c r="K165" s="5" t="str">
        <f t="shared" si="52"/>
        <v>01-2023</v>
      </c>
      <c r="L165" t="s">
        <v>648</v>
      </c>
      <c r="M165" t="s">
        <v>655</v>
      </c>
      <c r="N165" t="s">
        <v>672</v>
      </c>
      <c r="O165" t="str">
        <f t="shared" si="53"/>
        <v>Brasília</v>
      </c>
      <c r="P165" t="s">
        <v>706</v>
      </c>
      <c r="Q165" t="s">
        <v>711</v>
      </c>
      <c r="R165" t="str">
        <f t="shared" si="54"/>
        <v>Direct</v>
      </c>
      <c r="S165" t="s">
        <v>717</v>
      </c>
      <c r="T165" t="str">
        <f t="shared" si="68"/>
        <v>B. Chen</v>
      </c>
      <c r="U165" t="s">
        <v>729</v>
      </c>
      <c r="V165" t="str">
        <f t="shared" si="55"/>
        <v>Medium</v>
      </c>
      <c r="W165" t="s">
        <v>878</v>
      </c>
      <c r="X165" t="str">
        <f t="shared" si="56"/>
        <v>A</v>
      </c>
      <c r="Y165" s="5">
        <v>578.85</v>
      </c>
      <c r="Z165" s="5">
        <v>998.76</v>
      </c>
      <c r="AA165" s="5">
        <f t="shared" si="57"/>
        <v>998.76</v>
      </c>
      <c r="AB165" s="7">
        <v>8.2000000000000003E-2</v>
      </c>
      <c r="AC165" s="7">
        <f t="shared" si="58"/>
        <v>8.2000000000000003E-2</v>
      </c>
      <c r="AD165" s="16">
        <f t="shared" si="59"/>
        <v>0</v>
      </c>
      <c r="AE165" s="16">
        <v>28</v>
      </c>
      <c r="AF165" s="5">
        <f t="shared" si="60"/>
        <v>25672.127039999999</v>
      </c>
      <c r="AG165">
        <f t="shared" si="61"/>
        <v>16207.800000000001</v>
      </c>
      <c r="AH165" s="5">
        <f t="shared" si="62"/>
        <v>9464.3270399999983</v>
      </c>
      <c r="AI165" s="5">
        <f t="shared" si="63"/>
        <v>0.36866158480960831</v>
      </c>
      <c r="AJ165" s="5">
        <f t="shared" si="66"/>
        <v>6132055.2849500002</v>
      </c>
      <c r="AK165" s="7">
        <f t="shared" si="64"/>
        <v>0.56022156999100303</v>
      </c>
      <c r="AL165" s="17">
        <f>MIN(AC165,'What-If Analysis'!$B$2)</f>
        <v>8.2000000000000003E-2</v>
      </c>
      <c r="AM165">
        <f>AE165*(1+'What-If Analysis'!$B$3)</f>
        <v>36.4</v>
      </c>
      <c r="AN165">
        <f>Y165*(1+'What-If Analysis'!$B$4)</f>
        <v>636.73500000000013</v>
      </c>
      <c r="AO165">
        <f t="shared" si="65"/>
        <v>33373.765152</v>
      </c>
    </row>
    <row r="166" spans="1:41" x14ac:dyDescent="0.3">
      <c r="A166" t="s">
        <v>415</v>
      </c>
      <c r="B166" s="3">
        <v>45516</v>
      </c>
      <c r="C166" s="3">
        <f t="shared" si="46"/>
        <v>45516</v>
      </c>
      <c r="D166" s="3">
        <v>45519</v>
      </c>
      <c r="E166" s="3">
        <f t="shared" si="47"/>
        <v>45519</v>
      </c>
      <c r="F166" s="16">
        <f t="shared" si="48"/>
        <v>3</v>
      </c>
      <c r="G166" s="16">
        <f>IF(Data!F232&lt;=7,1,0)</f>
        <v>1</v>
      </c>
      <c r="H166" s="5" t="str">
        <f t="shared" si="49"/>
        <v>08-2024</v>
      </c>
      <c r="I166" s="5" t="str">
        <f t="shared" si="50"/>
        <v>Q3-2024</v>
      </c>
      <c r="J166" s="3">
        <f t="shared" si="51"/>
        <v>44939</v>
      </c>
      <c r="K166" s="5" t="str">
        <f t="shared" si="52"/>
        <v>01-2023</v>
      </c>
      <c r="L166" t="s">
        <v>648</v>
      </c>
      <c r="M166" t="s">
        <v>660</v>
      </c>
      <c r="N166" t="s">
        <v>677</v>
      </c>
      <c r="O166" t="str">
        <f t="shared" si="53"/>
        <v>Chicago</v>
      </c>
      <c r="P166" t="s">
        <v>701</v>
      </c>
      <c r="Q166" t="s">
        <v>709</v>
      </c>
      <c r="R166" t="str">
        <f t="shared" si="54"/>
        <v>Marketplace</v>
      </c>
      <c r="S166" t="s">
        <v>726</v>
      </c>
      <c r="T166" t="str">
        <f t="shared" si="68"/>
        <v>D. Smith</v>
      </c>
      <c r="U166" t="s">
        <v>728</v>
      </c>
      <c r="V166" t="str">
        <f t="shared" si="55"/>
        <v>Medium</v>
      </c>
      <c r="W166" t="s">
        <v>1134</v>
      </c>
      <c r="X166" t="str">
        <f t="shared" si="56"/>
        <v>A</v>
      </c>
      <c r="Y166" s="5">
        <v>850.7</v>
      </c>
      <c r="Z166" s="5">
        <v>1118.56</v>
      </c>
      <c r="AA166" s="5">
        <f t="shared" si="57"/>
        <v>1118.56</v>
      </c>
      <c r="AB166" s="7">
        <v>0.18</v>
      </c>
      <c r="AC166" s="7">
        <f t="shared" si="58"/>
        <v>0.18</v>
      </c>
      <c r="AD166" s="16">
        <f t="shared" si="59"/>
        <v>0</v>
      </c>
      <c r="AE166" s="16">
        <v>19</v>
      </c>
      <c r="AF166" s="5">
        <f t="shared" si="60"/>
        <v>17427.164800000002</v>
      </c>
      <c r="AG166">
        <f t="shared" si="61"/>
        <v>16163.300000000001</v>
      </c>
      <c r="AH166" s="5">
        <f t="shared" si="62"/>
        <v>1263.8648000000012</v>
      </c>
      <c r="AI166" s="5">
        <f t="shared" si="63"/>
        <v>7.2522685962090688E-2</v>
      </c>
      <c r="AJ166" s="5">
        <f t="shared" si="66"/>
        <v>6149482.4497500006</v>
      </c>
      <c r="AK166" s="7">
        <f t="shared" si="64"/>
        <v>0.56181370723880464</v>
      </c>
      <c r="AL166" s="17">
        <f>MIN(AC166,'What-If Analysis'!$B$2)</f>
        <v>0.18</v>
      </c>
      <c r="AM166">
        <f>AE166*(1+'What-If Analysis'!$B$3)</f>
        <v>24.7</v>
      </c>
      <c r="AN166">
        <f>Y166*(1+'What-If Analysis'!$B$4)</f>
        <v>935.7700000000001</v>
      </c>
      <c r="AO166">
        <f t="shared" si="65"/>
        <v>22655.31424</v>
      </c>
    </row>
    <row r="167" spans="1:41" x14ac:dyDescent="0.3">
      <c r="A167" t="s">
        <v>249</v>
      </c>
      <c r="B167" s="3">
        <v>45302</v>
      </c>
      <c r="C167" s="3">
        <f t="shared" si="46"/>
        <v>45302</v>
      </c>
      <c r="D167" s="3">
        <v>45324</v>
      </c>
      <c r="E167" s="3">
        <f t="shared" si="47"/>
        <v>45324</v>
      </c>
      <c r="F167" s="16">
        <f t="shared" si="48"/>
        <v>22</v>
      </c>
      <c r="G167" s="16">
        <f>IF(Data!F233&lt;=7,1,0)</f>
        <v>1</v>
      </c>
      <c r="H167" s="5" t="str">
        <f t="shared" si="49"/>
        <v>01-2024</v>
      </c>
      <c r="I167" s="5" t="str">
        <f t="shared" si="50"/>
        <v>Q1-2024</v>
      </c>
      <c r="J167" s="3">
        <f t="shared" si="51"/>
        <v>44988</v>
      </c>
      <c r="K167" s="5" t="str">
        <f t="shared" si="52"/>
        <v>03-2023</v>
      </c>
      <c r="L167" t="s">
        <v>647</v>
      </c>
      <c r="M167" t="s">
        <v>652</v>
      </c>
      <c r="N167" t="s">
        <v>694</v>
      </c>
      <c r="O167" t="str">
        <f t="shared" si="53"/>
        <v>Nagoya</v>
      </c>
      <c r="P167" t="s">
        <v>705</v>
      </c>
      <c r="Q167" t="s">
        <v>708</v>
      </c>
      <c r="R167" t="str">
        <f t="shared" si="54"/>
        <v>Online</v>
      </c>
      <c r="T167" t="str">
        <f t="shared" si="68"/>
        <v>K. Singh</v>
      </c>
      <c r="U167" t="s">
        <v>728</v>
      </c>
      <c r="V167" t="str">
        <f t="shared" si="55"/>
        <v>Medium</v>
      </c>
      <c r="W167" t="s">
        <v>969</v>
      </c>
      <c r="X167" t="str">
        <f t="shared" si="56"/>
        <v>A</v>
      </c>
      <c r="Y167" s="5">
        <v>1237.68</v>
      </c>
      <c r="Z167" s="5">
        <v>1432.8</v>
      </c>
      <c r="AA167" s="5">
        <f t="shared" si="57"/>
        <v>1432.8</v>
      </c>
      <c r="AB167" s="7">
        <v>6.8000000000000005E-2</v>
      </c>
      <c r="AC167" s="7">
        <f t="shared" si="58"/>
        <v>6.8000000000000005E-2</v>
      </c>
      <c r="AD167" s="16">
        <f t="shared" si="59"/>
        <v>0</v>
      </c>
      <c r="AE167" s="16">
        <v>13</v>
      </c>
      <c r="AF167" s="5">
        <f t="shared" si="60"/>
        <v>17359.804799999998</v>
      </c>
      <c r="AG167">
        <f t="shared" si="61"/>
        <v>16089.84</v>
      </c>
      <c r="AH167" s="5">
        <f t="shared" si="62"/>
        <v>1269.9647999999979</v>
      </c>
      <c r="AI167" s="5">
        <f t="shared" si="63"/>
        <v>7.315547695559331E-2</v>
      </c>
      <c r="AJ167" s="5">
        <f t="shared" si="66"/>
        <v>6166842.2545500007</v>
      </c>
      <c r="AK167" s="7">
        <f t="shared" si="64"/>
        <v>0.5633996905099703</v>
      </c>
      <c r="AL167" s="17">
        <f>MIN(AC167,'What-If Analysis'!$B$2)</f>
        <v>6.8000000000000005E-2</v>
      </c>
      <c r="AM167">
        <f>AE167*(1+'What-If Analysis'!$B$3)</f>
        <v>16.900000000000002</v>
      </c>
      <c r="AN167">
        <f>Y167*(1+'What-If Analysis'!$B$4)</f>
        <v>1361.4480000000001</v>
      </c>
      <c r="AO167">
        <f t="shared" si="65"/>
        <v>22567.74624</v>
      </c>
    </row>
    <row r="168" spans="1:41" x14ac:dyDescent="0.3">
      <c r="A168" t="s">
        <v>567</v>
      </c>
      <c r="B168" s="3">
        <v>45704</v>
      </c>
      <c r="C168" s="3">
        <f t="shared" si="46"/>
        <v>45704</v>
      </c>
      <c r="D168" s="3">
        <v>45733</v>
      </c>
      <c r="E168" s="3">
        <f t="shared" si="47"/>
        <v>45733</v>
      </c>
      <c r="F168" s="16">
        <f t="shared" si="48"/>
        <v>29</v>
      </c>
      <c r="G168" s="16">
        <f>IF(Data!F195&lt;=7,1,0)</f>
        <v>0</v>
      </c>
      <c r="H168" s="5" t="str">
        <f t="shared" si="49"/>
        <v>02-2025</v>
      </c>
      <c r="I168" s="5" t="str">
        <f t="shared" si="50"/>
        <v>Q1-2025</v>
      </c>
      <c r="J168" s="3">
        <f t="shared" si="51"/>
        <v>44947</v>
      </c>
      <c r="K168" s="5" t="str">
        <f t="shared" si="52"/>
        <v>01-2023</v>
      </c>
      <c r="L168" t="s">
        <v>649</v>
      </c>
      <c r="M168" t="s">
        <v>656</v>
      </c>
      <c r="N168" t="s">
        <v>684</v>
      </c>
      <c r="O168" t="str">
        <f t="shared" si="53"/>
        <v>Munich</v>
      </c>
      <c r="P168" t="s">
        <v>704</v>
      </c>
      <c r="Q168" t="s">
        <v>707</v>
      </c>
      <c r="R168" t="str">
        <f t="shared" si="54"/>
        <v>Retail</v>
      </c>
      <c r="S168" t="s">
        <v>716</v>
      </c>
      <c r="T168" t="str">
        <f t="shared" si="68"/>
        <v>L. Okafor</v>
      </c>
      <c r="U168" t="s">
        <v>733</v>
      </c>
      <c r="V168" t="str">
        <f t="shared" si="55"/>
        <v>Medium</v>
      </c>
      <c r="W168" t="s">
        <v>1285</v>
      </c>
      <c r="X168" t="str">
        <f t="shared" si="56"/>
        <v>A</v>
      </c>
      <c r="Y168" s="5">
        <v>730.42</v>
      </c>
      <c r="Z168" s="5">
        <v>956.7</v>
      </c>
      <c r="AA168" s="5">
        <f t="shared" si="57"/>
        <v>956.7</v>
      </c>
      <c r="AB168" s="7">
        <v>4.2000000000000003E-2</v>
      </c>
      <c r="AC168" s="7">
        <f t="shared" si="58"/>
        <v>4.2000000000000003E-2</v>
      </c>
      <c r="AD168" s="16">
        <f t="shared" si="59"/>
        <v>0</v>
      </c>
      <c r="AE168" s="16">
        <v>22</v>
      </c>
      <c r="AF168" s="5">
        <f t="shared" si="60"/>
        <v>20163.409200000002</v>
      </c>
      <c r="AG168">
        <f t="shared" si="61"/>
        <v>16069.24</v>
      </c>
      <c r="AH168" s="5">
        <f t="shared" si="62"/>
        <v>4094.1692000000021</v>
      </c>
      <c r="AI168" s="5">
        <f t="shared" si="63"/>
        <v>0.20304945256975698</v>
      </c>
      <c r="AJ168" s="5">
        <f t="shared" si="66"/>
        <v>6187005.6637500003</v>
      </c>
      <c r="AK168" s="7">
        <f t="shared" si="64"/>
        <v>0.56524180970712079</v>
      </c>
      <c r="AL168" s="17">
        <f>MIN(AC168,'What-If Analysis'!$B$2)</f>
        <v>4.2000000000000003E-2</v>
      </c>
      <c r="AM168">
        <f>AE168*(1+'What-If Analysis'!$B$3)</f>
        <v>28.6</v>
      </c>
      <c r="AN168">
        <f>Y168*(1+'What-If Analysis'!$B$4)</f>
        <v>803.46199999999999</v>
      </c>
      <c r="AO168">
        <f t="shared" si="65"/>
        <v>26212.431960000002</v>
      </c>
    </row>
    <row r="169" spans="1:41" x14ac:dyDescent="0.3">
      <c r="A169" t="s">
        <v>580</v>
      </c>
      <c r="B169" s="3">
        <v>45330</v>
      </c>
      <c r="C169" s="3">
        <f t="shared" si="46"/>
        <v>45330</v>
      </c>
      <c r="D169" s="3">
        <v>45331</v>
      </c>
      <c r="E169" s="3">
        <f t="shared" si="47"/>
        <v>45331</v>
      </c>
      <c r="F169" s="16">
        <f t="shared" si="48"/>
        <v>1</v>
      </c>
      <c r="G169" s="16">
        <f>IF(Data!F229&lt;=7,1,0)</f>
        <v>1</v>
      </c>
      <c r="H169" s="5" t="str">
        <f t="shared" si="49"/>
        <v>02-2024</v>
      </c>
      <c r="I169" s="5" t="str">
        <f t="shared" si="50"/>
        <v>Q1-2024</v>
      </c>
      <c r="J169" s="3">
        <f t="shared" si="51"/>
        <v>44946</v>
      </c>
      <c r="K169" s="5" t="str">
        <f t="shared" si="52"/>
        <v>01-2023</v>
      </c>
      <c r="L169" t="s">
        <v>646</v>
      </c>
      <c r="M169" t="s">
        <v>650</v>
      </c>
      <c r="N169" t="s">
        <v>675</v>
      </c>
      <c r="O169" t="str">
        <f t="shared" si="53"/>
        <v>Mombasa</v>
      </c>
      <c r="P169" t="s">
        <v>701</v>
      </c>
      <c r="Q169" t="s">
        <v>711</v>
      </c>
      <c r="R169" t="str">
        <f t="shared" si="54"/>
        <v>Direct</v>
      </c>
      <c r="S169" t="s">
        <v>721</v>
      </c>
      <c r="T169" t="str">
        <f t="shared" si="68"/>
        <v>F. Müller</v>
      </c>
      <c r="U169" t="s">
        <v>727</v>
      </c>
      <c r="V169" t="str">
        <f t="shared" si="55"/>
        <v>Medium</v>
      </c>
      <c r="W169" t="s">
        <v>1298</v>
      </c>
      <c r="X169" t="str">
        <f t="shared" si="56"/>
        <v>A</v>
      </c>
      <c r="Y169" s="5">
        <v>1233.52</v>
      </c>
      <c r="Z169" s="5">
        <v>1543.76</v>
      </c>
      <c r="AA169" s="5">
        <f t="shared" si="57"/>
        <v>1543.76</v>
      </c>
      <c r="AB169" s="7">
        <v>0.126</v>
      </c>
      <c r="AC169" s="7">
        <f t="shared" si="58"/>
        <v>0.126</v>
      </c>
      <c r="AD169" s="16">
        <f t="shared" si="59"/>
        <v>0</v>
      </c>
      <c r="AE169" s="16">
        <v>13</v>
      </c>
      <c r="AF169" s="5">
        <f t="shared" si="60"/>
        <v>17540.201120000002</v>
      </c>
      <c r="AG169">
        <f t="shared" si="61"/>
        <v>16035.76</v>
      </c>
      <c r="AH169" s="5">
        <f t="shared" si="62"/>
        <v>1504.4411200000013</v>
      </c>
      <c r="AI169" s="5">
        <f t="shared" si="63"/>
        <v>8.5771030201277493E-2</v>
      </c>
      <c r="AJ169" s="5">
        <f t="shared" si="66"/>
        <v>6204545.8648700006</v>
      </c>
      <c r="AK169" s="7">
        <f t="shared" si="64"/>
        <v>0.56684427389780123</v>
      </c>
      <c r="AL169" s="17">
        <f>MIN(AC169,'What-If Analysis'!$B$2)</f>
        <v>0.126</v>
      </c>
      <c r="AM169">
        <f>AE169*(1+'What-If Analysis'!$B$3)</f>
        <v>16.900000000000002</v>
      </c>
      <c r="AN169">
        <f>Y169*(1+'What-If Analysis'!$B$4)</f>
        <v>1356.8720000000001</v>
      </c>
      <c r="AO169">
        <f t="shared" si="65"/>
        <v>22802.261456</v>
      </c>
    </row>
    <row r="170" spans="1:41" x14ac:dyDescent="0.3">
      <c r="A170" t="s">
        <v>306</v>
      </c>
      <c r="B170" s="3">
        <v>45220</v>
      </c>
      <c r="C170" s="3">
        <f t="shared" si="46"/>
        <v>45220</v>
      </c>
      <c r="D170" s="3">
        <v>45239</v>
      </c>
      <c r="E170" s="3">
        <f t="shared" si="47"/>
        <v>45239</v>
      </c>
      <c r="F170" s="16">
        <f t="shared" si="48"/>
        <v>19</v>
      </c>
      <c r="G170" s="16">
        <f>IF(Data!F166&lt;=7,1,0)</f>
        <v>1</v>
      </c>
      <c r="H170" s="5" t="str">
        <f t="shared" si="49"/>
        <v>10-2023</v>
      </c>
      <c r="I170" s="5" t="str">
        <f t="shared" si="50"/>
        <v>Q4-2023</v>
      </c>
      <c r="J170" s="3">
        <f t="shared" si="51"/>
        <v>44945</v>
      </c>
      <c r="K170" s="5" t="str">
        <f t="shared" si="52"/>
        <v>01-2023</v>
      </c>
      <c r="L170" t="s">
        <v>649</v>
      </c>
      <c r="M170" t="s">
        <v>658</v>
      </c>
      <c r="N170" t="s">
        <v>683</v>
      </c>
      <c r="O170" t="str">
        <f t="shared" si="53"/>
        <v>London</v>
      </c>
      <c r="P170" t="s">
        <v>703</v>
      </c>
      <c r="Q170" t="s">
        <v>711</v>
      </c>
      <c r="R170" t="str">
        <f t="shared" si="54"/>
        <v>Direct</v>
      </c>
      <c r="S170" t="s">
        <v>720</v>
      </c>
      <c r="T170" t="str">
        <f t="shared" si="68"/>
        <v>A. Patel</v>
      </c>
      <c r="U170" t="s">
        <v>733</v>
      </c>
      <c r="V170" t="str">
        <f t="shared" si="55"/>
        <v>High</v>
      </c>
      <c r="W170" t="s">
        <v>1026</v>
      </c>
      <c r="X170" t="str">
        <f t="shared" si="56"/>
        <v>A</v>
      </c>
      <c r="Y170" s="5">
        <v>1142.48</v>
      </c>
      <c r="Z170" s="5">
        <v>2105.5300000000002</v>
      </c>
      <c r="AA170" s="5">
        <f t="shared" si="57"/>
        <v>2105.5300000000002</v>
      </c>
      <c r="AB170" s="7">
        <v>0.20699999999999999</v>
      </c>
      <c r="AC170" s="7">
        <f t="shared" si="58"/>
        <v>0.20699999999999999</v>
      </c>
      <c r="AD170" s="16">
        <f t="shared" si="59"/>
        <v>1</v>
      </c>
      <c r="AE170" s="16">
        <v>14</v>
      </c>
      <c r="AF170" s="5">
        <f t="shared" si="60"/>
        <v>23375.594060000003</v>
      </c>
      <c r="AG170">
        <f t="shared" si="61"/>
        <v>15994.720000000001</v>
      </c>
      <c r="AH170" s="5">
        <f t="shared" si="62"/>
        <v>7380.8740600000019</v>
      </c>
      <c r="AI170" s="5">
        <f t="shared" si="63"/>
        <v>0.31575129346680658</v>
      </c>
      <c r="AJ170" s="5">
        <f t="shared" si="66"/>
        <v>6227921.4589300007</v>
      </c>
      <c r="AK170" s="7">
        <f t="shared" si="64"/>
        <v>0.56897985673181539</v>
      </c>
      <c r="AL170" s="17">
        <f>MIN(AC170,'What-If Analysis'!$B$2)</f>
        <v>0.2</v>
      </c>
      <c r="AM170">
        <f>AE170*(1+'What-If Analysis'!$B$3)</f>
        <v>18.2</v>
      </c>
      <c r="AN170">
        <f>Y170*(1+'What-If Analysis'!$B$4)</f>
        <v>1256.7280000000001</v>
      </c>
      <c r="AO170">
        <f t="shared" si="65"/>
        <v>30656.516800000001</v>
      </c>
    </row>
    <row r="171" spans="1:41" x14ac:dyDescent="0.3">
      <c r="A171" t="s">
        <v>354</v>
      </c>
      <c r="B171" s="3">
        <v>45131</v>
      </c>
      <c r="C171" s="3">
        <f t="shared" si="46"/>
        <v>45131</v>
      </c>
      <c r="D171" s="3">
        <v>45157</v>
      </c>
      <c r="E171" s="3">
        <f t="shared" si="47"/>
        <v>45157</v>
      </c>
      <c r="F171" s="16">
        <f t="shared" si="48"/>
        <v>26</v>
      </c>
      <c r="G171" s="16">
        <f>IF(Data!F127&lt;=7,1,0)</f>
        <v>0</v>
      </c>
      <c r="H171" s="5" t="str">
        <f t="shared" si="49"/>
        <v>07-2023</v>
      </c>
      <c r="I171" s="5" t="str">
        <f t="shared" si="50"/>
        <v>Q3-2023</v>
      </c>
      <c r="J171" s="3">
        <f t="shared" si="51"/>
        <v>44946</v>
      </c>
      <c r="K171" s="5" t="str">
        <f t="shared" si="52"/>
        <v>01-2023</v>
      </c>
      <c r="L171" t="s">
        <v>646</v>
      </c>
      <c r="M171" t="s">
        <v>650</v>
      </c>
      <c r="N171" t="s">
        <v>664</v>
      </c>
      <c r="O171" t="str">
        <f t="shared" si="53"/>
        <v>Nairobi</v>
      </c>
      <c r="P171" t="s">
        <v>706</v>
      </c>
      <c r="Q171" t="s">
        <v>710</v>
      </c>
      <c r="R171" t="str">
        <f t="shared" si="54"/>
        <v>Distributor</v>
      </c>
      <c r="S171" t="s">
        <v>724</v>
      </c>
      <c r="T171" t="str">
        <f t="shared" si="68"/>
        <v>M. Rossi</v>
      </c>
      <c r="U171" t="s">
        <v>733</v>
      </c>
      <c r="V171" t="str">
        <f t="shared" si="55"/>
        <v>Medium</v>
      </c>
      <c r="W171" t="s">
        <v>1074</v>
      </c>
      <c r="X171" t="str">
        <f t="shared" si="56"/>
        <v>A</v>
      </c>
      <c r="Y171" s="5">
        <v>661.45</v>
      </c>
      <c r="Z171" s="5">
        <v>1634.86</v>
      </c>
      <c r="AA171" s="5">
        <f t="shared" si="57"/>
        <v>1634.86</v>
      </c>
      <c r="AB171" s="7">
        <v>0.56499999999999995</v>
      </c>
      <c r="AC171" s="7">
        <f t="shared" si="58"/>
        <v>0.3</v>
      </c>
      <c r="AD171" s="16">
        <f t="shared" si="59"/>
        <v>1</v>
      </c>
      <c r="AE171" s="16">
        <v>24</v>
      </c>
      <c r="AF171" s="5">
        <f t="shared" si="60"/>
        <v>27465.647999999997</v>
      </c>
      <c r="AG171">
        <f t="shared" si="61"/>
        <v>15874.800000000001</v>
      </c>
      <c r="AH171" s="5">
        <f t="shared" si="62"/>
        <v>11590.847999999996</v>
      </c>
      <c r="AI171" s="5">
        <f t="shared" si="63"/>
        <v>0.42201254454291404</v>
      </c>
      <c r="AJ171" s="5">
        <f t="shared" si="66"/>
        <v>6255387.1069300007</v>
      </c>
      <c r="AK171" s="7">
        <f t="shared" si="64"/>
        <v>0.57148910489223959</v>
      </c>
      <c r="AL171" s="17">
        <f>MIN(AC171,'What-If Analysis'!$B$2)</f>
        <v>0.2</v>
      </c>
      <c r="AM171">
        <f>AE171*(1+'What-If Analysis'!$B$3)</f>
        <v>31.200000000000003</v>
      </c>
      <c r="AN171">
        <f>Y171*(1+'What-If Analysis'!$B$4)</f>
        <v>727.59500000000014</v>
      </c>
      <c r="AO171">
        <f t="shared" si="65"/>
        <v>40806.10560000001</v>
      </c>
    </row>
    <row r="172" spans="1:41" x14ac:dyDescent="0.3">
      <c r="A172" t="s">
        <v>233</v>
      </c>
      <c r="B172" s="3">
        <v>45554</v>
      </c>
      <c r="C172" s="3">
        <f t="shared" si="46"/>
        <v>45554</v>
      </c>
      <c r="D172" s="3">
        <v>45579</v>
      </c>
      <c r="E172" s="3">
        <f t="shared" si="47"/>
        <v>45579</v>
      </c>
      <c r="F172" s="16">
        <f t="shared" si="48"/>
        <v>25</v>
      </c>
      <c r="G172" s="16">
        <f>IF(Data!F122&lt;=7,1,0)</f>
        <v>0</v>
      </c>
      <c r="H172" s="5" t="str">
        <f t="shared" si="49"/>
        <v>09-2024</v>
      </c>
      <c r="I172" s="5" t="str">
        <f t="shared" si="50"/>
        <v>Q3-2024</v>
      </c>
      <c r="J172" s="3">
        <f t="shared" si="51"/>
        <v>44955</v>
      </c>
      <c r="K172" s="5" t="str">
        <f t="shared" si="52"/>
        <v>01-2023</v>
      </c>
      <c r="L172" t="s">
        <v>648</v>
      </c>
      <c r="M172" t="s">
        <v>655</v>
      </c>
      <c r="N172" t="s">
        <v>692</v>
      </c>
      <c r="O172" t="str">
        <f t="shared" si="53"/>
        <v>Rio de Janeiro</v>
      </c>
      <c r="P172" t="s">
        <v>705</v>
      </c>
      <c r="Q172" t="s">
        <v>707</v>
      </c>
      <c r="R172" t="str">
        <f t="shared" si="54"/>
        <v>Retail</v>
      </c>
      <c r="S172" t="s">
        <v>723</v>
      </c>
      <c r="T172" t="str">
        <f t="shared" si="68"/>
        <v>K. Singh</v>
      </c>
      <c r="U172" t="s">
        <v>728</v>
      </c>
      <c r="V172" t="str">
        <f t="shared" si="55"/>
        <v>Medium</v>
      </c>
      <c r="W172" t="s">
        <v>953</v>
      </c>
      <c r="X172" t="str">
        <f t="shared" si="56"/>
        <v>A</v>
      </c>
      <c r="Y172" s="5">
        <v>386.96</v>
      </c>
      <c r="Z172" s="5">
        <v>937.46</v>
      </c>
      <c r="AA172" s="5">
        <f t="shared" si="57"/>
        <v>937.46</v>
      </c>
      <c r="AB172" s="7">
        <v>0.26600000000000001</v>
      </c>
      <c r="AC172" s="7">
        <f t="shared" si="58"/>
        <v>0.26600000000000001</v>
      </c>
      <c r="AD172" s="16">
        <f t="shared" si="59"/>
        <v>1</v>
      </c>
      <c r="AE172" s="16">
        <v>41</v>
      </c>
      <c r="AF172" s="5">
        <f t="shared" si="60"/>
        <v>28211.92124</v>
      </c>
      <c r="AG172">
        <f t="shared" si="61"/>
        <v>15865.359999999999</v>
      </c>
      <c r="AH172" s="5">
        <f t="shared" si="62"/>
        <v>12346.561240000001</v>
      </c>
      <c r="AI172" s="5">
        <f t="shared" si="63"/>
        <v>0.43763631462626335</v>
      </c>
      <c r="AJ172" s="5">
        <f t="shared" si="66"/>
        <v>6283599.0281700008</v>
      </c>
      <c r="AK172" s="7">
        <f t="shared" si="64"/>
        <v>0.57406653221066672</v>
      </c>
      <c r="AL172" s="17">
        <f>MIN(AC172,'What-If Analysis'!$B$2)</f>
        <v>0.2</v>
      </c>
      <c r="AM172">
        <f>AE172*(1+'What-If Analysis'!$B$3)</f>
        <v>53.300000000000004</v>
      </c>
      <c r="AN172">
        <f>Y172*(1+'What-If Analysis'!$B$4)</f>
        <v>425.65600000000001</v>
      </c>
      <c r="AO172">
        <f t="shared" si="65"/>
        <v>39973.294400000013</v>
      </c>
    </row>
    <row r="173" spans="1:41" x14ac:dyDescent="0.3">
      <c r="A173" t="s">
        <v>528</v>
      </c>
      <c r="B173" s="3">
        <v>45661</v>
      </c>
      <c r="C173" s="3">
        <f t="shared" si="46"/>
        <v>45661</v>
      </c>
      <c r="D173" s="3">
        <v>45662</v>
      </c>
      <c r="E173" s="3">
        <f t="shared" si="47"/>
        <v>45662</v>
      </c>
      <c r="F173" s="16">
        <f t="shared" si="48"/>
        <v>1</v>
      </c>
      <c r="G173" s="16">
        <f>IF(Data!F87&lt;=7,1,0)</f>
        <v>1</v>
      </c>
      <c r="H173" s="5" t="str">
        <f t="shared" si="49"/>
        <v>01-2025</v>
      </c>
      <c r="I173" s="5" t="str">
        <f t="shared" si="50"/>
        <v>Q1-2025</v>
      </c>
      <c r="J173" s="3">
        <f t="shared" si="51"/>
        <v>44955</v>
      </c>
      <c r="K173" s="5" t="str">
        <f t="shared" si="52"/>
        <v>01-2023</v>
      </c>
      <c r="L173" t="s">
        <v>647</v>
      </c>
      <c r="M173" t="s">
        <v>654</v>
      </c>
      <c r="N173" t="s">
        <v>680</v>
      </c>
      <c r="O173" t="str">
        <f t="shared" si="53"/>
        <v>Delhi</v>
      </c>
      <c r="P173" t="s">
        <v>702</v>
      </c>
      <c r="Q173" t="s">
        <v>707</v>
      </c>
      <c r="R173" t="str">
        <f t="shared" si="54"/>
        <v>Retail</v>
      </c>
      <c r="S173" t="s">
        <v>714</v>
      </c>
      <c r="T173" t="str">
        <f t="shared" si="68"/>
        <v>I. Johnson</v>
      </c>
      <c r="U173" t="s">
        <v>727</v>
      </c>
      <c r="V173" t="str">
        <f t="shared" si="55"/>
        <v>High</v>
      </c>
      <c r="W173" t="s">
        <v>1247</v>
      </c>
      <c r="X173" t="str">
        <f t="shared" si="56"/>
        <v>A</v>
      </c>
      <c r="Y173" s="5">
        <v>1428.33</v>
      </c>
      <c r="Z173" s="5">
        <v>3028.05</v>
      </c>
      <c r="AA173" s="5">
        <f t="shared" si="57"/>
        <v>3028.05</v>
      </c>
      <c r="AB173" s="7">
        <v>0</v>
      </c>
      <c r="AC173" s="7">
        <f t="shared" si="58"/>
        <v>0</v>
      </c>
      <c r="AD173" s="16">
        <f t="shared" si="59"/>
        <v>0</v>
      </c>
      <c r="AE173" s="16">
        <v>11</v>
      </c>
      <c r="AF173" s="5">
        <f t="shared" si="60"/>
        <v>33308.550000000003</v>
      </c>
      <c r="AG173">
        <f t="shared" si="61"/>
        <v>15711.63</v>
      </c>
      <c r="AH173" s="5">
        <f t="shared" si="62"/>
        <v>17596.920000000006</v>
      </c>
      <c r="AI173" s="5">
        <f t="shared" si="63"/>
        <v>0.52830039134096207</v>
      </c>
      <c r="AJ173" s="5">
        <f t="shared" si="66"/>
        <v>6316907.5781700006</v>
      </c>
      <c r="AK173" s="7">
        <f t="shared" si="64"/>
        <v>0.57710958503847176</v>
      </c>
      <c r="AL173" s="17">
        <f>MIN(AC173,'What-If Analysis'!$B$2)</f>
        <v>0</v>
      </c>
      <c r="AM173">
        <f>AE173*(1+'What-If Analysis'!$B$3)</f>
        <v>14.3</v>
      </c>
      <c r="AN173">
        <f>Y173*(1+'What-If Analysis'!$B$4)</f>
        <v>1571.163</v>
      </c>
      <c r="AO173">
        <f t="shared" si="65"/>
        <v>43301.115000000005</v>
      </c>
    </row>
    <row r="174" spans="1:41" x14ac:dyDescent="0.3">
      <c r="A174" t="s">
        <v>414</v>
      </c>
      <c r="B174" s="3">
        <v>45759</v>
      </c>
      <c r="C174" s="3">
        <f t="shared" si="46"/>
        <v>45759</v>
      </c>
      <c r="D174" s="3">
        <v>45777</v>
      </c>
      <c r="E174" s="3">
        <f t="shared" si="47"/>
        <v>45777</v>
      </c>
      <c r="F174" s="16">
        <f t="shared" si="48"/>
        <v>18</v>
      </c>
      <c r="G174" s="16">
        <f>IF(Data!F226&lt;=7,1,0)</f>
        <v>0</v>
      </c>
      <c r="H174" s="5" t="str">
        <f t="shared" si="49"/>
        <v>04-2025</v>
      </c>
      <c r="I174" s="5" t="str">
        <f t="shared" si="50"/>
        <v>Q2-2025</v>
      </c>
      <c r="J174" s="3">
        <f t="shared" si="51"/>
        <v>44946</v>
      </c>
      <c r="K174" s="5" t="str">
        <f t="shared" si="52"/>
        <v>01-2023</v>
      </c>
      <c r="L174" t="s">
        <v>646</v>
      </c>
      <c r="M174" t="s">
        <v>650</v>
      </c>
      <c r="N174" t="s">
        <v>662</v>
      </c>
      <c r="O174" t="str">
        <f t="shared" si="53"/>
        <v>Kisumu</v>
      </c>
      <c r="P174" t="s">
        <v>701</v>
      </c>
      <c r="Q174" t="s">
        <v>709</v>
      </c>
      <c r="R174" t="str">
        <f t="shared" si="54"/>
        <v>Marketplace</v>
      </c>
      <c r="S174" t="s">
        <v>721</v>
      </c>
      <c r="T174" t="str">
        <f t="shared" si="68"/>
        <v>F. Müller</v>
      </c>
      <c r="U174" t="s">
        <v>729</v>
      </c>
      <c r="V174" t="str">
        <f t="shared" si="55"/>
        <v>Medium</v>
      </c>
      <c r="W174" t="s">
        <v>1133</v>
      </c>
      <c r="X174" t="str">
        <f t="shared" si="56"/>
        <v>A</v>
      </c>
      <c r="Y174" s="5">
        <v>1119.04</v>
      </c>
      <c r="Z174" s="5">
        <v>1299.02</v>
      </c>
      <c r="AA174" s="5">
        <f t="shared" si="57"/>
        <v>1299.02</v>
      </c>
      <c r="AB174" s="7">
        <v>2.5000000000000001E-2</v>
      </c>
      <c r="AC174" s="7">
        <f t="shared" si="58"/>
        <v>2.5000000000000001E-2</v>
      </c>
      <c r="AD174" s="16">
        <f t="shared" si="59"/>
        <v>0</v>
      </c>
      <c r="AE174" s="16">
        <v>14</v>
      </c>
      <c r="AF174" s="5">
        <f t="shared" si="60"/>
        <v>17731.623</v>
      </c>
      <c r="AG174">
        <f t="shared" si="61"/>
        <v>15666.56</v>
      </c>
      <c r="AH174" s="5">
        <f t="shared" si="62"/>
        <v>2065.0630000000001</v>
      </c>
      <c r="AI174" s="5">
        <f t="shared" si="63"/>
        <v>0.11646215352085933</v>
      </c>
      <c r="AJ174" s="5">
        <f t="shared" si="66"/>
        <v>6334639.2011700002</v>
      </c>
      <c r="AK174" s="7">
        <f t="shared" si="64"/>
        <v>0.5787295374384327</v>
      </c>
      <c r="AL174" s="17">
        <f>MIN(AC174,'What-If Analysis'!$B$2)</f>
        <v>2.5000000000000001E-2</v>
      </c>
      <c r="AM174">
        <f>AE174*(1+'What-If Analysis'!$B$3)</f>
        <v>18.2</v>
      </c>
      <c r="AN174">
        <f>Y174*(1+'What-If Analysis'!$B$4)</f>
        <v>1230.944</v>
      </c>
      <c r="AO174">
        <f t="shared" si="65"/>
        <v>23051.109899999996</v>
      </c>
    </row>
    <row r="175" spans="1:41" x14ac:dyDescent="0.3">
      <c r="A175" t="s">
        <v>564</v>
      </c>
      <c r="B175" s="3">
        <v>45633</v>
      </c>
      <c r="C175" s="3">
        <f t="shared" si="46"/>
        <v>45633</v>
      </c>
      <c r="D175" s="3">
        <v>45652</v>
      </c>
      <c r="E175" s="3">
        <f t="shared" si="47"/>
        <v>45652</v>
      </c>
      <c r="F175" s="16">
        <f t="shared" si="48"/>
        <v>19</v>
      </c>
      <c r="G175" s="16">
        <f>IF(Data!F112&lt;=7,1,0)</f>
        <v>1</v>
      </c>
      <c r="H175" s="5" t="str">
        <f t="shared" si="49"/>
        <v>12-2024</v>
      </c>
      <c r="I175" s="5" t="str">
        <f t="shared" si="50"/>
        <v>Q4-2024</v>
      </c>
      <c r="J175" s="3">
        <f t="shared" si="51"/>
        <v>44945</v>
      </c>
      <c r="K175" s="5" t="str">
        <f t="shared" si="52"/>
        <v>01-2023</v>
      </c>
      <c r="L175" t="s">
        <v>649</v>
      </c>
      <c r="M175" t="s">
        <v>658</v>
      </c>
      <c r="N175" t="s">
        <v>683</v>
      </c>
      <c r="O175" t="str">
        <f t="shared" si="53"/>
        <v>London</v>
      </c>
      <c r="P175" t="s">
        <v>706</v>
      </c>
      <c r="Q175" t="s">
        <v>708</v>
      </c>
      <c r="R175" t="str">
        <f t="shared" si="54"/>
        <v>Online</v>
      </c>
      <c r="S175" t="s">
        <v>726</v>
      </c>
      <c r="T175" t="str">
        <f t="shared" si="68"/>
        <v>D. Smith</v>
      </c>
      <c r="U175" t="s">
        <v>729</v>
      </c>
      <c r="V175" t="str">
        <f t="shared" si="55"/>
        <v>High</v>
      </c>
      <c r="W175" t="s">
        <v>1282</v>
      </c>
      <c r="X175" t="str">
        <f t="shared" si="56"/>
        <v>A</v>
      </c>
      <c r="Y175" s="5">
        <v>1035.24</v>
      </c>
      <c r="Z175" s="5">
        <v>2383.41</v>
      </c>
      <c r="AA175" s="5">
        <f t="shared" si="57"/>
        <v>2383.41</v>
      </c>
      <c r="AB175" s="7">
        <v>0.17</v>
      </c>
      <c r="AC175" s="7">
        <f t="shared" si="58"/>
        <v>0.17</v>
      </c>
      <c r="AD175" s="16">
        <f t="shared" si="59"/>
        <v>0</v>
      </c>
      <c r="AE175" s="16">
        <v>15</v>
      </c>
      <c r="AF175" s="5">
        <f t="shared" si="60"/>
        <v>29673.454499999993</v>
      </c>
      <c r="AG175">
        <f t="shared" si="61"/>
        <v>15528.6</v>
      </c>
      <c r="AH175" s="5">
        <f t="shared" si="62"/>
        <v>14144.854499999992</v>
      </c>
      <c r="AI175" s="5">
        <f t="shared" si="63"/>
        <v>0.47668378145860962</v>
      </c>
      <c r="AJ175" s="5">
        <f t="shared" si="66"/>
        <v>6364312.6556700002</v>
      </c>
      <c r="AK175" s="7">
        <f t="shared" si="64"/>
        <v>0.5814404897202633</v>
      </c>
      <c r="AL175" s="17">
        <f>MIN(AC175,'What-If Analysis'!$B$2)</f>
        <v>0.17</v>
      </c>
      <c r="AM175">
        <f>AE175*(1+'What-If Analysis'!$B$3)</f>
        <v>19.5</v>
      </c>
      <c r="AN175">
        <f>Y175*(1+'What-If Analysis'!$B$4)</f>
        <v>1138.7640000000001</v>
      </c>
      <c r="AO175">
        <f t="shared" si="65"/>
        <v>38575.490849999995</v>
      </c>
    </row>
    <row r="176" spans="1:41" x14ac:dyDescent="0.3">
      <c r="A176" t="s">
        <v>510</v>
      </c>
      <c r="B176" s="3">
        <v>45097</v>
      </c>
      <c r="C176" s="3">
        <f t="shared" si="46"/>
        <v>45097</v>
      </c>
      <c r="D176" s="3">
        <v>45111</v>
      </c>
      <c r="E176" s="3">
        <f t="shared" si="47"/>
        <v>45111</v>
      </c>
      <c r="F176" s="16">
        <f t="shared" si="48"/>
        <v>14</v>
      </c>
      <c r="G176" s="16">
        <f>IF(Data!F106&lt;=7,1,0)</f>
        <v>0</v>
      </c>
      <c r="H176" s="5" t="str">
        <f t="shared" si="49"/>
        <v>06-2023</v>
      </c>
      <c r="I176" s="5" t="str">
        <f t="shared" si="50"/>
        <v>Q2-2023</v>
      </c>
      <c r="J176" s="3">
        <f t="shared" si="51"/>
        <v>44955</v>
      </c>
      <c r="K176" s="5" t="str">
        <f t="shared" si="52"/>
        <v>01-2023</v>
      </c>
      <c r="L176" t="s">
        <v>648</v>
      </c>
      <c r="M176" t="s">
        <v>655</v>
      </c>
      <c r="N176" t="s">
        <v>672</v>
      </c>
      <c r="O176" t="str">
        <f t="shared" si="53"/>
        <v>Brasília</v>
      </c>
      <c r="P176" t="s">
        <v>703</v>
      </c>
      <c r="Q176" t="s">
        <v>711</v>
      </c>
      <c r="R176" t="str">
        <f t="shared" si="54"/>
        <v>Direct</v>
      </c>
      <c r="S176" t="s">
        <v>712</v>
      </c>
      <c r="T176" t="str">
        <f t="shared" si="68"/>
        <v>C. Otieno</v>
      </c>
      <c r="U176" t="s">
        <v>729</v>
      </c>
      <c r="V176" t="str">
        <f t="shared" si="55"/>
        <v>High</v>
      </c>
      <c r="W176" t="s">
        <v>1229</v>
      </c>
      <c r="X176" t="str">
        <f t="shared" si="56"/>
        <v>A</v>
      </c>
      <c r="Y176" s="5">
        <v>1292.8599999999999</v>
      </c>
      <c r="Z176" s="5">
        <v>2981.01</v>
      </c>
      <c r="AA176" s="5">
        <f t="shared" si="57"/>
        <v>2981.01</v>
      </c>
      <c r="AB176" s="7">
        <v>0.14199999999999999</v>
      </c>
      <c r="AC176" s="7">
        <f t="shared" si="58"/>
        <v>0.14199999999999999</v>
      </c>
      <c r="AD176" s="16">
        <f t="shared" si="59"/>
        <v>0</v>
      </c>
      <c r="AE176" s="16">
        <v>12</v>
      </c>
      <c r="AF176" s="5">
        <f t="shared" si="60"/>
        <v>30692.47896</v>
      </c>
      <c r="AG176">
        <f t="shared" si="61"/>
        <v>15514.32</v>
      </c>
      <c r="AH176" s="5">
        <f t="shared" si="62"/>
        <v>15178.158960000001</v>
      </c>
      <c r="AI176" s="5">
        <f t="shared" si="63"/>
        <v>0.49452372288927687</v>
      </c>
      <c r="AJ176" s="5">
        <f t="shared" si="66"/>
        <v>6395005.1346300002</v>
      </c>
      <c r="AK176" s="7">
        <f t="shared" si="64"/>
        <v>0.58424453957807987</v>
      </c>
      <c r="AL176" s="17">
        <f>MIN(AC176,'What-If Analysis'!$B$2)</f>
        <v>0.14199999999999999</v>
      </c>
      <c r="AM176">
        <f>AE176*(1+'What-If Analysis'!$B$3)</f>
        <v>15.600000000000001</v>
      </c>
      <c r="AN176">
        <f>Y176*(1+'What-If Analysis'!$B$4)</f>
        <v>1422.146</v>
      </c>
      <c r="AO176">
        <f t="shared" si="65"/>
        <v>39900.22264800001</v>
      </c>
    </row>
    <row r="177" spans="1:41" x14ac:dyDescent="0.3">
      <c r="A177" t="s">
        <v>569</v>
      </c>
      <c r="B177" s="3">
        <v>45535</v>
      </c>
      <c r="C177" s="3">
        <f t="shared" si="46"/>
        <v>45535</v>
      </c>
      <c r="D177" s="3">
        <v>45561</v>
      </c>
      <c r="E177" s="3">
        <f t="shared" si="47"/>
        <v>45561</v>
      </c>
      <c r="F177" s="16">
        <f t="shared" si="48"/>
        <v>26</v>
      </c>
      <c r="G177" s="16">
        <f>IF(Data!F85&lt;=7,1,0)</f>
        <v>0</v>
      </c>
      <c r="H177" s="5" t="str">
        <f t="shared" si="49"/>
        <v>08-2024</v>
      </c>
      <c r="I177" s="5" t="str">
        <f t="shared" si="50"/>
        <v>Q3-2024</v>
      </c>
      <c r="J177" s="3">
        <f t="shared" si="51"/>
        <v>44988</v>
      </c>
      <c r="K177" s="5" t="str">
        <f t="shared" si="52"/>
        <v>03-2023</v>
      </c>
      <c r="L177" t="s">
        <v>647</v>
      </c>
      <c r="M177" t="s">
        <v>652</v>
      </c>
      <c r="N177" t="s">
        <v>689</v>
      </c>
      <c r="O177" t="str">
        <f t="shared" si="53"/>
        <v>Tokyo</v>
      </c>
      <c r="P177" t="s">
        <v>702</v>
      </c>
      <c r="Q177" t="s">
        <v>708</v>
      </c>
      <c r="R177" t="str">
        <f t="shared" si="54"/>
        <v>Online</v>
      </c>
      <c r="S177" t="s">
        <v>714</v>
      </c>
      <c r="T177" t="str">
        <f t="shared" si="68"/>
        <v>I. Johnson</v>
      </c>
      <c r="U177" t="s">
        <v>730</v>
      </c>
      <c r="V177" t="str">
        <f t="shared" si="55"/>
        <v>High</v>
      </c>
      <c r="W177" t="s">
        <v>1287</v>
      </c>
      <c r="X177" t="str">
        <f t="shared" si="56"/>
        <v>A</v>
      </c>
      <c r="Y177" s="5">
        <v>1189.03</v>
      </c>
      <c r="Z177" s="5">
        <v>2949.62</v>
      </c>
      <c r="AA177" s="5">
        <f t="shared" si="57"/>
        <v>2949.62</v>
      </c>
      <c r="AB177" s="7">
        <v>0.125</v>
      </c>
      <c r="AC177" s="7">
        <f t="shared" si="58"/>
        <v>0.125</v>
      </c>
      <c r="AD177" s="16">
        <f t="shared" si="59"/>
        <v>0</v>
      </c>
      <c r="AE177" s="16">
        <v>13</v>
      </c>
      <c r="AF177" s="5">
        <f t="shared" si="60"/>
        <v>33551.927499999998</v>
      </c>
      <c r="AG177">
        <f t="shared" si="61"/>
        <v>15457.39</v>
      </c>
      <c r="AH177" s="5">
        <f t="shared" si="62"/>
        <v>18094.537499999999</v>
      </c>
      <c r="AI177" s="5">
        <f t="shared" si="63"/>
        <v>0.53929949330034765</v>
      </c>
      <c r="AJ177" s="5">
        <f t="shared" si="66"/>
        <v>6428557.0621300004</v>
      </c>
      <c r="AK177" s="7">
        <f t="shared" si="64"/>
        <v>0.58730982725518333</v>
      </c>
      <c r="AL177" s="17">
        <f>MIN(AC177,'What-If Analysis'!$B$2)</f>
        <v>0.125</v>
      </c>
      <c r="AM177">
        <f>AE177*(1+'What-If Analysis'!$B$3)</f>
        <v>16.900000000000002</v>
      </c>
      <c r="AN177">
        <f>Y177*(1+'What-If Analysis'!$B$4)</f>
        <v>1307.933</v>
      </c>
      <c r="AO177">
        <f t="shared" si="65"/>
        <v>43617.505750000004</v>
      </c>
    </row>
    <row r="178" spans="1:41" x14ac:dyDescent="0.3">
      <c r="A178" t="s">
        <v>216</v>
      </c>
      <c r="B178" s="3">
        <v>45153</v>
      </c>
      <c r="C178" s="3">
        <f t="shared" si="46"/>
        <v>45153</v>
      </c>
      <c r="D178" s="3">
        <v>45176</v>
      </c>
      <c r="E178" s="3">
        <f t="shared" si="47"/>
        <v>45176</v>
      </c>
      <c r="F178" s="16">
        <f t="shared" si="48"/>
        <v>23</v>
      </c>
      <c r="G178" s="16">
        <f>IF(Data!F148&lt;=7,1,0)</f>
        <v>0</v>
      </c>
      <c r="H178" s="5" t="str">
        <f t="shared" si="49"/>
        <v>08-2023</v>
      </c>
      <c r="I178" s="5" t="str">
        <f t="shared" si="50"/>
        <v>Q3-2023</v>
      </c>
      <c r="J178" s="3">
        <f t="shared" si="51"/>
        <v>44939</v>
      </c>
      <c r="K178" s="5" t="str">
        <f t="shared" si="52"/>
        <v>01-2023</v>
      </c>
      <c r="L178" t="s">
        <v>648</v>
      </c>
      <c r="M178" t="s">
        <v>660</v>
      </c>
      <c r="N178" t="s">
        <v>700</v>
      </c>
      <c r="O178" t="str">
        <f t="shared" si="53"/>
        <v>New York</v>
      </c>
      <c r="P178" t="s">
        <v>706</v>
      </c>
      <c r="Q178" t="s">
        <v>708</v>
      </c>
      <c r="R178" t="str">
        <f t="shared" si="54"/>
        <v>Online</v>
      </c>
      <c r="S178" t="s">
        <v>723</v>
      </c>
      <c r="T178" t="str">
        <f t="shared" si="68"/>
        <v>K. Singh</v>
      </c>
      <c r="U178" t="s">
        <v>730</v>
      </c>
      <c r="V178" t="str">
        <f t="shared" si="55"/>
        <v>Medium</v>
      </c>
      <c r="W178" t="s">
        <v>936</v>
      </c>
      <c r="X178" t="str">
        <f t="shared" si="56"/>
        <v>A</v>
      </c>
      <c r="Y178" s="5">
        <v>590.33000000000004</v>
      </c>
      <c r="Z178" s="5">
        <v>973.04</v>
      </c>
      <c r="AA178" s="5">
        <f t="shared" si="57"/>
        <v>973.04</v>
      </c>
      <c r="AB178" s="7">
        <v>0</v>
      </c>
      <c r="AC178" s="7">
        <f t="shared" si="58"/>
        <v>0</v>
      </c>
      <c r="AD178" s="16">
        <f t="shared" si="59"/>
        <v>0</v>
      </c>
      <c r="AE178" s="16">
        <v>26</v>
      </c>
      <c r="AF178" s="5">
        <f t="shared" si="60"/>
        <v>25299.040000000001</v>
      </c>
      <c r="AG178">
        <f t="shared" si="61"/>
        <v>15348.580000000002</v>
      </c>
      <c r="AH178" s="5">
        <f t="shared" si="62"/>
        <v>9950.4599999999991</v>
      </c>
      <c r="AI178" s="5">
        <f t="shared" si="63"/>
        <v>0.39331373838691108</v>
      </c>
      <c r="AJ178" s="5">
        <f t="shared" si="66"/>
        <v>6453856.1021300005</v>
      </c>
      <c r="AK178" s="7">
        <f t="shared" si="64"/>
        <v>0.58962113516899983</v>
      </c>
      <c r="AL178" s="17">
        <f>MIN(AC178,'What-If Analysis'!$B$2)</f>
        <v>0</v>
      </c>
      <c r="AM178">
        <f>AE178*(1+'What-If Analysis'!$B$3)</f>
        <v>33.800000000000004</v>
      </c>
      <c r="AN178">
        <f>Y178*(1+'What-If Analysis'!$B$4)</f>
        <v>649.36300000000006</v>
      </c>
      <c r="AO178">
        <f t="shared" si="65"/>
        <v>32888.752</v>
      </c>
    </row>
    <row r="179" spans="1:41" x14ac:dyDescent="0.3">
      <c r="A179" t="s">
        <v>331</v>
      </c>
      <c r="B179" s="3">
        <v>45244</v>
      </c>
      <c r="C179" s="3">
        <f t="shared" si="46"/>
        <v>45244</v>
      </c>
      <c r="D179" s="3">
        <v>45260</v>
      </c>
      <c r="E179" s="3">
        <f t="shared" si="47"/>
        <v>45260</v>
      </c>
      <c r="F179" s="16">
        <f t="shared" si="48"/>
        <v>16</v>
      </c>
      <c r="G179" s="16">
        <f>IF(Data!F239&lt;=7,1,0)</f>
        <v>0</v>
      </c>
      <c r="H179" s="5" t="str">
        <f t="shared" si="49"/>
        <v>11-2023</v>
      </c>
      <c r="I179" s="5" t="str">
        <f t="shared" si="50"/>
        <v>Q4-2023</v>
      </c>
      <c r="J179" s="3">
        <f t="shared" si="51"/>
        <v>44955</v>
      </c>
      <c r="K179" s="5" t="str">
        <f t="shared" si="52"/>
        <v>01-2023</v>
      </c>
      <c r="L179" t="s">
        <v>648</v>
      </c>
      <c r="M179" t="s">
        <v>655</v>
      </c>
      <c r="N179" t="s">
        <v>670</v>
      </c>
      <c r="O179" t="str">
        <f t="shared" si="53"/>
        <v>São Paulo</v>
      </c>
      <c r="P179" t="s">
        <v>706</v>
      </c>
      <c r="Q179" t="s">
        <v>711</v>
      </c>
      <c r="R179" t="str">
        <f t="shared" si="54"/>
        <v>Direct</v>
      </c>
      <c r="S179" t="s">
        <v>723</v>
      </c>
      <c r="T179" t="str">
        <f t="shared" si="68"/>
        <v>K. Singh</v>
      </c>
      <c r="U179" t="s">
        <v>729</v>
      </c>
      <c r="V179" t="str">
        <f t="shared" si="55"/>
        <v>Medium</v>
      </c>
      <c r="W179" t="s">
        <v>1051</v>
      </c>
      <c r="X179" t="str">
        <f t="shared" si="56"/>
        <v>A</v>
      </c>
      <c r="Y179" s="5">
        <v>1017.92</v>
      </c>
      <c r="Z179" s="5">
        <v>1175.25</v>
      </c>
      <c r="AA179" s="5">
        <f t="shared" si="57"/>
        <v>1175.25</v>
      </c>
      <c r="AB179" s="7">
        <v>7.4999999999999997E-2</v>
      </c>
      <c r="AC179" s="7">
        <f t="shared" si="58"/>
        <v>7.4999999999999997E-2</v>
      </c>
      <c r="AD179" s="16">
        <f t="shared" si="59"/>
        <v>0</v>
      </c>
      <c r="AE179" s="16">
        <v>15</v>
      </c>
      <c r="AF179" s="5">
        <f t="shared" si="60"/>
        <v>16306.59375</v>
      </c>
      <c r="AG179">
        <f t="shared" si="61"/>
        <v>15268.8</v>
      </c>
      <c r="AH179" s="5">
        <f t="shared" si="62"/>
        <v>1037.7937500000007</v>
      </c>
      <c r="AI179" s="5">
        <f t="shared" si="63"/>
        <v>6.3642583234159542E-2</v>
      </c>
      <c r="AJ179" s="5">
        <f t="shared" si="66"/>
        <v>6470162.6958800005</v>
      </c>
      <c r="AK179" s="7">
        <f t="shared" si="64"/>
        <v>0.591110897594047</v>
      </c>
      <c r="AL179" s="17">
        <f>MIN(AC179,'What-If Analysis'!$B$2)</f>
        <v>7.4999999999999997E-2</v>
      </c>
      <c r="AM179">
        <f>AE179*(1+'What-If Analysis'!$B$3)</f>
        <v>19.5</v>
      </c>
      <c r="AN179">
        <f>Y179*(1+'What-If Analysis'!$B$4)</f>
        <v>1119.712</v>
      </c>
      <c r="AO179">
        <f t="shared" si="65"/>
        <v>21198.571875000001</v>
      </c>
    </row>
    <row r="180" spans="1:41" x14ac:dyDescent="0.3">
      <c r="A180" t="s">
        <v>489</v>
      </c>
      <c r="B180" s="3">
        <v>45069</v>
      </c>
      <c r="C180" s="3">
        <f t="shared" si="46"/>
        <v>45069</v>
      </c>
      <c r="D180" s="3">
        <v>45071</v>
      </c>
      <c r="E180" s="3">
        <f t="shared" si="47"/>
        <v>45071</v>
      </c>
      <c r="F180" s="16">
        <f t="shared" si="48"/>
        <v>2</v>
      </c>
      <c r="G180" s="16">
        <f>IF(Data!F131&lt;=7,1,0)</f>
        <v>1</v>
      </c>
      <c r="H180" s="5" t="str">
        <f t="shared" si="49"/>
        <v>05-2023</v>
      </c>
      <c r="I180" s="5" t="str">
        <f t="shared" si="50"/>
        <v>Q2-2023</v>
      </c>
      <c r="J180" s="3">
        <f t="shared" si="51"/>
        <v>44955</v>
      </c>
      <c r="K180" s="5" t="str">
        <f t="shared" si="52"/>
        <v>01-2023</v>
      </c>
      <c r="L180" t="s">
        <v>648</v>
      </c>
      <c r="M180" t="s">
        <v>655</v>
      </c>
      <c r="N180" t="s">
        <v>692</v>
      </c>
      <c r="O180" t="str">
        <f t="shared" si="53"/>
        <v>Rio de Janeiro</v>
      </c>
      <c r="P180" t="s">
        <v>706</v>
      </c>
      <c r="Q180" t="s">
        <v>707</v>
      </c>
      <c r="R180" t="str">
        <f t="shared" si="54"/>
        <v>Retail</v>
      </c>
      <c r="S180" t="s">
        <v>724</v>
      </c>
      <c r="T180" t="str">
        <f t="shared" si="68"/>
        <v>M. Rossi</v>
      </c>
      <c r="U180" t="s">
        <v>728</v>
      </c>
      <c r="V180" t="str">
        <f t="shared" si="55"/>
        <v>Medium</v>
      </c>
      <c r="W180" t="s">
        <v>1208</v>
      </c>
      <c r="X180" t="str">
        <f t="shared" si="56"/>
        <v>A</v>
      </c>
      <c r="Y180" s="5">
        <v>690.49</v>
      </c>
      <c r="Z180" s="5">
        <v>1290.29</v>
      </c>
      <c r="AA180" s="5">
        <f t="shared" si="57"/>
        <v>1290.29</v>
      </c>
      <c r="AB180" s="7">
        <v>4.2000000000000003E-2</v>
      </c>
      <c r="AC180" s="7">
        <f t="shared" si="58"/>
        <v>4.2000000000000003E-2</v>
      </c>
      <c r="AD180" s="16">
        <f t="shared" si="59"/>
        <v>0</v>
      </c>
      <c r="AE180" s="16">
        <v>22</v>
      </c>
      <c r="AF180" s="5">
        <f t="shared" si="60"/>
        <v>27194.152039999997</v>
      </c>
      <c r="AG180">
        <f t="shared" si="61"/>
        <v>15190.78</v>
      </c>
      <c r="AH180" s="5">
        <f t="shared" si="62"/>
        <v>12003.372039999997</v>
      </c>
      <c r="AI180" s="5">
        <f t="shared" si="63"/>
        <v>0.44139534199647718</v>
      </c>
      <c r="AJ180" s="5">
        <f t="shared" si="66"/>
        <v>6497356.8479200006</v>
      </c>
      <c r="AK180" s="7">
        <f t="shared" si="64"/>
        <v>0.5935953420164275</v>
      </c>
      <c r="AL180" s="17">
        <f>MIN(AC180,'What-If Analysis'!$B$2)</f>
        <v>4.2000000000000003E-2</v>
      </c>
      <c r="AM180">
        <f>AE180*(1+'What-If Analysis'!$B$3)</f>
        <v>28.6</v>
      </c>
      <c r="AN180">
        <f>Y180*(1+'What-If Analysis'!$B$4)</f>
        <v>759.5390000000001</v>
      </c>
      <c r="AO180">
        <f t="shared" si="65"/>
        <v>35352.397652</v>
      </c>
    </row>
    <row r="181" spans="1:41" x14ac:dyDescent="0.3">
      <c r="A181" t="s">
        <v>181</v>
      </c>
      <c r="B181" s="3">
        <v>45034</v>
      </c>
      <c r="C181" s="3">
        <f t="shared" si="46"/>
        <v>45034</v>
      </c>
      <c r="D181" s="3">
        <v>45064</v>
      </c>
      <c r="E181" s="3">
        <f t="shared" si="47"/>
        <v>45064</v>
      </c>
      <c r="F181" s="16">
        <f t="shared" si="48"/>
        <v>30</v>
      </c>
      <c r="G181" s="16">
        <f>IF(Data!F273&lt;=7,1,0)</f>
        <v>0</v>
      </c>
      <c r="H181" s="5" t="str">
        <f t="shared" si="49"/>
        <v>04-2023</v>
      </c>
      <c r="I181" s="5" t="str">
        <f t="shared" si="50"/>
        <v>Q2-2023</v>
      </c>
      <c r="J181" s="3">
        <f t="shared" si="51"/>
        <v>44938</v>
      </c>
      <c r="K181" s="5" t="str">
        <f t="shared" si="52"/>
        <v>01-2023</v>
      </c>
      <c r="L181" t="s">
        <v>647</v>
      </c>
      <c r="M181" t="s">
        <v>659</v>
      </c>
      <c r="N181" t="s">
        <v>676</v>
      </c>
      <c r="O181" t="str">
        <f t="shared" si="53"/>
        <v>Shenzhen</v>
      </c>
      <c r="P181" t="s">
        <v>703</v>
      </c>
      <c r="Q181" t="s">
        <v>707</v>
      </c>
      <c r="R181" t="str">
        <f t="shared" si="54"/>
        <v>Retail</v>
      </c>
      <c r="S181" t="s">
        <v>722</v>
      </c>
      <c r="T181" t="str">
        <f t="shared" si="68"/>
        <v>H. Kim</v>
      </c>
      <c r="U181" t="s">
        <v>731</v>
      </c>
      <c r="V181" t="str">
        <f t="shared" si="55"/>
        <v>Low</v>
      </c>
      <c r="W181" t="s">
        <v>900</v>
      </c>
      <c r="X181" t="str">
        <f t="shared" si="56"/>
        <v>A</v>
      </c>
      <c r="Y181" s="5">
        <v>329.03</v>
      </c>
      <c r="Z181" s="5">
        <v>391.15</v>
      </c>
      <c r="AA181" s="5">
        <f t="shared" si="57"/>
        <v>391.15</v>
      </c>
      <c r="AB181" s="7">
        <v>0.19700000000000001</v>
      </c>
      <c r="AC181" s="7">
        <f t="shared" si="58"/>
        <v>0.19700000000000001</v>
      </c>
      <c r="AD181" s="16">
        <f t="shared" si="59"/>
        <v>0</v>
      </c>
      <c r="AE181" s="16">
        <v>46</v>
      </c>
      <c r="AF181" s="5">
        <f t="shared" si="60"/>
        <v>14448.298699999998</v>
      </c>
      <c r="AG181">
        <f t="shared" si="61"/>
        <v>15135.38</v>
      </c>
      <c r="AH181" s="5">
        <f t="shared" si="62"/>
        <v>687.08130000000165</v>
      </c>
      <c r="AI181" s="5">
        <f t="shared" si="63"/>
        <v>4.7554477815440081E-2</v>
      </c>
      <c r="AJ181" s="5">
        <f t="shared" si="66"/>
        <v>6511805.1466200007</v>
      </c>
      <c r="AK181" s="7">
        <f t="shared" si="64"/>
        <v>0.59491533151510001</v>
      </c>
      <c r="AL181" s="17">
        <f>MIN(AC181,'What-If Analysis'!$B$2)</f>
        <v>0.19700000000000001</v>
      </c>
      <c r="AM181">
        <f>AE181*(1+'What-If Analysis'!$B$3)</f>
        <v>59.800000000000004</v>
      </c>
      <c r="AN181">
        <f>Y181*(1+'What-If Analysis'!$B$4)</f>
        <v>361.93299999999999</v>
      </c>
      <c r="AO181">
        <f t="shared" si="65"/>
        <v>18782.78831</v>
      </c>
    </row>
    <row r="182" spans="1:41" x14ac:dyDescent="0.3">
      <c r="A182" t="s">
        <v>501</v>
      </c>
      <c r="B182" s="3">
        <v>45613</v>
      </c>
      <c r="C182" s="3">
        <f t="shared" si="46"/>
        <v>45613</v>
      </c>
      <c r="D182" s="3">
        <v>45624</v>
      </c>
      <c r="E182" s="3">
        <f t="shared" si="47"/>
        <v>45624</v>
      </c>
      <c r="F182" s="16">
        <f t="shared" si="48"/>
        <v>11</v>
      </c>
      <c r="G182" s="16">
        <f>IF(Data!F119&lt;=7,1,0)</f>
        <v>1</v>
      </c>
      <c r="H182" s="5" t="str">
        <f t="shared" si="49"/>
        <v>11-2024</v>
      </c>
      <c r="I182" s="5" t="str">
        <f t="shared" si="50"/>
        <v>Q4-2024</v>
      </c>
      <c r="J182" s="3">
        <f t="shared" si="51"/>
        <v>44928</v>
      </c>
      <c r="K182" s="5" t="str">
        <f t="shared" si="52"/>
        <v>01-2023</v>
      </c>
      <c r="L182" t="s">
        <v>648</v>
      </c>
      <c r="M182" t="s">
        <v>653</v>
      </c>
      <c r="O182" t="str">
        <f t="shared" si="53"/>
        <v>Vancouver</v>
      </c>
      <c r="P182" t="s">
        <v>704</v>
      </c>
      <c r="Q182" t="s">
        <v>710</v>
      </c>
      <c r="R182" t="str">
        <f t="shared" si="54"/>
        <v>Distributor</v>
      </c>
      <c r="S182" t="s">
        <v>720</v>
      </c>
      <c r="T182" t="str">
        <f t="shared" si="68"/>
        <v>A. Patel</v>
      </c>
      <c r="U182" t="s">
        <v>728</v>
      </c>
      <c r="V182" t="str">
        <f t="shared" si="55"/>
        <v>High</v>
      </c>
      <c r="W182" t="s">
        <v>1220</v>
      </c>
      <c r="X182" t="str">
        <f t="shared" si="56"/>
        <v>A</v>
      </c>
      <c r="Y182" s="5">
        <v>1008.16</v>
      </c>
      <c r="Z182" s="5">
        <v>2077.5</v>
      </c>
      <c r="AA182" s="5">
        <f t="shared" si="57"/>
        <v>2077.5</v>
      </c>
      <c r="AB182" s="7">
        <v>7.3999999999999996E-2</v>
      </c>
      <c r="AC182" s="7">
        <f t="shared" si="58"/>
        <v>7.3999999999999996E-2</v>
      </c>
      <c r="AD182" s="16">
        <f t="shared" si="59"/>
        <v>0</v>
      </c>
      <c r="AE182" s="16">
        <v>15</v>
      </c>
      <c r="AF182" s="5">
        <f t="shared" si="60"/>
        <v>28856.475000000002</v>
      </c>
      <c r="AG182">
        <f t="shared" si="61"/>
        <v>15122.4</v>
      </c>
      <c r="AH182" s="5">
        <f t="shared" si="62"/>
        <v>13734.075000000003</v>
      </c>
      <c r="AI182" s="5">
        <f t="shared" si="63"/>
        <v>0.47594430712691005</v>
      </c>
      <c r="AJ182" s="5">
        <f t="shared" si="66"/>
        <v>6540661.6216200003</v>
      </c>
      <c r="AK182" s="7">
        <f t="shared" si="64"/>
        <v>0.59755164494961555</v>
      </c>
      <c r="AL182" s="17">
        <f>MIN(AC182,'What-If Analysis'!$B$2)</f>
        <v>7.3999999999999996E-2</v>
      </c>
      <c r="AM182">
        <f>AE182*(1+'What-If Analysis'!$B$3)</f>
        <v>19.5</v>
      </c>
      <c r="AN182">
        <f>Y182*(1+'What-If Analysis'!$B$4)</f>
        <v>1108.9760000000001</v>
      </c>
      <c r="AO182">
        <f t="shared" si="65"/>
        <v>37513.417500000003</v>
      </c>
    </row>
    <row r="183" spans="1:41" x14ac:dyDescent="0.3">
      <c r="A183" t="s">
        <v>599</v>
      </c>
      <c r="B183" s="3">
        <v>45764</v>
      </c>
      <c r="C183" s="3">
        <f t="shared" si="46"/>
        <v>45764</v>
      </c>
      <c r="D183" s="3">
        <v>45764</v>
      </c>
      <c r="E183" s="3">
        <f t="shared" si="47"/>
        <v>45764</v>
      </c>
      <c r="F183" s="16">
        <f t="shared" si="48"/>
        <v>0</v>
      </c>
      <c r="G183" s="16">
        <f>IF(Data!F171&lt;=7,1,0)</f>
        <v>0</v>
      </c>
      <c r="H183" s="5" t="str">
        <f t="shared" si="49"/>
        <v>04-2025</v>
      </c>
      <c r="I183" s="5" t="str">
        <f t="shared" si="50"/>
        <v>Q2-2025</v>
      </c>
      <c r="J183" s="3">
        <f t="shared" si="51"/>
        <v>44955</v>
      </c>
      <c r="K183" s="5" t="str">
        <f t="shared" si="52"/>
        <v>01-2023</v>
      </c>
      <c r="L183" t="s">
        <v>648</v>
      </c>
      <c r="M183" t="s">
        <v>655</v>
      </c>
      <c r="N183" t="s">
        <v>670</v>
      </c>
      <c r="O183" t="str">
        <f t="shared" si="53"/>
        <v>São Paulo</v>
      </c>
      <c r="P183" t="s">
        <v>701</v>
      </c>
      <c r="Q183" t="s">
        <v>710</v>
      </c>
      <c r="R183" t="str">
        <f t="shared" si="54"/>
        <v>Distributor</v>
      </c>
      <c r="S183" t="s">
        <v>716</v>
      </c>
      <c r="T183" t="str">
        <f t="shared" si="68"/>
        <v>L. Okafor</v>
      </c>
      <c r="U183" t="s">
        <v>730</v>
      </c>
      <c r="V183" t="str">
        <f t="shared" si="55"/>
        <v>Medium</v>
      </c>
      <c r="W183" t="s">
        <v>1317</v>
      </c>
      <c r="X183" t="str">
        <f t="shared" si="56"/>
        <v>A</v>
      </c>
      <c r="Y183" s="5">
        <v>719.41</v>
      </c>
      <c r="Z183" s="5">
        <v>1125.99</v>
      </c>
      <c r="AA183" s="5">
        <f t="shared" si="57"/>
        <v>1125.99</v>
      </c>
      <c r="AB183" s="7">
        <v>4.1000000000000002E-2</v>
      </c>
      <c r="AC183" s="7">
        <f t="shared" si="58"/>
        <v>4.1000000000000002E-2</v>
      </c>
      <c r="AD183" s="16">
        <f t="shared" si="59"/>
        <v>0</v>
      </c>
      <c r="AE183" s="16">
        <v>21</v>
      </c>
      <c r="AF183" s="5">
        <f t="shared" si="60"/>
        <v>22676.312610000001</v>
      </c>
      <c r="AG183">
        <f t="shared" si="61"/>
        <v>15107.609999999999</v>
      </c>
      <c r="AH183" s="5">
        <f t="shared" si="62"/>
        <v>7568.7026100000021</v>
      </c>
      <c r="AI183" s="5">
        <f t="shared" si="63"/>
        <v>0.33377131194876403</v>
      </c>
      <c r="AJ183" s="5">
        <f t="shared" si="66"/>
        <v>6563337.9342300007</v>
      </c>
      <c r="AK183" s="7">
        <f t="shared" si="64"/>
        <v>0.59962334177256493</v>
      </c>
      <c r="AL183" s="17">
        <f>MIN(AC183,'What-If Analysis'!$B$2)</f>
        <v>4.1000000000000002E-2</v>
      </c>
      <c r="AM183">
        <f>AE183*(1+'What-If Analysis'!$B$3)</f>
        <v>27.3</v>
      </c>
      <c r="AN183">
        <f>Y183*(1+'What-If Analysis'!$B$4)</f>
        <v>791.351</v>
      </c>
      <c r="AO183">
        <f t="shared" si="65"/>
        <v>29479.206393</v>
      </c>
    </row>
    <row r="184" spans="1:41" x14ac:dyDescent="0.3">
      <c r="A184" t="s">
        <v>343</v>
      </c>
      <c r="B184" s="3">
        <v>45221</v>
      </c>
      <c r="C184" s="3">
        <f t="shared" si="46"/>
        <v>45221</v>
      </c>
      <c r="D184" s="3">
        <v>45246</v>
      </c>
      <c r="E184" s="3">
        <f t="shared" si="47"/>
        <v>45246</v>
      </c>
      <c r="F184" s="16">
        <f t="shared" si="48"/>
        <v>25</v>
      </c>
      <c r="G184" s="16">
        <f>IF(Data!F124&lt;=7,1,0)</f>
        <v>0</v>
      </c>
      <c r="H184" s="5" t="str">
        <f t="shared" si="49"/>
        <v>10-2023</v>
      </c>
      <c r="I184" s="5" t="str">
        <f t="shared" si="50"/>
        <v>Q4-2023</v>
      </c>
      <c r="J184" s="3">
        <f t="shared" si="51"/>
        <v>44928</v>
      </c>
      <c r="K184" s="5" t="str">
        <f t="shared" si="52"/>
        <v>01-2023</v>
      </c>
      <c r="L184" t="s">
        <v>648</v>
      </c>
      <c r="M184" t="s">
        <v>653</v>
      </c>
      <c r="N184" t="s">
        <v>667</v>
      </c>
      <c r="O184" t="str">
        <f t="shared" si="53"/>
        <v>Toronto</v>
      </c>
      <c r="P184" t="s">
        <v>705</v>
      </c>
      <c r="Q184" t="s">
        <v>709</v>
      </c>
      <c r="R184" t="str">
        <f t="shared" si="54"/>
        <v>Marketplace</v>
      </c>
      <c r="S184" t="s">
        <v>714</v>
      </c>
      <c r="T184" t="str">
        <f t="shared" si="68"/>
        <v>I. Johnson</v>
      </c>
      <c r="U184" t="s">
        <v>731</v>
      </c>
      <c r="V184" t="str">
        <f t="shared" si="55"/>
        <v>High</v>
      </c>
      <c r="W184" t="s">
        <v>1063</v>
      </c>
      <c r="X184" t="str">
        <f t="shared" si="56"/>
        <v>A</v>
      </c>
      <c r="Y184" s="5">
        <v>1373.31</v>
      </c>
      <c r="Z184" s="5">
        <v>3154.14</v>
      </c>
      <c r="AA184" s="5">
        <f t="shared" si="57"/>
        <v>3154.14</v>
      </c>
      <c r="AB184" s="7">
        <v>0.2</v>
      </c>
      <c r="AC184" s="7">
        <f t="shared" si="58"/>
        <v>0.2</v>
      </c>
      <c r="AD184" s="16">
        <f t="shared" si="59"/>
        <v>0</v>
      </c>
      <c r="AE184" s="16">
        <v>11</v>
      </c>
      <c r="AF184" s="5">
        <f t="shared" si="60"/>
        <v>27756.432000000001</v>
      </c>
      <c r="AG184">
        <f t="shared" si="61"/>
        <v>15106.41</v>
      </c>
      <c r="AH184" s="5">
        <f t="shared" si="62"/>
        <v>12650.022000000001</v>
      </c>
      <c r="AI184" s="5">
        <f t="shared" si="63"/>
        <v>0.45575101295440279</v>
      </c>
      <c r="AJ184" s="5">
        <f t="shared" si="66"/>
        <v>6591094.3662300007</v>
      </c>
      <c r="AK184" s="7">
        <f t="shared" si="64"/>
        <v>0.60215915581692825</v>
      </c>
      <c r="AL184" s="17">
        <f>MIN(AC184,'What-If Analysis'!$B$2)</f>
        <v>0.2</v>
      </c>
      <c r="AM184">
        <f>AE184*(1+'What-If Analysis'!$B$3)</f>
        <v>14.3</v>
      </c>
      <c r="AN184">
        <f>Y184*(1+'What-If Analysis'!$B$4)</f>
        <v>1510.6410000000001</v>
      </c>
      <c r="AO184">
        <f t="shared" si="65"/>
        <v>36083.361599999997</v>
      </c>
    </row>
    <row r="185" spans="1:41" x14ac:dyDescent="0.3">
      <c r="A185" t="s">
        <v>393</v>
      </c>
      <c r="B185" s="3">
        <v>45694</v>
      </c>
      <c r="C185" s="3">
        <f t="shared" si="46"/>
        <v>45694</v>
      </c>
      <c r="D185" s="3">
        <v>45703</v>
      </c>
      <c r="E185" s="3">
        <f t="shared" si="47"/>
        <v>45703</v>
      </c>
      <c r="F185" s="16">
        <f t="shared" si="48"/>
        <v>9</v>
      </c>
      <c r="G185" s="16">
        <f>IF(Data!F88&lt;=7,1,0)</f>
        <v>1</v>
      </c>
      <c r="H185" s="5" t="str">
        <f t="shared" si="49"/>
        <v>02-2025</v>
      </c>
      <c r="I185" s="5" t="str">
        <f t="shared" si="50"/>
        <v>Q1-2025</v>
      </c>
      <c r="J185" s="3">
        <f t="shared" si="51"/>
        <v>44955</v>
      </c>
      <c r="K185" s="5" t="str">
        <f t="shared" si="52"/>
        <v>01-2023</v>
      </c>
      <c r="L185" t="s">
        <v>648</v>
      </c>
      <c r="M185" t="s">
        <v>655</v>
      </c>
      <c r="N185" t="s">
        <v>670</v>
      </c>
      <c r="O185" t="str">
        <f t="shared" si="53"/>
        <v>São Paulo</v>
      </c>
      <c r="P185" t="s">
        <v>703</v>
      </c>
      <c r="Q185" t="s">
        <v>710</v>
      </c>
      <c r="R185" t="str">
        <f t="shared" si="54"/>
        <v>Distributor</v>
      </c>
      <c r="S185" t="s">
        <v>721</v>
      </c>
      <c r="T185" t="str">
        <f t="shared" si="68"/>
        <v>F. Müller</v>
      </c>
      <c r="U185" t="s">
        <v>729</v>
      </c>
      <c r="V185" t="str">
        <f t="shared" si="55"/>
        <v>High</v>
      </c>
      <c r="W185" t="s">
        <v>1113</v>
      </c>
      <c r="X185" t="str">
        <f t="shared" si="56"/>
        <v>A</v>
      </c>
      <c r="Y185" s="5">
        <v>837.39</v>
      </c>
      <c r="Z185" s="5">
        <v>1905.42</v>
      </c>
      <c r="AA185" s="5">
        <f t="shared" si="57"/>
        <v>1905.42</v>
      </c>
      <c r="AB185" s="7">
        <v>3.2000000000000001E-2</v>
      </c>
      <c r="AC185" s="7">
        <f t="shared" si="58"/>
        <v>3.2000000000000001E-2</v>
      </c>
      <c r="AD185" s="16">
        <f t="shared" si="59"/>
        <v>0</v>
      </c>
      <c r="AE185" s="16">
        <v>18</v>
      </c>
      <c r="AF185" s="5">
        <f t="shared" si="60"/>
        <v>33200.038079999998</v>
      </c>
      <c r="AG185">
        <f t="shared" si="61"/>
        <v>15073.02</v>
      </c>
      <c r="AH185" s="5">
        <f t="shared" si="62"/>
        <v>18127.018079999998</v>
      </c>
      <c r="AI185" s="5">
        <f t="shared" si="63"/>
        <v>0.54599389423350919</v>
      </c>
      <c r="AJ185" s="5">
        <f t="shared" si="66"/>
        <v>6624294.4043100011</v>
      </c>
      <c r="AK185" s="7">
        <f t="shared" si="64"/>
        <v>0.60519229504882455</v>
      </c>
      <c r="AL185" s="17">
        <f>MIN(AC185,'What-If Analysis'!$B$2)</f>
        <v>3.2000000000000001E-2</v>
      </c>
      <c r="AM185">
        <f>AE185*(1+'What-If Analysis'!$B$3)</f>
        <v>23.400000000000002</v>
      </c>
      <c r="AN185">
        <f>Y185*(1+'What-If Analysis'!$B$4)</f>
        <v>921.12900000000002</v>
      </c>
      <c r="AO185">
        <f t="shared" si="65"/>
        <v>43160.04950400001</v>
      </c>
    </row>
    <row r="186" spans="1:41" x14ac:dyDescent="0.3">
      <c r="A186" t="s">
        <v>147</v>
      </c>
      <c r="B186" s="3">
        <v>44953</v>
      </c>
      <c r="C186" s="3">
        <f t="shared" si="46"/>
        <v>44953</v>
      </c>
      <c r="D186" s="3">
        <v>44957</v>
      </c>
      <c r="E186" s="3">
        <f t="shared" si="47"/>
        <v>44957</v>
      </c>
      <c r="F186" s="16">
        <f t="shared" si="48"/>
        <v>4</v>
      </c>
      <c r="G186" s="16">
        <f>IF(Data!F403&lt;=7,1,0)</f>
        <v>1</v>
      </c>
      <c r="H186" s="5" t="str">
        <f t="shared" si="49"/>
        <v>01-2023</v>
      </c>
      <c r="I186" s="5" t="str">
        <f t="shared" si="50"/>
        <v>Q1-2023</v>
      </c>
      <c r="J186" s="3">
        <f t="shared" si="51"/>
        <v>44945</v>
      </c>
      <c r="K186" s="5" t="str">
        <f t="shared" si="52"/>
        <v>01-2023</v>
      </c>
      <c r="L186" t="s">
        <v>649</v>
      </c>
      <c r="M186" t="s">
        <v>658</v>
      </c>
      <c r="N186" t="s">
        <v>693</v>
      </c>
      <c r="O186" t="str">
        <f t="shared" si="53"/>
        <v>Manchester</v>
      </c>
      <c r="P186" t="s">
        <v>706</v>
      </c>
      <c r="Q186" t="s">
        <v>708</v>
      </c>
      <c r="R186" t="str">
        <f t="shared" si="54"/>
        <v>Online</v>
      </c>
      <c r="S186" t="s">
        <v>725</v>
      </c>
      <c r="T186" t="str">
        <f t="shared" si="68"/>
        <v>N. Brown</v>
      </c>
      <c r="U186" t="s">
        <v>731</v>
      </c>
      <c r="V186" t="str">
        <f t="shared" si="55"/>
        <v>Low</v>
      </c>
      <c r="W186" t="s">
        <v>866</v>
      </c>
      <c r="X186" t="str">
        <f t="shared" si="56"/>
        <v>A</v>
      </c>
      <c r="Y186" s="5">
        <v>941.2</v>
      </c>
      <c r="Z186" s="5">
        <v>668.02</v>
      </c>
      <c r="AA186" s="5">
        <f t="shared" si="57"/>
        <v>668.02</v>
      </c>
      <c r="AB186" s="7">
        <v>0.22</v>
      </c>
      <c r="AC186" s="7">
        <f t="shared" si="58"/>
        <v>0.22</v>
      </c>
      <c r="AD186" s="16">
        <f t="shared" si="59"/>
        <v>1</v>
      </c>
      <c r="AE186" s="16">
        <v>16</v>
      </c>
      <c r="AF186" s="5">
        <f t="shared" si="60"/>
        <v>8336.8896000000004</v>
      </c>
      <c r="AG186">
        <f t="shared" si="61"/>
        <v>15059.2</v>
      </c>
      <c r="AH186" s="5">
        <f t="shared" si="62"/>
        <v>6722.3104000000003</v>
      </c>
      <c r="AI186" s="5">
        <f t="shared" si="63"/>
        <v>0.80633314371825193</v>
      </c>
      <c r="AJ186" s="5">
        <f t="shared" si="66"/>
        <v>6632631.2939100014</v>
      </c>
      <c r="AK186" s="7">
        <f t="shared" si="64"/>
        <v>0.6059539492028595</v>
      </c>
      <c r="AL186" s="17">
        <f>MIN(AC186,'What-If Analysis'!$B$2)</f>
        <v>0.2</v>
      </c>
      <c r="AM186">
        <f>AE186*(1+'What-If Analysis'!$B$3)</f>
        <v>20.8</v>
      </c>
      <c r="AN186">
        <f>Y186*(1+'What-If Analysis'!$B$4)</f>
        <v>1035.3200000000002</v>
      </c>
      <c r="AO186">
        <f t="shared" si="65"/>
        <v>11115.852800000001</v>
      </c>
    </row>
    <row r="187" spans="1:41" x14ac:dyDescent="0.3">
      <c r="A187" t="s">
        <v>519</v>
      </c>
      <c r="B187" s="3">
        <v>45387</v>
      </c>
      <c r="C187" s="3">
        <f t="shared" si="46"/>
        <v>45387</v>
      </c>
      <c r="D187" s="3">
        <v>45391</v>
      </c>
      <c r="E187" s="3">
        <f t="shared" si="47"/>
        <v>45391</v>
      </c>
      <c r="F187" s="16">
        <f t="shared" si="48"/>
        <v>4</v>
      </c>
      <c r="G187" s="16">
        <f>IF(Data!F94&lt;=7,1,0)</f>
        <v>1</v>
      </c>
      <c r="H187" s="5" t="str">
        <f t="shared" si="49"/>
        <v>04-2024</v>
      </c>
      <c r="I187" s="5" t="str">
        <f t="shared" si="50"/>
        <v>Q2-2024</v>
      </c>
      <c r="J187" s="3">
        <f t="shared" si="51"/>
        <v>44939</v>
      </c>
      <c r="K187" s="5" t="str">
        <f t="shared" si="52"/>
        <v>01-2023</v>
      </c>
      <c r="L187" t="s">
        <v>646</v>
      </c>
      <c r="M187" t="s">
        <v>651</v>
      </c>
      <c r="N187" t="s">
        <v>665</v>
      </c>
      <c r="O187" t="str">
        <f t="shared" si="53"/>
        <v>Lagos</v>
      </c>
      <c r="P187" t="s">
        <v>703</v>
      </c>
      <c r="Q187" t="s">
        <v>711</v>
      </c>
      <c r="R187" t="str">
        <f t="shared" si="54"/>
        <v>Direct</v>
      </c>
      <c r="S187" t="s">
        <v>723</v>
      </c>
      <c r="T187" t="str">
        <f t="shared" si="68"/>
        <v>K. Singh</v>
      </c>
      <c r="U187" t="s">
        <v>727</v>
      </c>
      <c r="V187" t="str">
        <f t="shared" si="55"/>
        <v>Medium</v>
      </c>
      <c r="W187" t="s">
        <v>1238</v>
      </c>
      <c r="X187" t="str">
        <f t="shared" si="56"/>
        <v>A</v>
      </c>
      <c r="Y187" s="5">
        <v>395.07</v>
      </c>
      <c r="Z187" s="5">
        <v>970.27</v>
      </c>
      <c r="AA187" s="5">
        <f t="shared" si="57"/>
        <v>970.27</v>
      </c>
      <c r="AB187" s="7">
        <v>0.123</v>
      </c>
      <c r="AC187" s="7">
        <f t="shared" si="58"/>
        <v>0.123</v>
      </c>
      <c r="AD187" s="16">
        <f t="shared" si="59"/>
        <v>0</v>
      </c>
      <c r="AE187" s="16">
        <v>38</v>
      </c>
      <c r="AF187" s="5">
        <f t="shared" si="60"/>
        <v>32335.21802</v>
      </c>
      <c r="AG187">
        <f t="shared" si="61"/>
        <v>15012.66</v>
      </c>
      <c r="AH187" s="5">
        <f t="shared" si="62"/>
        <v>17322.55802</v>
      </c>
      <c r="AI187" s="5">
        <f t="shared" si="63"/>
        <v>0.53571799049833657</v>
      </c>
      <c r="AJ187" s="5">
        <f t="shared" si="66"/>
        <v>6664966.511930001</v>
      </c>
      <c r="AK187" s="7">
        <f t="shared" si="64"/>
        <v>0.60890807889729082</v>
      </c>
      <c r="AL187" s="17">
        <f>MIN(AC187,'What-If Analysis'!$B$2)</f>
        <v>0.123</v>
      </c>
      <c r="AM187">
        <f>AE187*(1+'What-If Analysis'!$B$3)</f>
        <v>49.4</v>
      </c>
      <c r="AN187">
        <f>Y187*(1+'What-If Analysis'!$B$4)</f>
        <v>434.57700000000006</v>
      </c>
      <c r="AO187">
        <f t="shared" si="65"/>
        <v>42035.783425999995</v>
      </c>
    </row>
    <row r="188" spans="1:41" x14ac:dyDescent="0.3">
      <c r="A188" t="s">
        <v>214</v>
      </c>
      <c r="B188" s="3">
        <v>44939</v>
      </c>
      <c r="C188" s="3">
        <f t="shared" si="46"/>
        <v>44939</v>
      </c>
      <c r="D188" s="3">
        <v>44945</v>
      </c>
      <c r="E188" s="3">
        <f t="shared" si="47"/>
        <v>44945</v>
      </c>
      <c r="F188" s="16">
        <f t="shared" si="48"/>
        <v>6</v>
      </c>
      <c r="G188" s="16">
        <f>IF(Data!F263&lt;=7,1,0)</f>
        <v>0</v>
      </c>
      <c r="H188" s="5" t="str">
        <f t="shared" si="49"/>
        <v>01-2023</v>
      </c>
      <c r="I188" s="5" t="str">
        <f t="shared" si="50"/>
        <v>Q1-2023</v>
      </c>
      <c r="J188" s="3">
        <f t="shared" si="51"/>
        <v>44939</v>
      </c>
      <c r="K188" s="5" t="str">
        <f t="shared" si="52"/>
        <v>01-2023</v>
      </c>
      <c r="L188" t="s">
        <v>648</v>
      </c>
      <c r="M188" t="s">
        <v>660</v>
      </c>
      <c r="N188" t="s">
        <v>677</v>
      </c>
      <c r="O188" t="str">
        <f t="shared" si="53"/>
        <v>Chicago</v>
      </c>
      <c r="P188" t="s">
        <v>701</v>
      </c>
      <c r="Q188" t="s">
        <v>711</v>
      </c>
      <c r="R188" t="str">
        <f t="shared" si="54"/>
        <v>Direct</v>
      </c>
      <c r="S188" t="s">
        <v>722</v>
      </c>
      <c r="T188" t="str">
        <f t="shared" si="68"/>
        <v>H. Kim</v>
      </c>
      <c r="U188" t="s">
        <v>730</v>
      </c>
      <c r="V188" t="str">
        <f t="shared" si="55"/>
        <v>Medium</v>
      </c>
      <c r="W188" t="s">
        <v>934</v>
      </c>
      <c r="X188" t="str">
        <f t="shared" si="56"/>
        <v>A</v>
      </c>
      <c r="Y188" s="5">
        <v>833.57</v>
      </c>
      <c r="Z188" s="5">
        <v>881.57</v>
      </c>
      <c r="AA188" s="5">
        <f t="shared" si="57"/>
        <v>881.57</v>
      </c>
      <c r="AB188" s="7">
        <v>5.7000000000000002E-2</v>
      </c>
      <c r="AC188" s="7">
        <f t="shared" si="58"/>
        <v>5.7000000000000002E-2</v>
      </c>
      <c r="AD188" s="16">
        <f t="shared" si="59"/>
        <v>0</v>
      </c>
      <c r="AE188" s="16">
        <v>18</v>
      </c>
      <c r="AF188" s="5">
        <f t="shared" si="60"/>
        <v>14963.769179999999</v>
      </c>
      <c r="AG188">
        <f t="shared" si="61"/>
        <v>15004.26</v>
      </c>
      <c r="AH188" s="5">
        <f t="shared" si="62"/>
        <v>40.490820000000895</v>
      </c>
      <c r="AI188" s="5">
        <f t="shared" si="63"/>
        <v>2.7059238560107821E-3</v>
      </c>
      <c r="AJ188" s="5">
        <f t="shared" si="66"/>
        <v>6679930.2811100008</v>
      </c>
      <c r="AK188" s="7">
        <f t="shared" si="64"/>
        <v>0.61027516152676042</v>
      </c>
      <c r="AL188" s="17">
        <f>MIN(AC188,'What-If Analysis'!$B$2)</f>
        <v>5.7000000000000002E-2</v>
      </c>
      <c r="AM188">
        <f>AE188*(1+'What-If Analysis'!$B$3)</f>
        <v>23.400000000000002</v>
      </c>
      <c r="AN188">
        <f>Y188*(1+'What-If Analysis'!$B$4)</f>
        <v>916.92700000000013</v>
      </c>
      <c r="AO188">
        <f t="shared" si="65"/>
        <v>19452.899934000005</v>
      </c>
    </row>
    <row r="189" spans="1:41" x14ac:dyDescent="0.3">
      <c r="A189" t="s">
        <v>175</v>
      </c>
      <c r="B189" s="3">
        <v>44977</v>
      </c>
      <c r="C189" s="3">
        <f t="shared" si="46"/>
        <v>44977</v>
      </c>
      <c r="D189" s="3">
        <v>44989</v>
      </c>
      <c r="E189" s="3">
        <f t="shared" si="47"/>
        <v>44989</v>
      </c>
      <c r="F189" s="16">
        <f t="shared" si="48"/>
        <v>12</v>
      </c>
      <c r="G189" s="16">
        <f>IF(Data!F178&lt;=7,1,0)</f>
        <v>0</v>
      </c>
      <c r="H189" s="5" t="str">
        <f t="shared" si="49"/>
        <v>02-2023</v>
      </c>
      <c r="I189" s="5" t="str">
        <f t="shared" si="50"/>
        <v>Q1-2023</v>
      </c>
      <c r="J189" s="3">
        <f t="shared" si="51"/>
        <v>44955</v>
      </c>
      <c r="K189" s="5" t="str">
        <f t="shared" si="52"/>
        <v>01-2023</v>
      </c>
      <c r="L189" t="s">
        <v>647</v>
      </c>
      <c r="M189" t="s">
        <v>654</v>
      </c>
      <c r="N189" t="s">
        <v>680</v>
      </c>
      <c r="O189" t="str">
        <f t="shared" si="53"/>
        <v>Delhi</v>
      </c>
      <c r="P189" t="s">
        <v>704</v>
      </c>
      <c r="Q189" t="s">
        <v>710</v>
      </c>
      <c r="R189" t="str">
        <f t="shared" si="54"/>
        <v>Distributor</v>
      </c>
      <c r="S189" t="s">
        <v>724</v>
      </c>
      <c r="T189" t="str">
        <f t="shared" si="68"/>
        <v>M. Rossi</v>
      </c>
      <c r="U189" t="s">
        <v>732</v>
      </c>
      <c r="V189" t="str">
        <f t="shared" si="55"/>
        <v>Low</v>
      </c>
      <c r="W189" t="s">
        <v>894</v>
      </c>
      <c r="X189" t="str">
        <f t="shared" si="56"/>
        <v>A</v>
      </c>
      <c r="Y189" s="5">
        <v>299.75</v>
      </c>
      <c r="Z189" s="5">
        <v>523.01</v>
      </c>
      <c r="AA189" s="5">
        <f t="shared" si="57"/>
        <v>523.01</v>
      </c>
      <c r="AB189" s="7">
        <v>0.157</v>
      </c>
      <c r="AC189" s="7">
        <f t="shared" si="58"/>
        <v>0.157</v>
      </c>
      <c r="AD189" s="16">
        <f t="shared" si="59"/>
        <v>0</v>
      </c>
      <c r="AE189" s="16">
        <v>50</v>
      </c>
      <c r="AF189" s="5">
        <f t="shared" si="60"/>
        <v>22044.871499999997</v>
      </c>
      <c r="AG189">
        <f t="shared" si="61"/>
        <v>14987.5</v>
      </c>
      <c r="AH189" s="5">
        <f t="shared" si="62"/>
        <v>7057.3714999999975</v>
      </c>
      <c r="AI189" s="5">
        <f t="shared" si="63"/>
        <v>0.32013665854210122</v>
      </c>
      <c r="AJ189" s="5">
        <f t="shared" si="66"/>
        <v>6701975.1526100012</v>
      </c>
      <c r="AK189" s="7">
        <f t="shared" si="64"/>
        <v>0.61228917019890838</v>
      </c>
      <c r="AL189" s="17">
        <f>MIN(AC189,'What-If Analysis'!$B$2)</f>
        <v>0.157</v>
      </c>
      <c r="AM189">
        <f>AE189*(1+'What-If Analysis'!$B$3)</f>
        <v>65</v>
      </c>
      <c r="AN189">
        <f>Y189*(1+'What-If Analysis'!$B$4)</f>
        <v>329.72500000000002</v>
      </c>
      <c r="AO189">
        <f t="shared" si="65"/>
        <v>28658.33295</v>
      </c>
    </row>
    <row r="190" spans="1:41" x14ac:dyDescent="0.3">
      <c r="A190" t="s">
        <v>456</v>
      </c>
      <c r="B190" s="3">
        <v>45189</v>
      </c>
      <c r="C190" s="3">
        <f t="shared" si="46"/>
        <v>45189</v>
      </c>
      <c r="D190" s="3">
        <v>45197</v>
      </c>
      <c r="E190" s="3">
        <f t="shared" si="47"/>
        <v>45197</v>
      </c>
      <c r="F190" s="16">
        <f t="shared" si="48"/>
        <v>8</v>
      </c>
      <c r="G190" s="16">
        <f>IF(Data!F101&lt;=7,1,0)</f>
        <v>1</v>
      </c>
      <c r="H190" s="5" t="str">
        <f t="shared" si="49"/>
        <v>09-2023</v>
      </c>
      <c r="I190" s="5" t="str">
        <f t="shared" si="50"/>
        <v>Q3-2023</v>
      </c>
      <c r="J190" s="3">
        <f t="shared" si="51"/>
        <v>44955</v>
      </c>
      <c r="K190" s="5" t="str">
        <f t="shared" si="52"/>
        <v>01-2023</v>
      </c>
      <c r="L190" t="s">
        <v>647</v>
      </c>
      <c r="M190" t="s">
        <v>654</v>
      </c>
      <c r="O190" t="str">
        <f t="shared" si="53"/>
        <v>Delhi</v>
      </c>
      <c r="P190" t="s">
        <v>701</v>
      </c>
      <c r="R190" t="str">
        <f t="shared" si="54"/>
        <v>Marketplace</v>
      </c>
      <c r="S190" t="s">
        <v>717</v>
      </c>
      <c r="T190" t="str">
        <f t="shared" si="68"/>
        <v>B. Chen</v>
      </c>
      <c r="U190" t="s">
        <v>733</v>
      </c>
      <c r="V190" t="str">
        <f t="shared" si="55"/>
        <v>High</v>
      </c>
      <c r="W190" t="s">
        <v>1175</v>
      </c>
      <c r="X190" t="str">
        <f t="shared" si="56"/>
        <v>A</v>
      </c>
      <c r="Y190" s="5">
        <v>1362.06</v>
      </c>
      <c r="Z190" s="5">
        <v>3398.37</v>
      </c>
      <c r="AA190" s="5">
        <f t="shared" si="57"/>
        <v>3398.37</v>
      </c>
      <c r="AB190" s="7">
        <v>0.157</v>
      </c>
      <c r="AC190" s="7">
        <f t="shared" si="58"/>
        <v>0.157</v>
      </c>
      <c r="AD190" s="16">
        <f t="shared" si="59"/>
        <v>0</v>
      </c>
      <c r="AE190" s="16">
        <v>11</v>
      </c>
      <c r="AF190" s="5">
        <f t="shared" si="60"/>
        <v>31513.085009999999</v>
      </c>
      <c r="AG190">
        <f t="shared" si="61"/>
        <v>14982.66</v>
      </c>
      <c r="AH190" s="5">
        <f t="shared" si="62"/>
        <v>16530.425009999999</v>
      </c>
      <c r="AI190" s="5">
        <f t="shared" si="63"/>
        <v>0.52455749745714919</v>
      </c>
      <c r="AJ190" s="5">
        <f t="shared" si="66"/>
        <v>6733488.2376200007</v>
      </c>
      <c r="AK190" s="7">
        <f t="shared" si="64"/>
        <v>0.61516819022387315</v>
      </c>
      <c r="AL190" s="17">
        <f>MIN(AC190,'What-If Analysis'!$B$2)</f>
        <v>0.157</v>
      </c>
      <c r="AM190">
        <f>AE190*(1+'What-If Analysis'!$B$3)</f>
        <v>14.3</v>
      </c>
      <c r="AN190">
        <f>Y190*(1+'What-If Analysis'!$B$4)</f>
        <v>1498.2660000000001</v>
      </c>
      <c r="AO190">
        <f t="shared" si="65"/>
        <v>40967.010513000001</v>
      </c>
    </row>
    <row r="191" spans="1:41" x14ac:dyDescent="0.3">
      <c r="A191" t="s">
        <v>365</v>
      </c>
      <c r="B191" s="3">
        <v>45262</v>
      </c>
      <c r="C191" s="3">
        <f t="shared" si="46"/>
        <v>45262</v>
      </c>
      <c r="D191" s="3">
        <v>45276</v>
      </c>
      <c r="E191" s="3">
        <f t="shared" si="47"/>
        <v>45276</v>
      </c>
      <c r="F191" s="16">
        <f t="shared" si="48"/>
        <v>14</v>
      </c>
      <c r="G191" s="16">
        <f>IF(Data!F238&lt;=7,1,0)</f>
        <v>0</v>
      </c>
      <c r="H191" s="5" t="str">
        <f t="shared" si="49"/>
        <v>12-2023</v>
      </c>
      <c r="I191" s="5" t="str">
        <f t="shared" si="50"/>
        <v>Q4-2023</v>
      </c>
      <c r="J191" s="3">
        <f t="shared" si="51"/>
        <v>44947</v>
      </c>
      <c r="K191" s="5" t="str">
        <f t="shared" si="52"/>
        <v>01-2023</v>
      </c>
      <c r="L191" t="s">
        <v>649</v>
      </c>
      <c r="M191" t="s">
        <v>656</v>
      </c>
      <c r="N191" t="s">
        <v>698</v>
      </c>
      <c r="O191" t="str">
        <f t="shared" si="53"/>
        <v>Frankfurt</v>
      </c>
      <c r="P191" t="s">
        <v>702</v>
      </c>
      <c r="Q191" t="s">
        <v>711</v>
      </c>
      <c r="R191" t="str">
        <f t="shared" si="54"/>
        <v>Direct</v>
      </c>
      <c r="S191" t="s">
        <v>725</v>
      </c>
      <c r="T191" t="str">
        <f t="shared" si="68"/>
        <v>N. Brown</v>
      </c>
      <c r="U191" t="s">
        <v>732</v>
      </c>
      <c r="V191" t="str">
        <f t="shared" si="55"/>
        <v>Medium</v>
      </c>
      <c r="W191" t="s">
        <v>1085</v>
      </c>
      <c r="X191" t="str">
        <f t="shared" si="56"/>
        <v>A</v>
      </c>
      <c r="Y191" s="5">
        <v>879.08</v>
      </c>
      <c r="Z191" s="5">
        <v>1093.3900000000001</v>
      </c>
      <c r="AA191" s="5">
        <f t="shared" si="57"/>
        <v>1093.3900000000001</v>
      </c>
      <c r="AB191" s="7">
        <v>0.113</v>
      </c>
      <c r="AC191" s="7">
        <f t="shared" si="58"/>
        <v>0.113</v>
      </c>
      <c r="AD191" s="16">
        <f t="shared" si="59"/>
        <v>0</v>
      </c>
      <c r="AE191" s="16">
        <v>17</v>
      </c>
      <c r="AF191" s="5">
        <f t="shared" si="60"/>
        <v>16487.22781</v>
      </c>
      <c r="AG191">
        <f t="shared" si="61"/>
        <v>14944.36</v>
      </c>
      <c r="AH191" s="5">
        <f t="shared" si="62"/>
        <v>1542.8678099999997</v>
      </c>
      <c r="AI191" s="5">
        <f t="shared" si="63"/>
        <v>9.3579577341935186E-2</v>
      </c>
      <c r="AJ191" s="5">
        <f t="shared" si="66"/>
        <v>6749975.4654300008</v>
      </c>
      <c r="AK191" s="7">
        <f t="shared" si="64"/>
        <v>0.61667445528824516</v>
      </c>
      <c r="AL191" s="17">
        <f>MIN(AC191,'What-If Analysis'!$B$2)</f>
        <v>0.113</v>
      </c>
      <c r="AM191">
        <f>AE191*(1+'What-If Analysis'!$B$3)</f>
        <v>22.1</v>
      </c>
      <c r="AN191">
        <f>Y191*(1+'What-If Analysis'!$B$4)</f>
        <v>966.98800000000017</v>
      </c>
      <c r="AO191">
        <f t="shared" si="65"/>
        <v>21433.396153000005</v>
      </c>
    </row>
    <row r="192" spans="1:41" x14ac:dyDescent="0.3">
      <c r="A192" t="s">
        <v>362</v>
      </c>
      <c r="B192" s="3">
        <v>45281</v>
      </c>
      <c r="C192" s="3">
        <f t="shared" si="46"/>
        <v>45281</v>
      </c>
      <c r="D192" s="3">
        <v>45297</v>
      </c>
      <c r="E192" s="3">
        <f t="shared" si="47"/>
        <v>45297</v>
      </c>
      <c r="F192" s="16">
        <f t="shared" si="48"/>
        <v>16</v>
      </c>
      <c r="G192" s="16">
        <f>IF(Data!F132&lt;=7,1,0)</f>
        <v>0</v>
      </c>
      <c r="H192" s="5" t="str">
        <f t="shared" si="49"/>
        <v>12-2023</v>
      </c>
      <c r="I192" s="5" t="str">
        <f t="shared" si="50"/>
        <v>Q4-2023</v>
      </c>
      <c r="J192" s="3">
        <f t="shared" si="51"/>
        <v>44939</v>
      </c>
      <c r="K192" s="5" t="str">
        <f t="shared" si="52"/>
        <v>01-2023</v>
      </c>
      <c r="L192" t="s">
        <v>646</v>
      </c>
      <c r="M192" t="s">
        <v>651</v>
      </c>
      <c r="O192" t="str">
        <f t="shared" si="53"/>
        <v>Lagos</v>
      </c>
      <c r="P192" t="s">
        <v>701</v>
      </c>
      <c r="Q192" t="s">
        <v>709</v>
      </c>
      <c r="R192" t="str">
        <f t="shared" si="54"/>
        <v>Marketplace</v>
      </c>
      <c r="S192" t="s">
        <v>723</v>
      </c>
      <c r="T192" t="str">
        <f t="shared" si="68"/>
        <v>K. Singh</v>
      </c>
      <c r="U192" t="s">
        <v>727</v>
      </c>
      <c r="V192" t="str">
        <f t="shared" si="55"/>
        <v>High</v>
      </c>
      <c r="W192" t="s">
        <v>1082</v>
      </c>
      <c r="X192" t="str">
        <f t="shared" si="56"/>
        <v>A</v>
      </c>
      <c r="Y192" s="5">
        <v>932.61</v>
      </c>
      <c r="Z192" s="5">
        <v>1982.98</v>
      </c>
      <c r="AA192" s="5">
        <f t="shared" si="57"/>
        <v>1982.98</v>
      </c>
      <c r="AB192" s="7">
        <v>0.14399999999999999</v>
      </c>
      <c r="AC192" s="7">
        <f t="shared" si="58"/>
        <v>0.14399999999999999</v>
      </c>
      <c r="AD192" s="16">
        <f t="shared" si="59"/>
        <v>0</v>
      </c>
      <c r="AE192" s="16">
        <v>16</v>
      </c>
      <c r="AF192" s="5">
        <f t="shared" si="60"/>
        <v>27158.894079999998</v>
      </c>
      <c r="AG192">
        <f t="shared" si="61"/>
        <v>14921.76</v>
      </c>
      <c r="AH192" s="5">
        <f t="shared" si="62"/>
        <v>12237.134079999998</v>
      </c>
      <c r="AI192" s="5">
        <f t="shared" si="63"/>
        <v>0.45057556629345635</v>
      </c>
      <c r="AJ192" s="5">
        <f t="shared" si="66"/>
        <v>6777134.3595100008</v>
      </c>
      <c r="AK192" s="7">
        <f t="shared" si="64"/>
        <v>0.61915567856065423</v>
      </c>
      <c r="AL192" s="17">
        <f>MIN(AC192,'What-If Analysis'!$B$2)</f>
        <v>0.14399999999999999</v>
      </c>
      <c r="AM192">
        <f>AE192*(1+'What-If Analysis'!$B$3)</f>
        <v>20.8</v>
      </c>
      <c r="AN192">
        <f>Y192*(1+'What-If Analysis'!$B$4)</f>
        <v>1025.8710000000001</v>
      </c>
      <c r="AO192">
        <f t="shared" si="65"/>
        <v>35306.562303999999</v>
      </c>
    </row>
    <row r="193" spans="1:41" x14ac:dyDescent="0.3">
      <c r="A193" t="s">
        <v>59</v>
      </c>
      <c r="B193" s="3">
        <v>45432</v>
      </c>
      <c r="C193" s="3">
        <f t="shared" si="46"/>
        <v>45432</v>
      </c>
      <c r="D193" s="3">
        <v>45445</v>
      </c>
      <c r="E193" s="3">
        <f t="shared" si="47"/>
        <v>45445</v>
      </c>
      <c r="F193" s="16">
        <f t="shared" si="48"/>
        <v>13</v>
      </c>
      <c r="G193" s="16">
        <f>IF(Data!F224&lt;=7,1,0)</f>
        <v>1</v>
      </c>
      <c r="H193" s="5" t="str">
        <f t="shared" si="49"/>
        <v>05-2024</v>
      </c>
      <c r="I193" s="5" t="str">
        <f t="shared" si="50"/>
        <v>Q2-2024</v>
      </c>
      <c r="J193" s="3">
        <f t="shared" si="51"/>
        <v>44928</v>
      </c>
      <c r="K193" s="5" t="str">
        <f t="shared" si="52"/>
        <v>01-2023</v>
      </c>
      <c r="L193" t="s">
        <v>648</v>
      </c>
      <c r="M193" t="s">
        <v>653</v>
      </c>
      <c r="N193" t="s">
        <v>688</v>
      </c>
      <c r="O193" t="str">
        <f t="shared" si="53"/>
        <v>Vancouver</v>
      </c>
      <c r="P193" t="s">
        <v>706</v>
      </c>
      <c r="Q193" t="s">
        <v>709</v>
      </c>
      <c r="R193" t="str">
        <f t="shared" si="54"/>
        <v>Marketplace</v>
      </c>
      <c r="S193" t="s">
        <v>723</v>
      </c>
      <c r="T193" t="str">
        <f t="shared" si="68"/>
        <v>K. Singh</v>
      </c>
      <c r="U193" t="s">
        <v>727</v>
      </c>
      <c r="V193" t="str">
        <f t="shared" si="55"/>
        <v>Medium</v>
      </c>
      <c r="W193" t="s">
        <v>778</v>
      </c>
      <c r="X193" t="str">
        <f t="shared" si="56"/>
        <v>A</v>
      </c>
      <c r="Y193" s="5">
        <v>675.43</v>
      </c>
      <c r="Z193" s="5">
        <v>996.36</v>
      </c>
      <c r="AA193" s="5">
        <f t="shared" si="57"/>
        <v>996.36</v>
      </c>
      <c r="AB193" s="7">
        <v>0.182</v>
      </c>
      <c r="AC193" s="7">
        <f t="shared" si="58"/>
        <v>0.182</v>
      </c>
      <c r="AD193" s="16">
        <f t="shared" si="59"/>
        <v>0</v>
      </c>
      <c r="AE193" s="16">
        <v>22</v>
      </c>
      <c r="AF193" s="5">
        <f t="shared" si="60"/>
        <v>17930.494560000003</v>
      </c>
      <c r="AG193">
        <f t="shared" si="61"/>
        <v>14859.46</v>
      </c>
      <c r="AH193" s="5">
        <f t="shared" si="62"/>
        <v>3071.0345600000037</v>
      </c>
      <c r="AI193" s="5">
        <f t="shared" si="63"/>
        <v>0.17127439233332575</v>
      </c>
      <c r="AJ193" s="5">
        <f t="shared" si="66"/>
        <v>6795064.8540700004</v>
      </c>
      <c r="AK193" s="7">
        <f t="shared" si="64"/>
        <v>0.62079379976901505</v>
      </c>
      <c r="AL193" s="17">
        <f>MIN(AC193,'What-If Analysis'!$B$2)</f>
        <v>0.182</v>
      </c>
      <c r="AM193">
        <f>AE193*(1+'What-If Analysis'!$B$3)</f>
        <v>28.6</v>
      </c>
      <c r="AN193">
        <f>Y193*(1+'What-If Analysis'!$B$4)</f>
        <v>742.97299999999996</v>
      </c>
      <c r="AO193">
        <f t="shared" si="65"/>
        <v>23309.642928000001</v>
      </c>
    </row>
    <row r="194" spans="1:41" x14ac:dyDescent="0.3">
      <c r="A194" t="s">
        <v>168</v>
      </c>
      <c r="B194" s="3">
        <v>45340</v>
      </c>
      <c r="C194" s="3">
        <f t="shared" ref="C194:C257" si="69">IF(D194&lt;B194,D194,B194)</f>
        <v>45340</v>
      </c>
      <c r="D194" s="3">
        <v>45355</v>
      </c>
      <c r="E194" s="3">
        <f t="shared" ref="E194:E257" si="70">IF(D194&lt;B194,B194,D194)</f>
        <v>45355</v>
      </c>
      <c r="F194" s="16">
        <f t="shared" ref="F194:F257" si="71">E194-C194</f>
        <v>15</v>
      </c>
      <c r="G194" s="16">
        <f>IF(Data!F114&lt;=7,1,0)</f>
        <v>1</v>
      </c>
      <c r="H194" s="5" t="str">
        <f t="shared" ref="H194:H257" si="72">TEXT(C194,"MM-YYYY")</f>
        <v>02-2024</v>
      </c>
      <c r="I194" s="5" t="str">
        <f t="shared" ref="I194:I257" si="73">"Q"&amp;ROUNDUP(MONTH(H194)/3,0)&amp;"-"&amp;YEAR(H194)</f>
        <v>Q1-2024</v>
      </c>
      <c r="J194" s="3">
        <f t="shared" ref="J194:J257" si="74">_xlfn.MINIFS(C:C,M:M,M194)</f>
        <v>44946</v>
      </c>
      <c r="K194" s="5" t="str">
        <f t="shared" ref="K194:K257" si="75">TEXT(J194,"MM-YYYY")</f>
        <v>01-2023</v>
      </c>
      <c r="L194" t="s">
        <v>646</v>
      </c>
      <c r="M194" t="s">
        <v>650</v>
      </c>
      <c r="N194" t="s">
        <v>662</v>
      </c>
      <c r="O194" t="str">
        <f t="shared" ref="O194:O257" si="76">IF(N194="",_xlfn.XLOOKUP(M194,M:M,N:N),N194)</f>
        <v>Kisumu</v>
      </c>
      <c r="P194" t="s">
        <v>702</v>
      </c>
      <c r="Q194" t="s">
        <v>711</v>
      </c>
      <c r="R194" t="str">
        <f t="shared" ref="R194:R257" si="77">IF(Q194="",_xlfn.XLOOKUP(M194,M:M,Q:Q),Q194)</f>
        <v>Direct</v>
      </c>
      <c r="S194" t="s">
        <v>723</v>
      </c>
      <c r="T194" t="str">
        <f t="shared" si="68"/>
        <v>K. Singh</v>
      </c>
      <c r="U194" t="s">
        <v>728</v>
      </c>
      <c r="V194" t="str">
        <f t="shared" ref="V194:V257" si="78">IF(AA194&lt;815.0987,"Low",IF(AA194&lt;1640.058,"Medium","High"))</f>
        <v>High</v>
      </c>
      <c r="W194" t="s">
        <v>887</v>
      </c>
      <c r="X194" t="str">
        <f t="shared" ref="X194:X257" si="79">IF(AK194&lt;=80%,"A",IF(AK194&lt;=95%,"B","C"))</f>
        <v>A</v>
      </c>
      <c r="Y194" s="5">
        <v>928.68</v>
      </c>
      <c r="Z194" s="5">
        <v>2145.17</v>
      </c>
      <c r="AA194" s="5">
        <f t="shared" ref="AA194:AA257" si="80">ABS(Z194)</f>
        <v>2145.17</v>
      </c>
      <c r="AB194" s="7">
        <v>0.13600000000000001</v>
      </c>
      <c r="AC194" s="7">
        <f t="shared" ref="AC194:AC257" si="81">MIN(AB194,30%)</f>
        <v>0.13600000000000001</v>
      </c>
      <c r="AD194" s="16">
        <f t="shared" ref="AD194:AD257" si="82">IF(AC194&gt;20%,1,0)</f>
        <v>0</v>
      </c>
      <c r="AE194" s="16">
        <v>16</v>
      </c>
      <c r="AF194" s="5">
        <f t="shared" ref="AF194:AF257" si="83">AA194*AE194*(1-AC194)</f>
        <v>29654.83008</v>
      </c>
      <c r="AG194">
        <f t="shared" ref="AG194:AG257" si="84">Y194*AE194</f>
        <v>14858.88</v>
      </c>
      <c r="AH194" s="5">
        <f t="shared" ref="AH194:AH257" si="85">ABS(AF194-AG194)</f>
        <v>14795.950080000001</v>
      </c>
      <c r="AI194" s="5">
        <f t="shared" ref="AI194:AI257" si="86">IF(AF194=0,0,AH194/AF194)</f>
        <v>0.49893896003062177</v>
      </c>
      <c r="AJ194" s="5">
        <f t="shared" si="66"/>
        <v>6824719.6841500001</v>
      </c>
      <c r="AK194" s="7">
        <f t="shared" ref="AK194:AK257" si="87">AJ194/SUM(AF:AF)</f>
        <v>0.62350305053294863</v>
      </c>
      <c r="AL194" s="17">
        <f>MIN(AC194,'What-If Analysis'!$B$2)</f>
        <v>0.13600000000000001</v>
      </c>
      <c r="AM194">
        <f>AE194*(1+'What-If Analysis'!$B$3)</f>
        <v>20.8</v>
      </c>
      <c r="AN194">
        <f>Y194*(1+'What-If Analysis'!$B$4)</f>
        <v>1021.548</v>
      </c>
      <c r="AO194">
        <f t="shared" ref="AO194:AO257" si="88">AA194*AM194*(1-AL194)</f>
        <v>38551.279104000001</v>
      </c>
    </row>
    <row r="195" spans="1:41" x14ac:dyDescent="0.3">
      <c r="A195" t="s">
        <v>125</v>
      </c>
      <c r="B195" s="3">
        <v>45452</v>
      </c>
      <c r="C195" s="3">
        <f t="shared" si="69"/>
        <v>45452</v>
      </c>
      <c r="D195" s="3">
        <v>45480</v>
      </c>
      <c r="E195" s="3">
        <f t="shared" si="70"/>
        <v>45480</v>
      </c>
      <c r="F195" s="16">
        <f t="shared" si="71"/>
        <v>28</v>
      </c>
      <c r="G195" s="16">
        <f>IF(Data!F126&lt;=7,1,0)</f>
        <v>0</v>
      </c>
      <c r="H195" s="5" t="str">
        <f t="shared" si="72"/>
        <v>06-2024</v>
      </c>
      <c r="I195" s="5" t="str">
        <f t="shared" si="73"/>
        <v>Q2-2024</v>
      </c>
      <c r="J195" s="3">
        <f t="shared" si="74"/>
        <v>44938</v>
      </c>
      <c r="K195" s="5" t="str">
        <f t="shared" si="75"/>
        <v>01-2023</v>
      </c>
      <c r="L195" t="s">
        <v>647</v>
      </c>
      <c r="M195" t="s">
        <v>659</v>
      </c>
      <c r="N195" t="s">
        <v>676</v>
      </c>
      <c r="O195" t="str">
        <f t="shared" si="76"/>
        <v>Shenzhen</v>
      </c>
      <c r="P195" t="s">
        <v>701</v>
      </c>
      <c r="Q195" t="s">
        <v>708</v>
      </c>
      <c r="R195" t="str">
        <f t="shared" si="77"/>
        <v>Online</v>
      </c>
      <c r="S195" t="s">
        <v>713</v>
      </c>
      <c r="T195" t="str">
        <f t="shared" si="68"/>
        <v>J. Njeri</v>
      </c>
      <c r="U195" t="s">
        <v>727</v>
      </c>
      <c r="V195" t="str">
        <f t="shared" si="78"/>
        <v>Medium</v>
      </c>
      <c r="W195" t="s">
        <v>844</v>
      </c>
      <c r="X195" t="str">
        <f t="shared" si="79"/>
        <v>A</v>
      </c>
      <c r="Y195" s="5">
        <v>550.22</v>
      </c>
      <c r="Z195" s="5">
        <v>1025.05</v>
      </c>
      <c r="AA195" s="5">
        <f t="shared" si="80"/>
        <v>1025.05</v>
      </c>
      <c r="AB195" s="7">
        <v>0</v>
      </c>
      <c r="AC195" s="7">
        <f t="shared" si="81"/>
        <v>0</v>
      </c>
      <c r="AD195" s="16">
        <f t="shared" si="82"/>
        <v>0</v>
      </c>
      <c r="AE195" s="16">
        <v>27</v>
      </c>
      <c r="AF195" s="5">
        <f t="shared" si="83"/>
        <v>27676.35</v>
      </c>
      <c r="AG195">
        <f t="shared" si="84"/>
        <v>14855.94</v>
      </c>
      <c r="AH195" s="5">
        <f t="shared" si="85"/>
        <v>12820.409999999998</v>
      </c>
      <c r="AI195" s="5">
        <f t="shared" si="86"/>
        <v>0.46322618408858102</v>
      </c>
      <c r="AJ195" s="5">
        <f t="shared" ref="AJ195:AJ258" si="89">AJ194+AF195</f>
        <v>6852396.0341499997</v>
      </c>
      <c r="AK195" s="7">
        <f t="shared" si="87"/>
        <v>0.62603154832498165</v>
      </c>
      <c r="AL195" s="17">
        <f>MIN(AC195,'What-If Analysis'!$B$2)</f>
        <v>0</v>
      </c>
      <c r="AM195">
        <f>AE195*(1+'What-If Analysis'!$B$3)</f>
        <v>35.1</v>
      </c>
      <c r="AN195">
        <f>Y195*(1+'What-If Analysis'!$B$4)</f>
        <v>605.24200000000008</v>
      </c>
      <c r="AO195">
        <f t="shared" si="88"/>
        <v>35979.254999999997</v>
      </c>
    </row>
    <row r="196" spans="1:41" x14ac:dyDescent="0.3">
      <c r="A196" t="s">
        <v>25</v>
      </c>
      <c r="B196" s="3">
        <v>45319</v>
      </c>
      <c r="C196" s="3">
        <f t="shared" si="69"/>
        <v>45319</v>
      </c>
      <c r="D196" s="3">
        <v>45331</v>
      </c>
      <c r="E196" s="3">
        <f t="shared" si="70"/>
        <v>45331</v>
      </c>
      <c r="F196" s="16">
        <f t="shared" si="71"/>
        <v>12</v>
      </c>
      <c r="G196" s="16">
        <f>IF(Data!F248&lt;=7,1,0)</f>
        <v>0</v>
      </c>
      <c r="H196" s="5" t="str">
        <f t="shared" si="72"/>
        <v>01-2024</v>
      </c>
      <c r="I196" s="5" t="str">
        <f t="shared" si="73"/>
        <v>Q1-2024</v>
      </c>
      <c r="J196" s="3">
        <f t="shared" si="74"/>
        <v>44947</v>
      </c>
      <c r="K196" s="5" t="str">
        <f t="shared" si="75"/>
        <v>01-2023</v>
      </c>
      <c r="L196" t="s">
        <v>649</v>
      </c>
      <c r="M196" t="s">
        <v>656</v>
      </c>
      <c r="N196" t="s">
        <v>671</v>
      </c>
      <c r="O196" t="str">
        <f t="shared" si="76"/>
        <v>Berlin</v>
      </c>
      <c r="P196" t="s">
        <v>701</v>
      </c>
      <c r="Q196" t="s">
        <v>708</v>
      </c>
      <c r="R196" t="str">
        <f t="shared" si="77"/>
        <v>Online</v>
      </c>
      <c r="S196" t="s">
        <v>715</v>
      </c>
      <c r="T196" t="str">
        <f t="shared" si="68"/>
        <v>G. Dubois</v>
      </c>
      <c r="U196" t="s">
        <v>733</v>
      </c>
      <c r="V196" t="str">
        <f t="shared" si="78"/>
        <v>Low</v>
      </c>
      <c r="W196" t="s">
        <v>744</v>
      </c>
      <c r="X196" t="str">
        <f t="shared" si="79"/>
        <v>A</v>
      </c>
      <c r="Y196" s="5">
        <v>644.16999999999996</v>
      </c>
      <c r="Z196" s="5">
        <v>700.12</v>
      </c>
      <c r="AA196" s="5">
        <f t="shared" si="80"/>
        <v>700.12</v>
      </c>
      <c r="AB196" s="7">
        <v>6.0000000000000001E-3</v>
      </c>
      <c r="AC196" s="7">
        <f t="shared" si="81"/>
        <v>6.0000000000000001E-3</v>
      </c>
      <c r="AD196" s="16">
        <f t="shared" si="82"/>
        <v>0</v>
      </c>
      <c r="AE196" s="16">
        <v>23</v>
      </c>
      <c r="AF196" s="5">
        <f t="shared" si="83"/>
        <v>16006.14344</v>
      </c>
      <c r="AG196">
        <f t="shared" si="84"/>
        <v>14815.91</v>
      </c>
      <c r="AH196" s="5">
        <f t="shared" si="85"/>
        <v>1190.23344</v>
      </c>
      <c r="AI196" s="5">
        <f t="shared" si="86"/>
        <v>7.436103796405813E-2</v>
      </c>
      <c r="AJ196" s="5">
        <f t="shared" si="89"/>
        <v>6868402.1775899995</v>
      </c>
      <c r="AK196" s="7">
        <f t="shared" si="87"/>
        <v>0.62749386175673849</v>
      </c>
      <c r="AL196" s="17">
        <f>MIN(AC196,'What-If Analysis'!$B$2)</f>
        <v>6.0000000000000001E-3</v>
      </c>
      <c r="AM196">
        <f>AE196*(1+'What-If Analysis'!$B$3)</f>
        <v>29.900000000000002</v>
      </c>
      <c r="AN196">
        <f>Y196*(1+'What-If Analysis'!$B$4)</f>
        <v>708.58699999999999</v>
      </c>
      <c r="AO196">
        <f t="shared" si="88"/>
        <v>20807.986472000004</v>
      </c>
    </row>
    <row r="197" spans="1:41" x14ac:dyDescent="0.3">
      <c r="A197" t="s">
        <v>588</v>
      </c>
      <c r="B197" s="3">
        <v>45279</v>
      </c>
      <c r="C197" s="3">
        <f t="shared" si="69"/>
        <v>45279</v>
      </c>
      <c r="D197" s="3">
        <v>45292</v>
      </c>
      <c r="E197" s="3">
        <f t="shared" si="70"/>
        <v>45292</v>
      </c>
      <c r="F197" s="16">
        <f t="shared" si="71"/>
        <v>13</v>
      </c>
      <c r="G197" s="16">
        <f>IF(Data!F272&lt;=7,1,0)</f>
        <v>1</v>
      </c>
      <c r="H197" s="5" t="str">
        <f t="shared" si="72"/>
        <v>12-2023</v>
      </c>
      <c r="I197" s="5" t="str">
        <f t="shared" si="73"/>
        <v>Q4-2023</v>
      </c>
      <c r="J197" s="3">
        <f t="shared" si="74"/>
        <v>44928</v>
      </c>
      <c r="K197" s="5" t="str">
        <f t="shared" si="75"/>
        <v>01-2023</v>
      </c>
      <c r="L197" t="s">
        <v>648</v>
      </c>
      <c r="M197" t="s">
        <v>653</v>
      </c>
      <c r="N197" t="s">
        <v>667</v>
      </c>
      <c r="O197" t="str">
        <f t="shared" si="76"/>
        <v>Toronto</v>
      </c>
      <c r="P197" t="s">
        <v>706</v>
      </c>
      <c r="Q197" t="s">
        <v>707</v>
      </c>
      <c r="R197" t="str">
        <f t="shared" si="77"/>
        <v>Retail</v>
      </c>
      <c r="S197" t="s">
        <v>723</v>
      </c>
      <c r="T197" t="str">
        <f t="shared" si="68"/>
        <v>K. Singh</v>
      </c>
      <c r="U197" t="s">
        <v>732</v>
      </c>
      <c r="V197" t="str">
        <f t="shared" si="78"/>
        <v>Medium</v>
      </c>
      <c r="W197" t="s">
        <v>1306</v>
      </c>
      <c r="X197" t="str">
        <f t="shared" si="79"/>
        <v>A</v>
      </c>
      <c r="Y197" s="5">
        <v>856.1</v>
      </c>
      <c r="Z197" s="5">
        <v>901.48</v>
      </c>
      <c r="AA197" s="5">
        <f t="shared" si="80"/>
        <v>901.48</v>
      </c>
      <c r="AB197" s="7">
        <v>5.6000000000000001E-2</v>
      </c>
      <c r="AC197" s="7">
        <f t="shared" si="81"/>
        <v>5.6000000000000001E-2</v>
      </c>
      <c r="AD197" s="16">
        <f t="shared" si="82"/>
        <v>0</v>
      </c>
      <c r="AE197" s="16">
        <v>17</v>
      </c>
      <c r="AF197" s="5">
        <f t="shared" si="83"/>
        <v>14466.95104</v>
      </c>
      <c r="AG197">
        <f t="shared" si="84"/>
        <v>14553.7</v>
      </c>
      <c r="AH197" s="5">
        <f t="shared" si="85"/>
        <v>86.748960000000807</v>
      </c>
      <c r="AI197" s="5">
        <f t="shared" si="86"/>
        <v>5.9963540182134192E-3</v>
      </c>
      <c r="AJ197" s="5">
        <f t="shared" si="89"/>
        <v>6882869.1286299992</v>
      </c>
      <c r="AK197" s="7">
        <f t="shared" si="87"/>
        <v>0.62881555532406541</v>
      </c>
      <c r="AL197" s="17">
        <f>MIN(AC197,'What-If Analysis'!$B$2)</f>
        <v>5.6000000000000001E-2</v>
      </c>
      <c r="AM197">
        <f>AE197*(1+'What-If Analysis'!$B$3)</f>
        <v>22.1</v>
      </c>
      <c r="AN197">
        <f>Y197*(1+'What-If Analysis'!$B$4)</f>
        <v>941.71000000000015</v>
      </c>
      <c r="AO197">
        <f t="shared" si="88"/>
        <v>18807.036352000003</v>
      </c>
    </row>
    <row r="198" spans="1:41" x14ac:dyDescent="0.3">
      <c r="A198" t="s">
        <v>302</v>
      </c>
      <c r="B198" s="3">
        <v>45319</v>
      </c>
      <c r="C198" s="3">
        <f t="shared" si="69"/>
        <v>45319</v>
      </c>
      <c r="D198" s="3">
        <v>45321</v>
      </c>
      <c r="E198" s="3">
        <f t="shared" si="70"/>
        <v>45321</v>
      </c>
      <c r="F198" s="16">
        <f t="shared" si="71"/>
        <v>2</v>
      </c>
      <c r="G198" s="16">
        <f>IF(Data!F133&lt;=7,1,0)</f>
        <v>1</v>
      </c>
      <c r="H198" s="5" t="str">
        <f t="shared" si="72"/>
        <v>01-2024</v>
      </c>
      <c r="I198" s="5" t="str">
        <f t="shared" si="73"/>
        <v>Q1-2024</v>
      </c>
      <c r="J198" s="3">
        <f t="shared" si="74"/>
        <v>44933</v>
      </c>
      <c r="K198" s="5" t="str">
        <f t="shared" si="75"/>
        <v>01-2023</v>
      </c>
      <c r="L198" t="s">
        <v>646</v>
      </c>
      <c r="M198" t="s">
        <v>661</v>
      </c>
      <c r="N198" t="s">
        <v>695</v>
      </c>
      <c r="O198" t="str">
        <f t="shared" si="76"/>
        <v>Cape Town</v>
      </c>
      <c r="P198" t="s">
        <v>704</v>
      </c>
      <c r="Q198" t="s">
        <v>711</v>
      </c>
      <c r="R198" t="str">
        <f t="shared" si="77"/>
        <v>Direct</v>
      </c>
      <c r="S198" t="s">
        <v>721</v>
      </c>
      <c r="T198" t="str">
        <f t="shared" si="68"/>
        <v>F. Müller</v>
      </c>
      <c r="U198" t="s">
        <v>733</v>
      </c>
      <c r="V198" t="str">
        <f t="shared" si="78"/>
        <v>Medium</v>
      </c>
      <c r="W198" t="s">
        <v>1022</v>
      </c>
      <c r="X198" t="str">
        <f t="shared" si="79"/>
        <v>A</v>
      </c>
      <c r="Y198" s="5">
        <v>798.45</v>
      </c>
      <c r="Z198" s="5">
        <v>1592.02</v>
      </c>
      <c r="AA198" s="5">
        <f t="shared" si="80"/>
        <v>1592.02</v>
      </c>
      <c r="AB198" s="7">
        <v>6.6000000000000003E-2</v>
      </c>
      <c r="AC198" s="7">
        <f t="shared" si="81"/>
        <v>6.6000000000000003E-2</v>
      </c>
      <c r="AD198" s="16">
        <f t="shared" si="82"/>
        <v>0</v>
      </c>
      <c r="AE198" s="16">
        <v>18</v>
      </c>
      <c r="AF198" s="5">
        <f t="shared" si="83"/>
        <v>26765.040239999998</v>
      </c>
      <c r="AG198">
        <f t="shared" si="84"/>
        <v>14372.1</v>
      </c>
      <c r="AH198" s="5">
        <f t="shared" si="85"/>
        <v>12392.940239999998</v>
      </c>
      <c r="AI198" s="5">
        <f t="shared" si="86"/>
        <v>0.46302714768494585</v>
      </c>
      <c r="AJ198" s="5">
        <f t="shared" si="89"/>
        <v>6909634.1688699992</v>
      </c>
      <c r="AK198" s="7">
        <f t="shared" si="87"/>
        <v>0.63126079630239229</v>
      </c>
      <c r="AL198" s="17">
        <f>MIN(AC198,'What-If Analysis'!$B$2)</f>
        <v>6.6000000000000003E-2</v>
      </c>
      <c r="AM198">
        <f>AE198*(1+'What-If Analysis'!$B$3)</f>
        <v>23.400000000000002</v>
      </c>
      <c r="AN198">
        <f>Y198*(1+'What-If Analysis'!$B$4)</f>
        <v>878.29500000000007</v>
      </c>
      <c r="AO198">
        <f t="shared" si="88"/>
        <v>34794.552312</v>
      </c>
    </row>
    <row r="199" spans="1:41" x14ac:dyDescent="0.3">
      <c r="A199" t="s">
        <v>350</v>
      </c>
      <c r="B199" s="3">
        <v>45484</v>
      </c>
      <c r="C199" s="3">
        <f t="shared" si="69"/>
        <v>45484</v>
      </c>
      <c r="D199" s="3">
        <v>45504</v>
      </c>
      <c r="E199" s="3">
        <f t="shared" si="70"/>
        <v>45504</v>
      </c>
      <c r="F199" s="16">
        <f t="shared" si="71"/>
        <v>20</v>
      </c>
      <c r="G199" s="16">
        <f>IF(Data!F121&lt;=7,1,0)</f>
        <v>1</v>
      </c>
      <c r="H199" s="5" t="str">
        <f t="shared" si="72"/>
        <v>07-2024</v>
      </c>
      <c r="I199" s="5" t="str">
        <f t="shared" si="73"/>
        <v>Q3-2024</v>
      </c>
      <c r="J199" s="3">
        <f t="shared" si="74"/>
        <v>44938</v>
      </c>
      <c r="K199" s="5" t="str">
        <f t="shared" si="75"/>
        <v>01-2023</v>
      </c>
      <c r="L199" t="s">
        <v>647</v>
      </c>
      <c r="M199" t="s">
        <v>659</v>
      </c>
      <c r="N199" t="s">
        <v>676</v>
      </c>
      <c r="O199" t="str">
        <f t="shared" si="76"/>
        <v>Shenzhen</v>
      </c>
      <c r="P199" t="s">
        <v>704</v>
      </c>
      <c r="Q199" t="s">
        <v>708</v>
      </c>
      <c r="R199" t="str">
        <f t="shared" si="77"/>
        <v>Online</v>
      </c>
      <c r="S199" t="s">
        <v>715</v>
      </c>
      <c r="T199" t="str">
        <f t="shared" si="68"/>
        <v>G. Dubois</v>
      </c>
      <c r="U199" t="s">
        <v>730</v>
      </c>
      <c r="V199" t="str">
        <f t="shared" si="78"/>
        <v>Medium</v>
      </c>
      <c r="W199" t="s">
        <v>1070</v>
      </c>
      <c r="X199" t="str">
        <f t="shared" si="79"/>
        <v>A</v>
      </c>
      <c r="Y199" s="5">
        <v>647.26</v>
      </c>
      <c r="Z199" s="5">
        <v>1374.72</v>
      </c>
      <c r="AA199" s="5">
        <f t="shared" si="80"/>
        <v>1374.72</v>
      </c>
      <c r="AB199" s="7">
        <v>6.6000000000000003E-2</v>
      </c>
      <c r="AC199" s="7">
        <f t="shared" si="81"/>
        <v>6.6000000000000003E-2</v>
      </c>
      <c r="AD199" s="16">
        <f t="shared" si="82"/>
        <v>0</v>
      </c>
      <c r="AE199" s="16">
        <v>22</v>
      </c>
      <c r="AF199" s="5">
        <f t="shared" si="83"/>
        <v>28247.74656</v>
      </c>
      <c r="AG199">
        <f t="shared" si="84"/>
        <v>14239.72</v>
      </c>
      <c r="AH199" s="5">
        <f t="shared" si="85"/>
        <v>14008.02656</v>
      </c>
      <c r="AI199" s="5">
        <f t="shared" si="86"/>
        <v>0.49589890401508901</v>
      </c>
      <c r="AJ199" s="5">
        <f t="shared" si="89"/>
        <v>6937881.9154299991</v>
      </c>
      <c r="AK199" s="7">
        <f t="shared" si="87"/>
        <v>0.63384149660452271</v>
      </c>
      <c r="AL199" s="17">
        <f>MIN(AC199,'What-If Analysis'!$B$2)</f>
        <v>6.6000000000000003E-2</v>
      </c>
      <c r="AM199">
        <f>AE199*(1+'What-If Analysis'!$B$3)</f>
        <v>28.6</v>
      </c>
      <c r="AN199">
        <f>Y199*(1+'What-If Analysis'!$B$4)</f>
        <v>711.9860000000001</v>
      </c>
      <c r="AO199">
        <f t="shared" si="88"/>
        <v>36722.070528000004</v>
      </c>
    </row>
    <row r="200" spans="1:41" x14ac:dyDescent="0.3">
      <c r="A200" t="s">
        <v>587</v>
      </c>
      <c r="B200" s="3">
        <v>45293</v>
      </c>
      <c r="C200" s="3">
        <f t="shared" si="69"/>
        <v>45293</v>
      </c>
      <c r="D200" s="3">
        <v>45293</v>
      </c>
      <c r="E200" s="3">
        <f t="shared" si="70"/>
        <v>45293</v>
      </c>
      <c r="F200" s="16">
        <f t="shared" si="71"/>
        <v>0</v>
      </c>
      <c r="G200" s="16">
        <f>IF(Data!F210&lt;=7,1,0)</f>
        <v>0</v>
      </c>
      <c r="H200" s="5" t="str">
        <f t="shared" si="72"/>
        <v>01-2024</v>
      </c>
      <c r="I200" s="5" t="str">
        <f t="shared" si="73"/>
        <v>Q1-2024</v>
      </c>
      <c r="J200" s="3">
        <f t="shared" si="74"/>
        <v>44928</v>
      </c>
      <c r="K200" s="5" t="str">
        <f t="shared" si="75"/>
        <v>01-2023</v>
      </c>
      <c r="L200" t="s">
        <v>648</v>
      </c>
      <c r="M200" t="s">
        <v>653</v>
      </c>
      <c r="N200" t="s">
        <v>688</v>
      </c>
      <c r="O200" t="str">
        <f t="shared" si="76"/>
        <v>Vancouver</v>
      </c>
      <c r="P200" t="s">
        <v>702</v>
      </c>
      <c r="Q200" t="s">
        <v>711</v>
      </c>
      <c r="R200" t="str">
        <f t="shared" si="77"/>
        <v>Direct</v>
      </c>
      <c r="S200" t="s">
        <v>720</v>
      </c>
      <c r="T200" t="str">
        <f t="shared" si="68"/>
        <v>A. Patel</v>
      </c>
      <c r="U200" t="s">
        <v>731</v>
      </c>
      <c r="V200" t="str">
        <f t="shared" si="78"/>
        <v>Low</v>
      </c>
      <c r="W200" t="s">
        <v>1305</v>
      </c>
      <c r="X200" t="str">
        <f t="shared" si="79"/>
        <v>A</v>
      </c>
      <c r="Y200" s="5">
        <v>444.41</v>
      </c>
      <c r="Z200" s="5">
        <v>754.24</v>
      </c>
      <c r="AA200" s="5">
        <f t="shared" si="80"/>
        <v>754.24</v>
      </c>
      <c r="AB200" s="7">
        <v>0.20699999999999999</v>
      </c>
      <c r="AC200" s="7">
        <f t="shared" si="81"/>
        <v>0.20699999999999999</v>
      </c>
      <c r="AD200" s="16">
        <f t="shared" si="82"/>
        <v>1</v>
      </c>
      <c r="AE200" s="16">
        <v>32</v>
      </c>
      <c r="AF200" s="5">
        <f t="shared" si="83"/>
        <v>19139.594240000002</v>
      </c>
      <c r="AG200">
        <f t="shared" si="84"/>
        <v>14221.12</v>
      </c>
      <c r="AH200" s="5">
        <f t="shared" si="85"/>
        <v>4918.4742400000014</v>
      </c>
      <c r="AI200" s="5">
        <f t="shared" si="86"/>
        <v>0.25697902360546598</v>
      </c>
      <c r="AJ200" s="5">
        <f t="shared" si="89"/>
        <v>6957021.5096699987</v>
      </c>
      <c r="AK200" s="7">
        <f t="shared" si="87"/>
        <v>0.63559008056795163</v>
      </c>
      <c r="AL200" s="17">
        <f>MIN(AC200,'What-If Analysis'!$B$2)</f>
        <v>0.2</v>
      </c>
      <c r="AM200">
        <f>AE200*(1+'What-If Analysis'!$B$3)</f>
        <v>41.6</v>
      </c>
      <c r="AN200">
        <f>Y200*(1+'What-If Analysis'!$B$4)</f>
        <v>488.85100000000006</v>
      </c>
      <c r="AO200">
        <f t="shared" si="88"/>
        <v>25101.107200000002</v>
      </c>
    </row>
    <row r="201" spans="1:41" x14ac:dyDescent="0.3">
      <c r="A201" t="s">
        <v>150</v>
      </c>
      <c r="B201" s="3">
        <v>45028</v>
      </c>
      <c r="C201" s="3">
        <f t="shared" si="69"/>
        <v>45028</v>
      </c>
      <c r="D201" s="3">
        <v>45033</v>
      </c>
      <c r="E201" s="3">
        <f t="shared" si="70"/>
        <v>45033</v>
      </c>
      <c r="F201" s="16">
        <f t="shared" si="71"/>
        <v>5</v>
      </c>
      <c r="G201" s="16">
        <f>IF(Data!F128&lt;=7,1,0)</f>
        <v>0</v>
      </c>
      <c r="H201" s="5" t="str">
        <f t="shared" si="72"/>
        <v>04-2023</v>
      </c>
      <c r="I201" s="5" t="str">
        <f t="shared" si="73"/>
        <v>Q2-2023</v>
      </c>
      <c r="J201" s="3">
        <f t="shared" si="74"/>
        <v>44936</v>
      </c>
      <c r="K201" s="5" t="str">
        <f t="shared" si="75"/>
        <v>01-2023</v>
      </c>
      <c r="L201" t="s">
        <v>649</v>
      </c>
      <c r="M201" t="s">
        <v>657</v>
      </c>
      <c r="N201" t="s">
        <v>679</v>
      </c>
      <c r="O201" t="str">
        <f t="shared" si="76"/>
        <v>Lyon</v>
      </c>
      <c r="P201" t="s">
        <v>706</v>
      </c>
      <c r="Q201" t="s">
        <v>711</v>
      </c>
      <c r="R201" t="str">
        <f t="shared" si="77"/>
        <v>Direct</v>
      </c>
      <c r="S201" t="s">
        <v>718</v>
      </c>
      <c r="T201" t="str">
        <f t="shared" si="68"/>
        <v>E. Garcia</v>
      </c>
      <c r="U201" t="s">
        <v>732</v>
      </c>
      <c r="V201" t="str">
        <f t="shared" si="78"/>
        <v>High</v>
      </c>
      <c r="W201" t="s">
        <v>869</v>
      </c>
      <c r="X201" t="str">
        <f t="shared" si="79"/>
        <v>A</v>
      </c>
      <c r="Y201" s="5">
        <v>1087.81</v>
      </c>
      <c r="Z201" s="5">
        <v>2323.87</v>
      </c>
      <c r="AA201" s="5">
        <f t="shared" si="80"/>
        <v>2323.87</v>
      </c>
      <c r="AB201" s="7">
        <v>9.4E-2</v>
      </c>
      <c r="AC201" s="7">
        <f t="shared" si="81"/>
        <v>9.4E-2</v>
      </c>
      <c r="AD201" s="16">
        <f t="shared" si="82"/>
        <v>0</v>
      </c>
      <c r="AE201" s="16">
        <v>13</v>
      </c>
      <c r="AF201" s="5">
        <f t="shared" si="83"/>
        <v>27370.540859999997</v>
      </c>
      <c r="AG201">
        <f t="shared" si="84"/>
        <v>14141.529999999999</v>
      </c>
      <c r="AH201" s="5">
        <f t="shared" si="85"/>
        <v>13229.010859999999</v>
      </c>
      <c r="AI201" s="5">
        <f t="shared" si="86"/>
        <v>0.48333026839572651</v>
      </c>
      <c r="AJ201" s="5">
        <f t="shared" si="89"/>
        <v>6984392.0505299987</v>
      </c>
      <c r="AK201" s="7">
        <f t="shared" si="87"/>
        <v>0.63809063978660796</v>
      </c>
      <c r="AL201" s="17">
        <f>MIN(AC201,'What-If Analysis'!$B$2)</f>
        <v>9.4E-2</v>
      </c>
      <c r="AM201">
        <f>AE201*(1+'What-If Analysis'!$B$3)</f>
        <v>16.900000000000002</v>
      </c>
      <c r="AN201">
        <f>Y201*(1+'What-If Analysis'!$B$4)</f>
        <v>1196.5910000000001</v>
      </c>
      <c r="AO201">
        <f t="shared" si="88"/>
        <v>35581.703118000005</v>
      </c>
    </row>
    <row r="202" spans="1:41" x14ac:dyDescent="0.3">
      <c r="A202" t="s">
        <v>543</v>
      </c>
      <c r="B202" s="3">
        <v>45162</v>
      </c>
      <c r="C202" s="3">
        <f t="shared" si="69"/>
        <v>45162</v>
      </c>
      <c r="D202" s="3">
        <v>45189</v>
      </c>
      <c r="E202" s="3">
        <f t="shared" si="70"/>
        <v>45189</v>
      </c>
      <c r="F202" s="16">
        <f t="shared" si="71"/>
        <v>27</v>
      </c>
      <c r="G202" s="16">
        <f>IF(Data!F86&lt;=7,1,0)</f>
        <v>1</v>
      </c>
      <c r="H202" s="5" t="str">
        <f t="shared" si="72"/>
        <v>08-2023</v>
      </c>
      <c r="I202" s="5" t="str">
        <f t="shared" si="73"/>
        <v>Q3-2023</v>
      </c>
      <c r="J202" s="3">
        <f t="shared" si="74"/>
        <v>44933</v>
      </c>
      <c r="K202" s="5" t="str">
        <f t="shared" si="75"/>
        <v>01-2023</v>
      </c>
      <c r="L202" t="s">
        <v>646</v>
      </c>
      <c r="M202" t="s">
        <v>661</v>
      </c>
      <c r="N202" t="s">
        <v>687</v>
      </c>
      <c r="O202" t="str">
        <f t="shared" si="76"/>
        <v>Durban</v>
      </c>
      <c r="P202" t="s">
        <v>705</v>
      </c>
      <c r="Q202" t="s">
        <v>709</v>
      </c>
      <c r="R202" t="str">
        <f t="shared" si="77"/>
        <v>Marketplace</v>
      </c>
      <c r="S202" t="s">
        <v>724</v>
      </c>
      <c r="T202" t="str">
        <f t="shared" si="68"/>
        <v>M. Rossi</v>
      </c>
      <c r="U202" t="s">
        <v>728</v>
      </c>
      <c r="V202" t="str">
        <f t="shared" si="78"/>
        <v>High</v>
      </c>
      <c r="W202" t="s">
        <v>1262</v>
      </c>
      <c r="X202" t="str">
        <f t="shared" si="79"/>
        <v>A</v>
      </c>
      <c r="Y202" s="5">
        <v>1399.64</v>
      </c>
      <c r="Z202" s="5">
        <v>3342.11</v>
      </c>
      <c r="AA202" s="5">
        <f t="shared" si="80"/>
        <v>3342.11</v>
      </c>
      <c r="AB202" s="7">
        <v>0</v>
      </c>
      <c r="AC202" s="7">
        <f t="shared" si="81"/>
        <v>0</v>
      </c>
      <c r="AD202" s="16">
        <f t="shared" si="82"/>
        <v>0</v>
      </c>
      <c r="AE202" s="16">
        <v>10</v>
      </c>
      <c r="AF202" s="5">
        <f t="shared" si="83"/>
        <v>33421.1</v>
      </c>
      <c r="AG202">
        <f t="shared" si="84"/>
        <v>13996.400000000001</v>
      </c>
      <c r="AH202" s="5">
        <f t="shared" si="85"/>
        <v>19424.699999999997</v>
      </c>
      <c r="AI202" s="5">
        <f t="shared" si="86"/>
        <v>0.58121067229983447</v>
      </c>
      <c r="AJ202" s="5">
        <f t="shared" si="89"/>
        <v>7017813.1505299984</v>
      </c>
      <c r="AK202" s="7">
        <f t="shared" si="87"/>
        <v>0.64114397512733445</v>
      </c>
      <c r="AL202" s="17">
        <f>MIN(AC202,'What-If Analysis'!$B$2)</f>
        <v>0</v>
      </c>
      <c r="AM202">
        <f>AE202*(1+'What-If Analysis'!$B$3)</f>
        <v>13</v>
      </c>
      <c r="AN202">
        <f>Y202*(1+'What-If Analysis'!$B$4)</f>
        <v>1539.6040000000003</v>
      </c>
      <c r="AO202">
        <f t="shared" si="88"/>
        <v>43447.43</v>
      </c>
    </row>
    <row r="203" spans="1:41" x14ac:dyDescent="0.3">
      <c r="A203" t="s">
        <v>568</v>
      </c>
      <c r="B203" s="3">
        <v>45703</v>
      </c>
      <c r="C203" s="3">
        <f t="shared" si="69"/>
        <v>45703</v>
      </c>
      <c r="D203" s="3">
        <v>45717</v>
      </c>
      <c r="E203" s="3">
        <f t="shared" si="70"/>
        <v>45717</v>
      </c>
      <c r="F203" s="16">
        <f t="shared" si="71"/>
        <v>14</v>
      </c>
      <c r="G203" s="16">
        <f>IF(Data!F249&lt;=7,1,0)</f>
        <v>0</v>
      </c>
      <c r="H203" s="5" t="str">
        <f t="shared" si="72"/>
        <v>02-2025</v>
      </c>
      <c r="I203" s="5" t="str">
        <f t="shared" si="73"/>
        <v>Q1-2025</v>
      </c>
      <c r="J203" s="3">
        <f t="shared" si="74"/>
        <v>44946</v>
      </c>
      <c r="K203" s="5" t="str">
        <f t="shared" si="75"/>
        <v>01-2023</v>
      </c>
      <c r="L203" t="s">
        <v>646</v>
      </c>
      <c r="M203" t="s">
        <v>650</v>
      </c>
      <c r="N203" t="s">
        <v>675</v>
      </c>
      <c r="O203" t="str">
        <f t="shared" si="76"/>
        <v>Mombasa</v>
      </c>
      <c r="P203" t="s">
        <v>702</v>
      </c>
      <c r="Q203" t="s">
        <v>711</v>
      </c>
      <c r="R203" t="str">
        <f t="shared" si="77"/>
        <v>Direct</v>
      </c>
      <c r="S203" t="s">
        <v>716</v>
      </c>
      <c r="T203" t="str">
        <f t="shared" si="68"/>
        <v>L. Okafor</v>
      </c>
      <c r="U203" t="s">
        <v>733</v>
      </c>
      <c r="V203" t="str">
        <f t="shared" si="78"/>
        <v>Medium</v>
      </c>
      <c r="W203" t="s">
        <v>1286</v>
      </c>
      <c r="X203" t="str">
        <f t="shared" si="79"/>
        <v>A</v>
      </c>
      <c r="Y203" s="5">
        <v>1162.8599999999999</v>
      </c>
      <c r="Z203" s="5">
        <v>1447.68</v>
      </c>
      <c r="AA203" s="5">
        <f t="shared" si="80"/>
        <v>1447.68</v>
      </c>
      <c r="AB203" s="7">
        <v>8.6999999999999994E-2</v>
      </c>
      <c r="AC203" s="7">
        <f t="shared" si="81"/>
        <v>8.6999999999999994E-2</v>
      </c>
      <c r="AD203" s="16">
        <f t="shared" si="82"/>
        <v>0</v>
      </c>
      <c r="AE203" s="16">
        <v>12</v>
      </c>
      <c r="AF203" s="5">
        <f t="shared" si="83"/>
        <v>15860.782080000001</v>
      </c>
      <c r="AG203">
        <f t="shared" si="84"/>
        <v>13954.32</v>
      </c>
      <c r="AH203" s="5">
        <f t="shared" si="85"/>
        <v>1906.4620800000012</v>
      </c>
      <c r="AI203" s="5">
        <f t="shared" si="86"/>
        <v>0.12019975247021369</v>
      </c>
      <c r="AJ203" s="5">
        <f t="shared" si="89"/>
        <v>7033673.9326099986</v>
      </c>
      <c r="AK203" s="7">
        <f t="shared" si="87"/>
        <v>0.64259300841637712</v>
      </c>
      <c r="AL203" s="17">
        <f>MIN(AC203,'What-If Analysis'!$B$2)</f>
        <v>8.6999999999999994E-2</v>
      </c>
      <c r="AM203">
        <f>AE203*(1+'What-If Analysis'!$B$3)</f>
        <v>15.600000000000001</v>
      </c>
      <c r="AN203">
        <f>Y203*(1+'What-If Analysis'!$B$4)</f>
        <v>1279.146</v>
      </c>
      <c r="AO203">
        <f t="shared" si="88"/>
        <v>20619.016704000005</v>
      </c>
    </row>
    <row r="204" spans="1:41" x14ac:dyDescent="0.3">
      <c r="A204" t="s">
        <v>120</v>
      </c>
      <c r="B204" s="3">
        <v>45433</v>
      </c>
      <c r="C204" s="3">
        <f t="shared" si="69"/>
        <v>45433</v>
      </c>
      <c r="D204" s="3">
        <v>45439</v>
      </c>
      <c r="E204" s="3">
        <f t="shared" si="70"/>
        <v>45439</v>
      </c>
      <c r="F204" s="16">
        <f t="shared" si="71"/>
        <v>6</v>
      </c>
      <c r="G204" s="16">
        <f>IF(Data!F317&lt;=7,1,0)</f>
        <v>1</v>
      </c>
      <c r="H204" s="5" t="str">
        <f t="shared" si="72"/>
        <v>05-2024</v>
      </c>
      <c r="I204" s="5" t="str">
        <f t="shared" si="73"/>
        <v>Q2-2024</v>
      </c>
      <c r="J204" s="3">
        <f t="shared" si="74"/>
        <v>44933</v>
      </c>
      <c r="K204" s="5" t="str">
        <f t="shared" si="75"/>
        <v>01-2023</v>
      </c>
      <c r="L204" t="s">
        <v>646</v>
      </c>
      <c r="M204" t="s">
        <v>661</v>
      </c>
      <c r="N204" t="s">
        <v>682</v>
      </c>
      <c r="O204" t="str">
        <f t="shared" si="76"/>
        <v>Johannesburg</v>
      </c>
      <c r="P204" t="s">
        <v>703</v>
      </c>
      <c r="Q204" t="s">
        <v>708</v>
      </c>
      <c r="R204" t="str">
        <f t="shared" si="77"/>
        <v>Online</v>
      </c>
      <c r="S204" t="s">
        <v>724</v>
      </c>
      <c r="T204" t="str">
        <f t="shared" si="68"/>
        <v>M. Rossi</v>
      </c>
      <c r="U204" t="s">
        <v>727</v>
      </c>
      <c r="V204" t="str">
        <f t="shared" si="78"/>
        <v>Medium</v>
      </c>
      <c r="W204" t="s">
        <v>839</v>
      </c>
      <c r="X204" t="str">
        <f t="shared" si="79"/>
        <v>A</v>
      </c>
      <c r="Y204" s="5">
        <v>1157.51</v>
      </c>
      <c r="Z204" s="5">
        <v>1394.3</v>
      </c>
      <c r="AA204" s="5">
        <f t="shared" si="80"/>
        <v>1394.3</v>
      </c>
      <c r="AB204" s="7">
        <v>0.27800000000000002</v>
      </c>
      <c r="AC204" s="7">
        <f t="shared" si="81"/>
        <v>0.27800000000000002</v>
      </c>
      <c r="AD204" s="16">
        <f t="shared" si="82"/>
        <v>1</v>
      </c>
      <c r="AE204" s="16">
        <v>12</v>
      </c>
      <c r="AF204" s="5">
        <f t="shared" si="83"/>
        <v>12080.215199999999</v>
      </c>
      <c r="AG204">
        <f t="shared" si="84"/>
        <v>13890.119999999999</v>
      </c>
      <c r="AH204" s="5">
        <f t="shared" si="85"/>
        <v>1809.9048000000003</v>
      </c>
      <c r="AI204" s="5">
        <f t="shared" si="86"/>
        <v>0.14982388724333326</v>
      </c>
      <c r="AJ204" s="5">
        <f t="shared" si="89"/>
        <v>7045754.1478099991</v>
      </c>
      <c r="AK204" s="7">
        <f t="shared" si="87"/>
        <v>0.643696650965358</v>
      </c>
      <c r="AL204" s="17">
        <f>MIN(AC204,'What-If Analysis'!$B$2)</f>
        <v>0.2</v>
      </c>
      <c r="AM204">
        <f>AE204*(1+'What-If Analysis'!$B$3)</f>
        <v>15.600000000000001</v>
      </c>
      <c r="AN204">
        <f>Y204*(1+'What-If Analysis'!$B$4)</f>
        <v>1273.2610000000002</v>
      </c>
      <c r="AO204">
        <f t="shared" si="88"/>
        <v>17400.864000000001</v>
      </c>
    </row>
    <row r="205" spans="1:41" x14ac:dyDescent="0.3">
      <c r="A205" t="s">
        <v>229</v>
      </c>
      <c r="B205" s="3">
        <v>45351</v>
      </c>
      <c r="C205" s="3">
        <f t="shared" si="69"/>
        <v>45351</v>
      </c>
      <c r="D205" s="3">
        <v>45381</v>
      </c>
      <c r="E205" s="3">
        <f t="shared" si="70"/>
        <v>45381</v>
      </c>
      <c r="F205" s="16">
        <f t="shared" si="71"/>
        <v>30</v>
      </c>
      <c r="G205" s="16">
        <f>IF(Data!F260&lt;=7,1,0)</f>
        <v>0</v>
      </c>
      <c r="H205" s="5" t="str">
        <f t="shared" si="72"/>
        <v>02-2024</v>
      </c>
      <c r="I205" s="5" t="str">
        <f t="shared" si="73"/>
        <v>Q1-2024</v>
      </c>
      <c r="J205" s="3">
        <f t="shared" si="74"/>
        <v>44988</v>
      </c>
      <c r="K205" s="5" t="str">
        <f t="shared" si="75"/>
        <v>03-2023</v>
      </c>
      <c r="L205" t="s">
        <v>647</v>
      </c>
      <c r="M205" t="s">
        <v>652</v>
      </c>
      <c r="N205" t="s">
        <v>694</v>
      </c>
      <c r="O205" t="str">
        <f t="shared" si="76"/>
        <v>Nagoya</v>
      </c>
      <c r="P205" t="s">
        <v>705</v>
      </c>
      <c r="Q205" t="s">
        <v>711</v>
      </c>
      <c r="R205" t="str">
        <f t="shared" si="77"/>
        <v>Direct</v>
      </c>
      <c r="S205" t="s">
        <v>714</v>
      </c>
      <c r="T205" t="str">
        <f t="shared" si="68"/>
        <v>I. Johnson</v>
      </c>
      <c r="U205" t="s">
        <v>729</v>
      </c>
      <c r="V205" t="str">
        <f t="shared" si="78"/>
        <v>Low</v>
      </c>
      <c r="W205" t="s">
        <v>949</v>
      </c>
      <c r="X205" t="str">
        <f t="shared" si="79"/>
        <v>A</v>
      </c>
      <c r="Y205" s="5">
        <v>231.11</v>
      </c>
      <c r="Z205" s="5">
        <v>318.17</v>
      </c>
      <c r="AA205" s="5">
        <f t="shared" si="80"/>
        <v>318.17</v>
      </c>
      <c r="AB205" s="7">
        <v>0.20100000000000001</v>
      </c>
      <c r="AC205" s="7">
        <f t="shared" si="81"/>
        <v>0.20100000000000001</v>
      </c>
      <c r="AD205" s="16">
        <f t="shared" si="82"/>
        <v>1</v>
      </c>
      <c r="AE205" s="16">
        <v>60</v>
      </c>
      <c r="AF205" s="5">
        <f t="shared" si="83"/>
        <v>15253.069799999999</v>
      </c>
      <c r="AG205">
        <f t="shared" si="84"/>
        <v>13866.6</v>
      </c>
      <c r="AH205" s="5">
        <f t="shared" si="85"/>
        <v>1386.4697999999989</v>
      </c>
      <c r="AI205" s="5">
        <f t="shared" si="86"/>
        <v>9.0897754889969692E-2</v>
      </c>
      <c r="AJ205" s="5">
        <f t="shared" si="89"/>
        <v>7061007.2176099988</v>
      </c>
      <c r="AK205" s="7">
        <f t="shared" si="87"/>
        <v>0.64509016395789576</v>
      </c>
      <c r="AL205" s="17">
        <f>MIN(AC205,'What-If Analysis'!$B$2)</f>
        <v>0.2</v>
      </c>
      <c r="AM205">
        <f>AE205*(1+'What-If Analysis'!$B$3)</f>
        <v>78</v>
      </c>
      <c r="AN205">
        <f>Y205*(1+'What-If Analysis'!$B$4)</f>
        <v>254.22100000000003</v>
      </c>
      <c r="AO205">
        <f t="shared" si="88"/>
        <v>19853.808000000005</v>
      </c>
    </row>
    <row r="206" spans="1:41" x14ac:dyDescent="0.3">
      <c r="A206" t="s">
        <v>369</v>
      </c>
      <c r="B206" s="3">
        <v>45292</v>
      </c>
      <c r="C206" s="3">
        <f t="shared" si="69"/>
        <v>45292</v>
      </c>
      <c r="D206" s="3">
        <v>45318</v>
      </c>
      <c r="E206" s="3">
        <f t="shared" si="70"/>
        <v>45318</v>
      </c>
      <c r="F206" s="16">
        <f t="shared" si="71"/>
        <v>26</v>
      </c>
      <c r="G206" s="16">
        <f>IF(Data!F167&lt;=7,1,0)</f>
        <v>0</v>
      </c>
      <c r="H206" s="5" t="str">
        <f t="shared" si="72"/>
        <v>01-2024</v>
      </c>
      <c r="I206" s="5" t="str">
        <f t="shared" si="73"/>
        <v>Q1-2024</v>
      </c>
      <c r="J206" s="3">
        <f t="shared" si="74"/>
        <v>44945</v>
      </c>
      <c r="K206" s="5" t="str">
        <f t="shared" si="75"/>
        <v>01-2023</v>
      </c>
      <c r="L206" t="s">
        <v>649</v>
      </c>
      <c r="M206" t="s">
        <v>658</v>
      </c>
      <c r="N206" t="s">
        <v>693</v>
      </c>
      <c r="O206" t="str">
        <f t="shared" si="76"/>
        <v>Manchester</v>
      </c>
      <c r="P206" t="s">
        <v>702</v>
      </c>
      <c r="Q206" t="s">
        <v>710</v>
      </c>
      <c r="R206" t="str">
        <f t="shared" si="77"/>
        <v>Distributor</v>
      </c>
      <c r="S206" t="s">
        <v>726</v>
      </c>
      <c r="T206" t="str">
        <f t="shared" si="68"/>
        <v>D. Smith</v>
      </c>
      <c r="U206" t="s">
        <v>733</v>
      </c>
      <c r="V206" t="str">
        <f t="shared" si="78"/>
        <v>Medium</v>
      </c>
      <c r="W206" t="s">
        <v>1089</v>
      </c>
      <c r="X206" t="str">
        <f t="shared" si="79"/>
        <v>A</v>
      </c>
      <c r="Y206" s="5">
        <v>657.45</v>
      </c>
      <c r="Z206" s="5">
        <v>1325.96</v>
      </c>
      <c r="AA206" s="5">
        <f t="shared" si="80"/>
        <v>1325.96</v>
      </c>
      <c r="AB206" s="7">
        <v>0.16700000000000001</v>
      </c>
      <c r="AC206" s="7">
        <f t="shared" si="81"/>
        <v>0.16700000000000001</v>
      </c>
      <c r="AD206" s="16">
        <f t="shared" si="82"/>
        <v>0</v>
      </c>
      <c r="AE206" s="16">
        <v>21</v>
      </c>
      <c r="AF206" s="5">
        <f t="shared" si="83"/>
        <v>23195.01828</v>
      </c>
      <c r="AG206">
        <f t="shared" si="84"/>
        <v>13806.45</v>
      </c>
      <c r="AH206" s="5">
        <f t="shared" si="85"/>
        <v>9388.5682799999995</v>
      </c>
      <c r="AI206" s="5">
        <f t="shared" si="86"/>
        <v>0.40476658249048808</v>
      </c>
      <c r="AJ206" s="5">
        <f t="shared" si="89"/>
        <v>7084202.2358899992</v>
      </c>
      <c r="AK206" s="7">
        <f t="shared" si="87"/>
        <v>0.64720924947701763</v>
      </c>
      <c r="AL206" s="17">
        <f>MIN(AC206,'What-If Analysis'!$B$2)</f>
        <v>0.16700000000000001</v>
      </c>
      <c r="AM206">
        <f>AE206*(1+'What-If Analysis'!$B$3)</f>
        <v>27.3</v>
      </c>
      <c r="AN206">
        <f>Y206*(1+'What-If Analysis'!$B$4)</f>
        <v>723.19500000000016</v>
      </c>
      <c r="AO206">
        <f t="shared" si="88"/>
        <v>30153.523763999998</v>
      </c>
    </row>
    <row r="207" spans="1:41" x14ac:dyDescent="0.3">
      <c r="A207" t="s">
        <v>428</v>
      </c>
      <c r="B207" s="3">
        <v>45449</v>
      </c>
      <c r="C207" s="3">
        <f t="shared" si="69"/>
        <v>45449</v>
      </c>
      <c r="D207" s="3">
        <v>45467</v>
      </c>
      <c r="E207" s="3">
        <f t="shared" si="70"/>
        <v>45467</v>
      </c>
      <c r="F207" s="16">
        <f t="shared" si="71"/>
        <v>18</v>
      </c>
      <c r="G207" s="16">
        <f>IF(Data!F100&lt;=7,1,0)</f>
        <v>0</v>
      </c>
      <c r="H207" s="5" t="str">
        <f t="shared" si="72"/>
        <v>06-2024</v>
      </c>
      <c r="I207" s="5" t="str">
        <f t="shared" si="73"/>
        <v>Q2-2024</v>
      </c>
      <c r="J207" s="3">
        <f t="shared" si="74"/>
        <v>44955</v>
      </c>
      <c r="K207" s="5" t="str">
        <f t="shared" si="75"/>
        <v>01-2023</v>
      </c>
      <c r="L207" t="s">
        <v>647</v>
      </c>
      <c r="M207" t="s">
        <v>654</v>
      </c>
      <c r="N207" t="s">
        <v>668</v>
      </c>
      <c r="O207" t="str">
        <f t="shared" si="76"/>
        <v>Bengaluru</v>
      </c>
      <c r="P207" t="s">
        <v>705</v>
      </c>
      <c r="Q207" t="s">
        <v>711</v>
      </c>
      <c r="R207" t="str">
        <f t="shared" si="77"/>
        <v>Direct</v>
      </c>
      <c r="S207" t="s">
        <v>722</v>
      </c>
      <c r="T207" t="str">
        <f t="shared" si="68"/>
        <v>H. Kim</v>
      </c>
      <c r="U207" t="s">
        <v>729</v>
      </c>
      <c r="V207" t="str">
        <f t="shared" si="78"/>
        <v>High</v>
      </c>
      <c r="W207" t="s">
        <v>1147</v>
      </c>
      <c r="X207" t="str">
        <f t="shared" si="79"/>
        <v>A</v>
      </c>
      <c r="Y207" s="5">
        <v>1253.25</v>
      </c>
      <c r="Z207" s="5">
        <v>3087.13</v>
      </c>
      <c r="AA207" s="5">
        <f t="shared" si="80"/>
        <v>3087.13</v>
      </c>
      <c r="AB207" s="7">
        <v>7.1999999999999995E-2</v>
      </c>
      <c r="AC207" s="7">
        <f t="shared" si="81"/>
        <v>7.1999999999999995E-2</v>
      </c>
      <c r="AD207" s="16">
        <f t="shared" si="82"/>
        <v>0</v>
      </c>
      <c r="AE207" s="16">
        <v>11</v>
      </c>
      <c r="AF207" s="5">
        <f t="shared" si="83"/>
        <v>31513.423040000001</v>
      </c>
      <c r="AG207">
        <f t="shared" si="84"/>
        <v>13785.75</v>
      </c>
      <c r="AH207" s="5">
        <f t="shared" si="85"/>
        <v>17727.673040000001</v>
      </c>
      <c r="AI207" s="5">
        <f t="shared" si="86"/>
        <v>0.562543555408064</v>
      </c>
      <c r="AJ207" s="5">
        <f t="shared" si="89"/>
        <v>7115715.658929999</v>
      </c>
      <c r="AK207" s="7">
        <f t="shared" si="87"/>
        <v>0.65008830038423771</v>
      </c>
      <c r="AL207" s="17">
        <f>MIN(AC207,'What-If Analysis'!$B$2)</f>
        <v>7.1999999999999995E-2</v>
      </c>
      <c r="AM207">
        <f>AE207*(1+'What-If Analysis'!$B$3)</f>
        <v>14.3</v>
      </c>
      <c r="AN207">
        <f>Y207*(1+'What-If Analysis'!$B$4)</f>
        <v>1378.575</v>
      </c>
      <c r="AO207">
        <f t="shared" si="88"/>
        <v>40967.449952000003</v>
      </c>
    </row>
    <row r="208" spans="1:41" x14ac:dyDescent="0.3">
      <c r="A208" t="s">
        <v>222</v>
      </c>
      <c r="B208" s="3">
        <v>45545</v>
      </c>
      <c r="C208" s="3">
        <f t="shared" si="69"/>
        <v>45545</v>
      </c>
      <c r="D208" s="3">
        <v>45572</v>
      </c>
      <c r="E208" s="3">
        <f t="shared" si="70"/>
        <v>45572</v>
      </c>
      <c r="F208" s="16">
        <f t="shared" si="71"/>
        <v>27</v>
      </c>
      <c r="G208" s="16">
        <f>IF(Data!F250&lt;=7,1,0)</f>
        <v>0</v>
      </c>
      <c r="H208" s="5" t="str">
        <f t="shared" si="72"/>
        <v>09-2024</v>
      </c>
      <c r="I208" s="5" t="str">
        <f t="shared" si="73"/>
        <v>Q3-2024</v>
      </c>
      <c r="J208" s="3">
        <f t="shared" si="74"/>
        <v>44946</v>
      </c>
      <c r="K208" s="5" t="str">
        <f t="shared" si="75"/>
        <v>01-2023</v>
      </c>
      <c r="L208" t="s">
        <v>646</v>
      </c>
      <c r="M208" t="s">
        <v>650</v>
      </c>
      <c r="N208" t="s">
        <v>662</v>
      </c>
      <c r="O208" t="str">
        <f t="shared" si="76"/>
        <v>Kisumu</v>
      </c>
      <c r="P208" t="s">
        <v>704</v>
      </c>
      <c r="Q208" t="s">
        <v>707</v>
      </c>
      <c r="R208" t="str">
        <f t="shared" si="77"/>
        <v>Retail</v>
      </c>
      <c r="S208" t="s">
        <v>716</v>
      </c>
      <c r="T208" t="str">
        <f t="shared" si="68"/>
        <v>L. Okafor</v>
      </c>
      <c r="U208" t="s">
        <v>728</v>
      </c>
      <c r="V208" t="str">
        <f t="shared" si="78"/>
        <v>High</v>
      </c>
      <c r="W208" t="s">
        <v>942</v>
      </c>
      <c r="X208" t="str">
        <f t="shared" si="79"/>
        <v>A</v>
      </c>
      <c r="Y208" s="5">
        <v>1248.3900000000001</v>
      </c>
      <c r="Z208" s="5">
        <v>1805.11</v>
      </c>
      <c r="AA208" s="5">
        <f t="shared" si="80"/>
        <v>1805.11</v>
      </c>
      <c r="AB208" s="7">
        <v>0.20300000000000001</v>
      </c>
      <c r="AC208" s="7">
        <f t="shared" si="81"/>
        <v>0.20300000000000001</v>
      </c>
      <c r="AD208" s="16">
        <f t="shared" si="82"/>
        <v>1</v>
      </c>
      <c r="AE208" s="16">
        <v>11</v>
      </c>
      <c r="AF208" s="5">
        <f t="shared" si="83"/>
        <v>15825.399369999997</v>
      </c>
      <c r="AG208">
        <f t="shared" si="84"/>
        <v>13732.29</v>
      </c>
      <c r="AH208" s="5">
        <f t="shared" si="85"/>
        <v>2093.1093699999965</v>
      </c>
      <c r="AI208" s="5">
        <f t="shared" si="86"/>
        <v>0.13226265707820786</v>
      </c>
      <c r="AJ208" s="5">
        <f t="shared" si="89"/>
        <v>7131541.0582999988</v>
      </c>
      <c r="AK208" s="7">
        <f t="shared" si="87"/>
        <v>0.65153410112621002</v>
      </c>
      <c r="AL208" s="17">
        <f>MIN(AC208,'What-If Analysis'!$B$2)</f>
        <v>0.2</v>
      </c>
      <c r="AM208">
        <f>AE208*(1+'What-If Analysis'!$B$3)</f>
        <v>14.3</v>
      </c>
      <c r="AN208">
        <f>Y208*(1+'What-If Analysis'!$B$4)</f>
        <v>1373.2290000000003</v>
      </c>
      <c r="AO208">
        <f t="shared" si="88"/>
        <v>20650.458400000003</v>
      </c>
    </row>
    <row r="209" spans="1:41" x14ac:dyDescent="0.3">
      <c r="A209" t="s">
        <v>122</v>
      </c>
      <c r="B209" s="3">
        <v>45518</v>
      </c>
      <c r="C209" s="3">
        <f t="shared" si="69"/>
        <v>45518</v>
      </c>
      <c r="D209" s="3">
        <v>45539</v>
      </c>
      <c r="E209" s="3">
        <f t="shared" si="70"/>
        <v>45539</v>
      </c>
      <c r="F209" s="16">
        <f t="shared" si="71"/>
        <v>21</v>
      </c>
      <c r="G209" s="16">
        <f>IF(Data!F164&lt;=7,1,0)</f>
        <v>0</v>
      </c>
      <c r="H209" s="5" t="str">
        <f t="shared" si="72"/>
        <v>08-2024</v>
      </c>
      <c r="I209" s="5" t="str">
        <f t="shared" si="73"/>
        <v>Q3-2024</v>
      </c>
      <c r="J209" s="3">
        <f t="shared" si="74"/>
        <v>44945</v>
      </c>
      <c r="K209" s="5" t="str">
        <f t="shared" si="75"/>
        <v>01-2023</v>
      </c>
      <c r="L209" t="s">
        <v>649</v>
      </c>
      <c r="M209" t="s">
        <v>658</v>
      </c>
      <c r="N209" t="s">
        <v>693</v>
      </c>
      <c r="O209" t="str">
        <f t="shared" si="76"/>
        <v>Manchester</v>
      </c>
      <c r="P209" t="s">
        <v>703</v>
      </c>
      <c r="Q209" t="s">
        <v>708</v>
      </c>
      <c r="R209" t="str">
        <f t="shared" si="77"/>
        <v>Online</v>
      </c>
      <c r="S209" t="s">
        <v>713</v>
      </c>
      <c r="T209" t="str">
        <f t="shared" ref="T209:T272" si="90">IF(S209="",_xlfn.XLOOKUP(L209,L:L,S:S),S209)</f>
        <v>J. Njeri</v>
      </c>
      <c r="U209" t="s">
        <v>730</v>
      </c>
      <c r="V209" t="str">
        <f t="shared" si="78"/>
        <v>High</v>
      </c>
      <c r="W209" t="s">
        <v>841</v>
      </c>
      <c r="X209" t="str">
        <f t="shared" si="79"/>
        <v>A</v>
      </c>
      <c r="Y209" s="5">
        <v>1138.8</v>
      </c>
      <c r="Z209" s="5">
        <v>2250.81</v>
      </c>
      <c r="AA209" s="5">
        <f t="shared" si="80"/>
        <v>2250.81</v>
      </c>
      <c r="AB209" s="7">
        <v>0.123</v>
      </c>
      <c r="AC209" s="7">
        <f t="shared" si="81"/>
        <v>0.123</v>
      </c>
      <c r="AD209" s="16">
        <f t="shared" si="82"/>
        <v>0</v>
      </c>
      <c r="AE209" s="16">
        <v>12</v>
      </c>
      <c r="AF209" s="5">
        <f t="shared" si="83"/>
        <v>23687.524440000001</v>
      </c>
      <c r="AG209">
        <f t="shared" si="84"/>
        <v>13665.599999999999</v>
      </c>
      <c r="AH209" s="5">
        <f t="shared" si="85"/>
        <v>10021.924440000003</v>
      </c>
      <c r="AI209" s="5">
        <f t="shared" si="86"/>
        <v>0.42308872188756258</v>
      </c>
      <c r="AJ209" s="5">
        <f t="shared" si="89"/>
        <v>7155228.5827399986</v>
      </c>
      <c r="AK209" s="7">
        <f t="shared" si="87"/>
        <v>0.65369818176709182</v>
      </c>
      <c r="AL209" s="17">
        <f>MIN(AC209,'What-If Analysis'!$B$2)</f>
        <v>0.123</v>
      </c>
      <c r="AM209">
        <f>AE209*(1+'What-If Analysis'!$B$3)</f>
        <v>15.600000000000001</v>
      </c>
      <c r="AN209">
        <f>Y209*(1+'What-If Analysis'!$B$4)</f>
        <v>1252.68</v>
      </c>
      <c r="AO209">
        <f t="shared" si="88"/>
        <v>30793.781772000006</v>
      </c>
    </row>
    <row r="210" spans="1:41" x14ac:dyDescent="0.3">
      <c r="A210" t="s">
        <v>101</v>
      </c>
      <c r="B210" s="3">
        <v>45388</v>
      </c>
      <c r="C210" s="3">
        <f t="shared" si="69"/>
        <v>45388</v>
      </c>
      <c r="D210" s="3">
        <v>45407</v>
      </c>
      <c r="E210" s="3">
        <f t="shared" si="70"/>
        <v>45407</v>
      </c>
      <c r="F210" s="16">
        <f t="shared" si="71"/>
        <v>19</v>
      </c>
      <c r="G210" s="16">
        <f>IF(Data!F278&lt;=7,1,0)</f>
        <v>0</v>
      </c>
      <c r="H210" s="5" t="str">
        <f t="shared" si="72"/>
        <v>04-2024</v>
      </c>
      <c r="I210" s="5" t="str">
        <f t="shared" si="73"/>
        <v>Q2-2024</v>
      </c>
      <c r="J210" s="3">
        <f t="shared" si="74"/>
        <v>44938</v>
      </c>
      <c r="K210" s="5" t="str">
        <f t="shared" si="75"/>
        <v>01-2023</v>
      </c>
      <c r="L210" t="s">
        <v>647</v>
      </c>
      <c r="M210" t="s">
        <v>659</v>
      </c>
      <c r="N210" t="s">
        <v>685</v>
      </c>
      <c r="O210" t="str">
        <f t="shared" si="76"/>
        <v>Shanghai</v>
      </c>
      <c r="P210" t="s">
        <v>701</v>
      </c>
      <c r="Q210" t="s">
        <v>707</v>
      </c>
      <c r="R210" t="str">
        <f t="shared" si="77"/>
        <v>Retail</v>
      </c>
      <c r="S210" t="s">
        <v>723</v>
      </c>
      <c r="T210" t="str">
        <f t="shared" si="90"/>
        <v>K. Singh</v>
      </c>
      <c r="U210" t="s">
        <v>727</v>
      </c>
      <c r="V210" t="str">
        <f t="shared" si="78"/>
        <v>High</v>
      </c>
      <c r="W210" t="s">
        <v>820</v>
      </c>
      <c r="X210" t="str">
        <f t="shared" si="79"/>
        <v>A</v>
      </c>
      <c r="Y210" s="5">
        <v>1366.48</v>
      </c>
      <c r="Z210" s="5">
        <v>1678.14</v>
      </c>
      <c r="AA210" s="5">
        <f t="shared" si="80"/>
        <v>1678.14</v>
      </c>
      <c r="AB210" s="7">
        <v>0.154</v>
      </c>
      <c r="AC210" s="7">
        <f t="shared" si="81"/>
        <v>0.154</v>
      </c>
      <c r="AD210" s="16">
        <f t="shared" si="82"/>
        <v>0</v>
      </c>
      <c r="AE210" s="16">
        <v>10</v>
      </c>
      <c r="AF210" s="5">
        <f t="shared" si="83"/>
        <v>14197.064400000001</v>
      </c>
      <c r="AG210">
        <f t="shared" si="84"/>
        <v>13664.8</v>
      </c>
      <c r="AH210" s="5">
        <f t="shared" si="85"/>
        <v>532.26440000000184</v>
      </c>
      <c r="AI210" s="5">
        <f t="shared" si="86"/>
        <v>3.7491159087790132E-2</v>
      </c>
      <c r="AJ210" s="5">
        <f t="shared" si="89"/>
        <v>7169425.6471399982</v>
      </c>
      <c r="AK210" s="7">
        <f t="shared" si="87"/>
        <v>0.65499521862306265</v>
      </c>
      <c r="AL210" s="17">
        <f>MIN(AC210,'What-If Analysis'!$B$2)</f>
        <v>0.154</v>
      </c>
      <c r="AM210">
        <f>AE210*(1+'What-If Analysis'!$B$3)</f>
        <v>13</v>
      </c>
      <c r="AN210">
        <f>Y210*(1+'What-If Analysis'!$B$4)</f>
        <v>1503.1280000000002</v>
      </c>
      <c r="AO210">
        <f t="shared" si="88"/>
        <v>18456.183720000001</v>
      </c>
    </row>
    <row r="211" spans="1:41" x14ac:dyDescent="0.3">
      <c r="A211" t="s">
        <v>430</v>
      </c>
      <c r="B211" s="3">
        <v>45626</v>
      </c>
      <c r="C211" s="3">
        <f t="shared" si="69"/>
        <v>45626</v>
      </c>
      <c r="D211" s="3">
        <v>45636</v>
      </c>
      <c r="E211" s="3">
        <f t="shared" si="70"/>
        <v>45636</v>
      </c>
      <c r="F211" s="16">
        <f t="shared" si="71"/>
        <v>10</v>
      </c>
      <c r="G211" s="16">
        <f>IF(Data!F340&lt;=7,1,0)</f>
        <v>1</v>
      </c>
      <c r="H211" s="5" t="str">
        <f t="shared" si="72"/>
        <v>11-2024</v>
      </c>
      <c r="I211" s="5" t="str">
        <f t="shared" si="73"/>
        <v>Q4-2024</v>
      </c>
      <c r="J211" s="3">
        <f t="shared" si="74"/>
        <v>44955</v>
      </c>
      <c r="K211" s="5" t="str">
        <f t="shared" si="75"/>
        <v>01-2023</v>
      </c>
      <c r="L211" t="s">
        <v>647</v>
      </c>
      <c r="M211" t="s">
        <v>654</v>
      </c>
      <c r="N211" t="s">
        <v>696</v>
      </c>
      <c r="O211" t="str">
        <f t="shared" si="76"/>
        <v>Hyderabad</v>
      </c>
      <c r="P211" t="s">
        <v>705</v>
      </c>
      <c r="Q211" t="s">
        <v>707</v>
      </c>
      <c r="R211" t="str">
        <f t="shared" si="77"/>
        <v>Retail</v>
      </c>
      <c r="S211" t="s">
        <v>721</v>
      </c>
      <c r="T211" t="str">
        <f t="shared" si="90"/>
        <v>F. Müller</v>
      </c>
      <c r="U211" t="s">
        <v>733</v>
      </c>
      <c r="V211" t="str">
        <f t="shared" si="78"/>
        <v>Medium</v>
      </c>
      <c r="W211" t="s">
        <v>1149</v>
      </c>
      <c r="X211" t="str">
        <f t="shared" si="79"/>
        <v>A</v>
      </c>
      <c r="Y211" s="5">
        <v>851.49</v>
      </c>
      <c r="Z211" s="5">
        <v>901.79</v>
      </c>
      <c r="AA211" s="5">
        <f t="shared" si="80"/>
        <v>901.79</v>
      </c>
      <c r="AB211" s="7">
        <v>0.245</v>
      </c>
      <c r="AC211" s="7">
        <f t="shared" si="81"/>
        <v>0.245</v>
      </c>
      <c r="AD211" s="16">
        <f t="shared" si="82"/>
        <v>1</v>
      </c>
      <c r="AE211" s="16">
        <v>16</v>
      </c>
      <c r="AF211" s="5">
        <f t="shared" si="83"/>
        <v>10893.6232</v>
      </c>
      <c r="AG211">
        <f t="shared" si="84"/>
        <v>13623.84</v>
      </c>
      <c r="AH211" s="5">
        <f t="shared" si="85"/>
        <v>2730.2168000000001</v>
      </c>
      <c r="AI211" s="5">
        <f t="shared" si="86"/>
        <v>0.25062522816100341</v>
      </c>
      <c r="AJ211" s="5">
        <f t="shared" si="89"/>
        <v>7180319.2703399984</v>
      </c>
      <c r="AK211" s="7">
        <f t="shared" si="87"/>
        <v>0.65599045470760564</v>
      </c>
      <c r="AL211" s="17">
        <f>MIN(AC211,'What-If Analysis'!$B$2)</f>
        <v>0.2</v>
      </c>
      <c r="AM211">
        <f>AE211*(1+'What-If Analysis'!$B$3)</f>
        <v>20.8</v>
      </c>
      <c r="AN211">
        <f>Y211*(1+'What-If Analysis'!$B$4)</f>
        <v>936.63900000000012</v>
      </c>
      <c r="AO211">
        <f t="shared" si="88"/>
        <v>15005.785600000001</v>
      </c>
    </row>
    <row r="212" spans="1:41" x14ac:dyDescent="0.3">
      <c r="A212" t="s">
        <v>172</v>
      </c>
      <c r="B212" s="3">
        <v>45531</v>
      </c>
      <c r="C212" s="3">
        <f t="shared" si="69"/>
        <v>45531</v>
      </c>
      <c r="D212" s="3">
        <v>45553</v>
      </c>
      <c r="E212" s="3">
        <f t="shared" si="70"/>
        <v>45553</v>
      </c>
      <c r="F212" s="16">
        <f t="shared" si="71"/>
        <v>22</v>
      </c>
      <c r="G212" s="16">
        <f>IF(Data!F161&lt;=7,1,0)</f>
        <v>0</v>
      </c>
      <c r="H212" s="5" t="str">
        <f t="shared" si="72"/>
        <v>08-2024</v>
      </c>
      <c r="I212" s="5" t="str">
        <f t="shared" si="73"/>
        <v>Q3-2024</v>
      </c>
      <c r="J212" s="3">
        <f t="shared" si="74"/>
        <v>44955</v>
      </c>
      <c r="K212" s="5" t="str">
        <f t="shared" si="75"/>
        <v>01-2023</v>
      </c>
      <c r="L212" t="s">
        <v>647</v>
      </c>
      <c r="M212" t="s">
        <v>654</v>
      </c>
      <c r="N212" t="s">
        <v>680</v>
      </c>
      <c r="O212" t="str">
        <f t="shared" si="76"/>
        <v>Delhi</v>
      </c>
      <c r="P212" t="s">
        <v>704</v>
      </c>
      <c r="Q212" t="s">
        <v>711</v>
      </c>
      <c r="R212" t="str">
        <f t="shared" si="77"/>
        <v>Direct</v>
      </c>
      <c r="S212" t="s">
        <v>717</v>
      </c>
      <c r="T212" t="str">
        <f t="shared" si="90"/>
        <v>B. Chen</v>
      </c>
      <c r="U212" t="s">
        <v>727</v>
      </c>
      <c r="V212" t="str">
        <f t="shared" si="78"/>
        <v>High</v>
      </c>
      <c r="W212" t="s">
        <v>891</v>
      </c>
      <c r="X212" t="str">
        <f t="shared" si="79"/>
        <v>A</v>
      </c>
      <c r="Y212" s="5">
        <v>896.75</v>
      </c>
      <c r="Z212" s="5">
        <v>1651.14</v>
      </c>
      <c r="AA212" s="5">
        <f t="shared" si="80"/>
        <v>1651.14</v>
      </c>
      <c r="AB212" s="7">
        <v>2.5000000000000001E-2</v>
      </c>
      <c r="AC212" s="7">
        <f t="shared" si="81"/>
        <v>2.5000000000000001E-2</v>
      </c>
      <c r="AD212" s="16">
        <f t="shared" si="82"/>
        <v>0</v>
      </c>
      <c r="AE212" s="16">
        <v>15</v>
      </c>
      <c r="AF212" s="5">
        <f t="shared" si="83"/>
        <v>24147.922500000001</v>
      </c>
      <c r="AG212">
        <f t="shared" si="84"/>
        <v>13451.25</v>
      </c>
      <c r="AH212" s="5">
        <f t="shared" si="85"/>
        <v>10696.672500000001</v>
      </c>
      <c r="AI212" s="5">
        <f t="shared" si="86"/>
        <v>0.44296450346815552</v>
      </c>
      <c r="AJ212" s="5">
        <f t="shared" si="89"/>
        <v>7204467.1928399988</v>
      </c>
      <c r="AK212" s="7">
        <f t="shared" si="87"/>
        <v>0.65819659708994416</v>
      </c>
      <c r="AL212" s="17">
        <f>MIN(AC212,'What-If Analysis'!$B$2)</f>
        <v>2.5000000000000001E-2</v>
      </c>
      <c r="AM212">
        <f>AE212*(1+'What-If Analysis'!$B$3)</f>
        <v>19.5</v>
      </c>
      <c r="AN212">
        <f>Y212*(1+'What-If Analysis'!$B$4)</f>
        <v>986.42500000000007</v>
      </c>
      <c r="AO212">
        <f t="shared" si="88"/>
        <v>31392.299250000004</v>
      </c>
    </row>
    <row r="213" spans="1:41" x14ac:dyDescent="0.3">
      <c r="A213" t="s">
        <v>274</v>
      </c>
      <c r="B213" s="3">
        <v>45066</v>
      </c>
      <c r="C213" s="3">
        <f t="shared" si="69"/>
        <v>45066</v>
      </c>
      <c r="D213" s="3">
        <v>45084</v>
      </c>
      <c r="E213" s="3">
        <f t="shared" si="70"/>
        <v>45084</v>
      </c>
      <c r="F213" s="16">
        <f t="shared" si="71"/>
        <v>18</v>
      </c>
      <c r="G213" s="16">
        <f>IF(Data!F170&lt;=7,1,0)</f>
        <v>0</v>
      </c>
      <c r="H213" s="5" t="str">
        <f t="shared" si="72"/>
        <v>05-2023</v>
      </c>
      <c r="I213" s="5" t="str">
        <f t="shared" si="73"/>
        <v>Q2-2023</v>
      </c>
      <c r="J213" s="3">
        <f t="shared" si="74"/>
        <v>44939</v>
      </c>
      <c r="K213" s="5" t="str">
        <f t="shared" si="75"/>
        <v>01-2023</v>
      </c>
      <c r="L213" t="s">
        <v>646</v>
      </c>
      <c r="M213" t="s">
        <v>651</v>
      </c>
      <c r="N213" t="s">
        <v>663</v>
      </c>
      <c r="O213" t="str">
        <f t="shared" si="76"/>
        <v>Port Harcourt</v>
      </c>
      <c r="P213" t="s">
        <v>706</v>
      </c>
      <c r="Q213" t="s">
        <v>710</v>
      </c>
      <c r="R213" t="str">
        <f t="shared" si="77"/>
        <v>Distributor</v>
      </c>
      <c r="S213" t="s">
        <v>718</v>
      </c>
      <c r="T213" t="str">
        <f t="shared" si="90"/>
        <v>E. Garcia</v>
      </c>
      <c r="U213" t="s">
        <v>727</v>
      </c>
      <c r="V213" t="str">
        <f t="shared" si="78"/>
        <v>High</v>
      </c>
      <c r="W213" t="s">
        <v>994</v>
      </c>
      <c r="X213" t="str">
        <f t="shared" si="79"/>
        <v>A</v>
      </c>
      <c r="Y213" s="5">
        <v>1120.06</v>
      </c>
      <c r="Z213" s="5">
        <v>2068.21</v>
      </c>
      <c r="AA213" s="5">
        <f t="shared" si="80"/>
        <v>2068.21</v>
      </c>
      <c r="AB213" s="7">
        <v>7.8E-2</v>
      </c>
      <c r="AC213" s="7">
        <f t="shared" si="81"/>
        <v>7.8E-2</v>
      </c>
      <c r="AD213" s="16">
        <f t="shared" si="82"/>
        <v>0</v>
      </c>
      <c r="AE213" s="16">
        <v>12</v>
      </c>
      <c r="AF213" s="5">
        <f t="shared" si="83"/>
        <v>22882.675440000003</v>
      </c>
      <c r="AG213">
        <f t="shared" si="84"/>
        <v>13440.72</v>
      </c>
      <c r="AH213" s="5">
        <f t="shared" si="85"/>
        <v>9441.9554400000034</v>
      </c>
      <c r="AI213" s="5">
        <f t="shared" si="86"/>
        <v>0.41262462795303284</v>
      </c>
      <c r="AJ213" s="5">
        <f t="shared" si="89"/>
        <v>7227349.8682799991</v>
      </c>
      <c r="AK213" s="7">
        <f t="shared" si="87"/>
        <v>0.66028714712005465</v>
      </c>
      <c r="AL213" s="17">
        <f>MIN(AC213,'What-If Analysis'!$B$2)</f>
        <v>7.8E-2</v>
      </c>
      <c r="AM213">
        <f>AE213*(1+'What-If Analysis'!$B$3)</f>
        <v>15.600000000000001</v>
      </c>
      <c r="AN213">
        <f>Y213*(1+'What-If Analysis'!$B$4)</f>
        <v>1232.066</v>
      </c>
      <c r="AO213">
        <f t="shared" si="88"/>
        <v>29747.478072000005</v>
      </c>
    </row>
    <row r="214" spans="1:41" x14ac:dyDescent="0.3">
      <c r="A214" t="s">
        <v>463</v>
      </c>
      <c r="B214" s="3">
        <v>45454</v>
      </c>
      <c r="C214" s="3">
        <f t="shared" si="69"/>
        <v>45454</v>
      </c>
      <c r="D214" s="3">
        <v>45482</v>
      </c>
      <c r="E214" s="3">
        <f t="shared" si="70"/>
        <v>45482</v>
      </c>
      <c r="F214" s="16">
        <f t="shared" si="71"/>
        <v>28</v>
      </c>
      <c r="G214" s="16">
        <f>IF(Data!F310&lt;=7,1,0)</f>
        <v>0</v>
      </c>
      <c r="H214" s="5" t="str">
        <f t="shared" si="72"/>
        <v>06-2024</v>
      </c>
      <c r="I214" s="5" t="str">
        <f t="shared" si="73"/>
        <v>Q2-2024</v>
      </c>
      <c r="J214" s="3">
        <f t="shared" si="74"/>
        <v>44939</v>
      </c>
      <c r="K214" s="5" t="str">
        <f t="shared" si="75"/>
        <v>01-2023</v>
      </c>
      <c r="L214" t="s">
        <v>646</v>
      </c>
      <c r="M214" t="s">
        <v>651</v>
      </c>
      <c r="N214" t="s">
        <v>663</v>
      </c>
      <c r="O214" t="str">
        <f t="shared" si="76"/>
        <v>Port Harcourt</v>
      </c>
      <c r="P214" t="s">
        <v>701</v>
      </c>
      <c r="Q214" t="s">
        <v>709</v>
      </c>
      <c r="R214" t="str">
        <f t="shared" si="77"/>
        <v>Marketplace</v>
      </c>
      <c r="S214" t="s">
        <v>714</v>
      </c>
      <c r="T214" t="str">
        <f t="shared" si="90"/>
        <v>I. Johnson</v>
      </c>
      <c r="U214" t="s">
        <v>730</v>
      </c>
      <c r="V214" t="str">
        <f t="shared" si="78"/>
        <v>Medium</v>
      </c>
      <c r="W214" t="s">
        <v>1182</v>
      </c>
      <c r="X214" t="str">
        <f t="shared" si="79"/>
        <v>A</v>
      </c>
      <c r="Y214" s="5">
        <v>895.54</v>
      </c>
      <c r="Z214" s="5">
        <v>1045</v>
      </c>
      <c r="AA214" s="5">
        <f t="shared" si="80"/>
        <v>1045</v>
      </c>
      <c r="AB214" s="7">
        <v>0.216</v>
      </c>
      <c r="AC214" s="7">
        <f t="shared" si="81"/>
        <v>0.216</v>
      </c>
      <c r="AD214" s="16">
        <f t="shared" si="82"/>
        <v>1</v>
      </c>
      <c r="AE214" s="16">
        <v>15</v>
      </c>
      <c r="AF214" s="5">
        <f t="shared" si="83"/>
        <v>12289.2</v>
      </c>
      <c r="AG214">
        <f t="shared" si="84"/>
        <v>13433.099999999999</v>
      </c>
      <c r="AH214" s="5">
        <f t="shared" si="85"/>
        <v>1143.8999999999978</v>
      </c>
      <c r="AI214" s="5">
        <f t="shared" si="86"/>
        <v>9.3081730299775234E-2</v>
      </c>
      <c r="AJ214" s="5">
        <f t="shared" si="89"/>
        <v>7239639.0682799993</v>
      </c>
      <c r="AK214" s="7">
        <f t="shared" si="87"/>
        <v>0.66140988241809262</v>
      </c>
      <c r="AL214" s="17">
        <f>MIN(AC214,'What-If Analysis'!$B$2)</f>
        <v>0.2</v>
      </c>
      <c r="AM214">
        <f>AE214*(1+'What-If Analysis'!$B$3)</f>
        <v>19.5</v>
      </c>
      <c r="AN214">
        <f>Y214*(1+'What-If Analysis'!$B$4)</f>
        <v>985.09400000000005</v>
      </c>
      <c r="AO214">
        <f t="shared" si="88"/>
        <v>16302</v>
      </c>
    </row>
    <row r="215" spans="1:41" x14ac:dyDescent="0.3">
      <c r="A215" t="s">
        <v>221</v>
      </c>
      <c r="B215" s="3">
        <v>45678</v>
      </c>
      <c r="C215" s="3">
        <f t="shared" si="69"/>
        <v>45678</v>
      </c>
      <c r="D215" s="3">
        <v>45702</v>
      </c>
      <c r="E215" s="3">
        <f t="shared" si="70"/>
        <v>45702</v>
      </c>
      <c r="F215" s="16">
        <f t="shared" si="71"/>
        <v>24</v>
      </c>
      <c r="G215" s="16">
        <f>IF(Data!F120&lt;=7,1,0)</f>
        <v>0</v>
      </c>
      <c r="H215" s="5" t="str">
        <f t="shared" si="72"/>
        <v>01-2025</v>
      </c>
      <c r="I215" s="5" t="str">
        <f t="shared" si="73"/>
        <v>Q1-2025</v>
      </c>
      <c r="J215" s="3">
        <f t="shared" si="74"/>
        <v>44946</v>
      </c>
      <c r="K215" s="5" t="str">
        <f t="shared" si="75"/>
        <v>01-2023</v>
      </c>
      <c r="L215" t="s">
        <v>646</v>
      </c>
      <c r="M215" t="s">
        <v>650</v>
      </c>
      <c r="N215" t="s">
        <v>664</v>
      </c>
      <c r="O215" t="str">
        <f t="shared" si="76"/>
        <v>Nairobi</v>
      </c>
      <c r="P215" t="s">
        <v>705</v>
      </c>
      <c r="Q215" t="s">
        <v>707</v>
      </c>
      <c r="R215" t="str">
        <f t="shared" si="77"/>
        <v>Retail</v>
      </c>
      <c r="S215" t="s">
        <v>713</v>
      </c>
      <c r="T215" t="str">
        <f t="shared" si="90"/>
        <v>J. Njeri</v>
      </c>
      <c r="U215" t="s">
        <v>733</v>
      </c>
      <c r="V215" t="str">
        <f t="shared" si="78"/>
        <v>High</v>
      </c>
      <c r="W215" t="s">
        <v>941</v>
      </c>
      <c r="X215" t="str">
        <f t="shared" si="79"/>
        <v>A</v>
      </c>
      <c r="Y215" s="5">
        <v>1030.44</v>
      </c>
      <c r="Z215" s="5">
        <v>2562.84</v>
      </c>
      <c r="AA215" s="5">
        <f t="shared" si="80"/>
        <v>2562.84</v>
      </c>
      <c r="AB215" s="7">
        <v>0.14799999999999999</v>
      </c>
      <c r="AC215" s="7">
        <f t="shared" si="81"/>
        <v>0.14799999999999999</v>
      </c>
      <c r="AD215" s="16">
        <f t="shared" si="82"/>
        <v>0</v>
      </c>
      <c r="AE215" s="16">
        <v>13</v>
      </c>
      <c r="AF215" s="5">
        <f t="shared" si="83"/>
        <v>28386.015839999996</v>
      </c>
      <c r="AG215">
        <f t="shared" si="84"/>
        <v>13395.720000000001</v>
      </c>
      <c r="AH215" s="5">
        <f t="shared" si="85"/>
        <v>14990.295839999995</v>
      </c>
      <c r="AI215" s="5">
        <f t="shared" si="86"/>
        <v>0.52808734852027039</v>
      </c>
      <c r="AJ215" s="5">
        <f t="shared" si="89"/>
        <v>7268025.0841199988</v>
      </c>
      <c r="AK215" s="7">
        <f t="shared" si="87"/>
        <v>0.66400321493397907</v>
      </c>
      <c r="AL215" s="17">
        <f>MIN(AC215,'What-If Analysis'!$B$2)</f>
        <v>0.14799999999999999</v>
      </c>
      <c r="AM215">
        <f>AE215*(1+'What-If Analysis'!$B$3)</f>
        <v>16.900000000000002</v>
      </c>
      <c r="AN215">
        <f>Y215*(1+'What-If Analysis'!$B$4)</f>
        <v>1133.4840000000002</v>
      </c>
      <c r="AO215">
        <f t="shared" si="88"/>
        <v>36901.820592000004</v>
      </c>
    </row>
    <row r="216" spans="1:41" x14ac:dyDescent="0.3">
      <c r="A216" t="s">
        <v>385</v>
      </c>
      <c r="B216" s="3">
        <v>44962</v>
      </c>
      <c r="C216" s="3">
        <f t="shared" si="69"/>
        <v>44962</v>
      </c>
      <c r="D216" s="3">
        <v>44985</v>
      </c>
      <c r="E216" s="3">
        <f t="shared" si="70"/>
        <v>44985</v>
      </c>
      <c r="F216" s="16">
        <f t="shared" si="71"/>
        <v>23</v>
      </c>
      <c r="G216" s="16">
        <f>IF(Data!F235&lt;=7,1,0)</f>
        <v>1</v>
      </c>
      <c r="H216" s="5" t="str">
        <f t="shared" si="72"/>
        <v>02-2023</v>
      </c>
      <c r="I216" s="5" t="str">
        <f t="shared" si="73"/>
        <v>Q1-2023</v>
      </c>
      <c r="J216" s="3">
        <f t="shared" si="74"/>
        <v>44939</v>
      </c>
      <c r="K216" s="5" t="str">
        <f t="shared" si="75"/>
        <v>01-2023</v>
      </c>
      <c r="L216" t="s">
        <v>648</v>
      </c>
      <c r="M216" t="s">
        <v>660</v>
      </c>
      <c r="N216" t="s">
        <v>697</v>
      </c>
      <c r="O216" t="str">
        <f t="shared" si="76"/>
        <v>Austin</v>
      </c>
      <c r="P216" t="s">
        <v>703</v>
      </c>
      <c r="Q216" t="s">
        <v>710</v>
      </c>
      <c r="R216" t="str">
        <f t="shared" si="77"/>
        <v>Distributor</v>
      </c>
      <c r="S216" t="s">
        <v>716</v>
      </c>
      <c r="T216" t="str">
        <f t="shared" si="90"/>
        <v>L. Okafor</v>
      </c>
      <c r="U216" t="s">
        <v>730</v>
      </c>
      <c r="V216" t="str">
        <f t="shared" si="78"/>
        <v>Medium</v>
      </c>
      <c r="W216" t="s">
        <v>1105</v>
      </c>
      <c r="X216" t="str">
        <f t="shared" si="79"/>
        <v>A</v>
      </c>
      <c r="Y216" s="5">
        <v>1214.49</v>
      </c>
      <c r="Z216" s="5">
        <v>1533.95</v>
      </c>
      <c r="AA216" s="5">
        <f t="shared" si="80"/>
        <v>1533.95</v>
      </c>
      <c r="AB216" s="7">
        <v>0</v>
      </c>
      <c r="AC216" s="7">
        <f t="shared" si="81"/>
        <v>0</v>
      </c>
      <c r="AD216" s="16">
        <f t="shared" si="82"/>
        <v>0</v>
      </c>
      <c r="AE216" s="16">
        <v>11</v>
      </c>
      <c r="AF216" s="5">
        <f t="shared" si="83"/>
        <v>16873.45</v>
      </c>
      <c r="AG216">
        <f t="shared" si="84"/>
        <v>13359.39</v>
      </c>
      <c r="AH216" s="5">
        <f t="shared" si="85"/>
        <v>3514.0600000000013</v>
      </c>
      <c r="AI216" s="5">
        <f t="shared" si="86"/>
        <v>0.20825972163369086</v>
      </c>
      <c r="AJ216" s="5">
        <f t="shared" si="89"/>
        <v>7284898.534119999</v>
      </c>
      <c r="AK216" s="7">
        <f t="shared" si="87"/>
        <v>0.66554476506862403</v>
      </c>
      <c r="AL216" s="17">
        <f>MIN(AC216,'What-If Analysis'!$B$2)</f>
        <v>0</v>
      </c>
      <c r="AM216">
        <f>AE216*(1+'What-If Analysis'!$B$3)</f>
        <v>14.3</v>
      </c>
      <c r="AN216">
        <f>Y216*(1+'What-If Analysis'!$B$4)</f>
        <v>1335.9390000000001</v>
      </c>
      <c r="AO216">
        <f t="shared" si="88"/>
        <v>21935.485000000001</v>
      </c>
    </row>
    <row r="217" spans="1:41" x14ac:dyDescent="0.3">
      <c r="A217" t="s">
        <v>182</v>
      </c>
      <c r="B217" s="3">
        <v>45435</v>
      </c>
      <c r="C217" s="3">
        <f t="shared" si="69"/>
        <v>45435</v>
      </c>
      <c r="D217" s="3">
        <v>45457</v>
      </c>
      <c r="E217" s="3">
        <f t="shared" si="70"/>
        <v>45457</v>
      </c>
      <c r="F217" s="16">
        <f t="shared" si="71"/>
        <v>22</v>
      </c>
      <c r="G217" s="16">
        <f>IF(Data!F308&lt;=7,1,0)</f>
        <v>0</v>
      </c>
      <c r="H217" s="5" t="str">
        <f t="shared" si="72"/>
        <v>05-2024</v>
      </c>
      <c r="I217" s="5" t="str">
        <f t="shared" si="73"/>
        <v>Q2-2024</v>
      </c>
      <c r="J217" s="3">
        <f t="shared" si="74"/>
        <v>44936</v>
      </c>
      <c r="K217" s="5" t="str">
        <f t="shared" si="75"/>
        <v>01-2023</v>
      </c>
      <c r="L217" t="s">
        <v>649</v>
      </c>
      <c r="M217" t="s">
        <v>657</v>
      </c>
      <c r="N217" t="s">
        <v>673</v>
      </c>
      <c r="O217" t="str">
        <f t="shared" si="76"/>
        <v>Marseille</v>
      </c>
      <c r="P217" t="s">
        <v>705</v>
      </c>
      <c r="Q217" t="s">
        <v>708</v>
      </c>
      <c r="R217" t="str">
        <f t="shared" si="77"/>
        <v>Online</v>
      </c>
      <c r="S217" t="s">
        <v>725</v>
      </c>
      <c r="T217" t="str">
        <f t="shared" si="90"/>
        <v>N. Brown</v>
      </c>
      <c r="U217" t="s">
        <v>732</v>
      </c>
      <c r="V217" t="str">
        <f t="shared" si="78"/>
        <v>High</v>
      </c>
      <c r="W217" t="s">
        <v>901</v>
      </c>
      <c r="X217" t="str">
        <f t="shared" si="79"/>
        <v>A</v>
      </c>
      <c r="Y217" s="5">
        <v>1481.74</v>
      </c>
      <c r="Z217" s="5">
        <v>1848.97</v>
      </c>
      <c r="AA217" s="5">
        <f t="shared" si="80"/>
        <v>1848.97</v>
      </c>
      <c r="AB217" s="7">
        <v>0.254</v>
      </c>
      <c r="AC217" s="7">
        <f t="shared" si="81"/>
        <v>0.254</v>
      </c>
      <c r="AD217" s="16">
        <f t="shared" si="82"/>
        <v>1</v>
      </c>
      <c r="AE217" s="16">
        <v>9</v>
      </c>
      <c r="AF217" s="5">
        <f t="shared" si="83"/>
        <v>12413.98458</v>
      </c>
      <c r="AG217">
        <f t="shared" si="84"/>
        <v>13335.66</v>
      </c>
      <c r="AH217" s="5">
        <f t="shared" si="85"/>
        <v>921.67541999999958</v>
      </c>
      <c r="AI217" s="5">
        <f t="shared" si="86"/>
        <v>7.4244930309072407E-2</v>
      </c>
      <c r="AJ217" s="5">
        <f t="shared" si="89"/>
        <v>7297312.518699999</v>
      </c>
      <c r="AK217" s="7">
        <f t="shared" si="87"/>
        <v>0.66667890062482493</v>
      </c>
      <c r="AL217" s="17">
        <f>MIN(AC217,'What-If Analysis'!$B$2)</f>
        <v>0.2</v>
      </c>
      <c r="AM217">
        <f>AE217*(1+'What-If Analysis'!$B$3)</f>
        <v>11.700000000000001</v>
      </c>
      <c r="AN217">
        <f>Y217*(1+'What-If Analysis'!$B$4)</f>
        <v>1629.9140000000002</v>
      </c>
      <c r="AO217">
        <f t="shared" si="88"/>
        <v>17306.359200000003</v>
      </c>
    </row>
    <row r="218" spans="1:41" x14ac:dyDescent="0.3">
      <c r="A218" t="s">
        <v>140</v>
      </c>
      <c r="B218" s="3">
        <v>45150</v>
      </c>
      <c r="C218" s="3">
        <f t="shared" si="69"/>
        <v>45150</v>
      </c>
      <c r="D218" s="3">
        <v>45175</v>
      </c>
      <c r="E218" s="3">
        <f t="shared" si="70"/>
        <v>45175</v>
      </c>
      <c r="F218" s="16">
        <f t="shared" si="71"/>
        <v>25</v>
      </c>
      <c r="G218" s="16">
        <f>IF(Data!F386&lt;=7,1,0)</f>
        <v>0</v>
      </c>
      <c r="H218" s="5" t="str">
        <f t="shared" si="72"/>
        <v>08-2023</v>
      </c>
      <c r="I218" s="5" t="str">
        <f t="shared" si="73"/>
        <v>Q3-2023</v>
      </c>
      <c r="J218" s="3">
        <f t="shared" si="74"/>
        <v>44938</v>
      </c>
      <c r="K218" s="5" t="str">
        <f t="shared" si="75"/>
        <v>01-2023</v>
      </c>
      <c r="L218" t="s">
        <v>647</v>
      </c>
      <c r="M218" t="s">
        <v>659</v>
      </c>
      <c r="N218" t="s">
        <v>685</v>
      </c>
      <c r="O218" t="str">
        <f t="shared" si="76"/>
        <v>Shanghai</v>
      </c>
      <c r="P218" t="s">
        <v>705</v>
      </c>
      <c r="Q218" t="s">
        <v>707</v>
      </c>
      <c r="R218" t="str">
        <f t="shared" si="77"/>
        <v>Retail</v>
      </c>
      <c r="S218" t="s">
        <v>717</v>
      </c>
      <c r="T218" t="str">
        <f t="shared" si="90"/>
        <v>B. Chen</v>
      </c>
      <c r="U218" t="s">
        <v>727</v>
      </c>
      <c r="V218" t="str">
        <f t="shared" si="78"/>
        <v>Low</v>
      </c>
      <c r="W218" t="s">
        <v>859</v>
      </c>
      <c r="X218" t="str">
        <f t="shared" si="79"/>
        <v>A</v>
      </c>
      <c r="Y218" s="5">
        <v>950.77</v>
      </c>
      <c r="Z218" s="5">
        <v>694.78</v>
      </c>
      <c r="AA218" s="5">
        <f t="shared" si="80"/>
        <v>694.78</v>
      </c>
      <c r="AB218" s="7">
        <v>8.4000000000000005E-2</v>
      </c>
      <c r="AC218" s="7">
        <f t="shared" si="81"/>
        <v>8.4000000000000005E-2</v>
      </c>
      <c r="AD218" s="16">
        <f t="shared" si="82"/>
        <v>0</v>
      </c>
      <c r="AE218" s="16">
        <v>14</v>
      </c>
      <c r="AF218" s="5">
        <f t="shared" si="83"/>
        <v>8909.8587200000002</v>
      </c>
      <c r="AG218">
        <f t="shared" si="84"/>
        <v>13310.779999999999</v>
      </c>
      <c r="AH218" s="5">
        <f t="shared" si="85"/>
        <v>4400.9212799999987</v>
      </c>
      <c r="AI218" s="5">
        <f t="shared" si="86"/>
        <v>0.49393839097821279</v>
      </c>
      <c r="AJ218" s="5">
        <f t="shared" si="89"/>
        <v>7306222.3774199989</v>
      </c>
      <c r="AK218" s="7">
        <f t="shared" si="87"/>
        <v>0.66749290095726932</v>
      </c>
      <c r="AL218" s="17">
        <f>MIN(AC218,'What-If Analysis'!$B$2)</f>
        <v>8.4000000000000005E-2</v>
      </c>
      <c r="AM218">
        <f>AE218*(1+'What-If Analysis'!$B$3)</f>
        <v>18.2</v>
      </c>
      <c r="AN218">
        <f>Y218*(1+'What-If Analysis'!$B$4)</f>
        <v>1045.847</v>
      </c>
      <c r="AO218">
        <f t="shared" si="88"/>
        <v>11582.816336</v>
      </c>
    </row>
    <row r="219" spans="1:41" x14ac:dyDescent="0.3">
      <c r="A219" t="s">
        <v>620</v>
      </c>
      <c r="B219" s="3">
        <v>45038</v>
      </c>
      <c r="C219" s="3">
        <f t="shared" si="69"/>
        <v>45038</v>
      </c>
      <c r="D219" s="3">
        <v>45060</v>
      </c>
      <c r="E219" s="3">
        <f t="shared" si="70"/>
        <v>45060</v>
      </c>
      <c r="F219" s="16">
        <f t="shared" si="71"/>
        <v>22</v>
      </c>
      <c r="G219" s="16">
        <f>IF(Data!F283&lt;=7,1,0)</f>
        <v>0</v>
      </c>
      <c r="H219" s="5" t="str">
        <f t="shared" si="72"/>
        <v>04-2023</v>
      </c>
      <c r="I219" s="5" t="str">
        <f t="shared" si="73"/>
        <v>Q2-2023</v>
      </c>
      <c r="J219" s="3">
        <f t="shared" si="74"/>
        <v>44988</v>
      </c>
      <c r="K219" s="5" t="str">
        <f t="shared" si="75"/>
        <v>03-2023</v>
      </c>
      <c r="L219" t="s">
        <v>647</v>
      </c>
      <c r="M219" t="s">
        <v>652</v>
      </c>
      <c r="N219" t="s">
        <v>694</v>
      </c>
      <c r="O219" t="str">
        <f t="shared" si="76"/>
        <v>Nagoya</v>
      </c>
      <c r="P219" t="s">
        <v>706</v>
      </c>
      <c r="Q219" t="s">
        <v>707</v>
      </c>
      <c r="R219" t="str">
        <f t="shared" si="77"/>
        <v>Retail</v>
      </c>
      <c r="S219" t="s">
        <v>720</v>
      </c>
      <c r="T219" t="str">
        <f t="shared" si="90"/>
        <v>A. Patel</v>
      </c>
      <c r="U219" t="s">
        <v>733</v>
      </c>
      <c r="V219" t="str">
        <f t="shared" si="78"/>
        <v>Medium</v>
      </c>
      <c r="W219" t="s">
        <v>1338</v>
      </c>
      <c r="X219" t="str">
        <f t="shared" si="79"/>
        <v>A</v>
      </c>
      <c r="Y219" s="5">
        <v>1209.22</v>
      </c>
      <c r="Z219" s="5">
        <v>1404.33</v>
      </c>
      <c r="AA219" s="5">
        <f t="shared" si="80"/>
        <v>1404.33</v>
      </c>
      <c r="AB219" s="7">
        <v>0.10299999999999999</v>
      </c>
      <c r="AC219" s="7">
        <f t="shared" si="81"/>
        <v>0.10299999999999999</v>
      </c>
      <c r="AD219" s="16">
        <f t="shared" si="82"/>
        <v>0</v>
      </c>
      <c r="AE219" s="16">
        <v>11</v>
      </c>
      <c r="AF219" s="5">
        <f t="shared" si="83"/>
        <v>13856.52411</v>
      </c>
      <c r="AG219">
        <f t="shared" si="84"/>
        <v>13301.42</v>
      </c>
      <c r="AH219" s="5">
        <f t="shared" si="85"/>
        <v>555.10411000000022</v>
      </c>
      <c r="AI219" s="5">
        <f t="shared" si="86"/>
        <v>4.0060848275751328E-2</v>
      </c>
      <c r="AJ219" s="5">
        <f t="shared" si="89"/>
        <v>7320078.9015299985</v>
      </c>
      <c r="AK219" s="7">
        <f t="shared" si="87"/>
        <v>0.66875882621899585</v>
      </c>
      <c r="AL219" s="17">
        <f>MIN(AC219,'What-If Analysis'!$B$2)</f>
        <v>0.10299999999999999</v>
      </c>
      <c r="AM219">
        <f>AE219*(1+'What-If Analysis'!$B$3)</f>
        <v>14.3</v>
      </c>
      <c r="AN219">
        <f>Y219*(1+'What-If Analysis'!$B$4)</f>
        <v>1330.1420000000001</v>
      </c>
      <c r="AO219">
        <f t="shared" si="88"/>
        <v>18013.481343000003</v>
      </c>
    </row>
    <row r="220" spans="1:41" x14ac:dyDescent="0.3">
      <c r="A220" t="s">
        <v>270</v>
      </c>
      <c r="B220" s="3">
        <v>45204</v>
      </c>
      <c r="C220" s="3">
        <f t="shared" si="69"/>
        <v>45204</v>
      </c>
      <c r="D220" s="3">
        <v>45205</v>
      </c>
      <c r="E220" s="3">
        <f t="shared" si="70"/>
        <v>45205</v>
      </c>
      <c r="F220" s="16">
        <f t="shared" si="71"/>
        <v>1</v>
      </c>
      <c r="G220" s="16">
        <f>IF(Data!F211&lt;=7,1,0)</f>
        <v>0</v>
      </c>
      <c r="H220" s="5" t="str">
        <f t="shared" si="72"/>
        <v>10-2023</v>
      </c>
      <c r="I220" s="5" t="str">
        <f t="shared" si="73"/>
        <v>Q4-2023</v>
      </c>
      <c r="J220" s="3">
        <f t="shared" si="74"/>
        <v>44955</v>
      </c>
      <c r="K220" s="5" t="str">
        <f t="shared" si="75"/>
        <v>01-2023</v>
      </c>
      <c r="L220" t="s">
        <v>647</v>
      </c>
      <c r="M220" t="s">
        <v>654</v>
      </c>
      <c r="N220" t="s">
        <v>668</v>
      </c>
      <c r="O220" t="str">
        <f t="shared" si="76"/>
        <v>Bengaluru</v>
      </c>
      <c r="P220" t="s">
        <v>703</v>
      </c>
      <c r="Q220" t="s">
        <v>708</v>
      </c>
      <c r="R220" t="str">
        <f t="shared" si="77"/>
        <v>Online</v>
      </c>
      <c r="S220" t="s">
        <v>714</v>
      </c>
      <c r="T220" t="str">
        <f t="shared" si="90"/>
        <v>I. Johnson</v>
      </c>
      <c r="U220" t="s">
        <v>727</v>
      </c>
      <c r="V220" t="str">
        <f t="shared" si="78"/>
        <v>High</v>
      </c>
      <c r="W220" t="s">
        <v>990</v>
      </c>
      <c r="X220" t="str">
        <f t="shared" si="79"/>
        <v>A</v>
      </c>
      <c r="Y220" s="5">
        <v>1470.26</v>
      </c>
      <c r="Z220" s="5">
        <v>2562.5500000000002</v>
      </c>
      <c r="AA220" s="5">
        <f t="shared" si="80"/>
        <v>2562.5500000000002</v>
      </c>
      <c r="AB220" s="7">
        <v>0.17299999999999999</v>
      </c>
      <c r="AC220" s="7">
        <f t="shared" si="81"/>
        <v>0.17299999999999999</v>
      </c>
      <c r="AD220" s="16">
        <f t="shared" si="82"/>
        <v>0</v>
      </c>
      <c r="AE220" s="16">
        <v>9</v>
      </c>
      <c r="AF220" s="5">
        <f t="shared" si="83"/>
        <v>19073.059649999999</v>
      </c>
      <c r="AG220">
        <f t="shared" si="84"/>
        <v>13232.34</v>
      </c>
      <c r="AH220" s="5">
        <f t="shared" si="85"/>
        <v>5840.7196499999991</v>
      </c>
      <c r="AI220" s="5">
        <f t="shared" si="86"/>
        <v>0.30622877279157462</v>
      </c>
      <c r="AJ220" s="5">
        <f t="shared" si="89"/>
        <v>7339151.9611799987</v>
      </c>
      <c r="AK220" s="7">
        <f t="shared" si="87"/>
        <v>0.67050133161484249</v>
      </c>
      <c r="AL220" s="17">
        <f>MIN(AC220,'What-If Analysis'!$B$2)</f>
        <v>0.17299999999999999</v>
      </c>
      <c r="AM220">
        <f>AE220*(1+'What-If Analysis'!$B$3)</f>
        <v>11.700000000000001</v>
      </c>
      <c r="AN220">
        <f>Y220*(1+'What-If Analysis'!$B$4)</f>
        <v>1617.2860000000001</v>
      </c>
      <c r="AO220">
        <f t="shared" si="88"/>
        <v>24794.977545000005</v>
      </c>
    </row>
    <row r="221" spans="1:41" x14ac:dyDescent="0.3">
      <c r="A221" t="s">
        <v>621</v>
      </c>
      <c r="B221" s="3">
        <v>45827</v>
      </c>
      <c r="C221" s="3">
        <f t="shared" si="69"/>
        <v>45827</v>
      </c>
      <c r="D221" s="3">
        <v>45829</v>
      </c>
      <c r="E221" s="3">
        <f t="shared" si="70"/>
        <v>45829</v>
      </c>
      <c r="F221" s="16">
        <f t="shared" si="71"/>
        <v>2</v>
      </c>
      <c r="G221" s="16">
        <f>IF(Data!F118&lt;=7,1,0)</f>
        <v>0</v>
      </c>
      <c r="H221" s="5" t="str">
        <f t="shared" si="72"/>
        <v>06-2025</v>
      </c>
      <c r="I221" s="5" t="str">
        <f t="shared" si="73"/>
        <v>Q2-2025</v>
      </c>
      <c r="J221" s="3">
        <f t="shared" si="74"/>
        <v>44933</v>
      </c>
      <c r="K221" s="5" t="str">
        <f t="shared" si="75"/>
        <v>01-2023</v>
      </c>
      <c r="L221" t="s">
        <v>646</v>
      </c>
      <c r="M221" t="s">
        <v>661</v>
      </c>
      <c r="N221" t="s">
        <v>682</v>
      </c>
      <c r="O221" t="str">
        <f t="shared" si="76"/>
        <v>Johannesburg</v>
      </c>
      <c r="P221" t="s">
        <v>705</v>
      </c>
      <c r="R221" t="str">
        <f t="shared" si="77"/>
        <v>Direct</v>
      </c>
      <c r="S221" t="s">
        <v>722</v>
      </c>
      <c r="T221" t="str">
        <f t="shared" si="90"/>
        <v>H. Kim</v>
      </c>
      <c r="U221" t="s">
        <v>730</v>
      </c>
      <c r="V221" t="str">
        <f t="shared" si="78"/>
        <v>High</v>
      </c>
      <c r="W221" t="s">
        <v>1339</v>
      </c>
      <c r="X221" t="str">
        <f t="shared" si="79"/>
        <v>A</v>
      </c>
      <c r="Y221" s="5">
        <v>1466.27</v>
      </c>
      <c r="Z221" s="5">
        <v>3589.89</v>
      </c>
      <c r="AA221" s="5">
        <f t="shared" si="80"/>
        <v>3589.89</v>
      </c>
      <c r="AB221" s="7">
        <v>9.7000000000000003E-2</v>
      </c>
      <c r="AC221" s="7">
        <f t="shared" si="81"/>
        <v>9.7000000000000003E-2</v>
      </c>
      <c r="AD221" s="16">
        <f t="shared" si="82"/>
        <v>0</v>
      </c>
      <c r="AE221" s="16">
        <v>9</v>
      </c>
      <c r="AF221" s="5">
        <f t="shared" si="83"/>
        <v>29175.036029999999</v>
      </c>
      <c r="AG221">
        <f t="shared" si="84"/>
        <v>13196.43</v>
      </c>
      <c r="AH221" s="5">
        <f t="shared" si="85"/>
        <v>15978.606029999999</v>
      </c>
      <c r="AI221" s="5">
        <f t="shared" si="86"/>
        <v>0.54768076425234147</v>
      </c>
      <c r="AJ221" s="5">
        <f t="shared" si="89"/>
        <v>7368326.9972099988</v>
      </c>
      <c r="AK221" s="7">
        <f t="shared" si="87"/>
        <v>0.67316674862916481</v>
      </c>
      <c r="AL221" s="17">
        <f>MIN(AC221,'What-If Analysis'!$B$2)</f>
        <v>9.7000000000000003E-2</v>
      </c>
      <c r="AM221">
        <f>AE221*(1+'What-If Analysis'!$B$3)</f>
        <v>11.700000000000001</v>
      </c>
      <c r="AN221">
        <f>Y221*(1+'What-If Analysis'!$B$4)</f>
        <v>1612.8970000000002</v>
      </c>
      <c r="AO221">
        <f t="shared" si="88"/>
        <v>37927.546839000002</v>
      </c>
    </row>
    <row r="222" spans="1:41" x14ac:dyDescent="0.3">
      <c r="A222" t="s">
        <v>106</v>
      </c>
      <c r="B222" s="3">
        <v>45817</v>
      </c>
      <c r="C222" s="3">
        <f t="shared" si="69"/>
        <v>45817</v>
      </c>
      <c r="D222" s="3">
        <v>45833</v>
      </c>
      <c r="E222" s="3">
        <f t="shared" si="70"/>
        <v>45833</v>
      </c>
      <c r="F222" s="16">
        <f t="shared" si="71"/>
        <v>16</v>
      </c>
      <c r="G222" s="16">
        <f>IF(Data!F208&lt;=7,1,0)</f>
        <v>0</v>
      </c>
      <c r="H222" s="5" t="str">
        <f t="shared" si="72"/>
        <v>06-2025</v>
      </c>
      <c r="I222" s="5" t="str">
        <f t="shared" si="73"/>
        <v>Q2-2025</v>
      </c>
      <c r="J222" s="3">
        <f t="shared" si="74"/>
        <v>44955</v>
      </c>
      <c r="K222" s="5" t="str">
        <f t="shared" si="75"/>
        <v>01-2023</v>
      </c>
      <c r="L222" t="s">
        <v>647</v>
      </c>
      <c r="M222" t="s">
        <v>654</v>
      </c>
      <c r="N222" t="s">
        <v>696</v>
      </c>
      <c r="O222" t="str">
        <f t="shared" si="76"/>
        <v>Hyderabad</v>
      </c>
      <c r="P222" t="s">
        <v>706</v>
      </c>
      <c r="Q222" t="s">
        <v>710</v>
      </c>
      <c r="R222" t="str">
        <f t="shared" si="77"/>
        <v>Distributor</v>
      </c>
      <c r="S222" t="s">
        <v>724</v>
      </c>
      <c r="T222" t="str">
        <f t="shared" si="90"/>
        <v>M. Rossi</v>
      </c>
      <c r="U222" t="s">
        <v>730</v>
      </c>
      <c r="V222" t="str">
        <f t="shared" si="78"/>
        <v>Medium</v>
      </c>
      <c r="W222" t="s">
        <v>825</v>
      </c>
      <c r="X222" t="str">
        <f t="shared" si="79"/>
        <v>A</v>
      </c>
      <c r="Y222" s="5">
        <v>527.33000000000004</v>
      </c>
      <c r="Z222" s="5">
        <v>911.72</v>
      </c>
      <c r="AA222" s="5">
        <f t="shared" si="80"/>
        <v>911.72</v>
      </c>
      <c r="AB222" s="7">
        <v>0.14399999999999999</v>
      </c>
      <c r="AC222" s="7">
        <f t="shared" si="81"/>
        <v>0.14399999999999999</v>
      </c>
      <c r="AD222" s="16">
        <f t="shared" si="82"/>
        <v>0</v>
      </c>
      <c r="AE222" s="16">
        <v>25</v>
      </c>
      <c r="AF222" s="5">
        <f t="shared" si="83"/>
        <v>19510.808000000001</v>
      </c>
      <c r="AG222">
        <f t="shared" si="84"/>
        <v>13183.250000000002</v>
      </c>
      <c r="AH222" s="5">
        <f t="shared" si="85"/>
        <v>6327.5579999999991</v>
      </c>
      <c r="AI222" s="5">
        <f t="shared" si="86"/>
        <v>0.32431040272652978</v>
      </c>
      <c r="AJ222" s="5">
        <f t="shared" si="89"/>
        <v>7387837.805209999</v>
      </c>
      <c r="AK222" s="7">
        <f t="shared" si="87"/>
        <v>0.67494924650004662</v>
      </c>
      <c r="AL222" s="17">
        <f>MIN(AC222,'What-If Analysis'!$B$2)</f>
        <v>0.14399999999999999</v>
      </c>
      <c r="AM222">
        <f>AE222*(1+'What-If Analysis'!$B$3)</f>
        <v>32.5</v>
      </c>
      <c r="AN222">
        <f>Y222*(1+'What-If Analysis'!$B$4)</f>
        <v>580.0630000000001</v>
      </c>
      <c r="AO222">
        <f t="shared" si="88"/>
        <v>25364.0504</v>
      </c>
    </row>
    <row r="223" spans="1:41" x14ac:dyDescent="0.3">
      <c r="A223" t="s">
        <v>248</v>
      </c>
      <c r="B223" s="3">
        <v>44999</v>
      </c>
      <c r="C223" s="3">
        <f t="shared" si="69"/>
        <v>44999</v>
      </c>
      <c r="D223" s="3">
        <v>45015</v>
      </c>
      <c r="E223" s="3">
        <f t="shared" si="70"/>
        <v>45015</v>
      </c>
      <c r="F223" s="16">
        <f t="shared" si="71"/>
        <v>16</v>
      </c>
      <c r="G223" s="16">
        <f>IF(Data!F276&lt;=7,1,0)</f>
        <v>0</v>
      </c>
      <c r="H223" s="5" t="str">
        <f t="shared" si="72"/>
        <v>03-2023</v>
      </c>
      <c r="I223" s="5" t="str">
        <f t="shared" si="73"/>
        <v>Q1-2023</v>
      </c>
      <c r="J223" s="3">
        <f t="shared" si="74"/>
        <v>44933</v>
      </c>
      <c r="K223" s="5" t="str">
        <f t="shared" si="75"/>
        <v>01-2023</v>
      </c>
      <c r="L223" t="s">
        <v>646</v>
      </c>
      <c r="M223" t="s">
        <v>661</v>
      </c>
      <c r="N223" t="s">
        <v>695</v>
      </c>
      <c r="O223" t="str">
        <f t="shared" si="76"/>
        <v>Cape Town</v>
      </c>
      <c r="P223" t="s">
        <v>704</v>
      </c>
      <c r="Q223" t="s">
        <v>710</v>
      </c>
      <c r="R223" t="str">
        <f t="shared" si="77"/>
        <v>Distributor</v>
      </c>
      <c r="S223" t="s">
        <v>723</v>
      </c>
      <c r="T223" t="str">
        <f t="shared" si="90"/>
        <v>K. Singh</v>
      </c>
      <c r="U223" t="s">
        <v>727</v>
      </c>
      <c r="V223" t="str">
        <f t="shared" si="78"/>
        <v>Medium</v>
      </c>
      <c r="W223" t="s">
        <v>968</v>
      </c>
      <c r="X223" t="str">
        <f t="shared" si="79"/>
        <v>A</v>
      </c>
      <c r="Y223" s="5">
        <v>1309.77</v>
      </c>
      <c r="Z223" s="5">
        <v>1589.07</v>
      </c>
      <c r="AA223" s="5">
        <f t="shared" si="80"/>
        <v>1589.07</v>
      </c>
      <c r="AB223" s="7">
        <v>0.10199999999999999</v>
      </c>
      <c r="AC223" s="7">
        <f t="shared" si="81"/>
        <v>0.10199999999999999</v>
      </c>
      <c r="AD223" s="16">
        <f t="shared" si="82"/>
        <v>0</v>
      </c>
      <c r="AE223" s="16">
        <v>10</v>
      </c>
      <c r="AF223" s="5">
        <f t="shared" si="83"/>
        <v>14269.848599999999</v>
      </c>
      <c r="AG223">
        <f t="shared" si="84"/>
        <v>13097.7</v>
      </c>
      <c r="AH223" s="5">
        <f t="shared" si="85"/>
        <v>1172.1485999999986</v>
      </c>
      <c r="AI223" s="5">
        <f t="shared" si="86"/>
        <v>8.2141628328137886E-2</v>
      </c>
      <c r="AJ223" s="5">
        <f t="shared" si="89"/>
        <v>7402107.6538099991</v>
      </c>
      <c r="AK223" s="7">
        <f t="shared" si="87"/>
        <v>0.67625293288491117</v>
      </c>
      <c r="AL223" s="17">
        <f>MIN(AC223,'What-If Analysis'!$B$2)</f>
        <v>0.10199999999999999</v>
      </c>
      <c r="AM223">
        <f>AE223*(1+'What-If Analysis'!$B$3)</f>
        <v>13</v>
      </c>
      <c r="AN223">
        <f>Y223*(1+'What-If Analysis'!$B$4)</f>
        <v>1440.7470000000001</v>
      </c>
      <c r="AO223">
        <f t="shared" si="88"/>
        <v>18550.803179999999</v>
      </c>
    </row>
    <row r="224" spans="1:41" x14ac:dyDescent="0.3">
      <c r="A224" t="s">
        <v>100</v>
      </c>
      <c r="B224" s="3">
        <v>45282</v>
      </c>
      <c r="C224" s="3">
        <f t="shared" si="69"/>
        <v>45282</v>
      </c>
      <c r="D224" s="3">
        <v>45283</v>
      </c>
      <c r="E224" s="3">
        <f t="shared" si="70"/>
        <v>45283</v>
      </c>
      <c r="F224" s="16">
        <f t="shared" si="71"/>
        <v>1</v>
      </c>
      <c r="G224" s="16">
        <f>IF(Data!F295&lt;=7,1,0)</f>
        <v>0</v>
      </c>
      <c r="H224" s="5" t="str">
        <f t="shared" si="72"/>
        <v>12-2023</v>
      </c>
      <c r="I224" s="5" t="str">
        <f t="shared" si="73"/>
        <v>Q4-2023</v>
      </c>
      <c r="J224" s="3">
        <f t="shared" si="74"/>
        <v>44933</v>
      </c>
      <c r="K224" s="5" t="str">
        <f t="shared" si="75"/>
        <v>01-2023</v>
      </c>
      <c r="L224" t="s">
        <v>646</v>
      </c>
      <c r="M224" t="s">
        <v>661</v>
      </c>
      <c r="N224" t="s">
        <v>695</v>
      </c>
      <c r="O224" t="str">
        <f t="shared" si="76"/>
        <v>Cape Town</v>
      </c>
      <c r="P224" t="s">
        <v>703</v>
      </c>
      <c r="Q224" t="s">
        <v>709</v>
      </c>
      <c r="R224" t="str">
        <f t="shared" si="77"/>
        <v>Marketplace</v>
      </c>
      <c r="S224" t="s">
        <v>726</v>
      </c>
      <c r="T224" t="str">
        <f t="shared" si="90"/>
        <v>D. Smith</v>
      </c>
      <c r="U224" t="s">
        <v>727</v>
      </c>
      <c r="V224" t="str">
        <f t="shared" si="78"/>
        <v>Medium</v>
      </c>
      <c r="W224" t="s">
        <v>819</v>
      </c>
      <c r="X224" t="str">
        <f t="shared" si="79"/>
        <v>A</v>
      </c>
      <c r="Y224" s="5">
        <v>1186.18</v>
      </c>
      <c r="Z224" s="5">
        <v>1285.0899999999999</v>
      </c>
      <c r="AA224" s="5">
        <f t="shared" si="80"/>
        <v>1285.0899999999999</v>
      </c>
      <c r="AB224" s="7">
        <v>7.0000000000000007E-2</v>
      </c>
      <c r="AC224" s="7">
        <f t="shared" si="81"/>
        <v>7.0000000000000007E-2</v>
      </c>
      <c r="AD224" s="16">
        <f t="shared" si="82"/>
        <v>0</v>
      </c>
      <c r="AE224" s="16">
        <v>11</v>
      </c>
      <c r="AF224" s="5">
        <f t="shared" si="83"/>
        <v>13146.470699999998</v>
      </c>
      <c r="AG224">
        <f t="shared" si="84"/>
        <v>13047.980000000001</v>
      </c>
      <c r="AH224" s="5">
        <f t="shared" si="85"/>
        <v>98.49069999999665</v>
      </c>
      <c r="AI224" s="5">
        <f t="shared" si="86"/>
        <v>7.4917977796121861E-3</v>
      </c>
      <c r="AJ224" s="5">
        <f t="shared" si="89"/>
        <v>7415254.1245099995</v>
      </c>
      <c r="AK224" s="7">
        <f t="shared" si="87"/>
        <v>0.67745398801457879</v>
      </c>
      <c r="AL224" s="17">
        <f>MIN(AC224,'What-If Analysis'!$B$2)</f>
        <v>7.0000000000000007E-2</v>
      </c>
      <c r="AM224">
        <f>AE224*(1+'What-If Analysis'!$B$3)</f>
        <v>14.3</v>
      </c>
      <c r="AN224">
        <f>Y224*(1+'What-If Analysis'!$B$4)</f>
        <v>1304.7980000000002</v>
      </c>
      <c r="AO224">
        <f t="shared" si="88"/>
        <v>17090.411909999999</v>
      </c>
    </row>
    <row r="225" spans="1:41" x14ac:dyDescent="0.3">
      <c r="A225" t="s">
        <v>313</v>
      </c>
      <c r="B225" s="3">
        <v>45679</v>
      </c>
      <c r="C225" s="3">
        <f t="shared" si="69"/>
        <v>45679</v>
      </c>
      <c r="D225" s="3">
        <v>45679</v>
      </c>
      <c r="E225" s="3">
        <f t="shared" si="70"/>
        <v>45679</v>
      </c>
      <c r="F225" s="16">
        <f t="shared" si="71"/>
        <v>0</v>
      </c>
      <c r="G225" s="16">
        <f>IF(Data!F304&lt;=7,1,0)</f>
        <v>1</v>
      </c>
      <c r="H225" s="5" t="str">
        <f t="shared" si="72"/>
        <v>01-2025</v>
      </c>
      <c r="I225" s="5" t="str">
        <f t="shared" si="73"/>
        <v>Q1-2025</v>
      </c>
      <c r="J225" s="3">
        <f t="shared" si="74"/>
        <v>44936</v>
      </c>
      <c r="K225" s="5" t="str">
        <f t="shared" si="75"/>
        <v>01-2023</v>
      </c>
      <c r="L225" t="s">
        <v>649</v>
      </c>
      <c r="M225" t="s">
        <v>657</v>
      </c>
      <c r="N225" t="s">
        <v>679</v>
      </c>
      <c r="O225" t="str">
        <f t="shared" si="76"/>
        <v>Lyon</v>
      </c>
      <c r="P225" t="s">
        <v>705</v>
      </c>
      <c r="Q225" t="s">
        <v>708</v>
      </c>
      <c r="R225" t="str">
        <f t="shared" si="77"/>
        <v>Online</v>
      </c>
      <c r="S225" t="s">
        <v>717</v>
      </c>
      <c r="T225" t="str">
        <f t="shared" si="90"/>
        <v>B. Chen</v>
      </c>
      <c r="U225" t="s">
        <v>733</v>
      </c>
      <c r="V225" t="str">
        <f t="shared" si="78"/>
        <v>Low</v>
      </c>
      <c r="W225" t="s">
        <v>1033</v>
      </c>
      <c r="X225" t="str">
        <f t="shared" si="79"/>
        <v>A</v>
      </c>
      <c r="Y225" s="5">
        <v>591.72</v>
      </c>
      <c r="Z225" s="5">
        <v>577.24</v>
      </c>
      <c r="AA225" s="5">
        <f t="shared" si="80"/>
        <v>577.24</v>
      </c>
      <c r="AB225" s="7">
        <v>0</v>
      </c>
      <c r="AC225" s="7">
        <f t="shared" si="81"/>
        <v>0</v>
      </c>
      <c r="AD225" s="16">
        <f t="shared" si="82"/>
        <v>0</v>
      </c>
      <c r="AE225" s="16">
        <v>22</v>
      </c>
      <c r="AF225" s="5">
        <f t="shared" si="83"/>
        <v>12699.28</v>
      </c>
      <c r="AG225">
        <f t="shared" si="84"/>
        <v>13017.84</v>
      </c>
      <c r="AH225" s="5">
        <f t="shared" si="85"/>
        <v>318.55999999999949</v>
      </c>
      <c r="AI225" s="5">
        <f t="shared" si="86"/>
        <v>2.5084886702238195E-2</v>
      </c>
      <c r="AJ225" s="5">
        <f t="shared" si="89"/>
        <v>7427953.4045099998</v>
      </c>
      <c r="AK225" s="7">
        <f t="shared" si="87"/>
        <v>0.67861418802073603</v>
      </c>
      <c r="AL225" s="17">
        <f>MIN(AC225,'What-If Analysis'!$B$2)</f>
        <v>0</v>
      </c>
      <c r="AM225">
        <f>AE225*(1+'What-If Analysis'!$B$3)</f>
        <v>28.6</v>
      </c>
      <c r="AN225">
        <f>Y225*(1+'What-If Analysis'!$B$4)</f>
        <v>650.89200000000005</v>
      </c>
      <c r="AO225">
        <f t="shared" si="88"/>
        <v>16509.064000000002</v>
      </c>
    </row>
    <row r="226" spans="1:41" x14ac:dyDescent="0.3">
      <c r="A226" t="s">
        <v>227</v>
      </c>
      <c r="B226" s="3">
        <v>45686</v>
      </c>
      <c r="C226" s="3">
        <f t="shared" si="69"/>
        <v>45686</v>
      </c>
      <c r="D226" s="3">
        <v>45694</v>
      </c>
      <c r="E226" s="3">
        <f t="shared" si="70"/>
        <v>45694</v>
      </c>
      <c r="F226" s="16">
        <f t="shared" si="71"/>
        <v>8</v>
      </c>
      <c r="G226" s="16">
        <f>IF(Data!F159&lt;=7,1,0)</f>
        <v>0</v>
      </c>
      <c r="H226" s="5" t="str">
        <f t="shared" si="72"/>
        <v>01-2025</v>
      </c>
      <c r="I226" s="5" t="str">
        <f t="shared" si="73"/>
        <v>Q1-2025</v>
      </c>
      <c r="J226" s="3">
        <f t="shared" si="74"/>
        <v>44946</v>
      </c>
      <c r="K226" s="5" t="str">
        <f t="shared" si="75"/>
        <v>01-2023</v>
      </c>
      <c r="L226" t="s">
        <v>646</v>
      </c>
      <c r="M226" t="s">
        <v>650</v>
      </c>
      <c r="N226" t="s">
        <v>662</v>
      </c>
      <c r="O226" t="str">
        <f t="shared" si="76"/>
        <v>Kisumu</v>
      </c>
      <c r="P226" t="s">
        <v>702</v>
      </c>
      <c r="Q226" t="s">
        <v>707</v>
      </c>
      <c r="R226" t="str">
        <f t="shared" si="77"/>
        <v>Retail</v>
      </c>
      <c r="S226" t="s">
        <v>717</v>
      </c>
      <c r="T226" t="str">
        <f t="shared" si="90"/>
        <v>B. Chen</v>
      </c>
      <c r="U226" t="s">
        <v>730</v>
      </c>
      <c r="V226" t="str">
        <f t="shared" si="78"/>
        <v>High</v>
      </c>
      <c r="W226" t="s">
        <v>947</v>
      </c>
      <c r="X226" t="str">
        <f t="shared" si="79"/>
        <v>A</v>
      </c>
      <c r="Y226" s="5">
        <v>1445.27</v>
      </c>
      <c r="Z226" s="5">
        <v>2691.45</v>
      </c>
      <c r="AA226" s="5">
        <f t="shared" si="80"/>
        <v>2691.45</v>
      </c>
      <c r="AB226" s="7">
        <v>0</v>
      </c>
      <c r="AC226" s="7">
        <f t="shared" si="81"/>
        <v>0</v>
      </c>
      <c r="AD226" s="16">
        <f t="shared" si="82"/>
        <v>0</v>
      </c>
      <c r="AE226" s="16">
        <v>9</v>
      </c>
      <c r="AF226" s="5">
        <f t="shared" si="83"/>
        <v>24223.05</v>
      </c>
      <c r="AG226">
        <f t="shared" si="84"/>
        <v>13007.43</v>
      </c>
      <c r="AH226" s="5">
        <f t="shared" si="85"/>
        <v>11215.619999999999</v>
      </c>
      <c r="AI226" s="5">
        <f t="shared" si="86"/>
        <v>0.46301436028906351</v>
      </c>
      <c r="AJ226" s="5">
        <f t="shared" si="89"/>
        <v>7452176.4545099996</v>
      </c>
      <c r="AK226" s="7">
        <f t="shared" si="87"/>
        <v>0.68082719401470948</v>
      </c>
      <c r="AL226" s="17">
        <f>MIN(AC226,'What-If Analysis'!$B$2)</f>
        <v>0</v>
      </c>
      <c r="AM226">
        <f>AE226*(1+'What-If Analysis'!$B$3)</f>
        <v>11.700000000000001</v>
      </c>
      <c r="AN226">
        <f>Y226*(1+'What-If Analysis'!$B$4)</f>
        <v>1589.797</v>
      </c>
      <c r="AO226">
        <f t="shared" si="88"/>
        <v>31489.965</v>
      </c>
    </row>
    <row r="227" spans="1:41" x14ac:dyDescent="0.3">
      <c r="A227" t="s">
        <v>219</v>
      </c>
      <c r="B227" s="3">
        <v>45035</v>
      </c>
      <c r="C227" s="3">
        <f t="shared" si="69"/>
        <v>45035</v>
      </c>
      <c r="D227" s="3">
        <v>45044</v>
      </c>
      <c r="E227" s="3">
        <f t="shared" si="70"/>
        <v>45044</v>
      </c>
      <c r="F227" s="16">
        <f t="shared" si="71"/>
        <v>9</v>
      </c>
      <c r="G227" s="16">
        <f>IF(Data!F139&lt;=7,1,0)</f>
        <v>1</v>
      </c>
      <c r="H227" s="5" t="str">
        <f t="shared" si="72"/>
        <v>04-2023</v>
      </c>
      <c r="I227" s="5" t="str">
        <f t="shared" si="73"/>
        <v>Q2-2023</v>
      </c>
      <c r="J227" s="3">
        <f t="shared" si="74"/>
        <v>44947</v>
      </c>
      <c r="K227" s="5" t="str">
        <f t="shared" si="75"/>
        <v>01-2023</v>
      </c>
      <c r="L227" t="s">
        <v>649</v>
      </c>
      <c r="M227" t="s">
        <v>656</v>
      </c>
      <c r="N227" t="s">
        <v>671</v>
      </c>
      <c r="O227" t="str">
        <f t="shared" si="76"/>
        <v>Berlin</v>
      </c>
      <c r="P227" t="s">
        <v>702</v>
      </c>
      <c r="Q227" t="s">
        <v>708</v>
      </c>
      <c r="R227" t="str">
        <f t="shared" si="77"/>
        <v>Online</v>
      </c>
      <c r="S227" t="s">
        <v>718</v>
      </c>
      <c r="T227" t="str">
        <f t="shared" si="90"/>
        <v>E. Garcia</v>
      </c>
      <c r="U227" t="s">
        <v>732</v>
      </c>
      <c r="V227" t="str">
        <f t="shared" si="78"/>
        <v>High</v>
      </c>
      <c r="W227" t="s">
        <v>939</v>
      </c>
      <c r="X227" t="str">
        <f t="shared" si="79"/>
        <v>A</v>
      </c>
      <c r="Y227" s="5">
        <v>1178.42</v>
      </c>
      <c r="Z227" s="5">
        <v>2446.56</v>
      </c>
      <c r="AA227" s="5">
        <f t="shared" si="80"/>
        <v>2446.56</v>
      </c>
      <c r="AB227" s="7">
        <v>2.9000000000000001E-2</v>
      </c>
      <c r="AC227" s="7">
        <f t="shared" si="81"/>
        <v>2.9000000000000001E-2</v>
      </c>
      <c r="AD227" s="16">
        <f t="shared" si="82"/>
        <v>0</v>
      </c>
      <c r="AE227" s="16">
        <v>11</v>
      </c>
      <c r="AF227" s="5">
        <f t="shared" si="83"/>
        <v>26131.70736</v>
      </c>
      <c r="AG227">
        <f t="shared" si="84"/>
        <v>12962.62</v>
      </c>
      <c r="AH227" s="5">
        <f t="shared" si="85"/>
        <v>13169.08736</v>
      </c>
      <c r="AI227" s="5">
        <f t="shared" si="86"/>
        <v>0.5039505141618883</v>
      </c>
      <c r="AJ227" s="5">
        <f t="shared" si="89"/>
        <v>7478308.16187</v>
      </c>
      <c r="AK227" s="7">
        <f t="shared" si="87"/>
        <v>0.68321457401105334</v>
      </c>
      <c r="AL227" s="17">
        <f>MIN(AC227,'What-If Analysis'!$B$2)</f>
        <v>2.9000000000000001E-2</v>
      </c>
      <c r="AM227">
        <f>AE227*(1+'What-If Analysis'!$B$3)</f>
        <v>14.3</v>
      </c>
      <c r="AN227">
        <f>Y227*(1+'What-If Analysis'!$B$4)</f>
        <v>1296.2620000000002</v>
      </c>
      <c r="AO227">
        <f t="shared" si="88"/>
        <v>33971.219568</v>
      </c>
    </row>
    <row r="228" spans="1:41" x14ac:dyDescent="0.3">
      <c r="A228" t="s">
        <v>88</v>
      </c>
      <c r="B228" s="3">
        <v>45641</v>
      </c>
      <c r="C228" s="3">
        <f t="shared" si="69"/>
        <v>45641</v>
      </c>
      <c r="D228" s="3">
        <v>45646</v>
      </c>
      <c r="E228" s="3">
        <f t="shared" si="70"/>
        <v>45646</v>
      </c>
      <c r="F228" s="16">
        <f t="shared" si="71"/>
        <v>5</v>
      </c>
      <c r="G228" s="16">
        <f>IF(Data!F377&lt;=7,1,0)</f>
        <v>1</v>
      </c>
      <c r="H228" s="5" t="str">
        <f t="shared" si="72"/>
        <v>12-2024</v>
      </c>
      <c r="I228" s="5" t="str">
        <f t="shared" si="73"/>
        <v>Q4-2024</v>
      </c>
      <c r="J228" s="3">
        <f t="shared" si="74"/>
        <v>44938</v>
      </c>
      <c r="K228" s="5" t="str">
        <f t="shared" si="75"/>
        <v>01-2023</v>
      </c>
      <c r="L228" t="s">
        <v>647</v>
      </c>
      <c r="M228" t="s">
        <v>659</v>
      </c>
      <c r="N228" t="s">
        <v>676</v>
      </c>
      <c r="O228" t="str">
        <f t="shared" si="76"/>
        <v>Shenzhen</v>
      </c>
      <c r="P228" t="s">
        <v>705</v>
      </c>
      <c r="Q228" t="s">
        <v>711</v>
      </c>
      <c r="R228" t="str">
        <f t="shared" si="77"/>
        <v>Direct</v>
      </c>
      <c r="S228" t="s">
        <v>713</v>
      </c>
      <c r="T228" t="str">
        <f t="shared" si="90"/>
        <v>J. Njeri</v>
      </c>
      <c r="U228" t="s">
        <v>729</v>
      </c>
      <c r="V228" t="str">
        <f t="shared" si="78"/>
        <v>Low</v>
      </c>
      <c r="W228" t="s">
        <v>807</v>
      </c>
      <c r="X228" t="str">
        <f t="shared" si="79"/>
        <v>A</v>
      </c>
      <c r="Y228" s="5">
        <v>717.55</v>
      </c>
      <c r="Z228" s="5">
        <v>546.42999999999995</v>
      </c>
      <c r="AA228" s="5">
        <f t="shared" si="80"/>
        <v>546.42999999999995</v>
      </c>
      <c r="AB228" s="7">
        <v>4.7E-2</v>
      </c>
      <c r="AC228" s="7">
        <f t="shared" si="81"/>
        <v>4.7E-2</v>
      </c>
      <c r="AD228" s="16">
        <f t="shared" si="82"/>
        <v>0</v>
      </c>
      <c r="AE228" s="16">
        <v>18</v>
      </c>
      <c r="AF228" s="5">
        <f t="shared" si="83"/>
        <v>9373.460219999999</v>
      </c>
      <c r="AG228">
        <f t="shared" si="84"/>
        <v>12915.9</v>
      </c>
      <c r="AH228" s="5">
        <f t="shared" si="85"/>
        <v>3542.4397800000006</v>
      </c>
      <c r="AI228" s="5">
        <f t="shared" si="86"/>
        <v>0.37792231437026369</v>
      </c>
      <c r="AJ228" s="5">
        <f t="shared" si="89"/>
        <v>7487681.6220899997</v>
      </c>
      <c r="AK228" s="7">
        <f t="shared" si="87"/>
        <v>0.68407092874966524</v>
      </c>
      <c r="AL228" s="17">
        <f>MIN(AC228,'What-If Analysis'!$B$2)</f>
        <v>4.7E-2</v>
      </c>
      <c r="AM228">
        <f>AE228*(1+'What-If Analysis'!$B$3)</f>
        <v>23.400000000000002</v>
      </c>
      <c r="AN228">
        <f>Y228*(1+'What-If Analysis'!$B$4)</f>
        <v>789.30500000000006</v>
      </c>
      <c r="AO228">
        <f t="shared" si="88"/>
        <v>12185.498285999998</v>
      </c>
    </row>
    <row r="229" spans="1:41" x14ac:dyDescent="0.3">
      <c r="A229" t="s">
        <v>470</v>
      </c>
      <c r="B229" s="3">
        <v>45265</v>
      </c>
      <c r="C229" s="3">
        <f t="shared" si="69"/>
        <v>45265</v>
      </c>
      <c r="D229" s="3">
        <v>45272</v>
      </c>
      <c r="E229" s="3">
        <f t="shared" si="70"/>
        <v>45272</v>
      </c>
      <c r="F229" s="16">
        <f t="shared" si="71"/>
        <v>7</v>
      </c>
      <c r="G229" s="16">
        <f>IF(Data!F188&lt;=7,1,0)</f>
        <v>1</v>
      </c>
      <c r="H229" s="5" t="str">
        <f t="shared" si="72"/>
        <v>12-2023</v>
      </c>
      <c r="I229" s="5" t="str">
        <f t="shared" si="73"/>
        <v>Q4-2023</v>
      </c>
      <c r="J229" s="3">
        <f t="shared" si="74"/>
        <v>44955</v>
      </c>
      <c r="K229" s="5" t="str">
        <f t="shared" si="75"/>
        <v>01-2023</v>
      </c>
      <c r="L229" t="s">
        <v>648</v>
      </c>
      <c r="M229" t="s">
        <v>655</v>
      </c>
      <c r="N229" t="s">
        <v>672</v>
      </c>
      <c r="O229" t="str">
        <f t="shared" si="76"/>
        <v>Brasília</v>
      </c>
      <c r="P229" t="s">
        <v>701</v>
      </c>
      <c r="Q229" t="s">
        <v>711</v>
      </c>
      <c r="R229" t="str">
        <f t="shared" si="77"/>
        <v>Direct</v>
      </c>
      <c r="S229" t="s">
        <v>721</v>
      </c>
      <c r="T229" t="str">
        <f t="shared" si="90"/>
        <v>F. Müller</v>
      </c>
      <c r="U229" t="s">
        <v>730</v>
      </c>
      <c r="V229" t="str">
        <f t="shared" si="78"/>
        <v>Low</v>
      </c>
      <c r="W229" t="s">
        <v>1189</v>
      </c>
      <c r="X229" t="str">
        <f t="shared" si="79"/>
        <v>A</v>
      </c>
      <c r="Y229" s="5">
        <v>307.43</v>
      </c>
      <c r="Z229" s="5">
        <v>495.19</v>
      </c>
      <c r="AA229" s="5">
        <f t="shared" si="80"/>
        <v>495.19</v>
      </c>
      <c r="AB229" s="7">
        <v>0</v>
      </c>
      <c r="AC229" s="7">
        <f t="shared" si="81"/>
        <v>0</v>
      </c>
      <c r="AD229" s="16">
        <f t="shared" si="82"/>
        <v>0</v>
      </c>
      <c r="AE229" s="16">
        <v>42</v>
      </c>
      <c r="AF229" s="5">
        <f t="shared" si="83"/>
        <v>20797.98</v>
      </c>
      <c r="AG229">
        <f t="shared" si="84"/>
        <v>12912.06</v>
      </c>
      <c r="AH229" s="5">
        <f t="shared" si="85"/>
        <v>7885.92</v>
      </c>
      <c r="AI229" s="5">
        <f t="shared" si="86"/>
        <v>0.37916759223732305</v>
      </c>
      <c r="AJ229" s="5">
        <f t="shared" si="89"/>
        <v>7508479.6020900002</v>
      </c>
      <c r="AK229" s="7">
        <f t="shared" si="87"/>
        <v>0.68597102202456406</v>
      </c>
      <c r="AL229" s="17">
        <f>MIN(AC229,'What-If Analysis'!$B$2)</f>
        <v>0</v>
      </c>
      <c r="AM229">
        <f>AE229*(1+'What-If Analysis'!$B$3)</f>
        <v>54.6</v>
      </c>
      <c r="AN229">
        <f>Y229*(1+'What-If Analysis'!$B$4)</f>
        <v>338.17300000000006</v>
      </c>
      <c r="AO229">
        <f t="shared" si="88"/>
        <v>27037.374</v>
      </c>
    </row>
    <row r="230" spans="1:41" x14ac:dyDescent="0.3">
      <c r="A230" t="s">
        <v>49</v>
      </c>
      <c r="B230" s="3">
        <v>45527</v>
      </c>
      <c r="C230" s="3">
        <f t="shared" si="69"/>
        <v>45525</v>
      </c>
      <c r="D230" s="3">
        <v>45525</v>
      </c>
      <c r="E230" s="3">
        <f t="shared" si="70"/>
        <v>45527</v>
      </c>
      <c r="F230" s="16">
        <f t="shared" si="71"/>
        <v>2</v>
      </c>
      <c r="G230" s="16">
        <f>IF(Data!F129&lt;=7,1,0)</f>
        <v>1</v>
      </c>
      <c r="H230" s="5" t="str">
        <f t="shared" si="72"/>
        <v>08-2024</v>
      </c>
      <c r="I230" s="5" t="str">
        <f t="shared" si="73"/>
        <v>Q3-2024</v>
      </c>
      <c r="J230" s="3">
        <f t="shared" si="74"/>
        <v>44933</v>
      </c>
      <c r="K230" s="5" t="str">
        <f t="shared" si="75"/>
        <v>01-2023</v>
      </c>
      <c r="L230" t="s">
        <v>646</v>
      </c>
      <c r="M230" t="s">
        <v>661</v>
      </c>
      <c r="N230" t="s">
        <v>682</v>
      </c>
      <c r="O230" t="str">
        <f t="shared" si="76"/>
        <v>Johannesburg</v>
      </c>
      <c r="P230" t="s">
        <v>702</v>
      </c>
      <c r="Q230" t="s">
        <v>707</v>
      </c>
      <c r="R230" t="str">
        <f t="shared" si="77"/>
        <v>Retail</v>
      </c>
      <c r="S230" t="s">
        <v>718</v>
      </c>
      <c r="T230" t="str">
        <f t="shared" si="90"/>
        <v>E. Garcia</v>
      </c>
      <c r="U230" t="s">
        <v>727</v>
      </c>
      <c r="V230" t="str">
        <f t="shared" si="78"/>
        <v>High</v>
      </c>
      <c r="W230" t="s">
        <v>768</v>
      </c>
      <c r="X230" t="str">
        <f t="shared" si="79"/>
        <v>A</v>
      </c>
      <c r="Y230" s="5">
        <v>1432.52</v>
      </c>
      <c r="Z230" s="5">
        <v>3036.87</v>
      </c>
      <c r="AA230" s="5">
        <f t="shared" si="80"/>
        <v>3036.87</v>
      </c>
      <c r="AB230" s="7">
        <v>0</v>
      </c>
      <c r="AC230" s="7">
        <f t="shared" si="81"/>
        <v>0</v>
      </c>
      <c r="AD230" s="16">
        <f t="shared" si="82"/>
        <v>0</v>
      </c>
      <c r="AE230" s="16">
        <v>9</v>
      </c>
      <c r="AF230" s="5">
        <f t="shared" si="83"/>
        <v>27331.829999999998</v>
      </c>
      <c r="AG230">
        <f t="shared" si="84"/>
        <v>12892.68</v>
      </c>
      <c r="AH230" s="5">
        <f t="shared" si="85"/>
        <v>14439.149999999998</v>
      </c>
      <c r="AI230" s="5">
        <f t="shared" si="86"/>
        <v>0.52829064135112791</v>
      </c>
      <c r="AJ230" s="5">
        <f t="shared" si="89"/>
        <v>7535811.4320900002</v>
      </c>
      <c r="AK230" s="7">
        <f t="shared" si="87"/>
        <v>0.68846804463799471</v>
      </c>
      <c r="AL230" s="17">
        <f>MIN(AC230,'What-If Analysis'!$B$2)</f>
        <v>0</v>
      </c>
      <c r="AM230">
        <f>AE230*(1+'What-If Analysis'!$B$3)</f>
        <v>11.700000000000001</v>
      </c>
      <c r="AN230">
        <f>Y230*(1+'What-If Analysis'!$B$4)</f>
        <v>1575.7720000000002</v>
      </c>
      <c r="AO230">
        <f t="shared" si="88"/>
        <v>35531.379000000001</v>
      </c>
    </row>
    <row r="231" spans="1:41" x14ac:dyDescent="0.3">
      <c r="A231" t="s">
        <v>566</v>
      </c>
      <c r="B231" s="3">
        <v>44988</v>
      </c>
      <c r="C231" s="3">
        <f t="shared" si="69"/>
        <v>44988</v>
      </c>
      <c r="D231" s="3">
        <v>45005</v>
      </c>
      <c r="E231" s="3">
        <f t="shared" si="70"/>
        <v>45005</v>
      </c>
      <c r="F231" s="16">
        <f t="shared" si="71"/>
        <v>17</v>
      </c>
      <c r="G231" s="16">
        <f>IF(Data!F214&lt;=7,1,0)</f>
        <v>0</v>
      </c>
      <c r="H231" s="5" t="str">
        <f t="shared" si="72"/>
        <v>03-2023</v>
      </c>
      <c r="I231" s="5" t="str">
        <f t="shared" si="73"/>
        <v>Q1-2023</v>
      </c>
      <c r="J231" s="3">
        <f t="shared" si="74"/>
        <v>44988</v>
      </c>
      <c r="K231" s="5" t="str">
        <f t="shared" si="75"/>
        <v>03-2023</v>
      </c>
      <c r="L231" t="s">
        <v>647</v>
      </c>
      <c r="M231" t="s">
        <v>652</v>
      </c>
      <c r="N231" t="s">
        <v>694</v>
      </c>
      <c r="O231" t="str">
        <f t="shared" si="76"/>
        <v>Nagoya</v>
      </c>
      <c r="P231" t="s">
        <v>705</v>
      </c>
      <c r="Q231" t="s">
        <v>708</v>
      </c>
      <c r="R231" t="str">
        <f t="shared" si="77"/>
        <v>Online</v>
      </c>
      <c r="S231" t="s">
        <v>726</v>
      </c>
      <c r="T231" t="str">
        <f t="shared" si="90"/>
        <v>D. Smith</v>
      </c>
      <c r="U231" t="s">
        <v>729</v>
      </c>
      <c r="V231" t="str">
        <f t="shared" si="78"/>
        <v>High</v>
      </c>
      <c r="W231" t="s">
        <v>1284</v>
      </c>
      <c r="X231" t="str">
        <f t="shared" si="79"/>
        <v>A</v>
      </c>
      <c r="Y231" s="5">
        <v>1171.17</v>
      </c>
      <c r="Z231" s="5">
        <v>2030.64</v>
      </c>
      <c r="AA231" s="5">
        <f t="shared" si="80"/>
        <v>2030.64</v>
      </c>
      <c r="AB231" s="7">
        <v>0.157</v>
      </c>
      <c r="AC231" s="7">
        <f t="shared" si="81"/>
        <v>0.157</v>
      </c>
      <c r="AD231" s="16">
        <f t="shared" si="82"/>
        <v>0</v>
      </c>
      <c r="AE231" s="16">
        <v>11</v>
      </c>
      <c r="AF231" s="5">
        <f t="shared" si="83"/>
        <v>18830.12472</v>
      </c>
      <c r="AG231">
        <f t="shared" si="84"/>
        <v>12882.87</v>
      </c>
      <c r="AH231" s="5">
        <f t="shared" si="85"/>
        <v>5947.254719999999</v>
      </c>
      <c r="AI231" s="5">
        <f t="shared" si="86"/>
        <v>0.31583724528830415</v>
      </c>
      <c r="AJ231" s="5">
        <f t="shared" si="89"/>
        <v>7554641.55681</v>
      </c>
      <c r="AK231" s="7">
        <f t="shared" si="87"/>
        <v>0.69018835561752157</v>
      </c>
      <c r="AL231" s="17">
        <f>MIN(AC231,'What-If Analysis'!$B$2)</f>
        <v>0.157</v>
      </c>
      <c r="AM231">
        <f>AE231*(1+'What-If Analysis'!$B$3)</f>
        <v>14.3</v>
      </c>
      <c r="AN231">
        <f>Y231*(1+'What-If Analysis'!$B$4)</f>
        <v>1288.2870000000003</v>
      </c>
      <c r="AO231">
        <f t="shared" si="88"/>
        <v>24479.162135999999</v>
      </c>
    </row>
    <row r="232" spans="1:41" x14ac:dyDescent="0.3">
      <c r="A232" t="s">
        <v>185</v>
      </c>
      <c r="B232" s="3">
        <v>45488</v>
      </c>
      <c r="C232" s="3">
        <f t="shared" si="69"/>
        <v>45488</v>
      </c>
      <c r="D232" s="3">
        <v>45488</v>
      </c>
      <c r="E232" s="3">
        <f t="shared" si="70"/>
        <v>45488</v>
      </c>
      <c r="F232" s="16">
        <f t="shared" si="71"/>
        <v>0</v>
      </c>
      <c r="G232" s="16">
        <f>IF(Data!F270&lt;=7,1,0)</f>
        <v>1</v>
      </c>
      <c r="H232" s="5" t="str">
        <f t="shared" si="72"/>
        <v>07-2024</v>
      </c>
      <c r="I232" s="5" t="str">
        <f t="shared" si="73"/>
        <v>Q3-2024</v>
      </c>
      <c r="J232" s="3">
        <f t="shared" si="74"/>
        <v>44988</v>
      </c>
      <c r="K232" s="5" t="str">
        <f t="shared" si="75"/>
        <v>03-2023</v>
      </c>
      <c r="L232" t="s">
        <v>647</v>
      </c>
      <c r="M232" t="s">
        <v>652</v>
      </c>
      <c r="N232" t="s">
        <v>689</v>
      </c>
      <c r="O232" t="str">
        <f t="shared" si="76"/>
        <v>Tokyo</v>
      </c>
      <c r="P232" t="s">
        <v>705</v>
      </c>
      <c r="Q232" t="s">
        <v>709</v>
      </c>
      <c r="R232" t="str">
        <f t="shared" si="77"/>
        <v>Marketplace</v>
      </c>
      <c r="S232" t="s">
        <v>715</v>
      </c>
      <c r="T232" t="str">
        <f t="shared" si="90"/>
        <v>G. Dubois</v>
      </c>
      <c r="U232" t="s">
        <v>733</v>
      </c>
      <c r="V232" t="str">
        <f t="shared" si="78"/>
        <v>Medium</v>
      </c>
      <c r="W232" t="s">
        <v>904</v>
      </c>
      <c r="X232" t="str">
        <f t="shared" si="79"/>
        <v>A</v>
      </c>
      <c r="Y232" s="5">
        <v>801.77</v>
      </c>
      <c r="Z232" s="5">
        <v>1218.92</v>
      </c>
      <c r="AA232" s="5">
        <f t="shared" si="80"/>
        <v>1218.92</v>
      </c>
      <c r="AB232" s="7">
        <v>0.254</v>
      </c>
      <c r="AC232" s="7">
        <f t="shared" si="81"/>
        <v>0.254</v>
      </c>
      <c r="AD232" s="16">
        <f t="shared" si="82"/>
        <v>1</v>
      </c>
      <c r="AE232" s="16">
        <v>16</v>
      </c>
      <c r="AF232" s="5">
        <f t="shared" si="83"/>
        <v>14549.029120000001</v>
      </c>
      <c r="AG232">
        <f t="shared" si="84"/>
        <v>12828.32</v>
      </c>
      <c r="AH232" s="5">
        <f t="shared" si="85"/>
        <v>1720.7091200000013</v>
      </c>
      <c r="AI232" s="5">
        <f t="shared" si="86"/>
        <v>0.11826968698788344</v>
      </c>
      <c r="AJ232" s="5">
        <f t="shared" si="89"/>
        <v>7569190.5859300001</v>
      </c>
      <c r="AK232" s="7">
        <f t="shared" si="87"/>
        <v>0.69151754779807084</v>
      </c>
      <c r="AL232" s="17">
        <f>MIN(AC232,'What-If Analysis'!$B$2)</f>
        <v>0.2</v>
      </c>
      <c r="AM232">
        <f>AE232*(1+'What-If Analysis'!$B$3)</f>
        <v>20.8</v>
      </c>
      <c r="AN232">
        <f>Y232*(1+'What-If Analysis'!$B$4)</f>
        <v>881.947</v>
      </c>
      <c r="AO232">
        <f t="shared" si="88"/>
        <v>20282.828800000003</v>
      </c>
    </row>
    <row r="233" spans="1:41" x14ac:dyDescent="0.3">
      <c r="A233" t="s">
        <v>267</v>
      </c>
      <c r="B233" s="3">
        <v>45502</v>
      </c>
      <c r="C233" s="3">
        <f t="shared" si="69"/>
        <v>45502</v>
      </c>
      <c r="D233" s="3">
        <v>45504</v>
      </c>
      <c r="E233" s="3">
        <f t="shared" si="70"/>
        <v>45504</v>
      </c>
      <c r="F233" s="16">
        <f t="shared" si="71"/>
        <v>2</v>
      </c>
      <c r="G233" s="16">
        <f>IF(Data!F147&lt;=7,1,0)</f>
        <v>1</v>
      </c>
      <c r="H233" s="5" t="str">
        <f t="shared" si="72"/>
        <v>07-2024</v>
      </c>
      <c r="I233" s="5" t="str">
        <f t="shared" si="73"/>
        <v>Q3-2024</v>
      </c>
      <c r="J233" s="3">
        <f t="shared" si="74"/>
        <v>44939</v>
      </c>
      <c r="K233" s="5" t="str">
        <f t="shared" si="75"/>
        <v>01-2023</v>
      </c>
      <c r="L233" t="s">
        <v>648</v>
      </c>
      <c r="M233" t="s">
        <v>660</v>
      </c>
      <c r="N233" t="s">
        <v>700</v>
      </c>
      <c r="O233" t="str">
        <f t="shared" si="76"/>
        <v>New York</v>
      </c>
      <c r="P233" t="s">
        <v>702</v>
      </c>
      <c r="Q233" t="s">
        <v>709</v>
      </c>
      <c r="R233" t="str">
        <f t="shared" si="77"/>
        <v>Marketplace</v>
      </c>
      <c r="S233" t="s">
        <v>714</v>
      </c>
      <c r="T233" t="str">
        <f t="shared" si="90"/>
        <v>I. Johnson</v>
      </c>
      <c r="U233" t="s">
        <v>728</v>
      </c>
      <c r="V233" t="str">
        <f t="shared" si="78"/>
        <v>High</v>
      </c>
      <c r="W233" t="s">
        <v>987</v>
      </c>
      <c r="X233" t="str">
        <f t="shared" si="79"/>
        <v>A</v>
      </c>
      <c r="Y233" s="5">
        <v>798.97</v>
      </c>
      <c r="Z233" s="5">
        <v>1814.06</v>
      </c>
      <c r="AA233" s="5">
        <f t="shared" si="80"/>
        <v>1814.06</v>
      </c>
      <c r="AB233" s="7">
        <v>0.122</v>
      </c>
      <c r="AC233" s="7">
        <f t="shared" si="81"/>
        <v>0.122</v>
      </c>
      <c r="AD233" s="16">
        <f t="shared" si="82"/>
        <v>0</v>
      </c>
      <c r="AE233" s="16">
        <v>16</v>
      </c>
      <c r="AF233" s="5">
        <f t="shared" si="83"/>
        <v>25483.91488</v>
      </c>
      <c r="AG233">
        <f t="shared" si="84"/>
        <v>12783.52</v>
      </c>
      <c r="AH233" s="5">
        <f t="shared" si="85"/>
        <v>12700.39488</v>
      </c>
      <c r="AI233" s="5">
        <f t="shared" si="86"/>
        <v>0.49836906691159061</v>
      </c>
      <c r="AJ233" s="5">
        <f t="shared" si="89"/>
        <v>7594674.5008100001</v>
      </c>
      <c r="AK233" s="7">
        <f t="shared" si="87"/>
        <v>0.69384574579045188</v>
      </c>
      <c r="AL233" s="17">
        <f>MIN(AC233,'What-If Analysis'!$B$2)</f>
        <v>0.122</v>
      </c>
      <c r="AM233">
        <f>AE233*(1+'What-If Analysis'!$B$3)</f>
        <v>20.8</v>
      </c>
      <c r="AN233">
        <f>Y233*(1+'What-If Analysis'!$B$4)</f>
        <v>878.86700000000008</v>
      </c>
      <c r="AO233">
        <f t="shared" si="88"/>
        <v>33129.089344</v>
      </c>
    </row>
    <row r="234" spans="1:41" x14ac:dyDescent="0.3">
      <c r="A234" t="s">
        <v>71</v>
      </c>
      <c r="B234" s="3">
        <v>45697</v>
      </c>
      <c r="C234" s="3">
        <f t="shared" si="69"/>
        <v>45697</v>
      </c>
      <c r="D234" s="3">
        <v>45717</v>
      </c>
      <c r="E234" s="3">
        <f t="shared" si="70"/>
        <v>45717</v>
      </c>
      <c r="F234" s="16">
        <f t="shared" si="71"/>
        <v>20</v>
      </c>
      <c r="G234" s="16">
        <f>IF(Data!F113&lt;=7,1,0)</f>
        <v>0</v>
      </c>
      <c r="H234" s="5" t="str">
        <f t="shared" si="72"/>
        <v>02-2025</v>
      </c>
      <c r="I234" s="5" t="str">
        <f t="shared" si="73"/>
        <v>Q1-2025</v>
      </c>
      <c r="J234" s="3">
        <f t="shared" si="74"/>
        <v>44955</v>
      </c>
      <c r="K234" s="5" t="str">
        <f t="shared" si="75"/>
        <v>01-2023</v>
      </c>
      <c r="L234" t="s">
        <v>648</v>
      </c>
      <c r="M234" t="s">
        <v>655</v>
      </c>
      <c r="N234" t="s">
        <v>670</v>
      </c>
      <c r="O234" t="str">
        <f t="shared" si="76"/>
        <v>São Paulo</v>
      </c>
      <c r="P234" t="s">
        <v>701</v>
      </c>
      <c r="Q234" t="s">
        <v>710</v>
      </c>
      <c r="R234" t="str">
        <f t="shared" si="77"/>
        <v>Distributor</v>
      </c>
      <c r="S234" t="s">
        <v>717</v>
      </c>
      <c r="T234" t="str">
        <f t="shared" si="90"/>
        <v>B. Chen</v>
      </c>
      <c r="U234" t="s">
        <v>731</v>
      </c>
      <c r="V234" t="str">
        <f t="shared" si="78"/>
        <v>High</v>
      </c>
      <c r="W234" t="s">
        <v>790</v>
      </c>
      <c r="X234" t="str">
        <f t="shared" si="79"/>
        <v>A</v>
      </c>
      <c r="Y234" s="5">
        <v>1154.6400000000001</v>
      </c>
      <c r="Z234" s="5">
        <v>2794.13</v>
      </c>
      <c r="AA234" s="5">
        <f t="shared" si="80"/>
        <v>2794.13</v>
      </c>
      <c r="AB234" s="7">
        <v>3.5000000000000003E-2</v>
      </c>
      <c r="AC234" s="7">
        <f t="shared" si="81"/>
        <v>3.5000000000000003E-2</v>
      </c>
      <c r="AD234" s="16">
        <f t="shared" si="82"/>
        <v>0</v>
      </c>
      <c r="AE234" s="16">
        <v>11</v>
      </c>
      <c r="AF234" s="5">
        <f t="shared" si="83"/>
        <v>29659.68995</v>
      </c>
      <c r="AG234">
        <f t="shared" si="84"/>
        <v>12701.04</v>
      </c>
      <c r="AH234" s="5">
        <f t="shared" si="85"/>
        <v>16958.649949999999</v>
      </c>
      <c r="AI234" s="5">
        <f t="shared" si="86"/>
        <v>0.57177435025749479</v>
      </c>
      <c r="AJ234" s="5">
        <f t="shared" si="89"/>
        <v>7624334.1907599997</v>
      </c>
      <c r="AK234" s="7">
        <f t="shared" si="87"/>
        <v>0.6965554405497304</v>
      </c>
      <c r="AL234" s="17">
        <f>MIN(AC234,'What-If Analysis'!$B$2)</f>
        <v>3.5000000000000003E-2</v>
      </c>
      <c r="AM234">
        <f>AE234*(1+'What-If Analysis'!$B$3)</f>
        <v>14.3</v>
      </c>
      <c r="AN234">
        <f>Y234*(1+'What-If Analysis'!$B$4)</f>
        <v>1270.1040000000003</v>
      </c>
      <c r="AO234">
        <f t="shared" si="88"/>
        <v>38557.596935000001</v>
      </c>
    </row>
    <row r="235" spans="1:41" x14ac:dyDescent="0.3">
      <c r="A235" t="s">
        <v>582</v>
      </c>
      <c r="B235" s="3">
        <v>45600</v>
      </c>
      <c r="C235" s="3">
        <f t="shared" si="69"/>
        <v>45600</v>
      </c>
      <c r="D235" s="3">
        <v>45603</v>
      </c>
      <c r="E235" s="3">
        <f t="shared" si="70"/>
        <v>45603</v>
      </c>
      <c r="F235" s="16">
        <f t="shared" si="71"/>
        <v>3</v>
      </c>
      <c r="G235" s="16">
        <f>IF(Data!F153&lt;=7,1,0)</f>
        <v>1</v>
      </c>
      <c r="H235" s="5" t="str">
        <f t="shared" si="72"/>
        <v>11-2024</v>
      </c>
      <c r="I235" s="5" t="str">
        <f t="shared" si="73"/>
        <v>Q4-2024</v>
      </c>
      <c r="J235" s="3">
        <f t="shared" si="74"/>
        <v>44936</v>
      </c>
      <c r="K235" s="5" t="str">
        <f t="shared" si="75"/>
        <v>01-2023</v>
      </c>
      <c r="L235" t="s">
        <v>649</v>
      </c>
      <c r="M235" t="s">
        <v>657</v>
      </c>
      <c r="N235" t="s">
        <v>679</v>
      </c>
      <c r="O235" t="str">
        <f t="shared" si="76"/>
        <v>Lyon</v>
      </c>
      <c r="P235" t="s">
        <v>701</v>
      </c>
      <c r="Q235" t="s">
        <v>708</v>
      </c>
      <c r="R235" t="str">
        <f t="shared" si="77"/>
        <v>Online</v>
      </c>
      <c r="S235" t="s">
        <v>719</v>
      </c>
      <c r="T235" t="str">
        <f t="shared" si="90"/>
        <v>O. Wang</v>
      </c>
      <c r="U235" t="s">
        <v>732</v>
      </c>
      <c r="V235" t="str">
        <f t="shared" si="78"/>
        <v>High</v>
      </c>
      <c r="W235" t="s">
        <v>1300</v>
      </c>
      <c r="X235" t="str">
        <f t="shared" si="79"/>
        <v>A</v>
      </c>
      <c r="Y235" s="5">
        <v>740.68</v>
      </c>
      <c r="Z235" s="5">
        <v>1837.19</v>
      </c>
      <c r="AA235" s="5">
        <f t="shared" si="80"/>
        <v>1837.19</v>
      </c>
      <c r="AB235" s="7">
        <v>0.19700000000000001</v>
      </c>
      <c r="AC235" s="7">
        <f t="shared" si="81"/>
        <v>0.19700000000000001</v>
      </c>
      <c r="AD235" s="16">
        <f t="shared" si="82"/>
        <v>0</v>
      </c>
      <c r="AE235" s="16">
        <v>17</v>
      </c>
      <c r="AF235" s="5">
        <f t="shared" si="83"/>
        <v>25079.480689999997</v>
      </c>
      <c r="AG235">
        <f t="shared" si="84"/>
        <v>12591.56</v>
      </c>
      <c r="AH235" s="5">
        <f t="shared" si="85"/>
        <v>12487.920689999997</v>
      </c>
      <c r="AI235" s="5">
        <f t="shared" si="86"/>
        <v>0.4979337827748298</v>
      </c>
      <c r="AJ235" s="5">
        <f t="shared" si="89"/>
        <v>7649413.6714499993</v>
      </c>
      <c r="AK235" s="7">
        <f t="shared" si="87"/>
        <v>0.69884668963243102</v>
      </c>
      <c r="AL235" s="17">
        <f>MIN(AC235,'What-If Analysis'!$B$2)</f>
        <v>0.19700000000000001</v>
      </c>
      <c r="AM235">
        <f>AE235*(1+'What-If Analysis'!$B$3)</f>
        <v>22.1</v>
      </c>
      <c r="AN235">
        <f>Y235*(1+'What-If Analysis'!$B$4)</f>
        <v>814.74800000000005</v>
      </c>
      <c r="AO235">
        <f t="shared" si="88"/>
        <v>32603.324897000002</v>
      </c>
    </row>
    <row r="236" spans="1:41" x14ac:dyDescent="0.3">
      <c r="A236" t="s">
        <v>409</v>
      </c>
      <c r="B236" s="3">
        <v>45804</v>
      </c>
      <c r="C236" s="3">
        <f t="shared" si="69"/>
        <v>45804</v>
      </c>
      <c r="D236" s="3">
        <v>45816</v>
      </c>
      <c r="E236" s="3">
        <f t="shared" si="70"/>
        <v>45816</v>
      </c>
      <c r="F236" s="16">
        <f t="shared" si="71"/>
        <v>12</v>
      </c>
      <c r="G236" s="16">
        <f>IF(Data!F274&lt;=7,1,0)</f>
        <v>0</v>
      </c>
      <c r="H236" s="5" t="str">
        <f t="shared" si="72"/>
        <v>05-2025</v>
      </c>
      <c r="I236" s="5" t="str">
        <f t="shared" si="73"/>
        <v>Q2-2025</v>
      </c>
      <c r="J236" s="3">
        <f t="shared" si="74"/>
        <v>44988</v>
      </c>
      <c r="K236" s="5" t="str">
        <f t="shared" si="75"/>
        <v>03-2023</v>
      </c>
      <c r="L236" t="s">
        <v>647</v>
      </c>
      <c r="M236" t="s">
        <v>652</v>
      </c>
      <c r="N236" t="s">
        <v>666</v>
      </c>
      <c r="O236" t="str">
        <f t="shared" si="76"/>
        <v>Osaka</v>
      </c>
      <c r="P236" t="s">
        <v>701</v>
      </c>
      <c r="Q236" t="s">
        <v>707</v>
      </c>
      <c r="R236" t="str">
        <f t="shared" si="77"/>
        <v>Retail</v>
      </c>
      <c r="S236" t="s">
        <v>722</v>
      </c>
      <c r="T236" t="str">
        <f t="shared" si="90"/>
        <v>H. Kim</v>
      </c>
      <c r="U236" t="s">
        <v>733</v>
      </c>
      <c r="V236" t="str">
        <f t="shared" si="78"/>
        <v>Medium</v>
      </c>
      <c r="W236" t="s">
        <v>1128</v>
      </c>
      <c r="X236" t="str">
        <f t="shared" si="79"/>
        <v>A</v>
      </c>
      <c r="Y236" s="5">
        <v>653.6</v>
      </c>
      <c r="Z236" s="5">
        <v>842.09</v>
      </c>
      <c r="AA236" s="5">
        <f t="shared" si="80"/>
        <v>842.09</v>
      </c>
      <c r="AB236" s="7">
        <v>9.8000000000000004E-2</v>
      </c>
      <c r="AC236" s="7">
        <f t="shared" si="81"/>
        <v>9.8000000000000004E-2</v>
      </c>
      <c r="AD236" s="16">
        <f t="shared" si="82"/>
        <v>0</v>
      </c>
      <c r="AE236" s="16">
        <v>19</v>
      </c>
      <c r="AF236" s="5">
        <f t="shared" si="83"/>
        <v>14431.738420000001</v>
      </c>
      <c r="AG236">
        <f t="shared" si="84"/>
        <v>12418.4</v>
      </c>
      <c r="AH236" s="5">
        <f t="shared" si="85"/>
        <v>2013.3384200000019</v>
      </c>
      <c r="AI236" s="5">
        <f t="shared" si="86"/>
        <v>0.13950768517324622</v>
      </c>
      <c r="AJ236" s="5">
        <f t="shared" si="89"/>
        <v>7663845.4098699996</v>
      </c>
      <c r="AK236" s="7">
        <f t="shared" si="87"/>
        <v>0.70016516619202673</v>
      </c>
      <c r="AL236" s="17">
        <f>MIN(AC236,'What-If Analysis'!$B$2)</f>
        <v>9.8000000000000004E-2</v>
      </c>
      <c r="AM236">
        <f>AE236*(1+'What-If Analysis'!$B$3)</f>
        <v>24.7</v>
      </c>
      <c r="AN236">
        <f>Y236*(1+'What-If Analysis'!$B$4)</f>
        <v>718.96</v>
      </c>
      <c r="AO236">
        <f t="shared" si="88"/>
        <v>18761.259946000002</v>
      </c>
    </row>
    <row r="237" spans="1:41" x14ac:dyDescent="0.3">
      <c r="A237" t="s">
        <v>515</v>
      </c>
      <c r="B237" s="3">
        <v>45408</v>
      </c>
      <c r="C237" s="3">
        <f t="shared" si="69"/>
        <v>45406</v>
      </c>
      <c r="D237" s="3">
        <v>45406</v>
      </c>
      <c r="E237" s="3">
        <f t="shared" si="70"/>
        <v>45408</v>
      </c>
      <c r="F237" s="16">
        <f t="shared" si="71"/>
        <v>2</v>
      </c>
      <c r="G237" s="16">
        <f>IF(Data!F430&lt;=7,1,0)</f>
        <v>1</v>
      </c>
      <c r="H237" s="5" t="str">
        <f t="shared" si="72"/>
        <v>04-2024</v>
      </c>
      <c r="I237" s="5" t="str">
        <f t="shared" si="73"/>
        <v>Q2-2024</v>
      </c>
      <c r="J237" s="3">
        <f t="shared" si="74"/>
        <v>44945</v>
      </c>
      <c r="K237" s="5" t="str">
        <f t="shared" si="75"/>
        <v>01-2023</v>
      </c>
      <c r="L237" t="s">
        <v>649</v>
      </c>
      <c r="M237" t="s">
        <v>658</v>
      </c>
      <c r="N237" t="s">
        <v>683</v>
      </c>
      <c r="O237" t="str">
        <f t="shared" si="76"/>
        <v>London</v>
      </c>
      <c r="P237" t="s">
        <v>703</v>
      </c>
      <c r="Q237" t="s">
        <v>710</v>
      </c>
      <c r="R237" t="str">
        <f t="shared" si="77"/>
        <v>Distributor</v>
      </c>
      <c r="S237" t="s">
        <v>725</v>
      </c>
      <c r="T237" t="str">
        <f t="shared" si="90"/>
        <v>N. Brown</v>
      </c>
      <c r="U237" t="s">
        <v>730</v>
      </c>
      <c r="V237" t="str">
        <f t="shared" si="78"/>
        <v>Medium</v>
      </c>
      <c r="W237" t="s">
        <v>1234</v>
      </c>
      <c r="X237" t="str">
        <f t="shared" si="79"/>
        <v>A</v>
      </c>
      <c r="Y237" s="5">
        <v>1232.77</v>
      </c>
      <c r="Z237" s="5">
        <v>891.73</v>
      </c>
      <c r="AA237" s="5">
        <f t="shared" si="80"/>
        <v>891.73</v>
      </c>
      <c r="AB237" s="7">
        <v>0.16700000000000001</v>
      </c>
      <c r="AC237" s="7">
        <f t="shared" si="81"/>
        <v>0.16700000000000001</v>
      </c>
      <c r="AD237" s="16">
        <f t="shared" si="82"/>
        <v>0</v>
      </c>
      <c r="AE237" s="16">
        <v>10</v>
      </c>
      <c r="AF237" s="5">
        <f t="shared" si="83"/>
        <v>7428.1108999999988</v>
      </c>
      <c r="AG237">
        <f t="shared" si="84"/>
        <v>12327.7</v>
      </c>
      <c r="AH237" s="5">
        <f t="shared" si="85"/>
        <v>4899.589100000002</v>
      </c>
      <c r="AI237" s="5">
        <f t="shared" si="86"/>
        <v>0.65960096260813805</v>
      </c>
      <c r="AJ237" s="5">
        <f t="shared" si="89"/>
        <v>7671273.5207699994</v>
      </c>
      <c r="AK237" s="7">
        <f t="shared" si="87"/>
        <v>0.70084379476875835</v>
      </c>
      <c r="AL237" s="17">
        <f>MIN(AC237,'What-If Analysis'!$B$2)</f>
        <v>0.16700000000000001</v>
      </c>
      <c r="AM237">
        <f>AE237*(1+'What-If Analysis'!$B$3)</f>
        <v>13</v>
      </c>
      <c r="AN237">
        <f>Y237*(1+'What-If Analysis'!$B$4)</f>
        <v>1356.047</v>
      </c>
      <c r="AO237">
        <f t="shared" si="88"/>
        <v>9656.5441699999992</v>
      </c>
    </row>
    <row r="238" spans="1:41" x14ac:dyDescent="0.3">
      <c r="A238" t="s">
        <v>391</v>
      </c>
      <c r="B238" s="3">
        <v>44998</v>
      </c>
      <c r="C238" s="3">
        <f t="shared" si="69"/>
        <v>44998</v>
      </c>
      <c r="D238" s="3">
        <v>45020</v>
      </c>
      <c r="E238" s="3">
        <f t="shared" si="70"/>
        <v>45020</v>
      </c>
      <c r="F238" s="16">
        <f t="shared" si="71"/>
        <v>22</v>
      </c>
      <c r="G238" s="16">
        <f>IF(Data!F257&lt;=7,1,0)</f>
        <v>0</v>
      </c>
      <c r="H238" s="5" t="str">
        <f t="shared" si="72"/>
        <v>03-2023</v>
      </c>
      <c r="I238" s="5" t="str">
        <f t="shared" si="73"/>
        <v>Q1-2023</v>
      </c>
      <c r="J238" s="3">
        <f t="shared" si="74"/>
        <v>44933</v>
      </c>
      <c r="K238" s="5" t="str">
        <f t="shared" si="75"/>
        <v>01-2023</v>
      </c>
      <c r="L238" t="s">
        <v>646</v>
      </c>
      <c r="M238" t="s">
        <v>661</v>
      </c>
      <c r="N238" t="s">
        <v>687</v>
      </c>
      <c r="O238" t="str">
        <f t="shared" si="76"/>
        <v>Durban</v>
      </c>
      <c r="P238" t="s">
        <v>705</v>
      </c>
      <c r="Q238" t="s">
        <v>707</v>
      </c>
      <c r="R238" t="str">
        <f t="shared" si="77"/>
        <v>Retail</v>
      </c>
      <c r="S238" t="s">
        <v>720</v>
      </c>
      <c r="T238" t="str">
        <f t="shared" si="90"/>
        <v>A. Patel</v>
      </c>
      <c r="U238" t="s">
        <v>727</v>
      </c>
      <c r="V238" t="str">
        <f t="shared" si="78"/>
        <v>Medium</v>
      </c>
      <c r="W238" t="s">
        <v>1111</v>
      </c>
      <c r="X238" t="str">
        <f t="shared" si="79"/>
        <v>A</v>
      </c>
      <c r="Y238" s="5">
        <v>1113.7</v>
      </c>
      <c r="Z238" s="5">
        <v>1620.6</v>
      </c>
      <c r="AA238" s="5">
        <f t="shared" si="80"/>
        <v>1620.6</v>
      </c>
      <c r="AB238" s="7">
        <v>0.13900000000000001</v>
      </c>
      <c r="AC238" s="7">
        <f t="shared" si="81"/>
        <v>0.13900000000000001</v>
      </c>
      <c r="AD238" s="16">
        <f t="shared" si="82"/>
        <v>0</v>
      </c>
      <c r="AE238" s="16">
        <v>11</v>
      </c>
      <c r="AF238" s="5">
        <f t="shared" si="83"/>
        <v>15348.702599999999</v>
      </c>
      <c r="AG238">
        <f t="shared" si="84"/>
        <v>12250.7</v>
      </c>
      <c r="AH238" s="5">
        <f t="shared" si="85"/>
        <v>3098.002599999998</v>
      </c>
      <c r="AI238" s="5">
        <f t="shared" si="86"/>
        <v>0.20184133348182787</v>
      </c>
      <c r="AJ238" s="5">
        <f t="shared" si="89"/>
        <v>7686622.2233699998</v>
      </c>
      <c r="AK238" s="7">
        <f t="shared" si="87"/>
        <v>0.7022460447271045</v>
      </c>
      <c r="AL238" s="17">
        <f>MIN(AC238,'What-If Analysis'!$B$2)</f>
        <v>0.13900000000000001</v>
      </c>
      <c r="AM238">
        <f>AE238*(1+'What-If Analysis'!$B$3)</f>
        <v>14.3</v>
      </c>
      <c r="AN238">
        <f>Y238*(1+'What-If Analysis'!$B$4)</f>
        <v>1225.0700000000002</v>
      </c>
      <c r="AO238">
        <f t="shared" si="88"/>
        <v>19953.31338</v>
      </c>
    </row>
    <row r="239" spans="1:41" x14ac:dyDescent="0.3">
      <c r="A239" t="s">
        <v>298</v>
      </c>
      <c r="B239" s="3">
        <v>45304</v>
      </c>
      <c r="C239" s="3">
        <f t="shared" si="69"/>
        <v>45304</v>
      </c>
      <c r="D239" s="3">
        <v>45327</v>
      </c>
      <c r="E239" s="3">
        <f t="shared" si="70"/>
        <v>45327</v>
      </c>
      <c r="F239" s="16">
        <f t="shared" si="71"/>
        <v>23</v>
      </c>
      <c r="G239" s="16">
        <f>IF(Data!F253&lt;=7,1,0)</f>
        <v>1</v>
      </c>
      <c r="H239" s="5" t="str">
        <f t="shared" si="72"/>
        <v>01-2024</v>
      </c>
      <c r="I239" s="5" t="str">
        <f t="shared" si="73"/>
        <v>Q1-2024</v>
      </c>
      <c r="J239" s="3">
        <f t="shared" si="74"/>
        <v>44947</v>
      </c>
      <c r="K239" s="5" t="str">
        <f t="shared" si="75"/>
        <v>01-2023</v>
      </c>
      <c r="L239" t="s">
        <v>649</v>
      </c>
      <c r="M239" t="s">
        <v>656</v>
      </c>
      <c r="N239" t="s">
        <v>698</v>
      </c>
      <c r="O239" t="str">
        <f t="shared" si="76"/>
        <v>Frankfurt</v>
      </c>
      <c r="P239" t="s">
        <v>702</v>
      </c>
      <c r="Q239" t="s">
        <v>711</v>
      </c>
      <c r="R239" t="str">
        <f t="shared" si="77"/>
        <v>Direct</v>
      </c>
      <c r="S239" t="s">
        <v>717</v>
      </c>
      <c r="T239" t="str">
        <f t="shared" si="90"/>
        <v>B. Chen</v>
      </c>
      <c r="U239" t="s">
        <v>731</v>
      </c>
      <c r="V239" t="str">
        <f t="shared" si="78"/>
        <v>Medium</v>
      </c>
      <c r="W239" t="s">
        <v>1018</v>
      </c>
      <c r="X239" t="str">
        <f t="shared" si="79"/>
        <v>A</v>
      </c>
      <c r="Y239" s="5">
        <v>1017.93</v>
      </c>
      <c r="Z239" s="5">
        <v>1529.14</v>
      </c>
      <c r="AA239" s="5">
        <f t="shared" si="80"/>
        <v>1529.14</v>
      </c>
      <c r="AB239" s="7">
        <v>0.155</v>
      </c>
      <c r="AC239" s="7">
        <f t="shared" si="81"/>
        <v>0.155</v>
      </c>
      <c r="AD239" s="16">
        <f t="shared" si="82"/>
        <v>0</v>
      </c>
      <c r="AE239" s="16">
        <v>12</v>
      </c>
      <c r="AF239" s="5">
        <f t="shared" si="83"/>
        <v>15505.479600000001</v>
      </c>
      <c r="AG239">
        <f t="shared" si="84"/>
        <v>12215.16</v>
      </c>
      <c r="AH239" s="5">
        <f t="shared" si="85"/>
        <v>3290.3196000000007</v>
      </c>
      <c r="AI239" s="5">
        <f t="shared" si="86"/>
        <v>0.21220366508366503</v>
      </c>
      <c r="AJ239" s="5">
        <f t="shared" si="89"/>
        <v>7702127.70297</v>
      </c>
      <c r="AK239" s="7">
        <f t="shared" si="87"/>
        <v>0.70366261775544869</v>
      </c>
      <c r="AL239" s="17">
        <f>MIN(AC239,'What-If Analysis'!$B$2)</f>
        <v>0.155</v>
      </c>
      <c r="AM239">
        <f>AE239*(1+'What-If Analysis'!$B$3)</f>
        <v>15.600000000000001</v>
      </c>
      <c r="AN239">
        <f>Y239*(1+'What-If Analysis'!$B$4)</f>
        <v>1119.723</v>
      </c>
      <c r="AO239">
        <f t="shared" si="88"/>
        <v>20157.123480000002</v>
      </c>
    </row>
    <row r="240" spans="1:41" x14ac:dyDescent="0.3">
      <c r="A240" t="s">
        <v>165</v>
      </c>
      <c r="B240" s="3">
        <v>45763</v>
      </c>
      <c r="C240" s="3">
        <f t="shared" si="69"/>
        <v>45763</v>
      </c>
      <c r="D240" s="3">
        <v>45793</v>
      </c>
      <c r="E240" s="3">
        <f t="shared" si="70"/>
        <v>45793</v>
      </c>
      <c r="F240" s="16">
        <f t="shared" si="71"/>
        <v>30</v>
      </c>
      <c r="G240" s="16">
        <f>IF(Data!F414&lt;=7,1,0)</f>
        <v>0</v>
      </c>
      <c r="H240" s="5" t="str">
        <f t="shared" si="72"/>
        <v>04-2025</v>
      </c>
      <c r="I240" s="5" t="str">
        <f t="shared" si="73"/>
        <v>Q2-2025</v>
      </c>
      <c r="J240" s="3">
        <f t="shared" si="74"/>
        <v>44928</v>
      </c>
      <c r="K240" s="5" t="str">
        <f t="shared" si="75"/>
        <v>01-2023</v>
      </c>
      <c r="L240" t="s">
        <v>648</v>
      </c>
      <c r="M240" t="s">
        <v>653</v>
      </c>
      <c r="N240" t="s">
        <v>681</v>
      </c>
      <c r="O240" t="str">
        <f t="shared" si="76"/>
        <v>Montreal</v>
      </c>
      <c r="P240" t="s">
        <v>706</v>
      </c>
      <c r="Q240" t="s">
        <v>710</v>
      </c>
      <c r="R240" t="str">
        <f t="shared" si="77"/>
        <v>Distributor</v>
      </c>
      <c r="S240" t="s">
        <v>723</v>
      </c>
      <c r="T240" t="str">
        <f t="shared" si="90"/>
        <v>K. Singh</v>
      </c>
      <c r="U240" t="s">
        <v>728</v>
      </c>
      <c r="V240" t="str">
        <f t="shared" si="78"/>
        <v>Low</v>
      </c>
      <c r="W240" t="s">
        <v>884</v>
      </c>
      <c r="X240" t="str">
        <f t="shared" si="79"/>
        <v>A</v>
      </c>
      <c r="Y240" s="5">
        <v>763.32</v>
      </c>
      <c r="Z240" s="5">
        <v>568.29</v>
      </c>
      <c r="AA240" s="5">
        <f t="shared" si="80"/>
        <v>568.29</v>
      </c>
      <c r="AB240" s="7">
        <v>0.13100000000000001</v>
      </c>
      <c r="AC240" s="7">
        <f t="shared" si="81"/>
        <v>0.13100000000000001</v>
      </c>
      <c r="AD240" s="16">
        <f t="shared" si="82"/>
        <v>0</v>
      </c>
      <c r="AE240" s="16">
        <v>16</v>
      </c>
      <c r="AF240" s="5">
        <f t="shared" si="83"/>
        <v>7901.5041599999995</v>
      </c>
      <c r="AG240">
        <f t="shared" si="84"/>
        <v>12213.12</v>
      </c>
      <c r="AH240" s="5">
        <f t="shared" si="85"/>
        <v>4311.6158400000013</v>
      </c>
      <c r="AI240" s="5">
        <f t="shared" si="86"/>
        <v>0.54567026134426555</v>
      </c>
      <c r="AJ240" s="5">
        <f t="shared" si="89"/>
        <v>7710029.20713</v>
      </c>
      <c r="AK240" s="7">
        <f t="shared" si="87"/>
        <v>0.70438449530874958</v>
      </c>
      <c r="AL240" s="17">
        <f>MIN(AC240,'What-If Analysis'!$B$2)</f>
        <v>0.13100000000000001</v>
      </c>
      <c r="AM240">
        <f>AE240*(1+'What-If Analysis'!$B$3)</f>
        <v>20.8</v>
      </c>
      <c r="AN240">
        <f>Y240*(1+'What-If Analysis'!$B$4)</f>
        <v>839.65200000000016</v>
      </c>
      <c r="AO240">
        <f t="shared" si="88"/>
        <v>10271.955408</v>
      </c>
    </row>
    <row r="241" spans="1:41" x14ac:dyDescent="0.3">
      <c r="A241" t="s">
        <v>468</v>
      </c>
      <c r="B241" s="3">
        <v>45070</v>
      </c>
      <c r="C241" s="3">
        <f t="shared" si="69"/>
        <v>45070</v>
      </c>
      <c r="D241" s="3">
        <v>45098</v>
      </c>
      <c r="E241" s="3">
        <f t="shared" si="70"/>
        <v>45098</v>
      </c>
      <c r="F241" s="16">
        <f t="shared" si="71"/>
        <v>28</v>
      </c>
      <c r="G241" s="16">
        <f>IF(Data!F168&lt;=7,1,0)</f>
        <v>0</v>
      </c>
      <c r="H241" s="5" t="str">
        <f t="shared" si="72"/>
        <v>05-2023</v>
      </c>
      <c r="I241" s="5" t="str">
        <f t="shared" si="73"/>
        <v>Q2-2023</v>
      </c>
      <c r="J241" s="3">
        <f t="shared" si="74"/>
        <v>44939</v>
      </c>
      <c r="K241" s="5" t="str">
        <f t="shared" si="75"/>
        <v>01-2023</v>
      </c>
      <c r="L241" t="s">
        <v>648</v>
      </c>
      <c r="M241" t="s">
        <v>660</v>
      </c>
      <c r="N241" t="s">
        <v>697</v>
      </c>
      <c r="O241" t="str">
        <f t="shared" si="76"/>
        <v>Austin</v>
      </c>
      <c r="P241" t="s">
        <v>705</v>
      </c>
      <c r="Q241" t="s">
        <v>709</v>
      </c>
      <c r="R241" t="str">
        <f t="shared" si="77"/>
        <v>Marketplace</v>
      </c>
      <c r="S241" t="s">
        <v>715</v>
      </c>
      <c r="T241" t="str">
        <f t="shared" si="90"/>
        <v>G. Dubois</v>
      </c>
      <c r="U241" t="s">
        <v>732</v>
      </c>
      <c r="V241" t="str">
        <f t="shared" si="78"/>
        <v>Medium</v>
      </c>
      <c r="W241" t="s">
        <v>1187</v>
      </c>
      <c r="X241" t="str">
        <f t="shared" si="79"/>
        <v>A</v>
      </c>
      <c r="Y241" s="5">
        <v>813.97</v>
      </c>
      <c r="Z241" s="5">
        <v>1568.83</v>
      </c>
      <c r="AA241" s="5">
        <f t="shared" si="80"/>
        <v>1568.83</v>
      </c>
      <c r="AB241" s="7">
        <v>1.7000000000000001E-2</v>
      </c>
      <c r="AC241" s="7">
        <f t="shared" si="81"/>
        <v>1.7000000000000001E-2</v>
      </c>
      <c r="AD241" s="16">
        <f t="shared" si="82"/>
        <v>0</v>
      </c>
      <c r="AE241" s="16">
        <v>15</v>
      </c>
      <c r="AF241" s="5">
        <f t="shared" si="83"/>
        <v>23132.398349999996</v>
      </c>
      <c r="AG241">
        <f t="shared" si="84"/>
        <v>12209.550000000001</v>
      </c>
      <c r="AH241" s="5">
        <f t="shared" si="85"/>
        <v>10922.848349999995</v>
      </c>
      <c r="AI241" s="5">
        <f t="shared" si="86"/>
        <v>0.4721883215364911</v>
      </c>
      <c r="AJ241" s="5">
        <f t="shared" si="89"/>
        <v>7733161.6054800004</v>
      </c>
      <c r="AK241" s="7">
        <f t="shared" si="87"/>
        <v>0.70649785990171088</v>
      </c>
      <c r="AL241" s="17">
        <f>MIN(AC241,'What-If Analysis'!$B$2)</f>
        <v>1.7000000000000001E-2</v>
      </c>
      <c r="AM241">
        <f>AE241*(1+'What-If Analysis'!$B$3)</f>
        <v>19.5</v>
      </c>
      <c r="AN241">
        <f>Y241*(1+'What-If Analysis'!$B$4)</f>
        <v>895.36700000000008</v>
      </c>
      <c r="AO241">
        <f t="shared" si="88"/>
        <v>30072.117854999997</v>
      </c>
    </row>
    <row r="242" spans="1:41" x14ac:dyDescent="0.3">
      <c r="A242" t="s">
        <v>218</v>
      </c>
      <c r="B242" s="3">
        <v>45692</v>
      </c>
      <c r="C242" s="3">
        <f t="shared" si="69"/>
        <v>45692</v>
      </c>
      <c r="D242" s="3">
        <v>45713</v>
      </c>
      <c r="E242" s="3">
        <f t="shared" si="70"/>
        <v>45713</v>
      </c>
      <c r="F242" s="16">
        <f t="shared" si="71"/>
        <v>21</v>
      </c>
      <c r="G242" s="16">
        <f>IF(Data!F145&lt;=7,1,0)</f>
        <v>1</v>
      </c>
      <c r="H242" s="5" t="str">
        <f t="shared" si="72"/>
        <v>02-2025</v>
      </c>
      <c r="I242" s="5" t="str">
        <f t="shared" si="73"/>
        <v>Q1-2025</v>
      </c>
      <c r="J242" s="3">
        <f t="shared" si="74"/>
        <v>44945</v>
      </c>
      <c r="K242" s="5" t="str">
        <f t="shared" si="75"/>
        <v>01-2023</v>
      </c>
      <c r="L242" t="s">
        <v>649</v>
      </c>
      <c r="M242" t="s">
        <v>658</v>
      </c>
      <c r="N242" t="s">
        <v>674</v>
      </c>
      <c r="O242" t="str">
        <f t="shared" si="76"/>
        <v>Birmingham</v>
      </c>
      <c r="P242" t="s">
        <v>701</v>
      </c>
      <c r="Q242" t="s">
        <v>709</v>
      </c>
      <c r="R242" t="str">
        <f t="shared" si="77"/>
        <v>Marketplace</v>
      </c>
      <c r="S242" t="s">
        <v>726</v>
      </c>
      <c r="T242" t="str">
        <f t="shared" si="90"/>
        <v>D. Smith</v>
      </c>
      <c r="U242" t="s">
        <v>732</v>
      </c>
      <c r="V242" t="str">
        <f t="shared" si="78"/>
        <v>High</v>
      </c>
      <c r="W242" t="s">
        <v>938</v>
      </c>
      <c r="X242" t="str">
        <f t="shared" si="79"/>
        <v>A</v>
      </c>
      <c r="Y242" s="5">
        <v>1016.32</v>
      </c>
      <c r="Z242" s="5">
        <v>2253.42</v>
      </c>
      <c r="AA242" s="5">
        <f t="shared" si="80"/>
        <v>2253.42</v>
      </c>
      <c r="AB242" s="7">
        <v>5.5E-2</v>
      </c>
      <c r="AC242" s="7">
        <f t="shared" si="81"/>
        <v>5.5E-2</v>
      </c>
      <c r="AD242" s="16">
        <f t="shared" si="82"/>
        <v>0</v>
      </c>
      <c r="AE242" s="16">
        <v>12</v>
      </c>
      <c r="AF242" s="5">
        <f t="shared" si="83"/>
        <v>25553.782800000001</v>
      </c>
      <c r="AG242">
        <f t="shared" si="84"/>
        <v>12195.84</v>
      </c>
      <c r="AH242" s="5">
        <f t="shared" si="85"/>
        <v>13357.942800000001</v>
      </c>
      <c r="AI242" s="5">
        <f t="shared" si="86"/>
        <v>0.52273837124419797</v>
      </c>
      <c r="AJ242" s="5">
        <f t="shared" si="89"/>
        <v>7758715.3882800005</v>
      </c>
      <c r="AK242" s="7">
        <f t="shared" si="87"/>
        <v>0.70883244099307197</v>
      </c>
      <c r="AL242" s="17">
        <f>MIN(AC242,'What-If Analysis'!$B$2)</f>
        <v>5.5E-2</v>
      </c>
      <c r="AM242">
        <f>AE242*(1+'What-If Analysis'!$B$3)</f>
        <v>15.600000000000001</v>
      </c>
      <c r="AN242">
        <f>Y242*(1+'What-If Analysis'!$B$4)</f>
        <v>1117.9520000000002</v>
      </c>
      <c r="AO242">
        <f t="shared" si="88"/>
        <v>33219.917640000007</v>
      </c>
    </row>
    <row r="243" spans="1:41" x14ac:dyDescent="0.3">
      <c r="A243" t="s">
        <v>242</v>
      </c>
      <c r="B243" s="3">
        <v>45879</v>
      </c>
      <c r="C243" s="3">
        <f t="shared" si="69"/>
        <v>45879</v>
      </c>
      <c r="D243" s="3">
        <v>45899</v>
      </c>
      <c r="E243" s="3">
        <f t="shared" si="70"/>
        <v>45899</v>
      </c>
      <c r="F243" s="16">
        <f t="shared" si="71"/>
        <v>20</v>
      </c>
      <c r="G243" s="16">
        <f>IF(Data!F236&lt;=7,1,0)</f>
        <v>0</v>
      </c>
      <c r="H243" s="5" t="str">
        <f t="shared" si="72"/>
        <v>08-2025</v>
      </c>
      <c r="I243" s="5" t="str">
        <f t="shared" si="73"/>
        <v>Q3-2025</v>
      </c>
      <c r="J243" s="3">
        <f t="shared" si="74"/>
        <v>44939</v>
      </c>
      <c r="K243" s="5" t="str">
        <f t="shared" si="75"/>
        <v>01-2023</v>
      </c>
      <c r="L243" t="s">
        <v>648</v>
      </c>
      <c r="M243" t="s">
        <v>660</v>
      </c>
      <c r="N243" t="s">
        <v>686</v>
      </c>
      <c r="O243" t="str">
        <f t="shared" si="76"/>
        <v>San Francisco</v>
      </c>
      <c r="P243" t="s">
        <v>701</v>
      </c>
      <c r="Q243" t="s">
        <v>709</v>
      </c>
      <c r="R243" t="str">
        <f t="shared" si="77"/>
        <v>Marketplace</v>
      </c>
      <c r="S243" t="s">
        <v>723</v>
      </c>
      <c r="T243" t="str">
        <f t="shared" si="90"/>
        <v>K. Singh</v>
      </c>
      <c r="U243" t="s">
        <v>728</v>
      </c>
      <c r="V243" t="str">
        <f t="shared" si="78"/>
        <v>Medium</v>
      </c>
      <c r="W243" t="s">
        <v>962</v>
      </c>
      <c r="X243" t="str">
        <f t="shared" si="79"/>
        <v>A</v>
      </c>
      <c r="Y243" s="5">
        <v>933.29</v>
      </c>
      <c r="Z243" s="5">
        <v>1456.81</v>
      </c>
      <c r="AA243" s="5">
        <f t="shared" si="80"/>
        <v>1456.81</v>
      </c>
      <c r="AB243" s="7">
        <v>0.123</v>
      </c>
      <c r="AC243" s="7">
        <f t="shared" si="81"/>
        <v>0.123</v>
      </c>
      <c r="AD243" s="16">
        <f t="shared" si="82"/>
        <v>0</v>
      </c>
      <c r="AE243" s="16">
        <v>13</v>
      </c>
      <c r="AF243" s="5">
        <f t="shared" si="83"/>
        <v>16609.090809999998</v>
      </c>
      <c r="AG243">
        <f t="shared" si="84"/>
        <v>12132.77</v>
      </c>
      <c r="AH243" s="5">
        <f t="shared" si="85"/>
        <v>4476.3208099999974</v>
      </c>
      <c r="AI243" s="5">
        <f t="shared" si="86"/>
        <v>0.26951028573489977</v>
      </c>
      <c r="AJ243" s="5">
        <f t="shared" si="89"/>
        <v>7775324.4790900005</v>
      </c>
      <c r="AK243" s="7">
        <f t="shared" si="87"/>
        <v>0.71034983940148788</v>
      </c>
      <c r="AL243" s="17">
        <f>MIN(AC243,'What-If Analysis'!$B$2)</f>
        <v>0.123</v>
      </c>
      <c r="AM243">
        <f>AE243*(1+'What-If Analysis'!$B$3)</f>
        <v>16.900000000000002</v>
      </c>
      <c r="AN243">
        <f>Y243*(1+'What-If Analysis'!$B$4)</f>
        <v>1026.6190000000001</v>
      </c>
      <c r="AO243">
        <f t="shared" si="88"/>
        <v>21591.818053000003</v>
      </c>
    </row>
    <row r="244" spans="1:41" x14ac:dyDescent="0.3">
      <c r="A244" t="s">
        <v>223</v>
      </c>
      <c r="B244" s="3">
        <v>45859</v>
      </c>
      <c r="C244" s="3">
        <f t="shared" si="69"/>
        <v>45859</v>
      </c>
      <c r="D244" s="3">
        <v>45876</v>
      </c>
      <c r="E244" s="3">
        <f t="shared" si="70"/>
        <v>45876</v>
      </c>
      <c r="F244" s="16">
        <f t="shared" si="71"/>
        <v>17</v>
      </c>
      <c r="G244" s="16">
        <f>IF(Data!F225&lt;=7,1,0)</f>
        <v>1</v>
      </c>
      <c r="H244" s="5" t="str">
        <f t="shared" si="72"/>
        <v>07-2025</v>
      </c>
      <c r="I244" s="5" t="str">
        <f t="shared" si="73"/>
        <v>Q3-2025</v>
      </c>
      <c r="J244" s="3">
        <f t="shared" si="74"/>
        <v>44939</v>
      </c>
      <c r="K244" s="5" t="str">
        <f t="shared" si="75"/>
        <v>01-2023</v>
      </c>
      <c r="L244" t="s">
        <v>646</v>
      </c>
      <c r="M244" t="s">
        <v>651</v>
      </c>
      <c r="N244" t="s">
        <v>665</v>
      </c>
      <c r="O244" t="str">
        <f t="shared" si="76"/>
        <v>Lagos</v>
      </c>
      <c r="P244" t="s">
        <v>706</v>
      </c>
      <c r="Q244" t="s">
        <v>711</v>
      </c>
      <c r="R244" t="str">
        <f t="shared" si="77"/>
        <v>Direct</v>
      </c>
      <c r="S244" t="s">
        <v>724</v>
      </c>
      <c r="T244" t="str">
        <f t="shared" si="90"/>
        <v>M. Rossi</v>
      </c>
      <c r="U244" t="s">
        <v>733</v>
      </c>
      <c r="V244" t="str">
        <f t="shared" si="78"/>
        <v>High</v>
      </c>
      <c r="W244" t="s">
        <v>943</v>
      </c>
      <c r="X244" t="str">
        <f t="shared" si="79"/>
        <v>A</v>
      </c>
      <c r="Y244" s="5">
        <v>1204.95</v>
      </c>
      <c r="Z244" s="5">
        <v>2065.73</v>
      </c>
      <c r="AA244" s="5">
        <f t="shared" si="80"/>
        <v>2065.73</v>
      </c>
      <c r="AB244" s="7">
        <v>0.13600000000000001</v>
      </c>
      <c r="AC244" s="7">
        <f t="shared" si="81"/>
        <v>0.13600000000000001</v>
      </c>
      <c r="AD244" s="16">
        <f t="shared" si="82"/>
        <v>0</v>
      </c>
      <c r="AE244" s="16">
        <v>10</v>
      </c>
      <c r="AF244" s="5">
        <f t="shared" si="83"/>
        <v>17847.907199999998</v>
      </c>
      <c r="AG244">
        <f t="shared" si="84"/>
        <v>12049.5</v>
      </c>
      <c r="AH244" s="5">
        <f t="shared" si="85"/>
        <v>5798.4071999999978</v>
      </c>
      <c r="AI244" s="5">
        <f t="shared" si="86"/>
        <v>0.32487882949100039</v>
      </c>
      <c r="AJ244" s="5">
        <f t="shared" si="89"/>
        <v>7793172.3862900008</v>
      </c>
      <c r="AK244" s="7">
        <f t="shared" si="87"/>
        <v>0.71198041546905499</v>
      </c>
      <c r="AL244" s="17">
        <f>MIN(AC244,'What-If Analysis'!$B$2)</f>
        <v>0.13600000000000001</v>
      </c>
      <c r="AM244">
        <f>AE244*(1+'What-If Analysis'!$B$3)</f>
        <v>13</v>
      </c>
      <c r="AN244">
        <f>Y244*(1+'What-If Analysis'!$B$4)</f>
        <v>1325.4450000000002</v>
      </c>
      <c r="AO244">
        <f t="shared" si="88"/>
        <v>23202.27936</v>
      </c>
    </row>
    <row r="245" spans="1:41" x14ac:dyDescent="0.3">
      <c r="A245" t="s">
        <v>604</v>
      </c>
      <c r="B245" s="3">
        <v>45019</v>
      </c>
      <c r="C245" s="3">
        <f t="shared" si="69"/>
        <v>45019</v>
      </c>
      <c r="D245" s="3">
        <v>45032</v>
      </c>
      <c r="E245" s="3">
        <f t="shared" si="70"/>
        <v>45032</v>
      </c>
      <c r="F245" s="16">
        <f t="shared" si="71"/>
        <v>13</v>
      </c>
      <c r="G245" s="16">
        <f>IF(Data!F382&lt;=7,1,0)</f>
        <v>0</v>
      </c>
      <c r="H245" s="5" t="str">
        <f t="shared" si="72"/>
        <v>04-2023</v>
      </c>
      <c r="I245" s="5" t="str">
        <f t="shared" si="73"/>
        <v>Q2-2023</v>
      </c>
      <c r="J245" s="3">
        <f t="shared" si="74"/>
        <v>44936</v>
      </c>
      <c r="K245" s="5" t="str">
        <f t="shared" si="75"/>
        <v>01-2023</v>
      </c>
      <c r="L245" t="s">
        <v>649</v>
      </c>
      <c r="M245" t="s">
        <v>657</v>
      </c>
      <c r="N245" t="s">
        <v>673</v>
      </c>
      <c r="O245" t="str">
        <f t="shared" si="76"/>
        <v>Marseille</v>
      </c>
      <c r="P245" t="s">
        <v>703</v>
      </c>
      <c r="Q245" t="s">
        <v>709</v>
      </c>
      <c r="R245" t="str">
        <f t="shared" si="77"/>
        <v>Marketplace</v>
      </c>
      <c r="S245" t="s">
        <v>724</v>
      </c>
      <c r="T245" t="str">
        <f t="shared" si="90"/>
        <v>M. Rossi</v>
      </c>
      <c r="U245" t="s">
        <v>733</v>
      </c>
      <c r="V245" t="str">
        <f t="shared" si="78"/>
        <v>Low</v>
      </c>
      <c r="W245" t="s">
        <v>1322</v>
      </c>
      <c r="X245" t="str">
        <f t="shared" si="79"/>
        <v>A</v>
      </c>
      <c r="Y245" s="5">
        <v>790.54</v>
      </c>
      <c r="Z245" s="5">
        <v>601.49</v>
      </c>
      <c r="AA245" s="5">
        <f t="shared" si="80"/>
        <v>601.49</v>
      </c>
      <c r="AB245" s="7">
        <v>0</v>
      </c>
      <c r="AC245" s="7">
        <f t="shared" si="81"/>
        <v>0</v>
      </c>
      <c r="AD245" s="16">
        <f t="shared" si="82"/>
        <v>0</v>
      </c>
      <c r="AE245" s="16">
        <v>15</v>
      </c>
      <c r="AF245" s="5">
        <f t="shared" si="83"/>
        <v>9022.35</v>
      </c>
      <c r="AG245">
        <f t="shared" si="84"/>
        <v>11858.099999999999</v>
      </c>
      <c r="AH245" s="5">
        <f t="shared" si="85"/>
        <v>2835.7499999999982</v>
      </c>
      <c r="AI245" s="5">
        <f t="shared" si="86"/>
        <v>0.31430281467688553</v>
      </c>
      <c r="AJ245" s="5">
        <f t="shared" si="89"/>
        <v>7802194.7362900004</v>
      </c>
      <c r="AK245" s="7">
        <f t="shared" si="87"/>
        <v>0.71280469294979021</v>
      </c>
      <c r="AL245" s="17">
        <f>MIN(AC245,'What-If Analysis'!$B$2)</f>
        <v>0</v>
      </c>
      <c r="AM245">
        <f>AE245*(1+'What-If Analysis'!$B$3)</f>
        <v>19.5</v>
      </c>
      <c r="AN245">
        <f>Y245*(1+'What-If Analysis'!$B$4)</f>
        <v>869.59400000000005</v>
      </c>
      <c r="AO245">
        <f t="shared" si="88"/>
        <v>11729.055</v>
      </c>
    </row>
    <row r="246" spans="1:41" x14ac:dyDescent="0.3">
      <c r="A246" t="s">
        <v>130</v>
      </c>
      <c r="B246" s="3">
        <v>44987</v>
      </c>
      <c r="C246" s="3">
        <f t="shared" si="69"/>
        <v>44987</v>
      </c>
      <c r="D246" s="3">
        <v>44990</v>
      </c>
      <c r="E246" s="3">
        <f t="shared" si="70"/>
        <v>44990</v>
      </c>
      <c r="F246" s="16">
        <f t="shared" si="71"/>
        <v>3</v>
      </c>
      <c r="G246" s="16">
        <f>IF(Data!F155&lt;=7,1,0)</f>
        <v>0</v>
      </c>
      <c r="H246" s="5" t="str">
        <f t="shared" si="72"/>
        <v>03-2023</v>
      </c>
      <c r="I246" s="5" t="str">
        <f t="shared" si="73"/>
        <v>Q1-2023</v>
      </c>
      <c r="J246" s="3">
        <f t="shared" si="74"/>
        <v>44955</v>
      </c>
      <c r="K246" s="5" t="str">
        <f t="shared" si="75"/>
        <v>01-2023</v>
      </c>
      <c r="L246" t="s">
        <v>648</v>
      </c>
      <c r="M246" t="s">
        <v>655</v>
      </c>
      <c r="N246" t="s">
        <v>672</v>
      </c>
      <c r="O246" t="str">
        <f t="shared" si="76"/>
        <v>Brasília</v>
      </c>
      <c r="P246" t="s">
        <v>706</v>
      </c>
      <c r="Q246" t="s">
        <v>711</v>
      </c>
      <c r="R246" t="str">
        <f t="shared" si="77"/>
        <v>Direct</v>
      </c>
      <c r="S246" t="s">
        <v>715</v>
      </c>
      <c r="T246" t="str">
        <f t="shared" si="90"/>
        <v>G. Dubois</v>
      </c>
      <c r="U246" t="s">
        <v>732</v>
      </c>
      <c r="V246" t="str">
        <f t="shared" si="78"/>
        <v>High</v>
      </c>
      <c r="W246" t="s">
        <v>849</v>
      </c>
      <c r="X246" t="str">
        <f t="shared" si="79"/>
        <v>A</v>
      </c>
      <c r="Y246" s="5">
        <v>1473.58</v>
      </c>
      <c r="Z246" s="5">
        <v>3436.52</v>
      </c>
      <c r="AA246" s="5">
        <f t="shared" si="80"/>
        <v>3436.52</v>
      </c>
      <c r="AB246" s="7">
        <v>0.108</v>
      </c>
      <c r="AC246" s="7">
        <f t="shared" si="81"/>
        <v>0.108</v>
      </c>
      <c r="AD246" s="16">
        <f t="shared" si="82"/>
        <v>0</v>
      </c>
      <c r="AE246" s="16">
        <v>8</v>
      </c>
      <c r="AF246" s="5">
        <f t="shared" si="83"/>
        <v>24523.006720000001</v>
      </c>
      <c r="AG246">
        <f t="shared" si="84"/>
        <v>11788.64</v>
      </c>
      <c r="AH246" s="5">
        <f t="shared" si="85"/>
        <v>12734.366720000002</v>
      </c>
      <c r="AI246" s="5">
        <f t="shared" si="86"/>
        <v>0.51928243813652564</v>
      </c>
      <c r="AJ246" s="5">
        <f t="shared" si="89"/>
        <v>7826717.7430100003</v>
      </c>
      <c r="AK246" s="7">
        <f t="shared" si="87"/>
        <v>0.71504510284291312</v>
      </c>
      <c r="AL246" s="17">
        <f>MIN(AC246,'What-If Analysis'!$B$2)</f>
        <v>0.108</v>
      </c>
      <c r="AM246">
        <f>AE246*(1+'What-If Analysis'!$B$3)</f>
        <v>10.4</v>
      </c>
      <c r="AN246">
        <f>Y246*(1+'What-If Analysis'!$B$4)</f>
        <v>1620.9380000000001</v>
      </c>
      <c r="AO246">
        <f t="shared" si="88"/>
        <v>31879.908736000005</v>
      </c>
    </row>
    <row r="247" spans="1:41" x14ac:dyDescent="0.3">
      <c r="A247" t="s">
        <v>458</v>
      </c>
      <c r="B247" s="3">
        <v>45560</v>
      </c>
      <c r="C247" s="3">
        <f t="shared" si="69"/>
        <v>45560</v>
      </c>
      <c r="D247" s="3">
        <v>45568</v>
      </c>
      <c r="E247" s="3">
        <f t="shared" si="70"/>
        <v>45568</v>
      </c>
      <c r="F247" s="16">
        <f t="shared" si="71"/>
        <v>8</v>
      </c>
      <c r="G247" s="16">
        <f>IF(Data!F181&lt;=7,1,0)</f>
        <v>0</v>
      </c>
      <c r="H247" s="5" t="str">
        <f t="shared" si="72"/>
        <v>09-2024</v>
      </c>
      <c r="I247" s="5" t="str">
        <f t="shared" si="73"/>
        <v>Q3-2024</v>
      </c>
      <c r="J247" s="3">
        <f t="shared" si="74"/>
        <v>44928</v>
      </c>
      <c r="K247" s="5" t="str">
        <f t="shared" si="75"/>
        <v>01-2023</v>
      </c>
      <c r="L247" t="s">
        <v>648</v>
      </c>
      <c r="M247" t="s">
        <v>653</v>
      </c>
      <c r="N247" t="s">
        <v>667</v>
      </c>
      <c r="O247" t="str">
        <f t="shared" si="76"/>
        <v>Toronto</v>
      </c>
      <c r="P247" t="s">
        <v>704</v>
      </c>
      <c r="Q247" t="s">
        <v>708</v>
      </c>
      <c r="R247" t="str">
        <f t="shared" si="77"/>
        <v>Online</v>
      </c>
      <c r="S247" t="s">
        <v>718</v>
      </c>
      <c r="T247" t="str">
        <f t="shared" si="90"/>
        <v>E. Garcia</v>
      </c>
      <c r="U247" t="s">
        <v>728</v>
      </c>
      <c r="V247" t="str">
        <f t="shared" si="78"/>
        <v>Medium</v>
      </c>
      <c r="W247" t="s">
        <v>1177</v>
      </c>
      <c r="X247" t="str">
        <f t="shared" si="79"/>
        <v>A</v>
      </c>
      <c r="Y247" s="5">
        <v>558.19000000000005</v>
      </c>
      <c r="Z247" s="5">
        <v>1031.6400000000001</v>
      </c>
      <c r="AA247" s="5">
        <f t="shared" si="80"/>
        <v>1031.6400000000001</v>
      </c>
      <c r="AB247" s="7">
        <v>0</v>
      </c>
      <c r="AC247" s="7">
        <f t="shared" si="81"/>
        <v>0</v>
      </c>
      <c r="AD247" s="16">
        <f t="shared" si="82"/>
        <v>0</v>
      </c>
      <c r="AE247" s="16">
        <v>21</v>
      </c>
      <c r="AF247" s="5">
        <f t="shared" si="83"/>
        <v>21664.440000000002</v>
      </c>
      <c r="AG247">
        <f t="shared" si="84"/>
        <v>11721.990000000002</v>
      </c>
      <c r="AH247" s="5">
        <f t="shared" si="85"/>
        <v>9942.4500000000007</v>
      </c>
      <c r="AI247" s="5">
        <f t="shared" si="86"/>
        <v>0.45892947152107322</v>
      </c>
      <c r="AJ247" s="5">
        <f t="shared" si="89"/>
        <v>7848382.1830100007</v>
      </c>
      <c r="AK247" s="7">
        <f t="shared" si="87"/>
        <v>0.71702435547939269</v>
      </c>
      <c r="AL247" s="17">
        <f>MIN(AC247,'What-If Analysis'!$B$2)</f>
        <v>0</v>
      </c>
      <c r="AM247">
        <f>AE247*(1+'What-If Analysis'!$B$3)</f>
        <v>27.3</v>
      </c>
      <c r="AN247">
        <f>Y247*(1+'What-If Analysis'!$B$4)</f>
        <v>614.00900000000013</v>
      </c>
      <c r="AO247">
        <f t="shared" si="88"/>
        <v>28163.772000000004</v>
      </c>
    </row>
    <row r="248" spans="1:41" x14ac:dyDescent="0.3">
      <c r="A248" t="s">
        <v>136</v>
      </c>
      <c r="B248" s="3">
        <v>45249</v>
      </c>
      <c r="C248" s="3">
        <f t="shared" si="69"/>
        <v>45249</v>
      </c>
      <c r="D248" s="3">
        <v>45273</v>
      </c>
      <c r="E248" s="3">
        <f t="shared" si="70"/>
        <v>45273</v>
      </c>
      <c r="F248" s="16">
        <f t="shared" si="71"/>
        <v>24</v>
      </c>
      <c r="G248" s="16">
        <f>IF(Data!F169&lt;=7,1,0)</f>
        <v>1</v>
      </c>
      <c r="H248" s="5" t="str">
        <f t="shared" si="72"/>
        <v>11-2023</v>
      </c>
      <c r="I248" s="5" t="str">
        <f t="shared" si="73"/>
        <v>Q4-2023</v>
      </c>
      <c r="J248" s="3">
        <f t="shared" si="74"/>
        <v>44936</v>
      </c>
      <c r="K248" s="5" t="str">
        <f t="shared" si="75"/>
        <v>01-2023</v>
      </c>
      <c r="L248" t="s">
        <v>649</v>
      </c>
      <c r="M248" t="s">
        <v>657</v>
      </c>
      <c r="N248" t="s">
        <v>679</v>
      </c>
      <c r="O248" t="str">
        <f t="shared" si="76"/>
        <v>Lyon</v>
      </c>
      <c r="P248" t="s">
        <v>703</v>
      </c>
      <c r="Q248" t="s">
        <v>711</v>
      </c>
      <c r="R248" t="str">
        <f t="shared" si="77"/>
        <v>Direct</v>
      </c>
      <c r="S248" t="s">
        <v>722</v>
      </c>
      <c r="T248" t="str">
        <f t="shared" si="90"/>
        <v>H. Kim</v>
      </c>
      <c r="U248" t="s">
        <v>732</v>
      </c>
      <c r="V248" t="str">
        <f t="shared" si="78"/>
        <v>High</v>
      </c>
      <c r="W248" t="s">
        <v>855</v>
      </c>
      <c r="X248" t="str">
        <f t="shared" si="79"/>
        <v>A</v>
      </c>
      <c r="Y248" s="5">
        <v>1297.42</v>
      </c>
      <c r="Z248" s="5">
        <v>2742.97</v>
      </c>
      <c r="AA248" s="5">
        <f t="shared" si="80"/>
        <v>2742.97</v>
      </c>
      <c r="AB248" s="7">
        <v>6.9000000000000006E-2</v>
      </c>
      <c r="AC248" s="7">
        <f t="shared" si="81"/>
        <v>6.9000000000000006E-2</v>
      </c>
      <c r="AD248" s="16">
        <f t="shared" si="82"/>
        <v>0</v>
      </c>
      <c r="AE248" s="16">
        <v>9</v>
      </c>
      <c r="AF248" s="5">
        <f t="shared" si="83"/>
        <v>22983.34563</v>
      </c>
      <c r="AG248">
        <f t="shared" si="84"/>
        <v>11676.78</v>
      </c>
      <c r="AH248" s="5">
        <f t="shared" si="85"/>
        <v>11306.565629999999</v>
      </c>
      <c r="AI248" s="5">
        <f t="shared" si="86"/>
        <v>0.49194602961727291</v>
      </c>
      <c r="AJ248" s="5">
        <f t="shared" si="89"/>
        <v>7871365.5286400011</v>
      </c>
      <c r="AK248" s="7">
        <f t="shared" si="87"/>
        <v>0.71912410268879667</v>
      </c>
      <c r="AL248" s="17">
        <f>MIN(AC248,'What-If Analysis'!$B$2)</f>
        <v>6.9000000000000006E-2</v>
      </c>
      <c r="AM248">
        <f>AE248*(1+'What-If Analysis'!$B$3)</f>
        <v>11.700000000000001</v>
      </c>
      <c r="AN248">
        <f>Y248*(1+'What-If Analysis'!$B$4)</f>
        <v>1427.1620000000003</v>
      </c>
      <c r="AO248">
        <f t="shared" si="88"/>
        <v>29878.349319000001</v>
      </c>
    </row>
    <row r="249" spans="1:41" x14ac:dyDescent="0.3">
      <c r="A249" t="s">
        <v>395</v>
      </c>
      <c r="B249" s="3">
        <v>45876</v>
      </c>
      <c r="C249" s="3">
        <f t="shared" si="69"/>
        <v>45876</v>
      </c>
      <c r="D249" s="3">
        <v>45906</v>
      </c>
      <c r="E249" s="3">
        <f t="shared" si="70"/>
        <v>45906</v>
      </c>
      <c r="F249" s="16">
        <f t="shared" si="71"/>
        <v>30</v>
      </c>
      <c r="G249" s="16">
        <f>IF(Data!F301&lt;=7,1,0)</f>
        <v>0</v>
      </c>
      <c r="H249" s="5" t="str">
        <f t="shared" si="72"/>
        <v>08-2025</v>
      </c>
      <c r="I249" s="5" t="str">
        <f t="shared" si="73"/>
        <v>Q3-2025</v>
      </c>
      <c r="J249" s="3">
        <f t="shared" si="74"/>
        <v>44928</v>
      </c>
      <c r="K249" s="5" t="str">
        <f t="shared" si="75"/>
        <v>01-2023</v>
      </c>
      <c r="L249" t="s">
        <v>648</v>
      </c>
      <c r="M249" t="s">
        <v>653</v>
      </c>
      <c r="N249" t="s">
        <v>681</v>
      </c>
      <c r="O249" t="str">
        <f t="shared" si="76"/>
        <v>Montreal</v>
      </c>
      <c r="P249" t="s">
        <v>702</v>
      </c>
      <c r="Q249" t="s">
        <v>711</v>
      </c>
      <c r="R249" t="str">
        <f t="shared" si="77"/>
        <v>Direct</v>
      </c>
      <c r="S249" t="s">
        <v>724</v>
      </c>
      <c r="T249" t="str">
        <f t="shared" si="90"/>
        <v>M. Rossi</v>
      </c>
      <c r="U249" t="s">
        <v>729</v>
      </c>
      <c r="V249" t="str">
        <f t="shared" si="78"/>
        <v>Medium</v>
      </c>
      <c r="W249" t="s">
        <v>1114</v>
      </c>
      <c r="X249" t="str">
        <f t="shared" si="79"/>
        <v>A</v>
      </c>
      <c r="Y249" s="5">
        <v>833.73</v>
      </c>
      <c r="Z249" s="5">
        <v>1116.5999999999999</v>
      </c>
      <c r="AA249" s="5">
        <f t="shared" si="80"/>
        <v>1116.5999999999999</v>
      </c>
      <c r="AB249" s="7">
        <v>0.17599999999999999</v>
      </c>
      <c r="AC249" s="7">
        <f t="shared" si="81"/>
        <v>0.17599999999999999</v>
      </c>
      <c r="AD249" s="16">
        <f t="shared" si="82"/>
        <v>0</v>
      </c>
      <c r="AE249" s="16">
        <v>14</v>
      </c>
      <c r="AF249" s="5">
        <f t="shared" si="83"/>
        <v>12881.097599999999</v>
      </c>
      <c r="AG249">
        <f t="shared" si="84"/>
        <v>11672.220000000001</v>
      </c>
      <c r="AH249" s="5">
        <f t="shared" si="85"/>
        <v>1208.877599999998</v>
      </c>
      <c r="AI249" s="5">
        <f t="shared" si="86"/>
        <v>9.3848958958279924E-2</v>
      </c>
      <c r="AJ249" s="5">
        <f t="shared" si="89"/>
        <v>7884246.6262400011</v>
      </c>
      <c r="AK249" s="7">
        <f t="shared" si="87"/>
        <v>0.72030091346191394</v>
      </c>
      <c r="AL249" s="17">
        <f>MIN(AC249,'What-If Analysis'!$B$2)</f>
        <v>0.17599999999999999</v>
      </c>
      <c r="AM249">
        <f>AE249*(1+'What-If Analysis'!$B$3)</f>
        <v>18.2</v>
      </c>
      <c r="AN249">
        <f>Y249*(1+'What-If Analysis'!$B$4)</f>
        <v>917.10300000000007</v>
      </c>
      <c r="AO249">
        <f t="shared" si="88"/>
        <v>16745.426879999999</v>
      </c>
    </row>
    <row r="250" spans="1:41" x14ac:dyDescent="0.3">
      <c r="A250" t="s">
        <v>65</v>
      </c>
      <c r="B250" s="3">
        <v>45602</v>
      </c>
      <c r="C250" s="3">
        <f t="shared" si="69"/>
        <v>45602</v>
      </c>
      <c r="D250" s="3">
        <v>45618</v>
      </c>
      <c r="E250" s="3">
        <f t="shared" si="70"/>
        <v>45618</v>
      </c>
      <c r="F250" s="16">
        <f t="shared" si="71"/>
        <v>16</v>
      </c>
      <c r="G250" s="16">
        <f>IF(Data!F265&lt;=7,1,0)</f>
        <v>0</v>
      </c>
      <c r="H250" s="5" t="str">
        <f t="shared" si="72"/>
        <v>11-2024</v>
      </c>
      <c r="I250" s="5" t="str">
        <f t="shared" si="73"/>
        <v>Q4-2024</v>
      </c>
      <c r="J250" s="3">
        <f t="shared" si="74"/>
        <v>44928</v>
      </c>
      <c r="K250" s="5" t="str">
        <f t="shared" si="75"/>
        <v>01-2023</v>
      </c>
      <c r="L250" t="s">
        <v>648</v>
      </c>
      <c r="M250" t="s">
        <v>653</v>
      </c>
      <c r="N250" t="s">
        <v>667</v>
      </c>
      <c r="O250" t="str">
        <f t="shared" si="76"/>
        <v>Toronto</v>
      </c>
      <c r="P250" t="s">
        <v>703</v>
      </c>
      <c r="Q250" t="s">
        <v>710</v>
      </c>
      <c r="R250" t="str">
        <f t="shared" si="77"/>
        <v>Distributor</v>
      </c>
      <c r="S250" t="s">
        <v>726</v>
      </c>
      <c r="T250" t="str">
        <f t="shared" si="90"/>
        <v>D. Smith</v>
      </c>
      <c r="U250" t="s">
        <v>733</v>
      </c>
      <c r="V250" t="str">
        <f t="shared" si="78"/>
        <v>High</v>
      </c>
      <c r="W250" t="s">
        <v>784</v>
      </c>
      <c r="X250" t="str">
        <f t="shared" si="79"/>
        <v>A</v>
      </c>
      <c r="Y250" s="5">
        <v>1454.11</v>
      </c>
      <c r="Z250" s="5">
        <v>2629.75</v>
      </c>
      <c r="AA250" s="5">
        <f t="shared" si="80"/>
        <v>2629.75</v>
      </c>
      <c r="AB250" s="7">
        <v>0.29199999999999998</v>
      </c>
      <c r="AC250" s="7">
        <f t="shared" si="81"/>
        <v>0.29199999999999998</v>
      </c>
      <c r="AD250" s="16">
        <f t="shared" si="82"/>
        <v>1</v>
      </c>
      <c r="AE250" s="16">
        <v>8</v>
      </c>
      <c r="AF250" s="5">
        <f t="shared" si="83"/>
        <v>14894.903999999999</v>
      </c>
      <c r="AG250">
        <f t="shared" si="84"/>
        <v>11632.88</v>
      </c>
      <c r="AH250" s="5">
        <f t="shared" si="85"/>
        <v>3262.0239999999994</v>
      </c>
      <c r="AI250" s="5">
        <f t="shared" si="86"/>
        <v>0.21900268709351867</v>
      </c>
      <c r="AJ250" s="5">
        <f t="shared" si="89"/>
        <v>7899141.5302400012</v>
      </c>
      <c r="AK250" s="7">
        <f t="shared" si="87"/>
        <v>0.72166170460223922</v>
      </c>
      <c r="AL250" s="17">
        <f>MIN(AC250,'What-If Analysis'!$B$2)</f>
        <v>0.2</v>
      </c>
      <c r="AM250">
        <f>AE250*(1+'What-If Analysis'!$B$3)</f>
        <v>10.4</v>
      </c>
      <c r="AN250">
        <f>Y250*(1+'What-If Analysis'!$B$4)</f>
        <v>1599.521</v>
      </c>
      <c r="AO250">
        <f t="shared" si="88"/>
        <v>21879.520000000004</v>
      </c>
    </row>
    <row r="251" spans="1:41" x14ac:dyDescent="0.3">
      <c r="A251" t="s">
        <v>265</v>
      </c>
      <c r="B251" s="3">
        <v>44989</v>
      </c>
      <c r="C251" s="3">
        <f t="shared" si="69"/>
        <v>44989</v>
      </c>
      <c r="D251" s="3">
        <v>45009</v>
      </c>
      <c r="E251" s="3">
        <f t="shared" si="70"/>
        <v>45009</v>
      </c>
      <c r="F251" s="16">
        <f t="shared" si="71"/>
        <v>20</v>
      </c>
      <c r="G251" s="16">
        <f>IF(Data!F230&lt;=7,1,0)</f>
        <v>1</v>
      </c>
      <c r="H251" s="5" t="str">
        <f t="shared" si="72"/>
        <v>03-2023</v>
      </c>
      <c r="I251" s="5" t="str">
        <f t="shared" si="73"/>
        <v>Q1-2023</v>
      </c>
      <c r="J251" s="3">
        <f t="shared" si="74"/>
        <v>44928</v>
      </c>
      <c r="K251" s="5" t="str">
        <f t="shared" si="75"/>
        <v>01-2023</v>
      </c>
      <c r="L251" t="s">
        <v>648</v>
      </c>
      <c r="M251" t="s">
        <v>653</v>
      </c>
      <c r="N251" t="s">
        <v>681</v>
      </c>
      <c r="O251" t="str">
        <f t="shared" si="76"/>
        <v>Montreal</v>
      </c>
      <c r="P251" t="s">
        <v>704</v>
      </c>
      <c r="Q251" t="s">
        <v>710</v>
      </c>
      <c r="R251" t="str">
        <f t="shared" si="77"/>
        <v>Distributor</v>
      </c>
      <c r="S251" t="s">
        <v>714</v>
      </c>
      <c r="T251" t="str">
        <f t="shared" si="90"/>
        <v>I. Johnson</v>
      </c>
      <c r="U251" t="s">
        <v>731</v>
      </c>
      <c r="V251" t="str">
        <f t="shared" si="78"/>
        <v>Medium</v>
      </c>
      <c r="W251" t="s">
        <v>985</v>
      </c>
      <c r="X251" t="str">
        <f t="shared" si="79"/>
        <v>A</v>
      </c>
      <c r="Y251" s="5">
        <v>481.71</v>
      </c>
      <c r="Z251" s="5">
        <v>912.45</v>
      </c>
      <c r="AA251" s="5">
        <f t="shared" si="80"/>
        <v>912.45</v>
      </c>
      <c r="AB251" s="7">
        <v>0.20300000000000001</v>
      </c>
      <c r="AC251" s="7">
        <f t="shared" si="81"/>
        <v>0.20300000000000001</v>
      </c>
      <c r="AD251" s="16">
        <f t="shared" si="82"/>
        <v>1</v>
      </c>
      <c r="AE251" s="16">
        <v>24</v>
      </c>
      <c r="AF251" s="5">
        <f t="shared" si="83"/>
        <v>17453.3436</v>
      </c>
      <c r="AG251">
        <f t="shared" si="84"/>
        <v>11561.039999999999</v>
      </c>
      <c r="AH251" s="5">
        <f t="shared" si="85"/>
        <v>5892.3036000000011</v>
      </c>
      <c r="AI251" s="5">
        <f t="shared" si="86"/>
        <v>0.33760313983619739</v>
      </c>
      <c r="AJ251" s="5">
        <f t="shared" si="89"/>
        <v>7916594.8738400014</v>
      </c>
      <c r="AK251" s="7">
        <f t="shared" si="87"/>
        <v>0.72325623353239787</v>
      </c>
      <c r="AL251" s="17">
        <f>MIN(AC251,'What-If Analysis'!$B$2)</f>
        <v>0.2</v>
      </c>
      <c r="AM251">
        <f>AE251*(1+'What-If Analysis'!$B$3)</f>
        <v>31.200000000000003</v>
      </c>
      <c r="AN251">
        <f>Y251*(1+'What-If Analysis'!$B$4)</f>
        <v>529.88099999999997</v>
      </c>
      <c r="AO251">
        <f t="shared" si="88"/>
        <v>22774.752000000004</v>
      </c>
    </row>
    <row r="252" spans="1:41" x14ac:dyDescent="0.3">
      <c r="A252" t="s">
        <v>378</v>
      </c>
      <c r="B252" s="3">
        <v>45082</v>
      </c>
      <c r="C252" s="3">
        <f t="shared" si="69"/>
        <v>45082</v>
      </c>
      <c r="D252" s="3">
        <v>45105</v>
      </c>
      <c r="E252" s="3">
        <f t="shared" si="70"/>
        <v>45105</v>
      </c>
      <c r="F252" s="16">
        <f t="shared" si="71"/>
        <v>23</v>
      </c>
      <c r="G252" s="16">
        <f>IF(Data!F303&lt;=7,1,0)</f>
        <v>0</v>
      </c>
      <c r="H252" s="5" t="str">
        <f t="shared" si="72"/>
        <v>06-2023</v>
      </c>
      <c r="I252" s="5" t="str">
        <f t="shared" si="73"/>
        <v>Q2-2023</v>
      </c>
      <c r="J252" s="3">
        <f t="shared" si="74"/>
        <v>44945</v>
      </c>
      <c r="K252" s="5" t="str">
        <f t="shared" si="75"/>
        <v>01-2023</v>
      </c>
      <c r="L252" t="s">
        <v>649</v>
      </c>
      <c r="M252" t="s">
        <v>658</v>
      </c>
      <c r="N252" t="s">
        <v>674</v>
      </c>
      <c r="O252" t="str">
        <f t="shared" si="76"/>
        <v>Birmingham</v>
      </c>
      <c r="P252" t="s">
        <v>701</v>
      </c>
      <c r="Q252" t="s">
        <v>711</v>
      </c>
      <c r="R252" t="str">
        <f t="shared" si="77"/>
        <v>Direct</v>
      </c>
      <c r="S252" t="s">
        <v>723</v>
      </c>
      <c r="T252" t="str">
        <f t="shared" si="90"/>
        <v>K. Singh</v>
      </c>
      <c r="U252" t="s">
        <v>728</v>
      </c>
      <c r="V252" t="str">
        <f t="shared" si="78"/>
        <v>Low</v>
      </c>
      <c r="W252" t="s">
        <v>1098</v>
      </c>
      <c r="X252" t="str">
        <f t="shared" si="79"/>
        <v>A</v>
      </c>
      <c r="Y252" s="5">
        <v>605.82000000000005</v>
      </c>
      <c r="Z252" s="5">
        <v>771.12</v>
      </c>
      <c r="AA252" s="5">
        <f t="shared" si="80"/>
        <v>771.12</v>
      </c>
      <c r="AB252" s="7">
        <v>0.13200000000000001</v>
      </c>
      <c r="AC252" s="7">
        <f t="shared" si="81"/>
        <v>0.13200000000000001</v>
      </c>
      <c r="AD252" s="16">
        <f t="shared" si="82"/>
        <v>0</v>
      </c>
      <c r="AE252" s="16">
        <v>19</v>
      </c>
      <c r="AF252" s="5">
        <f t="shared" si="83"/>
        <v>12717.311040000001</v>
      </c>
      <c r="AG252">
        <f t="shared" si="84"/>
        <v>11510.580000000002</v>
      </c>
      <c r="AH252" s="5">
        <f t="shared" si="85"/>
        <v>1206.7310399999988</v>
      </c>
      <c r="AI252" s="5">
        <f t="shared" si="86"/>
        <v>9.4888851597986767E-2</v>
      </c>
      <c r="AJ252" s="5">
        <f t="shared" si="89"/>
        <v>7929312.1848800015</v>
      </c>
      <c r="AK252" s="7">
        <f t="shared" si="87"/>
        <v>0.7244180808455456</v>
      </c>
      <c r="AL252" s="17">
        <f>MIN(AC252,'What-If Analysis'!$B$2)</f>
        <v>0.13200000000000001</v>
      </c>
      <c r="AM252">
        <f>AE252*(1+'What-If Analysis'!$B$3)</f>
        <v>24.7</v>
      </c>
      <c r="AN252">
        <f>Y252*(1+'What-If Analysis'!$B$4)</f>
        <v>666.40200000000016</v>
      </c>
      <c r="AO252">
        <f t="shared" si="88"/>
        <v>16532.504352</v>
      </c>
    </row>
    <row r="253" spans="1:41" x14ac:dyDescent="0.3">
      <c r="A253" t="s">
        <v>273</v>
      </c>
      <c r="B253" s="3">
        <v>45210</v>
      </c>
      <c r="C253" s="3">
        <f t="shared" si="69"/>
        <v>45210</v>
      </c>
      <c r="D253" s="3">
        <v>45212</v>
      </c>
      <c r="E253" s="3">
        <f t="shared" si="70"/>
        <v>45212</v>
      </c>
      <c r="F253" s="16">
        <f t="shared" si="71"/>
        <v>2</v>
      </c>
      <c r="G253" s="16">
        <f>IF(Data!F425&lt;=7,1,0)</f>
        <v>0</v>
      </c>
      <c r="H253" s="5" t="str">
        <f t="shared" si="72"/>
        <v>10-2023</v>
      </c>
      <c r="I253" s="5" t="str">
        <f t="shared" si="73"/>
        <v>Q4-2023</v>
      </c>
      <c r="J253" s="3">
        <f t="shared" si="74"/>
        <v>44955</v>
      </c>
      <c r="K253" s="5" t="str">
        <f t="shared" si="75"/>
        <v>01-2023</v>
      </c>
      <c r="L253" t="s">
        <v>648</v>
      </c>
      <c r="M253" t="s">
        <v>655</v>
      </c>
      <c r="N253" t="s">
        <v>672</v>
      </c>
      <c r="O253" t="str">
        <f t="shared" si="76"/>
        <v>Brasília</v>
      </c>
      <c r="P253" t="s">
        <v>704</v>
      </c>
      <c r="Q253" t="s">
        <v>710</v>
      </c>
      <c r="R253" t="str">
        <f t="shared" si="77"/>
        <v>Distributor</v>
      </c>
      <c r="T253" t="str">
        <f t="shared" si="90"/>
        <v>H. Kim</v>
      </c>
      <c r="U253" t="s">
        <v>733</v>
      </c>
      <c r="V253" t="str">
        <f t="shared" si="78"/>
        <v>Low</v>
      </c>
      <c r="W253" t="s">
        <v>993</v>
      </c>
      <c r="X253" t="str">
        <f t="shared" si="79"/>
        <v>A</v>
      </c>
      <c r="Y253" s="5">
        <v>715.94</v>
      </c>
      <c r="Z253" s="5">
        <v>550.07000000000005</v>
      </c>
      <c r="AA253" s="5">
        <f t="shared" si="80"/>
        <v>550.07000000000005</v>
      </c>
      <c r="AB253" s="7">
        <v>0.14000000000000001</v>
      </c>
      <c r="AC253" s="7">
        <f t="shared" si="81"/>
        <v>0.14000000000000001</v>
      </c>
      <c r="AD253" s="16">
        <f t="shared" si="82"/>
        <v>0</v>
      </c>
      <c r="AE253" s="16">
        <v>16</v>
      </c>
      <c r="AF253" s="5">
        <f t="shared" si="83"/>
        <v>7568.9632000000001</v>
      </c>
      <c r="AG253">
        <f t="shared" si="84"/>
        <v>11455.04</v>
      </c>
      <c r="AH253" s="5">
        <f t="shared" si="85"/>
        <v>3886.0768000000007</v>
      </c>
      <c r="AI253" s="5">
        <f t="shared" si="86"/>
        <v>0.51342260456491595</v>
      </c>
      <c r="AJ253" s="5">
        <f t="shared" si="89"/>
        <v>7936881.1480800016</v>
      </c>
      <c r="AK253" s="7">
        <f t="shared" si="87"/>
        <v>0.72510957761947636</v>
      </c>
      <c r="AL253" s="17">
        <f>MIN(AC253,'What-If Analysis'!$B$2)</f>
        <v>0.14000000000000001</v>
      </c>
      <c r="AM253">
        <f>AE253*(1+'What-If Analysis'!$B$3)</f>
        <v>20.8</v>
      </c>
      <c r="AN253">
        <f>Y253*(1+'What-If Analysis'!$B$4)</f>
        <v>787.53400000000011</v>
      </c>
      <c r="AO253">
        <f t="shared" si="88"/>
        <v>9839.6521600000015</v>
      </c>
    </row>
    <row r="254" spans="1:41" x14ac:dyDescent="0.3">
      <c r="A254" t="s">
        <v>39</v>
      </c>
      <c r="B254" s="3">
        <v>44964</v>
      </c>
      <c r="C254" s="3">
        <f t="shared" si="69"/>
        <v>44964</v>
      </c>
      <c r="D254" s="3">
        <v>44969</v>
      </c>
      <c r="E254" s="3">
        <f t="shared" si="70"/>
        <v>44969</v>
      </c>
      <c r="F254" s="16">
        <f t="shared" si="71"/>
        <v>5</v>
      </c>
      <c r="G254" s="16">
        <f>IF(Data!F154&lt;=7,1,0)</f>
        <v>0</v>
      </c>
      <c r="H254" s="5" t="str">
        <f t="shared" si="72"/>
        <v>02-2023</v>
      </c>
      <c r="I254" s="5" t="str">
        <f t="shared" si="73"/>
        <v>Q1-2023</v>
      </c>
      <c r="J254" s="3">
        <f t="shared" si="74"/>
        <v>44955</v>
      </c>
      <c r="K254" s="5" t="str">
        <f t="shared" si="75"/>
        <v>01-2023</v>
      </c>
      <c r="L254" t="s">
        <v>648</v>
      </c>
      <c r="M254" t="s">
        <v>655</v>
      </c>
      <c r="N254" t="s">
        <v>670</v>
      </c>
      <c r="O254" t="str">
        <f t="shared" si="76"/>
        <v>São Paulo</v>
      </c>
      <c r="P254" t="s">
        <v>702</v>
      </c>
      <c r="Q254" t="s">
        <v>708</v>
      </c>
      <c r="R254" t="str">
        <f t="shared" si="77"/>
        <v>Online</v>
      </c>
      <c r="S254" t="s">
        <v>725</v>
      </c>
      <c r="T254" t="str">
        <f t="shared" si="90"/>
        <v>N. Brown</v>
      </c>
      <c r="U254" t="s">
        <v>727</v>
      </c>
      <c r="V254" t="str">
        <f t="shared" si="78"/>
        <v>High</v>
      </c>
      <c r="W254" t="s">
        <v>758</v>
      </c>
      <c r="X254" t="str">
        <f t="shared" si="79"/>
        <v>A</v>
      </c>
      <c r="Y254" s="5">
        <v>948.55</v>
      </c>
      <c r="Z254" s="5">
        <v>2089.16</v>
      </c>
      <c r="AA254" s="5">
        <f t="shared" si="80"/>
        <v>2089.16</v>
      </c>
      <c r="AB254" s="7">
        <v>7.0000000000000001E-3</v>
      </c>
      <c r="AC254" s="7">
        <f t="shared" si="81"/>
        <v>7.0000000000000001E-3</v>
      </c>
      <c r="AD254" s="16">
        <f t="shared" si="82"/>
        <v>0</v>
      </c>
      <c r="AE254" s="16">
        <v>12</v>
      </c>
      <c r="AF254" s="5">
        <f t="shared" si="83"/>
        <v>24894.430559999997</v>
      </c>
      <c r="AG254">
        <f t="shared" si="84"/>
        <v>11382.599999999999</v>
      </c>
      <c r="AH254" s="5">
        <f t="shared" si="85"/>
        <v>13511.830559999999</v>
      </c>
      <c r="AI254" s="5">
        <f t="shared" si="86"/>
        <v>0.54276519912492427</v>
      </c>
      <c r="AJ254" s="5">
        <f t="shared" si="89"/>
        <v>7961775.5786400018</v>
      </c>
      <c r="AK254" s="7">
        <f t="shared" si="87"/>
        <v>0.72738392061285817</v>
      </c>
      <c r="AL254" s="17">
        <f>MIN(AC254,'What-If Analysis'!$B$2)</f>
        <v>7.0000000000000001E-3</v>
      </c>
      <c r="AM254">
        <f>AE254*(1+'What-If Analysis'!$B$3)</f>
        <v>15.600000000000001</v>
      </c>
      <c r="AN254">
        <f>Y254*(1+'What-If Analysis'!$B$4)</f>
        <v>1043.405</v>
      </c>
      <c r="AO254">
        <f t="shared" si="88"/>
        <v>32362.759728000001</v>
      </c>
    </row>
    <row r="255" spans="1:41" x14ac:dyDescent="0.3">
      <c r="A255" t="s">
        <v>628</v>
      </c>
      <c r="B255" s="3">
        <v>45137</v>
      </c>
      <c r="C255" s="3">
        <f t="shared" si="69"/>
        <v>45137</v>
      </c>
      <c r="D255" s="3">
        <v>45157</v>
      </c>
      <c r="E255" s="3">
        <f t="shared" si="70"/>
        <v>45157</v>
      </c>
      <c r="F255" s="16">
        <f t="shared" si="71"/>
        <v>20</v>
      </c>
      <c r="G255" s="16">
        <f>IF(Data!F217&lt;=7,1,0)</f>
        <v>0</v>
      </c>
      <c r="H255" s="5" t="str">
        <f t="shared" si="72"/>
        <v>07-2023</v>
      </c>
      <c r="I255" s="5" t="str">
        <f t="shared" si="73"/>
        <v>Q3-2023</v>
      </c>
      <c r="J255" s="3">
        <f t="shared" si="74"/>
        <v>44936</v>
      </c>
      <c r="K255" s="5" t="str">
        <f t="shared" si="75"/>
        <v>01-2023</v>
      </c>
      <c r="L255" t="s">
        <v>649</v>
      </c>
      <c r="M255" t="s">
        <v>657</v>
      </c>
      <c r="N255" t="s">
        <v>690</v>
      </c>
      <c r="O255" t="str">
        <f t="shared" si="76"/>
        <v>Paris</v>
      </c>
      <c r="P255" t="s">
        <v>706</v>
      </c>
      <c r="Q255" t="s">
        <v>709</v>
      </c>
      <c r="R255" t="str">
        <f t="shared" si="77"/>
        <v>Marketplace</v>
      </c>
      <c r="S255" t="s">
        <v>715</v>
      </c>
      <c r="T255" t="str">
        <f t="shared" si="90"/>
        <v>G. Dubois</v>
      </c>
      <c r="U255" t="s">
        <v>729</v>
      </c>
      <c r="V255" t="str">
        <f t="shared" si="78"/>
        <v>High</v>
      </c>
      <c r="W255" t="s">
        <v>1346</v>
      </c>
      <c r="X255" t="str">
        <f t="shared" si="79"/>
        <v>A</v>
      </c>
      <c r="Y255" s="5">
        <v>1418.51</v>
      </c>
      <c r="Z255" s="5">
        <v>2789.61</v>
      </c>
      <c r="AA255" s="5">
        <f t="shared" si="80"/>
        <v>2789.61</v>
      </c>
      <c r="AB255" s="7">
        <v>0.17100000000000001</v>
      </c>
      <c r="AC255" s="7">
        <f t="shared" si="81"/>
        <v>0.17100000000000001</v>
      </c>
      <c r="AD255" s="16">
        <f t="shared" si="82"/>
        <v>0</v>
      </c>
      <c r="AE255" s="16">
        <v>8</v>
      </c>
      <c r="AF255" s="5">
        <f t="shared" si="83"/>
        <v>18500.693520000001</v>
      </c>
      <c r="AG255">
        <f t="shared" si="84"/>
        <v>11348.08</v>
      </c>
      <c r="AH255" s="5">
        <f t="shared" si="85"/>
        <v>7152.6135200000008</v>
      </c>
      <c r="AI255" s="5">
        <f t="shared" si="86"/>
        <v>0.38661326464695689</v>
      </c>
      <c r="AJ255" s="5">
        <f t="shared" si="89"/>
        <v>7980276.272160002</v>
      </c>
      <c r="AK255" s="7">
        <f t="shared" si="87"/>
        <v>0.72907413491916662</v>
      </c>
      <c r="AL255" s="17">
        <f>MIN(AC255,'What-If Analysis'!$B$2)</f>
        <v>0.17100000000000001</v>
      </c>
      <c r="AM255">
        <f>AE255*(1+'What-If Analysis'!$B$3)</f>
        <v>10.4</v>
      </c>
      <c r="AN255">
        <f>Y255*(1+'What-If Analysis'!$B$4)</f>
        <v>1560.3610000000001</v>
      </c>
      <c r="AO255">
        <f t="shared" si="88"/>
        <v>24050.901576</v>
      </c>
    </row>
    <row r="256" spans="1:41" x14ac:dyDescent="0.3">
      <c r="A256" t="s">
        <v>483</v>
      </c>
      <c r="B256" s="3">
        <v>45739</v>
      </c>
      <c r="C256" s="3">
        <f t="shared" si="69"/>
        <v>45739</v>
      </c>
      <c r="D256" s="3">
        <v>45749</v>
      </c>
      <c r="E256" s="3">
        <f t="shared" si="70"/>
        <v>45749</v>
      </c>
      <c r="F256" s="16">
        <f t="shared" si="71"/>
        <v>10</v>
      </c>
      <c r="G256" s="16">
        <f>IF(Data!F240&lt;=7,1,0)</f>
        <v>0</v>
      </c>
      <c r="H256" s="5" t="str">
        <f t="shared" si="72"/>
        <v>03-2025</v>
      </c>
      <c r="I256" s="5" t="str">
        <f t="shared" si="73"/>
        <v>Q1-2025</v>
      </c>
      <c r="J256" s="3">
        <f t="shared" si="74"/>
        <v>44947</v>
      </c>
      <c r="K256" s="5" t="str">
        <f t="shared" si="75"/>
        <v>01-2023</v>
      </c>
      <c r="L256" t="s">
        <v>649</v>
      </c>
      <c r="M256" t="s">
        <v>656</v>
      </c>
      <c r="N256" t="s">
        <v>671</v>
      </c>
      <c r="O256" t="str">
        <f t="shared" si="76"/>
        <v>Berlin</v>
      </c>
      <c r="P256" t="s">
        <v>706</v>
      </c>
      <c r="Q256" t="s">
        <v>708</v>
      </c>
      <c r="R256" t="str">
        <f t="shared" si="77"/>
        <v>Online</v>
      </c>
      <c r="S256" t="s">
        <v>718</v>
      </c>
      <c r="T256" t="str">
        <f t="shared" si="90"/>
        <v>E. Garcia</v>
      </c>
      <c r="U256" t="s">
        <v>728</v>
      </c>
      <c r="V256" t="str">
        <f t="shared" si="78"/>
        <v>Medium</v>
      </c>
      <c r="W256" t="s">
        <v>1202</v>
      </c>
      <c r="X256" t="str">
        <f t="shared" si="79"/>
        <v>A</v>
      </c>
      <c r="Y256" s="5">
        <v>663.61</v>
      </c>
      <c r="Z256" s="5">
        <v>1002.11</v>
      </c>
      <c r="AA256" s="5">
        <f t="shared" si="80"/>
        <v>1002.11</v>
      </c>
      <c r="AB256" s="7">
        <v>4.5999999999999999E-2</v>
      </c>
      <c r="AC256" s="7">
        <f t="shared" si="81"/>
        <v>4.5999999999999999E-2</v>
      </c>
      <c r="AD256" s="16">
        <f t="shared" si="82"/>
        <v>0</v>
      </c>
      <c r="AE256" s="16">
        <v>17</v>
      </c>
      <c r="AF256" s="5">
        <f t="shared" si="83"/>
        <v>16252.219979999998</v>
      </c>
      <c r="AG256">
        <f t="shared" si="84"/>
        <v>11281.37</v>
      </c>
      <c r="AH256" s="5">
        <f t="shared" si="85"/>
        <v>4970.8499799999972</v>
      </c>
      <c r="AI256" s="5">
        <f t="shared" si="86"/>
        <v>0.30585667595670812</v>
      </c>
      <c r="AJ256" s="5">
        <f t="shared" si="89"/>
        <v>7996528.4921400016</v>
      </c>
      <c r="AK256" s="7">
        <f t="shared" si="87"/>
        <v>0.73055892978319537</v>
      </c>
      <c r="AL256" s="17">
        <f>MIN(AC256,'What-If Analysis'!$B$2)</f>
        <v>4.5999999999999999E-2</v>
      </c>
      <c r="AM256">
        <f>AE256*(1+'What-If Analysis'!$B$3)</f>
        <v>22.1</v>
      </c>
      <c r="AN256">
        <f>Y256*(1+'What-If Analysis'!$B$4)</f>
        <v>729.97100000000012</v>
      </c>
      <c r="AO256">
        <f t="shared" si="88"/>
        <v>21127.885974000001</v>
      </c>
    </row>
    <row r="257" spans="1:41" x14ac:dyDescent="0.3">
      <c r="A257" t="s">
        <v>53</v>
      </c>
      <c r="B257" s="3">
        <v>45401</v>
      </c>
      <c r="C257" s="3">
        <f t="shared" si="69"/>
        <v>45401</v>
      </c>
      <c r="D257" s="3">
        <v>45418</v>
      </c>
      <c r="E257" s="3">
        <f t="shared" si="70"/>
        <v>45418</v>
      </c>
      <c r="F257" s="16">
        <f t="shared" si="71"/>
        <v>17</v>
      </c>
      <c r="G257" s="16">
        <f>IF(Data!F262&lt;=7,1,0)</f>
        <v>0</v>
      </c>
      <c r="H257" s="5" t="str">
        <f t="shared" si="72"/>
        <v>04-2024</v>
      </c>
      <c r="I257" s="5" t="str">
        <f t="shared" si="73"/>
        <v>Q2-2024</v>
      </c>
      <c r="J257" s="3">
        <f t="shared" si="74"/>
        <v>44939</v>
      </c>
      <c r="K257" s="5" t="str">
        <f t="shared" si="75"/>
        <v>01-2023</v>
      </c>
      <c r="L257" t="s">
        <v>646</v>
      </c>
      <c r="M257" t="s">
        <v>651</v>
      </c>
      <c r="N257" t="s">
        <v>663</v>
      </c>
      <c r="O257" t="str">
        <f t="shared" si="76"/>
        <v>Port Harcourt</v>
      </c>
      <c r="P257" t="s">
        <v>703</v>
      </c>
      <c r="Q257" t="s">
        <v>708</v>
      </c>
      <c r="R257" t="str">
        <f t="shared" si="77"/>
        <v>Online</v>
      </c>
      <c r="S257" t="s">
        <v>720</v>
      </c>
      <c r="T257" t="str">
        <f t="shared" si="90"/>
        <v>A. Patel</v>
      </c>
      <c r="U257" t="s">
        <v>728</v>
      </c>
      <c r="V257" t="str">
        <f t="shared" si="78"/>
        <v>Medium</v>
      </c>
      <c r="W257" t="s">
        <v>772</v>
      </c>
      <c r="X257" t="str">
        <f t="shared" si="79"/>
        <v>A</v>
      </c>
      <c r="Y257" s="5">
        <v>865.33</v>
      </c>
      <c r="Z257" s="5">
        <v>1395.64</v>
      </c>
      <c r="AA257" s="5">
        <f t="shared" si="80"/>
        <v>1395.64</v>
      </c>
      <c r="AB257" s="7">
        <v>0.17499999999999999</v>
      </c>
      <c r="AC257" s="7">
        <f t="shared" si="81"/>
        <v>0.17499999999999999</v>
      </c>
      <c r="AD257" s="16">
        <f t="shared" si="82"/>
        <v>0</v>
      </c>
      <c r="AE257" s="16">
        <v>13</v>
      </c>
      <c r="AF257" s="5">
        <f t="shared" si="83"/>
        <v>14968.239</v>
      </c>
      <c r="AG257">
        <f t="shared" si="84"/>
        <v>11249.29</v>
      </c>
      <c r="AH257" s="5">
        <f t="shared" si="85"/>
        <v>3718.9489999999987</v>
      </c>
      <c r="AI257" s="5">
        <f t="shared" si="86"/>
        <v>0.24845601409758347</v>
      </c>
      <c r="AJ257" s="5">
        <f t="shared" si="89"/>
        <v>8011496.7311400017</v>
      </c>
      <c r="AK257" s="7">
        <f t="shared" si="87"/>
        <v>0.73192642077323289</v>
      </c>
      <c r="AL257" s="17">
        <f>MIN(AC257,'What-If Analysis'!$B$2)</f>
        <v>0.17499999999999999</v>
      </c>
      <c r="AM257">
        <f>AE257*(1+'What-If Analysis'!$B$3)</f>
        <v>16.900000000000002</v>
      </c>
      <c r="AN257">
        <f>Y257*(1+'What-If Analysis'!$B$4)</f>
        <v>951.86300000000017</v>
      </c>
      <c r="AO257">
        <f t="shared" si="88"/>
        <v>19458.710700000003</v>
      </c>
    </row>
    <row r="258" spans="1:41" x14ac:dyDescent="0.3">
      <c r="A258" t="s">
        <v>338</v>
      </c>
      <c r="B258" s="3">
        <v>45544</v>
      </c>
      <c r="C258" s="3">
        <f t="shared" ref="C258:C321" si="91">IF(D258&lt;B258,D258,B258)</f>
        <v>45544</v>
      </c>
      <c r="D258" s="3">
        <v>45573</v>
      </c>
      <c r="E258" s="3">
        <f t="shared" ref="E258:E321" si="92">IF(D258&lt;B258,B258,D258)</f>
        <v>45573</v>
      </c>
      <c r="F258" s="16">
        <f t="shared" ref="F258:F321" si="93">E258-C258</f>
        <v>29</v>
      </c>
      <c r="G258" s="16">
        <f>IF(Data!F141&lt;=7,1,0)</f>
        <v>1</v>
      </c>
      <c r="H258" s="5" t="str">
        <f t="shared" ref="H258:H321" si="94">TEXT(C258,"MM-YYYY")</f>
        <v>09-2024</v>
      </c>
      <c r="I258" s="5" t="str">
        <f t="shared" ref="I258:I321" si="95">"Q"&amp;ROUNDUP(MONTH(H258)/3,0)&amp;"-"&amp;YEAR(H258)</f>
        <v>Q3-2024</v>
      </c>
      <c r="J258" s="3">
        <f t="shared" ref="J258:J321" si="96">_xlfn.MINIFS(C:C,M:M,M258)</f>
        <v>44955</v>
      </c>
      <c r="K258" s="5" t="str">
        <f t="shared" ref="K258:K321" si="97">TEXT(J258,"MM-YYYY")</f>
        <v>01-2023</v>
      </c>
      <c r="L258" t="s">
        <v>648</v>
      </c>
      <c r="M258" t="s">
        <v>655</v>
      </c>
      <c r="N258" t="s">
        <v>670</v>
      </c>
      <c r="O258" t="str">
        <f t="shared" ref="O258:O321" si="98">IF(N258="",_xlfn.XLOOKUP(M258,M:M,N:N),N258)</f>
        <v>São Paulo</v>
      </c>
      <c r="P258" t="s">
        <v>702</v>
      </c>
      <c r="Q258" t="s">
        <v>711</v>
      </c>
      <c r="R258" t="str">
        <f t="shared" ref="R258:R321" si="99">IF(Q258="",_xlfn.XLOOKUP(M258,M:M,Q:Q),Q258)</f>
        <v>Direct</v>
      </c>
      <c r="S258" t="s">
        <v>713</v>
      </c>
      <c r="T258" t="str">
        <f t="shared" si="90"/>
        <v>J. Njeri</v>
      </c>
      <c r="U258" t="s">
        <v>727</v>
      </c>
      <c r="V258" t="str">
        <f t="shared" ref="V258:V321" si="100">IF(AA258&lt;815.0987,"Low",IF(AA258&lt;1640.058,"Medium","High"))</f>
        <v>High</v>
      </c>
      <c r="W258" t="s">
        <v>1058</v>
      </c>
      <c r="X258" t="str">
        <f t="shared" ref="X258:X321" si="101">IF(AK258&lt;=80%,"A",IF(AK258&lt;=95%,"B","C"))</f>
        <v>A</v>
      </c>
      <c r="Y258" s="5">
        <v>1010.33</v>
      </c>
      <c r="Z258" s="5">
        <v>2492.14</v>
      </c>
      <c r="AA258" s="5">
        <f t="shared" ref="AA258:AA321" si="102">ABS(Z258)</f>
        <v>2492.14</v>
      </c>
      <c r="AB258" s="7">
        <v>5.0999999999999997E-2</v>
      </c>
      <c r="AC258" s="7">
        <f t="shared" ref="AC258:AC321" si="103">MIN(AB258,30%)</f>
        <v>5.0999999999999997E-2</v>
      </c>
      <c r="AD258" s="16">
        <f t="shared" ref="AD258:AD321" si="104">IF(AC258&gt;20%,1,0)</f>
        <v>0</v>
      </c>
      <c r="AE258" s="16">
        <v>11</v>
      </c>
      <c r="AF258" s="5">
        <f t="shared" ref="AF258:AF321" si="105">AA258*AE258*(1-AC258)</f>
        <v>26015.449459999996</v>
      </c>
      <c r="AG258">
        <f t="shared" ref="AG258:AG321" si="106">Y258*AE258</f>
        <v>11113.630000000001</v>
      </c>
      <c r="AH258" s="5">
        <f t="shared" ref="AH258:AH321" si="107">ABS(AF258-AG258)</f>
        <v>14901.819459999995</v>
      </c>
      <c r="AI258" s="5">
        <f t="shared" ref="AI258:AI321" si="108">IF(AF258=0,0,AH258/AF258)</f>
        <v>0.57280653493656752</v>
      </c>
      <c r="AJ258" s="5">
        <f t="shared" si="89"/>
        <v>8037512.1806000015</v>
      </c>
      <c r="AK258" s="7">
        <f t="shared" ref="AK258:AK321" si="109">AJ258/SUM(AF:AF)</f>
        <v>0.73430317950472579</v>
      </c>
      <c r="AL258" s="17">
        <f>MIN(AC258,'What-If Analysis'!$B$2)</f>
        <v>5.0999999999999997E-2</v>
      </c>
      <c r="AM258">
        <f>AE258*(1+'What-If Analysis'!$B$3)</f>
        <v>14.3</v>
      </c>
      <c r="AN258">
        <f>Y258*(1+'What-If Analysis'!$B$4)</f>
        <v>1111.3630000000001</v>
      </c>
      <c r="AO258">
        <f t="shared" ref="AO258:AO321" si="110">AA258*AM258*(1-AL258)</f>
        <v>33820.084297999994</v>
      </c>
    </row>
    <row r="259" spans="1:41" x14ac:dyDescent="0.3">
      <c r="A259" t="s">
        <v>434</v>
      </c>
      <c r="B259" s="3">
        <v>45211</v>
      </c>
      <c r="C259" s="3">
        <f t="shared" si="91"/>
        <v>45211</v>
      </c>
      <c r="D259" s="3">
        <v>45228</v>
      </c>
      <c r="E259" s="3">
        <f t="shared" si="92"/>
        <v>45228</v>
      </c>
      <c r="F259" s="16">
        <f t="shared" si="93"/>
        <v>17</v>
      </c>
      <c r="G259" s="16">
        <f>IF(Data!F271&lt;=7,1,0)</f>
        <v>0</v>
      </c>
      <c r="H259" s="5" t="str">
        <f t="shared" si="94"/>
        <v>10-2023</v>
      </c>
      <c r="I259" s="5" t="str">
        <f t="shared" si="95"/>
        <v>Q4-2023</v>
      </c>
      <c r="J259" s="3">
        <f t="shared" si="96"/>
        <v>44988</v>
      </c>
      <c r="K259" s="5" t="str">
        <f t="shared" si="97"/>
        <v>03-2023</v>
      </c>
      <c r="L259" t="s">
        <v>647</v>
      </c>
      <c r="M259" t="s">
        <v>652</v>
      </c>
      <c r="N259" t="s">
        <v>694</v>
      </c>
      <c r="O259" t="str">
        <f t="shared" si="98"/>
        <v>Nagoya</v>
      </c>
      <c r="P259" t="s">
        <v>703</v>
      </c>
      <c r="Q259" t="s">
        <v>711</v>
      </c>
      <c r="R259" t="str">
        <f t="shared" si="99"/>
        <v>Direct</v>
      </c>
      <c r="S259" t="s">
        <v>722</v>
      </c>
      <c r="T259" t="str">
        <f t="shared" si="90"/>
        <v>H. Kim</v>
      </c>
      <c r="U259" t="s">
        <v>730</v>
      </c>
      <c r="V259" t="str">
        <f t="shared" si="100"/>
        <v>High</v>
      </c>
      <c r="W259" t="s">
        <v>1153</v>
      </c>
      <c r="X259" t="str">
        <f t="shared" si="101"/>
        <v>A</v>
      </c>
      <c r="Y259" s="5">
        <v>1102.19</v>
      </c>
      <c r="Z259" s="5">
        <v>1711.16</v>
      </c>
      <c r="AA259" s="5">
        <f t="shared" si="102"/>
        <v>1711.16</v>
      </c>
      <c r="AB259" s="7">
        <v>0.151</v>
      </c>
      <c r="AC259" s="7">
        <f t="shared" si="103"/>
        <v>0.151</v>
      </c>
      <c r="AD259" s="16">
        <f t="shared" si="104"/>
        <v>0</v>
      </c>
      <c r="AE259" s="16">
        <v>10</v>
      </c>
      <c r="AF259" s="5">
        <f t="shared" si="105"/>
        <v>14527.748400000002</v>
      </c>
      <c r="AG259">
        <f t="shared" si="106"/>
        <v>11021.900000000001</v>
      </c>
      <c r="AH259" s="5">
        <f t="shared" si="107"/>
        <v>3505.8484000000008</v>
      </c>
      <c r="AI259" s="5">
        <f t="shared" si="108"/>
        <v>0.24132083675127525</v>
      </c>
      <c r="AJ259" s="5">
        <f t="shared" ref="AJ259:AJ322" si="111">AJ258+AF259</f>
        <v>8052039.9290000014</v>
      </c>
      <c r="AK259" s="7">
        <f t="shared" si="109"/>
        <v>0.73563042748911001</v>
      </c>
      <c r="AL259" s="17">
        <f>MIN(AC259,'What-If Analysis'!$B$2)</f>
        <v>0.151</v>
      </c>
      <c r="AM259">
        <f>AE259*(1+'What-If Analysis'!$B$3)</f>
        <v>13</v>
      </c>
      <c r="AN259">
        <f>Y259*(1+'What-If Analysis'!$B$4)</f>
        <v>1212.4090000000001</v>
      </c>
      <c r="AO259">
        <f t="shared" si="110"/>
        <v>18886.072920000002</v>
      </c>
    </row>
    <row r="260" spans="1:41" x14ac:dyDescent="0.3">
      <c r="A260" t="s">
        <v>442</v>
      </c>
      <c r="B260" s="3">
        <v>45347</v>
      </c>
      <c r="C260" s="3">
        <f t="shared" si="91"/>
        <v>45347</v>
      </c>
      <c r="D260" s="3">
        <v>45360</v>
      </c>
      <c r="E260" s="3">
        <f t="shared" si="92"/>
        <v>45360</v>
      </c>
      <c r="F260" s="16">
        <f t="shared" si="93"/>
        <v>13</v>
      </c>
      <c r="G260" s="16">
        <f>IF(Data!F288&lt;=7,1,0)</f>
        <v>0</v>
      </c>
      <c r="H260" s="5" t="str">
        <f t="shared" si="94"/>
        <v>02-2024</v>
      </c>
      <c r="I260" s="5" t="str">
        <f t="shared" si="95"/>
        <v>Q1-2024</v>
      </c>
      <c r="J260" s="3">
        <f t="shared" si="96"/>
        <v>44936</v>
      </c>
      <c r="K260" s="5" t="str">
        <f t="shared" si="97"/>
        <v>01-2023</v>
      </c>
      <c r="L260" t="s">
        <v>649</v>
      </c>
      <c r="M260" t="s">
        <v>657</v>
      </c>
      <c r="N260" t="s">
        <v>673</v>
      </c>
      <c r="O260" t="str">
        <f t="shared" si="98"/>
        <v>Marseille</v>
      </c>
      <c r="P260" t="s">
        <v>705</v>
      </c>
      <c r="Q260" t="s">
        <v>710</v>
      </c>
      <c r="R260" t="str">
        <f t="shared" si="99"/>
        <v>Distributor</v>
      </c>
      <c r="S260" t="s">
        <v>718</v>
      </c>
      <c r="T260" t="str">
        <f t="shared" si="90"/>
        <v>E. Garcia</v>
      </c>
      <c r="U260" t="s">
        <v>732</v>
      </c>
      <c r="V260" t="str">
        <f t="shared" si="100"/>
        <v>Low</v>
      </c>
      <c r="W260" t="s">
        <v>1161</v>
      </c>
      <c r="X260" t="str">
        <f t="shared" si="101"/>
        <v>A</v>
      </c>
      <c r="Y260" s="5">
        <v>322.44</v>
      </c>
      <c r="Z260" s="5">
        <v>395.61</v>
      </c>
      <c r="AA260" s="5">
        <f t="shared" si="102"/>
        <v>395.61</v>
      </c>
      <c r="AB260" s="7">
        <v>0</v>
      </c>
      <c r="AC260" s="7">
        <f t="shared" si="103"/>
        <v>0</v>
      </c>
      <c r="AD260" s="16">
        <f t="shared" si="104"/>
        <v>0</v>
      </c>
      <c r="AE260" s="16">
        <v>34</v>
      </c>
      <c r="AF260" s="5">
        <f t="shared" si="105"/>
        <v>13450.74</v>
      </c>
      <c r="AG260">
        <f t="shared" si="106"/>
        <v>10962.96</v>
      </c>
      <c r="AH260" s="5">
        <f t="shared" si="107"/>
        <v>2487.7800000000007</v>
      </c>
      <c r="AI260" s="5">
        <f t="shared" si="108"/>
        <v>0.18495487980586947</v>
      </c>
      <c r="AJ260" s="5">
        <f t="shared" si="111"/>
        <v>8065490.6690000016</v>
      </c>
      <c r="AK260" s="7">
        <f t="shared" si="109"/>
        <v>0.73685928051312544</v>
      </c>
      <c r="AL260" s="17">
        <f>MIN(AC260,'What-If Analysis'!$B$2)</f>
        <v>0</v>
      </c>
      <c r="AM260">
        <f>AE260*(1+'What-If Analysis'!$B$3)</f>
        <v>44.2</v>
      </c>
      <c r="AN260">
        <f>Y260*(1+'What-If Analysis'!$B$4)</f>
        <v>354.68400000000003</v>
      </c>
      <c r="AO260">
        <f t="shared" si="110"/>
        <v>17485.962000000003</v>
      </c>
    </row>
    <row r="261" spans="1:41" x14ac:dyDescent="0.3">
      <c r="A261" t="s">
        <v>138</v>
      </c>
      <c r="B261" s="3">
        <v>45598</v>
      </c>
      <c r="C261" s="3">
        <f t="shared" si="91"/>
        <v>45598</v>
      </c>
      <c r="D261" s="3">
        <v>45625</v>
      </c>
      <c r="E261" s="3">
        <f t="shared" si="92"/>
        <v>45625</v>
      </c>
      <c r="F261" s="16">
        <f t="shared" si="93"/>
        <v>27</v>
      </c>
      <c r="G261" s="16">
        <f>IF(Data!F343&lt;=7,1,0)</f>
        <v>1</v>
      </c>
      <c r="H261" s="5" t="str">
        <f t="shared" si="94"/>
        <v>11-2024</v>
      </c>
      <c r="I261" s="5" t="str">
        <f t="shared" si="95"/>
        <v>Q4-2024</v>
      </c>
      <c r="J261" s="3">
        <f t="shared" si="96"/>
        <v>44955</v>
      </c>
      <c r="K261" s="5" t="str">
        <f t="shared" si="97"/>
        <v>01-2023</v>
      </c>
      <c r="L261" t="s">
        <v>648</v>
      </c>
      <c r="M261" t="s">
        <v>655</v>
      </c>
      <c r="N261" t="s">
        <v>672</v>
      </c>
      <c r="O261" t="str">
        <f t="shared" si="98"/>
        <v>Brasília</v>
      </c>
      <c r="P261" t="s">
        <v>705</v>
      </c>
      <c r="Q261" t="s">
        <v>711</v>
      </c>
      <c r="R261" t="str">
        <f t="shared" si="99"/>
        <v>Direct</v>
      </c>
      <c r="S261" t="s">
        <v>714</v>
      </c>
      <c r="T261" t="str">
        <f t="shared" si="90"/>
        <v>I. Johnson</v>
      </c>
      <c r="U261" t="s">
        <v>729</v>
      </c>
      <c r="V261" t="str">
        <f t="shared" si="100"/>
        <v>Medium</v>
      </c>
      <c r="W261" t="s">
        <v>857</v>
      </c>
      <c r="X261" t="str">
        <f t="shared" si="101"/>
        <v>A</v>
      </c>
      <c r="Y261" s="5">
        <v>1363.51</v>
      </c>
      <c r="Z261" s="5">
        <v>1433.9</v>
      </c>
      <c r="AA261" s="5">
        <f t="shared" si="102"/>
        <v>1433.9</v>
      </c>
      <c r="AB261" s="7">
        <v>5.7000000000000002E-2</v>
      </c>
      <c r="AC261" s="7">
        <f t="shared" si="103"/>
        <v>5.7000000000000002E-2</v>
      </c>
      <c r="AD261" s="16">
        <f t="shared" si="104"/>
        <v>0</v>
      </c>
      <c r="AE261" s="16">
        <v>8</v>
      </c>
      <c r="AF261" s="5">
        <f t="shared" si="105"/>
        <v>10817.3416</v>
      </c>
      <c r="AG261">
        <f t="shared" si="106"/>
        <v>10908.08</v>
      </c>
      <c r="AH261" s="5">
        <f t="shared" si="107"/>
        <v>90.738400000000183</v>
      </c>
      <c r="AI261" s="5">
        <f t="shared" si="108"/>
        <v>8.3882346842037592E-3</v>
      </c>
      <c r="AJ261" s="5">
        <f t="shared" si="111"/>
        <v>8076308.0106000016</v>
      </c>
      <c r="AK261" s="7">
        <f t="shared" si="109"/>
        <v>0.73784754754802229</v>
      </c>
      <c r="AL261" s="17">
        <f>MIN(AC261,'What-If Analysis'!$B$2)</f>
        <v>5.7000000000000002E-2</v>
      </c>
      <c r="AM261">
        <f>AE261*(1+'What-If Analysis'!$B$3)</f>
        <v>10.4</v>
      </c>
      <c r="AN261">
        <f>Y261*(1+'What-If Analysis'!$B$4)</f>
        <v>1499.8610000000001</v>
      </c>
      <c r="AO261">
        <f t="shared" si="110"/>
        <v>14062.54408</v>
      </c>
    </row>
    <row r="262" spans="1:41" x14ac:dyDescent="0.3">
      <c r="A262" t="s">
        <v>488</v>
      </c>
      <c r="B262" s="3">
        <v>45882</v>
      </c>
      <c r="C262" s="3">
        <f t="shared" si="91"/>
        <v>45882</v>
      </c>
      <c r="D262" s="3">
        <v>45903</v>
      </c>
      <c r="E262" s="3">
        <f t="shared" si="92"/>
        <v>45903</v>
      </c>
      <c r="F262" s="16">
        <f t="shared" si="93"/>
        <v>21</v>
      </c>
      <c r="G262" s="16">
        <f>IF(Data!F209&lt;=7,1,0)</f>
        <v>0</v>
      </c>
      <c r="H262" s="5" t="str">
        <f t="shared" si="94"/>
        <v>08-2025</v>
      </c>
      <c r="I262" s="5" t="str">
        <f t="shared" si="95"/>
        <v>Q3-2025</v>
      </c>
      <c r="J262" s="3">
        <f t="shared" si="96"/>
        <v>44936</v>
      </c>
      <c r="K262" s="5" t="str">
        <f t="shared" si="97"/>
        <v>01-2023</v>
      </c>
      <c r="L262" t="s">
        <v>649</v>
      </c>
      <c r="M262" t="s">
        <v>657</v>
      </c>
      <c r="N262" t="s">
        <v>690</v>
      </c>
      <c r="O262" t="str">
        <f t="shared" si="98"/>
        <v>Paris</v>
      </c>
      <c r="P262" t="s">
        <v>702</v>
      </c>
      <c r="Q262" t="s">
        <v>707</v>
      </c>
      <c r="R262" t="str">
        <f t="shared" si="99"/>
        <v>Retail</v>
      </c>
      <c r="S262" t="s">
        <v>714</v>
      </c>
      <c r="T262" t="str">
        <f t="shared" si="90"/>
        <v>I. Johnson</v>
      </c>
      <c r="U262" t="s">
        <v>730</v>
      </c>
      <c r="V262" t="str">
        <f t="shared" si="100"/>
        <v>Medium</v>
      </c>
      <c r="W262" t="s">
        <v>1207</v>
      </c>
      <c r="X262" t="str">
        <f t="shared" si="101"/>
        <v>A</v>
      </c>
      <c r="Y262" s="5">
        <v>603.47</v>
      </c>
      <c r="Z262" s="5">
        <v>1344.05</v>
      </c>
      <c r="AA262" s="5">
        <f t="shared" si="102"/>
        <v>1344.05</v>
      </c>
      <c r="AB262" s="7">
        <v>0.20499999999999999</v>
      </c>
      <c r="AC262" s="7">
        <f t="shared" si="103"/>
        <v>0.20499999999999999</v>
      </c>
      <c r="AD262" s="16">
        <f t="shared" si="104"/>
        <v>1</v>
      </c>
      <c r="AE262" s="16">
        <v>18</v>
      </c>
      <c r="AF262" s="5">
        <f t="shared" si="105"/>
        <v>19233.355499999998</v>
      </c>
      <c r="AG262">
        <f t="shared" si="106"/>
        <v>10862.460000000001</v>
      </c>
      <c r="AH262" s="5">
        <f t="shared" si="107"/>
        <v>8370.8954999999969</v>
      </c>
      <c r="AI262" s="5">
        <f t="shared" si="108"/>
        <v>0.43522803392262976</v>
      </c>
      <c r="AJ262" s="5">
        <f t="shared" si="111"/>
        <v>8095541.3661000011</v>
      </c>
      <c r="AK262" s="7">
        <f t="shared" si="109"/>
        <v>0.73960469749428093</v>
      </c>
      <c r="AL262" s="17">
        <f>MIN(AC262,'What-If Analysis'!$B$2)</f>
        <v>0.2</v>
      </c>
      <c r="AM262">
        <f>AE262*(1+'What-If Analysis'!$B$3)</f>
        <v>23.400000000000002</v>
      </c>
      <c r="AN262">
        <f>Y262*(1+'What-If Analysis'!$B$4)</f>
        <v>663.81700000000012</v>
      </c>
      <c r="AO262">
        <f t="shared" si="110"/>
        <v>25160.616000000002</v>
      </c>
    </row>
    <row r="263" spans="1:41" x14ac:dyDescent="0.3">
      <c r="A263" t="s">
        <v>466</v>
      </c>
      <c r="B263" s="3">
        <v>45413</v>
      </c>
      <c r="C263" s="3">
        <f t="shared" si="91"/>
        <v>45413</v>
      </c>
      <c r="D263" s="3">
        <v>45428</v>
      </c>
      <c r="E263" s="3">
        <f t="shared" si="92"/>
        <v>45428</v>
      </c>
      <c r="F263" s="16">
        <f t="shared" si="93"/>
        <v>15</v>
      </c>
      <c r="G263" s="16">
        <f>IF(Data!F163&lt;=7,1,0)</f>
        <v>1</v>
      </c>
      <c r="H263" s="5" t="str">
        <f t="shared" si="94"/>
        <v>05-2024</v>
      </c>
      <c r="I263" s="5" t="str">
        <f t="shared" si="95"/>
        <v>Q2-2024</v>
      </c>
      <c r="J263" s="3">
        <f t="shared" si="96"/>
        <v>44955</v>
      </c>
      <c r="K263" s="5" t="str">
        <f t="shared" si="97"/>
        <v>01-2023</v>
      </c>
      <c r="L263" t="s">
        <v>647</v>
      </c>
      <c r="M263" t="s">
        <v>654</v>
      </c>
      <c r="N263" t="s">
        <v>668</v>
      </c>
      <c r="O263" t="str">
        <f t="shared" si="98"/>
        <v>Bengaluru</v>
      </c>
      <c r="P263" t="s">
        <v>705</v>
      </c>
      <c r="Q263" t="s">
        <v>707</v>
      </c>
      <c r="R263" t="str">
        <f t="shared" si="99"/>
        <v>Retail</v>
      </c>
      <c r="S263" t="s">
        <v>716</v>
      </c>
      <c r="T263" t="str">
        <f t="shared" si="90"/>
        <v>L. Okafor</v>
      </c>
      <c r="U263" t="s">
        <v>727</v>
      </c>
      <c r="V263" t="str">
        <f t="shared" si="100"/>
        <v>High</v>
      </c>
      <c r="W263" t="s">
        <v>1185</v>
      </c>
      <c r="X263" t="str">
        <f t="shared" si="101"/>
        <v>A</v>
      </c>
      <c r="Y263" s="5">
        <v>901.19</v>
      </c>
      <c r="Z263" s="5">
        <v>2125.44</v>
      </c>
      <c r="AA263" s="5">
        <f t="shared" si="102"/>
        <v>2125.44</v>
      </c>
      <c r="AB263" s="7">
        <v>7.0999999999999994E-2</v>
      </c>
      <c r="AC263" s="7">
        <f t="shared" si="103"/>
        <v>7.0999999999999994E-2</v>
      </c>
      <c r="AD263" s="16">
        <f t="shared" si="104"/>
        <v>0</v>
      </c>
      <c r="AE263" s="16">
        <v>12</v>
      </c>
      <c r="AF263" s="5">
        <f t="shared" si="105"/>
        <v>23694.405119999999</v>
      </c>
      <c r="AG263">
        <f t="shared" si="106"/>
        <v>10814.28</v>
      </c>
      <c r="AH263" s="5">
        <f t="shared" si="107"/>
        <v>12880.125119999999</v>
      </c>
      <c r="AI263" s="5">
        <f t="shared" si="108"/>
        <v>0.54359352154100415</v>
      </c>
      <c r="AJ263" s="5">
        <f t="shared" si="111"/>
        <v>8119235.7712200014</v>
      </c>
      <c r="AK263" s="7">
        <f t="shared" si="109"/>
        <v>0.74176940675072034</v>
      </c>
      <c r="AL263" s="17">
        <f>MIN(AC263,'What-If Analysis'!$B$2)</f>
        <v>7.0999999999999994E-2</v>
      </c>
      <c r="AM263">
        <f>AE263*(1+'What-If Analysis'!$B$3)</f>
        <v>15.600000000000001</v>
      </c>
      <c r="AN263">
        <f>Y263*(1+'What-If Analysis'!$B$4)</f>
        <v>991.3090000000002</v>
      </c>
      <c r="AO263">
        <f t="shared" si="110"/>
        <v>30802.726656000003</v>
      </c>
    </row>
    <row r="264" spans="1:41" x14ac:dyDescent="0.3">
      <c r="A264" t="s">
        <v>239</v>
      </c>
      <c r="B264" s="3">
        <v>45279</v>
      </c>
      <c r="C264" s="3">
        <f t="shared" si="91"/>
        <v>45279</v>
      </c>
      <c r="D264" s="3">
        <v>45280</v>
      </c>
      <c r="E264" s="3">
        <f t="shared" si="92"/>
        <v>45280</v>
      </c>
      <c r="F264" s="16">
        <f t="shared" si="93"/>
        <v>1</v>
      </c>
      <c r="G264" s="16">
        <f>IF(Data!F184&lt;=7,1,0)</f>
        <v>0</v>
      </c>
      <c r="H264" s="5" t="str">
        <f t="shared" si="94"/>
        <v>12-2023</v>
      </c>
      <c r="I264" s="5" t="str">
        <f t="shared" si="95"/>
        <v>Q4-2023</v>
      </c>
      <c r="J264" s="3">
        <f t="shared" si="96"/>
        <v>44955</v>
      </c>
      <c r="K264" s="5" t="str">
        <f t="shared" si="97"/>
        <v>01-2023</v>
      </c>
      <c r="L264" t="s">
        <v>648</v>
      </c>
      <c r="M264" t="s">
        <v>655</v>
      </c>
      <c r="N264" t="s">
        <v>692</v>
      </c>
      <c r="O264" t="str">
        <f t="shared" si="98"/>
        <v>Rio de Janeiro</v>
      </c>
      <c r="P264" t="s">
        <v>704</v>
      </c>
      <c r="Q264" t="s">
        <v>710</v>
      </c>
      <c r="R264" t="str">
        <f t="shared" si="99"/>
        <v>Distributor</v>
      </c>
      <c r="S264" t="s">
        <v>713</v>
      </c>
      <c r="T264" t="str">
        <f t="shared" si="90"/>
        <v>J. Njeri</v>
      </c>
      <c r="U264" t="s">
        <v>730</v>
      </c>
      <c r="V264" t="str">
        <f t="shared" si="100"/>
        <v>High</v>
      </c>
      <c r="W264" t="s">
        <v>959</v>
      </c>
      <c r="X264" t="str">
        <f t="shared" si="101"/>
        <v>A</v>
      </c>
      <c r="Y264" s="5">
        <v>1080.43</v>
      </c>
      <c r="Z264" s="5">
        <v>2529.15</v>
      </c>
      <c r="AA264" s="5">
        <f t="shared" si="102"/>
        <v>2529.15</v>
      </c>
      <c r="AB264" s="7">
        <v>0.14699999999999999</v>
      </c>
      <c r="AC264" s="7">
        <f t="shared" si="103"/>
        <v>0.14699999999999999</v>
      </c>
      <c r="AD264" s="16">
        <f t="shared" si="104"/>
        <v>0</v>
      </c>
      <c r="AE264" s="16">
        <v>10</v>
      </c>
      <c r="AF264" s="5">
        <f t="shared" si="105"/>
        <v>21573.6495</v>
      </c>
      <c r="AG264">
        <f t="shared" si="106"/>
        <v>10804.300000000001</v>
      </c>
      <c r="AH264" s="5">
        <f t="shared" si="107"/>
        <v>10769.349499999998</v>
      </c>
      <c r="AI264" s="5">
        <f t="shared" si="108"/>
        <v>0.49918997247081437</v>
      </c>
      <c r="AJ264" s="5">
        <f t="shared" si="111"/>
        <v>8140809.4207200017</v>
      </c>
      <c r="AK264" s="7">
        <f t="shared" si="109"/>
        <v>0.74374036481155004</v>
      </c>
      <c r="AL264" s="17">
        <f>MIN(AC264,'What-If Analysis'!$B$2)</f>
        <v>0.14699999999999999</v>
      </c>
      <c r="AM264">
        <f>AE264*(1+'What-If Analysis'!$B$3)</f>
        <v>13</v>
      </c>
      <c r="AN264">
        <f>Y264*(1+'What-If Analysis'!$B$4)</f>
        <v>1188.4730000000002</v>
      </c>
      <c r="AO264">
        <f t="shared" si="110"/>
        <v>28045.744350000004</v>
      </c>
    </row>
    <row r="265" spans="1:41" x14ac:dyDescent="0.3">
      <c r="A265" t="s">
        <v>454</v>
      </c>
      <c r="B265" s="3">
        <v>45063</v>
      </c>
      <c r="C265" s="3">
        <f t="shared" si="91"/>
        <v>45063</v>
      </c>
      <c r="D265" s="3">
        <v>45080</v>
      </c>
      <c r="E265" s="3">
        <f t="shared" si="92"/>
        <v>45080</v>
      </c>
      <c r="F265" s="16">
        <f t="shared" si="93"/>
        <v>17</v>
      </c>
      <c r="G265" s="16">
        <f>IF(Data!F189&lt;=7,1,0)</f>
        <v>0</v>
      </c>
      <c r="H265" s="5" t="str">
        <f t="shared" si="94"/>
        <v>05-2023</v>
      </c>
      <c r="I265" s="5" t="str">
        <f t="shared" si="95"/>
        <v>Q2-2023</v>
      </c>
      <c r="J265" s="3">
        <f t="shared" si="96"/>
        <v>44938</v>
      </c>
      <c r="K265" s="5" t="str">
        <f t="shared" si="97"/>
        <v>01-2023</v>
      </c>
      <c r="L265" t="s">
        <v>647</v>
      </c>
      <c r="M265" t="s">
        <v>659</v>
      </c>
      <c r="N265" t="s">
        <v>699</v>
      </c>
      <c r="O265" t="str">
        <f t="shared" si="98"/>
        <v>Beijing</v>
      </c>
      <c r="P265" t="s">
        <v>703</v>
      </c>
      <c r="Q265" t="s">
        <v>710</v>
      </c>
      <c r="R265" t="str">
        <f t="shared" si="99"/>
        <v>Distributor</v>
      </c>
      <c r="S265" t="s">
        <v>724</v>
      </c>
      <c r="T265" t="str">
        <f t="shared" si="90"/>
        <v>M. Rossi</v>
      </c>
      <c r="U265" t="s">
        <v>728</v>
      </c>
      <c r="V265" t="str">
        <f t="shared" si="100"/>
        <v>High</v>
      </c>
      <c r="W265" t="s">
        <v>1173</v>
      </c>
      <c r="X265" t="str">
        <f t="shared" si="101"/>
        <v>A</v>
      </c>
      <c r="Y265" s="5">
        <v>979.59</v>
      </c>
      <c r="Z265" s="5">
        <v>2210.94</v>
      </c>
      <c r="AA265" s="5">
        <f t="shared" si="102"/>
        <v>2210.94</v>
      </c>
      <c r="AB265" s="7">
        <v>0.15</v>
      </c>
      <c r="AC265" s="7">
        <f t="shared" si="103"/>
        <v>0.15</v>
      </c>
      <c r="AD265" s="16">
        <f t="shared" si="104"/>
        <v>0</v>
      </c>
      <c r="AE265" s="16">
        <v>11</v>
      </c>
      <c r="AF265" s="5">
        <f t="shared" si="105"/>
        <v>20672.289000000001</v>
      </c>
      <c r="AG265">
        <f t="shared" si="106"/>
        <v>10775.49</v>
      </c>
      <c r="AH265" s="5">
        <f t="shared" si="107"/>
        <v>9896.7990000000009</v>
      </c>
      <c r="AI265" s="5">
        <f t="shared" si="108"/>
        <v>0.47874712858358359</v>
      </c>
      <c r="AJ265" s="5">
        <f t="shared" si="111"/>
        <v>8161481.7097200016</v>
      </c>
      <c r="AK265" s="7">
        <f t="shared" si="109"/>
        <v>0.74562897501819825</v>
      </c>
      <c r="AL265" s="17">
        <f>MIN(AC265,'What-If Analysis'!$B$2)</f>
        <v>0.15</v>
      </c>
      <c r="AM265">
        <f>AE265*(1+'What-If Analysis'!$B$3)</f>
        <v>14.3</v>
      </c>
      <c r="AN265">
        <f>Y265*(1+'What-If Analysis'!$B$4)</f>
        <v>1077.5490000000002</v>
      </c>
      <c r="AO265">
        <f t="shared" si="110"/>
        <v>26873.975700000003</v>
      </c>
    </row>
    <row r="266" spans="1:41" x14ac:dyDescent="0.3">
      <c r="A266" t="s">
        <v>36</v>
      </c>
      <c r="B266" s="3">
        <v>45057</v>
      </c>
      <c r="C266" s="3">
        <f t="shared" si="91"/>
        <v>45057</v>
      </c>
      <c r="D266" s="3">
        <v>45074</v>
      </c>
      <c r="E266" s="3">
        <f t="shared" si="92"/>
        <v>45074</v>
      </c>
      <c r="F266" s="16">
        <f t="shared" si="93"/>
        <v>17</v>
      </c>
      <c r="G266" s="16">
        <f>IF(Data!F201&lt;=7,1,0)</f>
        <v>1</v>
      </c>
      <c r="H266" s="5" t="str">
        <f t="shared" si="94"/>
        <v>05-2023</v>
      </c>
      <c r="I266" s="5" t="str">
        <f t="shared" si="95"/>
        <v>Q2-2023</v>
      </c>
      <c r="J266" s="3">
        <f t="shared" si="96"/>
        <v>44938</v>
      </c>
      <c r="K266" s="5" t="str">
        <f t="shared" si="97"/>
        <v>01-2023</v>
      </c>
      <c r="L266" t="s">
        <v>647</v>
      </c>
      <c r="M266" t="s">
        <v>659</v>
      </c>
      <c r="N266" t="s">
        <v>676</v>
      </c>
      <c r="O266" t="str">
        <f t="shared" si="98"/>
        <v>Shenzhen</v>
      </c>
      <c r="P266" t="s">
        <v>706</v>
      </c>
      <c r="Q266" t="s">
        <v>709</v>
      </c>
      <c r="R266" t="str">
        <f t="shared" si="99"/>
        <v>Marketplace</v>
      </c>
      <c r="S266" t="s">
        <v>718</v>
      </c>
      <c r="T266" t="str">
        <f t="shared" si="90"/>
        <v>E. Garcia</v>
      </c>
      <c r="U266" t="s">
        <v>729</v>
      </c>
      <c r="V266" t="str">
        <f t="shared" si="100"/>
        <v>High</v>
      </c>
      <c r="W266" t="s">
        <v>755</v>
      </c>
      <c r="X266" t="str">
        <f t="shared" si="101"/>
        <v>A</v>
      </c>
      <c r="Y266" s="5">
        <v>1331.19</v>
      </c>
      <c r="Z266" s="5">
        <v>2903.09</v>
      </c>
      <c r="AA266" s="5">
        <f t="shared" si="102"/>
        <v>2903.09</v>
      </c>
      <c r="AB266" s="7">
        <v>0.14299999999999999</v>
      </c>
      <c r="AC266" s="7">
        <f t="shared" si="103"/>
        <v>0.14299999999999999</v>
      </c>
      <c r="AD266" s="16">
        <f t="shared" si="104"/>
        <v>0</v>
      </c>
      <c r="AE266" s="16">
        <v>8</v>
      </c>
      <c r="AF266" s="5">
        <f t="shared" si="105"/>
        <v>19903.585040000002</v>
      </c>
      <c r="AG266">
        <f t="shared" si="106"/>
        <v>10649.52</v>
      </c>
      <c r="AH266" s="5">
        <f t="shared" si="107"/>
        <v>9254.0650400000013</v>
      </c>
      <c r="AI266" s="5">
        <f t="shared" si="108"/>
        <v>0.46494463290920784</v>
      </c>
      <c r="AJ266" s="5">
        <f t="shared" si="111"/>
        <v>8181385.2947600018</v>
      </c>
      <c r="AK266" s="7">
        <f t="shared" si="109"/>
        <v>0.74744735680724139</v>
      </c>
      <c r="AL266" s="17">
        <f>MIN(AC266,'What-If Analysis'!$B$2)</f>
        <v>0.14299999999999999</v>
      </c>
      <c r="AM266">
        <f>AE266*(1+'What-If Analysis'!$B$3)</f>
        <v>10.4</v>
      </c>
      <c r="AN266">
        <f>Y266*(1+'What-If Analysis'!$B$4)</f>
        <v>1464.3090000000002</v>
      </c>
      <c r="AO266">
        <f t="shared" si="110"/>
        <v>25874.660552000001</v>
      </c>
    </row>
    <row r="267" spans="1:41" x14ac:dyDescent="0.3">
      <c r="A267" t="s">
        <v>413</v>
      </c>
      <c r="B267" s="3">
        <v>45541</v>
      </c>
      <c r="C267" s="3">
        <f t="shared" si="91"/>
        <v>45541</v>
      </c>
      <c r="D267" s="3">
        <v>45569</v>
      </c>
      <c r="E267" s="3">
        <f t="shared" si="92"/>
        <v>45569</v>
      </c>
      <c r="F267" s="16">
        <f t="shared" si="93"/>
        <v>28</v>
      </c>
      <c r="G267" s="16">
        <f>IF(Data!F297&lt;=7,1,0)</f>
        <v>0</v>
      </c>
      <c r="H267" s="5" t="str">
        <f t="shared" si="94"/>
        <v>09-2024</v>
      </c>
      <c r="I267" s="5" t="str">
        <f t="shared" si="95"/>
        <v>Q3-2024</v>
      </c>
      <c r="J267" s="3">
        <f t="shared" si="96"/>
        <v>44933</v>
      </c>
      <c r="K267" s="5" t="str">
        <f t="shared" si="97"/>
        <v>01-2023</v>
      </c>
      <c r="L267" t="s">
        <v>646</v>
      </c>
      <c r="M267" t="s">
        <v>661</v>
      </c>
      <c r="N267" t="s">
        <v>695</v>
      </c>
      <c r="O267" t="str">
        <f t="shared" si="98"/>
        <v>Cape Town</v>
      </c>
      <c r="P267" t="s">
        <v>701</v>
      </c>
      <c r="Q267" t="s">
        <v>709</v>
      </c>
      <c r="R267" t="str">
        <f t="shared" si="99"/>
        <v>Marketplace</v>
      </c>
      <c r="S267" t="s">
        <v>726</v>
      </c>
      <c r="T267" t="str">
        <f t="shared" si="90"/>
        <v>D. Smith</v>
      </c>
      <c r="U267" t="s">
        <v>732</v>
      </c>
      <c r="V267" t="str">
        <f t="shared" si="100"/>
        <v>High</v>
      </c>
      <c r="W267" t="s">
        <v>1132</v>
      </c>
      <c r="X267" t="str">
        <f t="shared" si="101"/>
        <v>A</v>
      </c>
      <c r="Y267" s="5">
        <v>1174.17</v>
      </c>
      <c r="Z267" s="5">
        <v>1641.61</v>
      </c>
      <c r="AA267" s="5">
        <f t="shared" si="102"/>
        <v>1641.61</v>
      </c>
      <c r="AB267" s="7">
        <v>0.122</v>
      </c>
      <c r="AC267" s="7">
        <f t="shared" si="103"/>
        <v>0.122</v>
      </c>
      <c r="AD267" s="16">
        <f t="shared" si="104"/>
        <v>0</v>
      </c>
      <c r="AE267" s="16">
        <v>9</v>
      </c>
      <c r="AF267" s="5">
        <f t="shared" si="105"/>
        <v>12972.00222</v>
      </c>
      <c r="AG267">
        <f t="shared" si="106"/>
        <v>10567.53</v>
      </c>
      <c r="AH267" s="5">
        <f t="shared" si="107"/>
        <v>2404.4722199999997</v>
      </c>
      <c r="AI267" s="5">
        <f t="shared" si="108"/>
        <v>0.18535860380079394</v>
      </c>
      <c r="AJ267" s="5">
        <f t="shared" si="111"/>
        <v>8194357.296980002</v>
      </c>
      <c r="AK267" s="7">
        <f t="shared" si="109"/>
        <v>0.74863247258195575</v>
      </c>
      <c r="AL267" s="17">
        <f>MIN(AC267,'What-If Analysis'!$B$2)</f>
        <v>0.122</v>
      </c>
      <c r="AM267">
        <f>AE267*(1+'What-If Analysis'!$B$3)</f>
        <v>11.700000000000001</v>
      </c>
      <c r="AN267">
        <f>Y267*(1+'What-If Analysis'!$B$4)</f>
        <v>1291.5870000000002</v>
      </c>
      <c r="AO267">
        <f t="shared" si="110"/>
        <v>16863.602886000001</v>
      </c>
    </row>
    <row r="268" spans="1:41" x14ac:dyDescent="0.3">
      <c r="A268" t="s">
        <v>44</v>
      </c>
      <c r="B268" s="3">
        <v>45754</v>
      </c>
      <c r="C268" s="3">
        <f t="shared" si="91"/>
        <v>45754</v>
      </c>
      <c r="D268" s="3">
        <v>45758</v>
      </c>
      <c r="E268" s="3">
        <f t="shared" si="92"/>
        <v>45758</v>
      </c>
      <c r="F268" s="16">
        <f t="shared" si="93"/>
        <v>4</v>
      </c>
      <c r="G268" s="16">
        <f>IF(Data!F196&lt;=7,1,0)</f>
        <v>0</v>
      </c>
      <c r="H268" s="5" t="str">
        <f t="shared" si="94"/>
        <v>04-2025</v>
      </c>
      <c r="I268" s="5" t="str">
        <f t="shared" si="95"/>
        <v>Q2-2025</v>
      </c>
      <c r="J268" s="3">
        <f t="shared" si="96"/>
        <v>44936</v>
      </c>
      <c r="K268" s="5" t="str">
        <f t="shared" si="97"/>
        <v>01-2023</v>
      </c>
      <c r="L268" t="s">
        <v>649</v>
      </c>
      <c r="M268" t="s">
        <v>657</v>
      </c>
      <c r="N268" t="s">
        <v>679</v>
      </c>
      <c r="O268" t="str">
        <f t="shared" si="98"/>
        <v>Lyon</v>
      </c>
      <c r="P268" t="s">
        <v>702</v>
      </c>
      <c r="Q268" t="s">
        <v>707</v>
      </c>
      <c r="R268" t="str">
        <f t="shared" si="99"/>
        <v>Retail</v>
      </c>
      <c r="S268" t="s">
        <v>718</v>
      </c>
      <c r="T268" t="str">
        <f t="shared" si="90"/>
        <v>E. Garcia</v>
      </c>
      <c r="U268" t="s">
        <v>729</v>
      </c>
      <c r="V268" t="str">
        <f t="shared" si="100"/>
        <v>High</v>
      </c>
      <c r="W268" t="s">
        <v>763</v>
      </c>
      <c r="X268" t="str">
        <f t="shared" si="101"/>
        <v>A</v>
      </c>
      <c r="Y268" s="5">
        <v>754.77</v>
      </c>
      <c r="Z268" s="5">
        <v>1666.18</v>
      </c>
      <c r="AA268" s="5">
        <f t="shared" si="102"/>
        <v>1666.18</v>
      </c>
      <c r="AB268" s="7">
        <v>0.13900000000000001</v>
      </c>
      <c r="AC268" s="7">
        <f t="shared" si="103"/>
        <v>0.13900000000000001</v>
      </c>
      <c r="AD268" s="16">
        <f t="shared" si="104"/>
        <v>0</v>
      </c>
      <c r="AE268" s="16">
        <v>14</v>
      </c>
      <c r="AF268" s="5">
        <f t="shared" si="105"/>
        <v>20084.133720000002</v>
      </c>
      <c r="AG268">
        <f t="shared" si="106"/>
        <v>10566.779999999999</v>
      </c>
      <c r="AH268" s="5">
        <f t="shared" si="107"/>
        <v>9517.3537200000028</v>
      </c>
      <c r="AI268" s="5">
        <f t="shared" si="108"/>
        <v>0.47387424584424653</v>
      </c>
      <c r="AJ268" s="5">
        <f t="shared" si="111"/>
        <v>8214441.4307000022</v>
      </c>
      <c r="AK268" s="7">
        <f t="shared" si="109"/>
        <v>0.75046734921004865</v>
      </c>
      <c r="AL268" s="17">
        <f>MIN(AC268,'What-If Analysis'!$B$2)</f>
        <v>0.13900000000000001</v>
      </c>
      <c r="AM268">
        <f>AE268*(1+'What-If Analysis'!$B$3)</f>
        <v>18.2</v>
      </c>
      <c r="AN268">
        <f>Y268*(1+'What-If Analysis'!$B$4)</f>
        <v>830.24700000000007</v>
      </c>
      <c r="AO268">
        <f t="shared" si="110"/>
        <v>26109.373835999999</v>
      </c>
    </row>
    <row r="269" spans="1:41" x14ac:dyDescent="0.3">
      <c r="A269" t="s">
        <v>590</v>
      </c>
      <c r="B269" s="3">
        <v>45872</v>
      </c>
      <c r="C269" s="3">
        <f t="shared" si="91"/>
        <v>45872</v>
      </c>
      <c r="D269" s="3">
        <v>45885</v>
      </c>
      <c r="E269" s="3">
        <f t="shared" si="92"/>
        <v>45885</v>
      </c>
      <c r="F269" s="16">
        <f t="shared" si="93"/>
        <v>13</v>
      </c>
      <c r="G269" s="16">
        <f>IF(Data!F316&lt;=7,1,0)</f>
        <v>1</v>
      </c>
      <c r="H269" s="5" t="str">
        <f t="shared" si="94"/>
        <v>08-2025</v>
      </c>
      <c r="I269" s="5" t="str">
        <f t="shared" si="95"/>
        <v>Q3-2025</v>
      </c>
      <c r="J269" s="3">
        <f t="shared" si="96"/>
        <v>44928</v>
      </c>
      <c r="K269" s="5" t="str">
        <f t="shared" si="97"/>
        <v>01-2023</v>
      </c>
      <c r="L269" t="s">
        <v>648</v>
      </c>
      <c r="M269" t="s">
        <v>653</v>
      </c>
      <c r="N269" t="s">
        <v>681</v>
      </c>
      <c r="O269" t="str">
        <f t="shared" si="98"/>
        <v>Montreal</v>
      </c>
      <c r="P269" t="s">
        <v>706</v>
      </c>
      <c r="Q269" t="s">
        <v>710</v>
      </c>
      <c r="R269" t="str">
        <f t="shared" si="99"/>
        <v>Distributor</v>
      </c>
      <c r="S269" t="s">
        <v>719</v>
      </c>
      <c r="T269" t="str">
        <f t="shared" si="90"/>
        <v>O. Wang</v>
      </c>
      <c r="U269" t="s">
        <v>729</v>
      </c>
      <c r="V269" t="str">
        <f t="shared" si="100"/>
        <v>Medium</v>
      </c>
      <c r="W269" t="s">
        <v>1308</v>
      </c>
      <c r="X269" t="str">
        <f t="shared" si="101"/>
        <v>A</v>
      </c>
      <c r="Y269" s="5">
        <v>698.66</v>
      </c>
      <c r="Z269" s="5">
        <v>868.62</v>
      </c>
      <c r="AA269" s="5">
        <f t="shared" si="102"/>
        <v>868.62</v>
      </c>
      <c r="AB269" s="7">
        <v>7.1999999999999995E-2</v>
      </c>
      <c r="AC269" s="7">
        <f t="shared" si="103"/>
        <v>7.1999999999999995E-2</v>
      </c>
      <c r="AD269" s="16">
        <f t="shared" si="104"/>
        <v>0</v>
      </c>
      <c r="AE269" s="16">
        <v>15</v>
      </c>
      <c r="AF269" s="5">
        <f t="shared" si="105"/>
        <v>12091.190399999999</v>
      </c>
      <c r="AG269">
        <f t="shared" si="106"/>
        <v>10479.9</v>
      </c>
      <c r="AH269" s="5">
        <f t="shared" si="107"/>
        <v>1611.2903999999999</v>
      </c>
      <c r="AI269" s="5">
        <f t="shared" si="108"/>
        <v>0.13326151906432637</v>
      </c>
      <c r="AJ269" s="5">
        <f t="shared" si="111"/>
        <v>8226532.621100002</v>
      </c>
      <c r="AK269" s="7">
        <f t="shared" si="109"/>
        <v>0.75157199444793044</v>
      </c>
      <c r="AL269" s="17">
        <f>MIN(AC269,'What-If Analysis'!$B$2)</f>
        <v>7.1999999999999995E-2</v>
      </c>
      <c r="AM269">
        <f>AE269*(1+'What-If Analysis'!$B$3)</f>
        <v>19.5</v>
      </c>
      <c r="AN269">
        <f>Y269*(1+'What-If Analysis'!$B$4)</f>
        <v>768.52600000000007</v>
      </c>
      <c r="AO269">
        <f t="shared" si="110"/>
        <v>15718.54752</v>
      </c>
    </row>
    <row r="270" spans="1:41" x14ac:dyDescent="0.3">
      <c r="A270" t="s">
        <v>35</v>
      </c>
      <c r="B270" s="3">
        <v>45498</v>
      </c>
      <c r="C270" s="3">
        <f t="shared" si="91"/>
        <v>45497</v>
      </c>
      <c r="D270" s="3">
        <v>45497</v>
      </c>
      <c r="E270" s="3">
        <f t="shared" si="92"/>
        <v>45498</v>
      </c>
      <c r="F270" s="16">
        <f t="shared" si="93"/>
        <v>1</v>
      </c>
      <c r="G270" s="16">
        <f>IF(Data!F162&lt;=7,1,0)</f>
        <v>1</v>
      </c>
      <c r="H270" s="5" t="str">
        <f t="shared" si="94"/>
        <v>07-2024</v>
      </c>
      <c r="I270" s="5" t="str">
        <f t="shared" si="95"/>
        <v>Q3-2024</v>
      </c>
      <c r="J270" s="3">
        <f t="shared" si="96"/>
        <v>44946</v>
      </c>
      <c r="K270" s="5" t="str">
        <f t="shared" si="97"/>
        <v>01-2023</v>
      </c>
      <c r="L270" t="s">
        <v>646</v>
      </c>
      <c r="M270" t="s">
        <v>650</v>
      </c>
      <c r="N270" t="s">
        <v>675</v>
      </c>
      <c r="O270" t="str">
        <f t="shared" si="98"/>
        <v>Mombasa</v>
      </c>
      <c r="P270" t="s">
        <v>703</v>
      </c>
      <c r="Q270" t="s">
        <v>711</v>
      </c>
      <c r="R270" t="str">
        <f t="shared" si="99"/>
        <v>Direct</v>
      </c>
      <c r="S270" t="s">
        <v>713</v>
      </c>
      <c r="T270" t="str">
        <f t="shared" si="90"/>
        <v>J. Njeri</v>
      </c>
      <c r="U270" t="s">
        <v>731</v>
      </c>
      <c r="V270" t="str">
        <f t="shared" si="100"/>
        <v>High</v>
      </c>
      <c r="W270" t="s">
        <v>754</v>
      </c>
      <c r="X270" t="str">
        <f t="shared" si="101"/>
        <v>A</v>
      </c>
      <c r="Y270" s="5">
        <v>1494.4</v>
      </c>
      <c r="Z270" s="5">
        <v>3661.07</v>
      </c>
      <c r="AA270" s="5">
        <f t="shared" si="102"/>
        <v>3661.07</v>
      </c>
      <c r="AB270" s="7">
        <v>7.1999999999999995E-2</v>
      </c>
      <c r="AC270" s="7">
        <f t="shared" si="103"/>
        <v>7.1999999999999995E-2</v>
      </c>
      <c r="AD270" s="16">
        <f t="shared" si="104"/>
        <v>0</v>
      </c>
      <c r="AE270" s="16">
        <v>7</v>
      </c>
      <c r="AF270" s="5">
        <f t="shared" si="105"/>
        <v>23782.310720000001</v>
      </c>
      <c r="AG270">
        <f t="shared" si="106"/>
        <v>10460.800000000001</v>
      </c>
      <c r="AH270" s="5">
        <f t="shared" si="107"/>
        <v>13321.51072</v>
      </c>
      <c r="AI270" s="5">
        <f t="shared" si="108"/>
        <v>0.56014366630897339</v>
      </c>
      <c r="AJ270" s="5">
        <f t="shared" si="111"/>
        <v>8250314.9318200024</v>
      </c>
      <c r="AK270" s="7">
        <f t="shared" si="109"/>
        <v>0.75374473471696746</v>
      </c>
      <c r="AL270" s="17">
        <f>MIN(AC270,'What-If Analysis'!$B$2)</f>
        <v>7.1999999999999995E-2</v>
      </c>
      <c r="AM270">
        <f>AE270*(1+'What-If Analysis'!$B$3)</f>
        <v>9.1</v>
      </c>
      <c r="AN270">
        <f>Y270*(1+'What-If Analysis'!$B$4)</f>
        <v>1643.8400000000001</v>
      </c>
      <c r="AO270">
        <f t="shared" si="110"/>
        <v>30917.003936000001</v>
      </c>
    </row>
    <row r="271" spans="1:41" x14ac:dyDescent="0.3">
      <c r="A271" t="s">
        <v>514</v>
      </c>
      <c r="B271" s="3">
        <v>45048</v>
      </c>
      <c r="C271" s="3">
        <f t="shared" si="91"/>
        <v>45048</v>
      </c>
      <c r="D271" s="3">
        <v>45062</v>
      </c>
      <c r="E271" s="3">
        <f t="shared" si="92"/>
        <v>45062</v>
      </c>
      <c r="F271" s="16">
        <f t="shared" si="93"/>
        <v>14</v>
      </c>
      <c r="G271" s="16">
        <f>IF(Data!F192&lt;=7,1,0)</f>
        <v>0</v>
      </c>
      <c r="H271" s="5" t="str">
        <f t="shared" si="94"/>
        <v>05-2023</v>
      </c>
      <c r="I271" s="5" t="str">
        <f t="shared" si="95"/>
        <v>Q2-2023</v>
      </c>
      <c r="J271" s="3">
        <f t="shared" si="96"/>
        <v>44955</v>
      </c>
      <c r="K271" s="5" t="str">
        <f t="shared" si="97"/>
        <v>01-2023</v>
      </c>
      <c r="L271" t="s">
        <v>647</v>
      </c>
      <c r="M271" t="s">
        <v>654</v>
      </c>
      <c r="N271" t="s">
        <v>668</v>
      </c>
      <c r="O271" t="str">
        <f t="shared" si="98"/>
        <v>Bengaluru</v>
      </c>
      <c r="P271" t="s">
        <v>703</v>
      </c>
      <c r="Q271" t="s">
        <v>707</v>
      </c>
      <c r="R271" t="str">
        <f t="shared" si="99"/>
        <v>Retail</v>
      </c>
      <c r="S271" t="s">
        <v>716</v>
      </c>
      <c r="T271" t="str">
        <f t="shared" si="90"/>
        <v>L. Okafor</v>
      </c>
      <c r="U271" t="s">
        <v>732</v>
      </c>
      <c r="V271" t="str">
        <f t="shared" si="100"/>
        <v>Medium</v>
      </c>
      <c r="W271" t="s">
        <v>1233</v>
      </c>
      <c r="X271" t="str">
        <f t="shared" si="101"/>
        <v>A</v>
      </c>
      <c r="Y271" s="5">
        <v>475.37</v>
      </c>
      <c r="Z271" s="5">
        <v>963.73</v>
      </c>
      <c r="AA271" s="5">
        <f t="shared" si="102"/>
        <v>963.73</v>
      </c>
      <c r="AB271" s="7">
        <v>4.1000000000000002E-2</v>
      </c>
      <c r="AC271" s="7">
        <f t="shared" si="103"/>
        <v>4.1000000000000002E-2</v>
      </c>
      <c r="AD271" s="16">
        <f t="shared" si="104"/>
        <v>0</v>
      </c>
      <c r="AE271" s="16">
        <v>22</v>
      </c>
      <c r="AF271" s="5">
        <f t="shared" si="105"/>
        <v>20332.775539999999</v>
      </c>
      <c r="AG271">
        <f t="shared" si="106"/>
        <v>10458.14</v>
      </c>
      <c r="AH271" s="5">
        <f t="shared" si="107"/>
        <v>9874.6355399999993</v>
      </c>
      <c r="AI271" s="5">
        <f t="shared" si="108"/>
        <v>0.48565113604750881</v>
      </c>
      <c r="AJ271" s="5">
        <f t="shared" si="111"/>
        <v>8270647.7073600022</v>
      </c>
      <c r="AK271" s="7">
        <f t="shared" si="109"/>
        <v>0.75560232714005771</v>
      </c>
      <c r="AL271" s="17">
        <f>MIN(AC271,'What-If Analysis'!$B$2)</f>
        <v>4.1000000000000002E-2</v>
      </c>
      <c r="AM271">
        <f>AE271*(1+'What-If Analysis'!$B$3)</f>
        <v>28.6</v>
      </c>
      <c r="AN271">
        <f>Y271*(1+'What-If Analysis'!$B$4)</f>
        <v>522.90700000000004</v>
      </c>
      <c r="AO271">
        <f t="shared" si="110"/>
        <v>26432.608202000003</v>
      </c>
    </row>
    <row r="272" spans="1:41" x14ac:dyDescent="0.3">
      <c r="A272" t="s">
        <v>559</v>
      </c>
      <c r="B272" s="3">
        <v>45889</v>
      </c>
      <c r="C272" s="3">
        <f t="shared" si="91"/>
        <v>45889</v>
      </c>
      <c r="D272" s="3">
        <v>45895</v>
      </c>
      <c r="E272" s="3">
        <f t="shared" si="92"/>
        <v>45895</v>
      </c>
      <c r="F272" s="16">
        <f t="shared" si="93"/>
        <v>6</v>
      </c>
      <c r="G272" s="16">
        <f>IF(Data!F344&lt;=7,1,0)</f>
        <v>1</v>
      </c>
      <c r="H272" s="5" t="str">
        <f t="shared" si="94"/>
        <v>08-2025</v>
      </c>
      <c r="I272" s="5" t="str">
        <f t="shared" si="95"/>
        <v>Q3-2025</v>
      </c>
      <c r="J272" s="3">
        <f t="shared" si="96"/>
        <v>44939</v>
      </c>
      <c r="K272" s="5" t="str">
        <f t="shared" si="97"/>
        <v>01-2023</v>
      </c>
      <c r="L272" t="s">
        <v>648</v>
      </c>
      <c r="M272" t="s">
        <v>660</v>
      </c>
      <c r="N272" t="s">
        <v>700</v>
      </c>
      <c r="O272" t="str">
        <f t="shared" si="98"/>
        <v>New York</v>
      </c>
      <c r="P272" t="s">
        <v>701</v>
      </c>
      <c r="Q272" t="s">
        <v>707</v>
      </c>
      <c r="R272" t="str">
        <f t="shared" si="99"/>
        <v>Retail</v>
      </c>
      <c r="S272" t="s">
        <v>724</v>
      </c>
      <c r="T272" t="str">
        <f t="shared" si="90"/>
        <v>M. Rossi</v>
      </c>
      <c r="U272" t="s">
        <v>729</v>
      </c>
      <c r="V272" t="str">
        <f t="shared" si="100"/>
        <v>High</v>
      </c>
      <c r="W272" t="s">
        <v>1277</v>
      </c>
      <c r="X272" t="str">
        <f t="shared" si="101"/>
        <v>A</v>
      </c>
      <c r="Y272" s="5">
        <v>1304.95</v>
      </c>
      <c r="Z272" s="5">
        <v>1712.03</v>
      </c>
      <c r="AA272" s="5">
        <f t="shared" si="102"/>
        <v>1712.03</v>
      </c>
      <c r="AB272" s="7">
        <v>0.21199999999999999</v>
      </c>
      <c r="AC272" s="7">
        <f t="shared" si="103"/>
        <v>0.21199999999999999</v>
      </c>
      <c r="AD272" s="16">
        <f t="shared" si="104"/>
        <v>1</v>
      </c>
      <c r="AE272" s="16">
        <v>8</v>
      </c>
      <c r="AF272" s="5">
        <f t="shared" si="105"/>
        <v>10792.637119999999</v>
      </c>
      <c r="AG272">
        <f t="shared" si="106"/>
        <v>10439.6</v>
      </c>
      <c r="AH272" s="5">
        <f t="shared" si="107"/>
        <v>353.03711999999905</v>
      </c>
      <c r="AI272" s="5">
        <f t="shared" si="108"/>
        <v>3.2710922833287949E-2</v>
      </c>
      <c r="AJ272" s="5">
        <f t="shared" si="111"/>
        <v>8281440.3444800023</v>
      </c>
      <c r="AK272" s="7">
        <f t="shared" si="109"/>
        <v>0.75658833718575136</v>
      </c>
      <c r="AL272" s="17">
        <f>MIN(AC272,'What-If Analysis'!$B$2)</f>
        <v>0.2</v>
      </c>
      <c r="AM272">
        <f>AE272*(1+'What-If Analysis'!$B$3)</f>
        <v>10.4</v>
      </c>
      <c r="AN272">
        <f>Y272*(1+'What-If Analysis'!$B$4)</f>
        <v>1435.4450000000002</v>
      </c>
      <c r="AO272">
        <f t="shared" si="110"/>
        <v>14244.089600000001</v>
      </c>
    </row>
    <row r="273" spans="1:41" x14ac:dyDescent="0.3">
      <c r="A273" t="s">
        <v>561</v>
      </c>
      <c r="B273" s="3">
        <v>45177</v>
      </c>
      <c r="C273" s="3">
        <f t="shared" si="91"/>
        <v>45177</v>
      </c>
      <c r="D273" s="3">
        <v>45201</v>
      </c>
      <c r="E273" s="3">
        <f t="shared" si="92"/>
        <v>45201</v>
      </c>
      <c r="F273" s="16">
        <f t="shared" si="93"/>
        <v>24</v>
      </c>
      <c r="G273" s="16">
        <f>IF(Data!F252&lt;=7,1,0)</f>
        <v>0</v>
      </c>
      <c r="H273" s="5" t="str">
        <f t="shared" si="94"/>
        <v>09-2023</v>
      </c>
      <c r="I273" s="5" t="str">
        <f t="shared" si="95"/>
        <v>Q3-2023</v>
      </c>
      <c r="J273" s="3">
        <f t="shared" si="96"/>
        <v>44928</v>
      </c>
      <c r="K273" s="5" t="str">
        <f t="shared" si="97"/>
        <v>01-2023</v>
      </c>
      <c r="L273" t="s">
        <v>648</v>
      </c>
      <c r="M273" t="s">
        <v>653</v>
      </c>
      <c r="N273" t="s">
        <v>667</v>
      </c>
      <c r="O273" t="str">
        <f t="shared" si="98"/>
        <v>Toronto</v>
      </c>
      <c r="P273" t="s">
        <v>702</v>
      </c>
      <c r="Q273" t="s">
        <v>711</v>
      </c>
      <c r="R273" t="str">
        <f t="shared" si="99"/>
        <v>Direct</v>
      </c>
      <c r="S273" t="s">
        <v>720</v>
      </c>
      <c r="T273" t="str">
        <f t="shared" ref="T273:T336" si="112">IF(S273="",_xlfn.XLOOKUP(L273,L:L,S:S),S273)</f>
        <v>A. Patel</v>
      </c>
      <c r="U273" t="s">
        <v>733</v>
      </c>
      <c r="V273" t="str">
        <f t="shared" si="100"/>
        <v>High</v>
      </c>
      <c r="W273" t="s">
        <v>1279</v>
      </c>
      <c r="X273" t="str">
        <f t="shared" si="101"/>
        <v>A</v>
      </c>
      <c r="Y273" s="5">
        <v>1299.03</v>
      </c>
      <c r="Z273" s="5">
        <v>2451.2199999999998</v>
      </c>
      <c r="AA273" s="5">
        <f t="shared" si="102"/>
        <v>2451.2199999999998</v>
      </c>
      <c r="AB273" s="7">
        <v>0.20799999999999999</v>
      </c>
      <c r="AC273" s="7">
        <f t="shared" si="103"/>
        <v>0.20799999999999999</v>
      </c>
      <c r="AD273" s="16">
        <f t="shared" si="104"/>
        <v>1</v>
      </c>
      <c r="AE273" s="16">
        <v>8</v>
      </c>
      <c r="AF273" s="5">
        <f t="shared" si="105"/>
        <v>15530.929919999999</v>
      </c>
      <c r="AG273">
        <f t="shared" si="106"/>
        <v>10392.24</v>
      </c>
      <c r="AH273" s="5">
        <f t="shared" si="107"/>
        <v>5138.6899199999989</v>
      </c>
      <c r="AI273" s="5">
        <f t="shared" si="108"/>
        <v>0.3308681416032041</v>
      </c>
      <c r="AJ273" s="5">
        <f t="shared" si="111"/>
        <v>8296971.2744000023</v>
      </c>
      <c r="AK273" s="7">
        <f t="shared" si="109"/>
        <v>0.75800723534287606</v>
      </c>
      <c r="AL273" s="17">
        <f>MIN(AC273,'What-If Analysis'!$B$2)</f>
        <v>0.2</v>
      </c>
      <c r="AM273">
        <f>AE273*(1+'What-If Analysis'!$B$3)</f>
        <v>10.4</v>
      </c>
      <c r="AN273">
        <f>Y273*(1+'What-If Analysis'!$B$4)</f>
        <v>1428.933</v>
      </c>
      <c r="AO273">
        <f t="shared" si="110"/>
        <v>20394.150399999999</v>
      </c>
    </row>
    <row r="274" spans="1:41" x14ac:dyDescent="0.3">
      <c r="A274" t="s">
        <v>408</v>
      </c>
      <c r="B274" s="3">
        <v>45075</v>
      </c>
      <c r="C274" s="3">
        <f t="shared" si="91"/>
        <v>45075</v>
      </c>
      <c r="D274" s="3">
        <v>45097</v>
      </c>
      <c r="E274" s="3">
        <f t="shared" si="92"/>
        <v>45097</v>
      </c>
      <c r="F274" s="16">
        <f t="shared" si="93"/>
        <v>22</v>
      </c>
      <c r="G274" s="16">
        <f>IF(Data!F202&lt;=7,1,0)</f>
        <v>0</v>
      </c>
      <c r="H274" s="5" t="str">
        <f t="shared" si="94"/>
        <v>05-2023</v>
      </c>
      <c r="I274" s="5" t="str">
        <f t="shared" si="95"/>
        <v>Q2-2023</v>
      </c>
      <c r="J274" s="3">
        <f t="shared" si="96"/>
        <v>44945</v>
      </c>
      <c r="K274" s="5" t="str">
        <f t="shared" si="97"/>
        <v>01-2023</v>
      </c>
      <c r="L274" t="s">
        <v>649</v>
      </c>
      <c r="M274" t="s">
        <v>658</v>
      </c>
      <c r="N274" t="s">
        <v>683</v>
      </c>
      <c r="O274" t="str">
        <f t="shared" si="98"/>
        <v>London</v>
      </c>
      <c r="P274" t="s">
        <v>705</v>
      </c>
      <c r="Q274" t="s">
        <v>711</v>
      </c>
      <c r="R274" t="str">
        <f t="shared" si="99"/>
        <v>Direct</v>
      </c>
      <c r="S274" t="s">
        <v>723</v>
      </c>
      <c r="T274" t="str">
        <f t="shared" si="112"/>
        <v>K. Singh</v>
      </c>
      <c r="U274" t="s">
        <v>727</v>
      </c>
      <c r="V274" t="str">
        <f t="shared" si="100"/>
        <v>High</v>
      </c>
      <c r="W274" t="s">
        <v>1127</v>
      </c>
      <c r="X274" t="str">
        <f t="shared" si="101"/>
        <v>A</v>
      </c>
      <c r="Y274" s="5">
        <v>1295.3900000000001</v>
      </c>
      <c r="Z274" s="5">
        <v>2905.06</v>
      </c>
      <c r="AA274" s="5">
        <f t="shared" si="102"/>
        <v>2905.06</v>
      </c>
      <c r="AB274" s="7">
        <v>0.14799999999999999</v>
      </c>
      <c r="AC274" s="7">
        <f t="shared" si="103"/>
        <v>0.14799999999999999</v>
      </c>
      <c r="AD274" s="16">
        <f t="shared" si="104"/>
        <v>0</v>
      </c>
      <c r="AE274" s="16">
        <v>8</v>
      </c>
      <c r="AF274" s="5">
        <f t="shared" si="105"/>
        <v>19800.88896</v>
      </c>
      <c r="AG274">
        <f t="shared" si="106"/>
        <v>10363.120000000001</v>
      </c>
      <c r="AH274" s="5">
        <f t="shared" si="107"/>
        <v>9437.7689599999994</v>
      </c>
      <c r="AI274" s="5">
        <f t="shared" si="108"/>
        <v>0.47663359857556614</v>
      </c>
      <c r="AJ274" s="5">
        <f t="shared" si="111"/>
        <v>8316772.1633600025</v>
      </c>
      <c r="AK274" s="7">
        <f t="shared" si="109"/>
        <v>0.75981623486830674</v>
      </c>
      <c r="AL274" s="17">
        <f>MIN(AC274,'What-If Analysis'!$B$2)</f>
        <v>0.14799999999999999</v>
      </c>
      <c r="AM274">
        <f>AE274*(1+'What-If Analysis'!$B$3)</f>
        <v>10.4</v>
      </c>
      <c r="AN274">
        <f>Y274*(1+'What-If Analysis'!$B$4)</f>
        <v>1424.9290000000003</v>
      </c>
      <c r="AO274">
        <f t="shared" si="110"/>
        <v>25741.155648</v>
      </c>
    </row>
    <row r="275" spans="1:41" x14ac:dyDescent="0.3">
      <c r="A275" t="s">
        <v>380</v>
      </c>
      <c r="B275" s="3">
        <v>45445</v>
      </c>
      <c r="C275" s="3">
        <f t="shared" si="91"/>
        <v>45445</v>
      </c>
      <c r="D275" s="3">
        <v>45458</v>
      </c>
      <c r="E275" s="3">
        <f t="shared" si="92"/>
        <v>45458</v>
      </c>
      <c r="F275" s="16">
        <f t="shared" si="93"/>
        <v>13</v>
      </c>
      <c r="G275" s="16">
        <f>IF(Data!F206&lt;=7,1,0)</f>
        <v>0</v>
      </c>
      <c r="H275" s="5" t="str">
        <f t="shared" si="94"/>
        <v>06-2024</v>
      </c>
      <c r="I275" s="5" t="str">
        <f t="shared" si="95"/>
        <v>Q2-2024</v>
      </c>
      <c r="J275" s="3">
        <f t="shared" si="96"/>
        <v>44946</v>
      </c>
      <c r="K275" s="5" t="str">
        <f t="shared" si="97"/>
        <v>01-2023</v>
      </c>
      <c r="L275" t="s">
        <v>646</v>
      </c>
      <c r="M275" t="s">
        <v>650</v>
      </c>
      <c r="N275" t="s">
        <v>675</v>
      </c>
      <c r="O275" t="str">
        <f t="shared" si="98"/>
        <v>Mombasa</v>
      </c>
      <c r="P275" t="s">
        <v>702</v>
      </c>
      <c r="Q275" t="s">
        <v>708</v>
      </c>
      <c r="R275" t="str">
        <f t="shared" si="99"/>
        <v>Online</v>
      </c>
      <c r="S275" t="s">
        <v>719</v>
      </c>
      <c r="T275" t="str">
        <f t="shared" si="112"/>
        <v>O. Wang</v>
      </c>
      <c r="U275" t="s">
        <v>730</v>
      </c>
      <c r="V275" t="str">
        <f t="shared" si="100"/>
        <v>High</v>
      </c>
      <c r="W275" t="s">
        <v>1100</v>
      </c>
      <c r="X275" t="str">
        <f t="shared" si="101"/>
        <v>A</v>
      </c>
      <c r="Y275" s="5">
        <v>1295.18</v>
      </c>
      <c r="Z275" s="5">
        <v>3024.03</v>
      </c>
      <c r="AA275" s="5">
        <f t="shared" si="102"/>
        <v>3024.03</v>
      </c>
      <c r="AB275" s="7">
        <v>0.192</v>
      </c>
      <c r="AC275" s="7">
        <f t="shared" si="103"/>
        <v>0.192</v>
      </c>
      <c r="AD275" s="16">
        <f t="shared" si="104"/>
        <v>0</v>
      </c>
      <c r="AE275" s="16">
        <v>8</v>
      </c>
      <c r="AF275" s="5">
        <f t="shared" si="105"/>
        <v>19547.329920000004</v>
      </c>
      <c r="AG275">
        <f t="shared" si="106"/>
        <v>10361.44</v>
      </c>
      <c r="AH275" s="5">
        <f t="shared" si="107"/>
        <v>9185.8899200000033</v>
      </c>
      <c r="AI275" s="5">
        <f t="shared" si="108"/>
        <v>0.46993067378483178</v>
      </c>
      <c r="AJ275" s="5">
        <f t="shared" si="111"/>
        <v>8336319.4932800028</v>
      </c>
      <c r="AK275" s="7">
        <f t="shared" si="109"/>
        <v>0.76160206936392705</v>
      </c>
      <c r="AL275" s="17">
        <f>MIN(AC275,'What-If Analysis'!$B$2)</f>
        <v>0.192</v>
      </c>
      <c r="AM275">
        <f>AE275*(1+'What-If Analysis'!$B$3)</f>
        <v>10.4</v>
      </c>
      <c r="AN275">
        <f>Y275*(1+'What-If Analysis'!$B$4)</f>
        <v>1424.6980000000001</v>
      </c>
      <c r="AO275">
        <f t="shared" si="110"/>
        <v>25411.528896000003</v>
      </c>
    </row>
    <row r="276" spans="1:41" x14ac:dyDescent="0.3">
      <c r="A276" t="s">
        <v>275</v>
      </c>
      <c r="B276" s="3">
        <v>45073</v>
      </c>
      <c r="C276" s="3">
        <f t="shared" si="91"/>
        <v>45073</v>
      </c>
      <c r="D276" s="3">
        <v>45096</v>
      </c>
      <c r="E276" s="3">
        <f t="shared" si="92"/>
        <v>45096</v>
      </c>
      <c r="F276" s="16">
        <f t="shared" si="93"/>
        <v>23</v>
      </c>
      <c r="G276" s="16">
        <f>IF(Data!F222&lt;=7,1,0)</f>
        <v>0</v>
      </c>
      <c r="H276" s="5" t="str">
        <f t="shared" si="94"/>
        <v>05-2023</v>
      </c>
      <c r="I276" s="5" t="str">
        <f t="shared" si="95"/>
        <v>Q2-2023</v>
      </c>
      <c r="J276" s="3">
        <f t="shared" si="96"/>
        <v>44947</v>
      </c>
      <c r="K276" s="5" t="str">
        <f t="shared" si="97"/>
        <v>01-2023</v>
      </c>
      <c r="L276" t="s">
        <v>649</v>
      </c>
      <c r="M276" t="s">
        <v>656</v>
      </c>
      <c r="N276" t="s">
        <v>671</v>
      </c>
      <c r="O276" t="str">
        <f t="shared" si="98"/>
        <v>Berlin</v>
      </c>
      <c r="P276" t="s">
        <v>702</v>
      </c>
      <c r="Q276" t="s">
        <v>707</v>
      </c>
      <c r="R276" t="str">
        <f t="shared" si="99"/>
        <v>Retail</v>
      </c>
      <c r="S276" t="s">
        <v>719</v>
      </c>
      <c r="T276" t="str">
        <f t="shared" si="112"/>
        <v>O. Wang</v>
      </c>
      <c r="U276" t="s">
        <v>733</v>
      </c>
      <c r="V276" t="str">
        <f t="shared" si="100"/>
        <v>High</v>
      </c>
      <c r="W276" t="s">
        <v>995</v>
      </c>
      <c r="X276" t="str">
        <f t="shared" si="101"/>
        <v>A</v>
      </c>
      <c r="Y276" s="5">
        <v>1471.58</v>
      </c>
      <c r="Z276" s="5">
        <v>2576.65</v>
      </c>
      <c r="AA276" s="5">
        <f t="shared" si="102"/>
        <v>2576.65</v>
      </c>
      <c r="AB276" s="7">
        <v>4.0000000000000001E-3</v>
      </c>
      <c r="AC276" s="7">
        <f t="shared" si="103"/>
        <v>4.0000000000000001E-3</v>
      </c>
      <c r="AD276" s="16">
        <f t="shared" si="104"/>
        <v>0</v>
      </c>
      <c r="AE276" s="16">
        <v>7</v>
      </c>
      <c r="AF276" s="5">
        <f t="shared" si="105"/>
        <v>17964.4038</v>
      </c>
      <c r="AG276">
        <f t="shared" si="106"/>
        <v>10301.06</v>
      </c>
      <c r="AH276" s="5">
        <f t="shared" si="107"/>
        <v>7663.3438000000006</v>
      </c>
      <c r="AI276" s="5">
        <f t="shared" si="108"/>
        <v>0.4265849223451546</v>
      </c>
      <c r="AJ276" s="5">
        <f t="shared" si="111"/>
        <v>8354283.8970800033</v>
      </c>
      <c r="AK276" s="7">
        <f t="shared" si="109"/>
        <v>0.76324328850386025</v>
      </c>
      <c r="AL276" s="17">
        <f>MIN(AC276,'What-If Analysis'!$B$2)</f>
        <v>4.0000000000000001E-3</v>
      </c>
      <c r="AM276">
        <f>AE276*(1+'What-If Analysis'!$B$3)</f>
        <v>9.1</v>
      </c>
      <c r="AN276">
        <f>Y276*(1+'What-If Analysis'!$B$4)</f>
        <v>1618.7380000000001</v>
      </c>
      <c r="AO276">
        <f t="shared" si="110"/>
        <v>23353.72494</v>
      </c>
    </row>
    <row r="277" spans="1:41" x14ac:dyDescent="0.3">
      <c r="A277" t="s">
        <v>243</v>
      </c>
      <c r="B277" s="3">
        <v>44992</v>
      </c>
      <c r="C277" s="3">
        <f t="shared" si="91"/>
        <v>44992</v>
      </c>
      <c r="D277" s="3">
        <v>45017</v>
      </c>
      <c r="E277" s="3">
        <f t="shared" si="92"/>
        <v>45017</v>
      </c>
      <c r="F277" s="16">
        <f t="shared" si="93"/>
        <v>25</v>
      </c>
      <c r="G277" s="16">
        <f>IF(Data!F429&lt;=7,1,0)</f>
        <v>0</v>
      </c>
      <c r="H277" s="5" t="str">
        <f t="shared" si="94"/>
        <v>03-2023</v>
      </c>
      <c r="I277" s="5" t="str">
        <f t="shared" si="95"/>
        <v>Q1-2023</v>
      </c>
      <c r="J277" s="3">
        <f t="shared" si="96"/>
        <v>44946</v>
      </c>
      <c r="K277" s="5" t="str">
        <f t="shared" si="97"/>
        <v>01-2023</v>
      </c>
      <c r="L277" t="s">
        <v>646</v>
      </c>
      <c r="M277" t="s">
        <v>650</v>
      </c>
      <c r="N277" t="s">
        <v>664</v>
      </c>
      <c r="O277" t="str">
        <f t="shared" si="98"/>
        <v>Nairobi</v>
      </c>
      <c r="P277" t="s">
        <v>704</v>
      </c>
      <c r="Q277" t="s">
        <v>709</v>
      </c>
      <c r="R277" t="str">
        <f t="shared" si="99"/>
        <v>Marketplace</v>
      </c>
      <c r="S277" t="s">
        <v>726</v>
      </c>
      <c r="T277" t="str">
        <f t="shared" si="112"/>
        <v>D. Smith</v>
      </c>
      <c r="U277" t="s">
        <v>728</v>
      </c>
      <c r="V277" t="str">
        <f t="shared" si="100"/>
        <v>Medium</v>
      </c>
      <c r="W277" t="s">
        <v>963</v>
      </c>
      <c r="X277" t="str">
        <f t="shared" si="101"/>
        <v>A</v>
      </c>
      <c r="Y277" s="5">
        <v>1024.0999999999999</v>
      </c>
      <c r="Z277" s="5">
        <v>918.19</v>
      </c>
      <c r="AA277" s="5">
        <f t="shared" si="102"/>
        <v>918.19</v>
      </c>
      <c r="AB277" s="7">
        <v>0.189</v>
      </c>
      <c r="AC277" s="7">
        <f t="shared" si="103"/>
        <v>0.189</v>
      </c>
      <c r="AD277" s="16">
        <f t="shared" si="104"/>
        <v>0</v>
      </c>
      <c r="AE277" s="16">
        <v>10</v>
      </c>
      <c r="AF277" s="5">
        <f t="shared" si="105"/>
        <v>7446.5209000000004</v>
      </c>
      <c r="AG277">
        <f t="shared" si="106"/>
        <v>10241</v>
      </c>
      <c r="AH277" s="5">
        <f t="shared" si="107"/>
        <v>2794.4790999999996</v>
      </c>
      <c r="AI277" s="5">
        <f t="shared" si="108"/>
        <v>0.37527311579827827</v>
      </c>
      <c r="AJ277" s="5">
        <f t="shared" si="111"/>
        <v>8361730.4179800032</v>
      </c>
      <c r="AK277" s="7">
        <f t="shared" si="109"/>
        <v>0.76392359900918261</v>
      </c>
      <c r="AL277" s="17">
        <f>MIN(AC277,'What-If Analysis'!$B$2)</f>
        <v>0.189</v>
      </c>
      <c r="AM277">
        <f>AE277*(1+'What-If Analysis'!$B$3)</f>
        <v>13</v>
      </c>
      <c r="AN277">
        <f>Y277*(1+'What-If Analysis'!$B$4)</f>
        <v>1126.51</v>
      </c>
      <c r="AO277">
        <f t="shared" si="110"/>
        <v>9680.4771700000001</v>
      </c>
    </row>
    <row r="278" spans="1:41" x14ac:dyDescent="0.3">
      <c r="A278" t="s">
        <v>407</v>
      </c>
      <c r="B278" s="3">
        <v>45360</v>
      </c>
      <c r="C278" s="3">
        <f t="shared" si="91"/>
        <v>45360</v>
      </c>
      <c r="D278" s="3">
        <v>45377</v>
      </c>
      <c r="E278" s="3">
        <f t="shared" si="92"/>
        <v>45377</v>
      </c>
      <c r="F278" s="16">
        <f t="shared" si="93"/>
        <v>17</v>
      </c>
      <c r="G278" s="16">
        <f>IF(Data!F333&lt;=7,1,0)</f>
        <v>0</v>
      </c>
      <c r="H278" s="5" t="str">
        <f t="shared" si="94"/>
        <v>03-2024</v>
      </c>
      <c r="I278" s="5" t="str">
        <f t="shared" si="95"/>
        <v>Q1-2024</v>
      </c>
      <c r="J278" s="3">
        <f t="shared" si="96"/>
        <v>44939</v>
      </c>
      <c r="K278" s="5" t="str">
        <f t="shared" si="97"/>
        <v>01-2023</v>
      </c>
      <c r="L278" t="s">
        <v>648</v>
      </c>
      <c r="M278" t="s">
        <v>660</v>
      </c>
      <c r="N278" t="s">
        <v>686</v>
      </c>
      <c r="O278" t="str">
        <f t="shared" si="98"/>
        <v>San Francisco</v>
      </c>
      <c r="P278" t="s">
        <v>702</v>
      </c>
      <c r="Q278" t="s">
        <v>711</v>
      </c>
      <c r="R278" t="str">
        <f t="shared" si="99"/>
        <v>Direct</v>
      </c>
      <c r="S278" t="s">
        <v>714</v>
      </c>
      <c r="T278" t="str">
        <f t="shared" si="112"/>
        <v>I. Johnson</v>
      </c>
      <c r="U278" t="s">
        <v>730</v>
      </c>
      <c r="V278" t="str">
        <f t="shared" si="100"/>
        <v>High</v>
      </c>
      <c r="W278" t="s">
        <v>1126</v>
      </c>
      <c r="X278" t="str">
        <f t="shared" si="101"/>
        <v>A</v>
      </c>
      <c r="Y278" s="5">
        <v>1137.4100000000001</v>
      </c>
      <c r="Z278" s="5">
        <v>1680.93</v>
      </c>
      <c r="AA278" s="5">
        <f t="shared" si="102"/>
        <v>1680.93</v>
      </c>
      <c r="AB278" s="7">
        <v>0.254</v>
      </c>
      <c r="AC278" s="7">
        <f t="shared" si="103"/>
        <v>0.254</v>
      </c>
      <c r="AD278" s="16">
        <f t="shared" si="104"/>
        <v>1</v>
      </c>
      <c r="AE278" s="16">
        <v>9</v>
      </c>
      <c r="AF278" s="5">
        <f t="shared" si="105"/>
        <v>11285.764020000001</v>
      </c>
      <c r="AG278">
        <f t="shared" si="106"/>
        <v>10236.69</v>
      </c>
      <c r="AH278" s="5">
        <f t="shared" si="107"/>
        <v>1049.07402</v>
      </c>
      <c r="AI278" s="5">
        <f t="shared" si="108"/>
        <v>9.2955516183121464E-2</v>
      </c>
      <c r="AJ278" s="5">
        <f t="shared" si="111"/>
        <v>8373016.1820000028</v>
      </c>
      <c r="AK278" s="7">
        <f t="shared" si="109"/>
        <v>0.76495466088713882</v>
      </c>
      <c r="AL278" s="17">
        <f>MIN(AC278,'What-If Analysis'!$B$2)</f>
        <v>0.2</v>
      </c>
      <c r="AM278">
        <f>AE278*(1+'What-If Analysis'!$B$3)</f>
        <v>11.700000000000001</v>
      </c>
      <c r="AN278">
        <f>Y278*(1+'What-If Analysis'!$B$4)</f>
        <v>1251.1510000000003</v>
      </c>
      <c r="AO278">
        <f t="shared" si="110"/>
        <v>15733.504800000002</v>
      </c>
    </row>
    <row r="279" spans="1:41" x14ac:dyDescent="0.3">
      <c r="A279" t="s">
        <v>38</v>
      </c>
      <c r="B279" s="3">
        <v>45430</v>
      </c>
      <c r="C279" s="3">
        <f t="shared" si="91"/>
        <v>45430</v>
      </c>
      <c r="D279" s="3">
        <v>45435</v>
      </c>
      <c r="E279" s="3">
        <f t="shared" si="92"/>
        <v>45435</v>
      </c>
      <c r="F279" s="16">
        <f t="shared" si="93"/>
        <v>5</v>
      </c>
      <c r="G279" s="16">
        <f>IF(Data!F193&lt;=7,1,0)</f>
        <v>0</v>
      </c>
      <c r="H279" s="5" t="str">
        <f t="shared" si="94"/>
        <v>05-2024</v>
      </c>
      <c r="I279" s="5" t="str">
        <f t="shared" si="95"/>
        <v>Q2-2024</v>
      </c>
      <c r="J279" s="3">
        <f t="shared" si="96"/>
        <v>44939</v>
      </c>
      <c r="K279" s="5" t="str">
        <f t="shared" si="97"/>
        <v>01-2023</v>
      </c>
      <c r="L279" t="s">
        <v>648</v>
      </c>
      <c r="M279" t="s">
        <v>660</v>
      </c>
      <c r="N279" t="s">
        <v>677</v>
      </c>
      <c r="O279" t="str">
        <f t="shared" si="98"/>
        <v>Chicago</v>
      </c>
      <c r="P279" t="s">
        <v>706</v>
      </c>
      <c r="Q279" t="s">
        <v>707</v>
      </c>
      <c r="R279" t="str">
        <f t="shared" si="99"/>
        <v>Retail</v>
      </c>
      <c r="S279" t="s">
        <v>722</v>
      </c>
      <c r="T279" t="str">
        <f t="shared" si="112"/>
        <v>H. Kim</v>
      </c>
      <c r="U279" t="s">
        <v>731</v>
      </c>
      <c r="V279" t="str">
        <f t="shared" si="100"/>
        <v>High</v>
      </c>
      <c r="W279" t="s">
        <v>757</v>
      </c>
      <c r="X279" t="str">
        <f t="shared" si="101"/>
        <v>A</v>
      </c>
      <c r="Y279" s="5">
        <v>1274.5899999999999</v>
      </c>
      <c r="Z279" s="5">
        <v>2553.69</v>
      </c>
      <c r="AA279" s="5">
        <f t="shared" si="102"/>
        <v>2553.69</v>
      </c>
      <c r="AB279" s="7">
        <v>0.01</v>
      </c>
      <c r="AC279" s="7">
        <f t="shared" si="103"/>
        <v>0.01</v>
      </c>
      <c r="AD279" s="16">
        <f t="shared" si="104"/>
        <v>0</v>
      </c>
      <c r="AE279" s="16">
        <v>8</v>
      </c>
      <c r="AF279" s="5">
        <f t="shared" si="105"/>
        <v>20225.2248</v>
      </c>
      <c r="AG279">
        <f t="shared" si="106"/>
        <v>10196.719999999999</v>
      </c>
      <c r="AH279" s="5">
        <f t="shared" si="107"/>
        <v>10028.504800000001</v>
      </c>
      <c r="AI279" s="5">
        <f t="shared" si="108"/>
        <v>0.49584145042481803</v>
      </c>
      <c r="AJ279" s="5">
        <f t="shared" si="111"/>
        <v>8393241.4068000037</v>
      </c>
      <c r="AK279" s="7">
        <f t="shared" si="109"/>
        <v>0.7668024275272548</v>
      </c>
      <c r="AL279" s="17">
        <f>MIN(AC279,'What-If Analysis'!$B$2)</f>
        <v>0.01</v>
      </c>
      <c r="AM279">
        <f>AE279*(1+'What-If Analysis'!$B$3)</f>
        <v>10.4</v>
      </c>
      <c r="AN279">
        <f>Y279*(1+'What-If Analysis'!$B$4)</f>
        <v>1402.049</v>
      </c>
      <c r="AO279">
        <f t="shared" si="110"/>
        <v>26292.792239999999</v>
      </c>
    </row>
    <row r="280" spans="1:41" x14ac:dyDescent="0.3">
      <c r="A280" t="s">
        <v>281</v>
      </c>
      <c r="B280" s="3">
        <v>45053</v>
      </c>
      <c r="C280" s="3">
        <f t="shared" si="91"/>
        <v>45051</v>
      </c>
      <c r="D280" s="3">
        <v>45051</v>
      </c>
      <c r="E280" s="3">
        <f t="shared" si="92"/>
        <v>45053</v>
      </c>
      <c r="F280" s="16">
        <f t="shared" si="93"/>
        <v>2</v>
      </c>
      <c r="G280" s="16">
        <f>IF(Data!F228&lt;=7,1,0)</f>
        <v>1</v>
      </c>
      <c r="H280" s="5" t="str">
        <f t="shared" si="94"/>
        <v>05-2023</v>
      </c>
      <c r="I280" s="5" t="str">
        <f t="shared" si="95"/>
        <v>Q2-2023</v>
      </c>
      <c r="J280" s="3">
        <f t="shared" si="96"/>
        <v>44939</v>
      </c>
      <c r="K280" s="5" t="str">
        <f t="shared" si="97"/>
        <v>01-2023</v>
      </c>
      <c r="L280" t="s">
        <v>646</v>
      </c>
      <c r="M280" t="s">
        <v>651</v>
      </c>
      <c r="N280" t="s">
        <v>663</v>
      </c>
      <c r="O280" t="str">
        <f t="shared" si="98"/>
        <v>Port Harcourt</v>
      </c>
      <c r="P280" t="s">
        <v>703</v>
      </c>
      <c r="Q280" t="s">
        <v>709</v>
      </c>
      <c r="R280" t="str">
        <f t="shared" si="99"/>
        <v>Marketplace</v>
      </c>
      <c r="S280" t="s">
        <v>720</v>
      </c>
      <c r="T280" t="str">
        <f t="shared" si="112"/>
        <v>A. Patel</v>
      </c>
      <c r="U280" t="s">
        <v>727</v>
      </c>
      <c r="V280" t="str">
        <f t="shared" si="100"/>
        <v>High</v>
      </c>
      <c r="W280" t="s">
        <v>1001</v>
      </c>
      <c r="X280" t="str">
        <f t="shared" si="101"/>
        <v>A</v>
      </c>
      <c r="Y280" s="5">
        <v>1269.6500000000001</v>
      </c>
      <c r="Z280" s="5">
        <v>2462.77</v>
      </c>
      <c r="AA280" s="5">
        <f t="shared" si="102"/>
        <v>2462.77</v>
      </c>
      <c r="AB280" s="7">
        <v>0.107</v>
      </c>
      <c r="AC280" s="7">
        <f t="shared" si="103"/>
        <v>0.107</v>
      </c>
      <c r="AD280" s="16">
        <f t="shared" si="104"/>
        <v>0</v>
      </c>
      <c r="AE280" s="16">
        <v>8</v>
      </c>
      <c r="AF280" s="5">
        <f t="shared" si="105"/>
        <v>17594.028880000002</v>
      </c>
      <c r="AG280">
        <f t="shared" si="106"/>
        <v>10157.200000000001</v>
      </c>
      <c r="AH280" s="5">
        <f t="shared" si="107"/>
        <v>7436.8288800000009</v>
      </c>
      <c r="AI280" s="5">
        <f t="shared" si="108"/>
        <v>0.42269050089225502</v>
      </c>
      <c r="AJ280" s="5">
        <f t="shared" si="111"/>
        <v>8410835.4356800038</v>
      </c>
      <c r="AK280" s="7">
        <f t="shared" si="109"/>
        <v>0.7684098093957471</v>
      </c>
      <c r="AL280" s="17">
        <f>MIN(AC280,'What-If Analysis'!$B$2)</f>
        <v>0.107</v>
      </c>
      <c r="AM280">
        <f>AE280*(1+'What-If Analysis'!$B$3)</f>
        <v>10.4</v>
      </c>
      <c r="AN280">
        <f>Y280*(1+'What-If Analysis'!$B$4)</f>
        <v>1396.6150000000002</v>
      </c>
      <c r="AO280">
        <f t="shared" si="110"/>
        <v>22872.237544</v>
      </c>
    </row>
    <row r="281" spans="1:41" x14ac:dyDescent="0.3">
      <c r="A281" t="s">
        <v>269</v>
      </c>
      <c r="B281" s="3">
        <v>45411</v>
      </c>
      <c r="C281" s="3">
        <f t="shared" si="91"/>
        <v>45411</v>
      </c>
      <c r="D281" s="3">
        <v>45431</v>
      </c>
      <c r="E281" s="3">
        <f t="shared" si="92"/>
        <v>45431</v>
      </c>
      <c r="F281" s="16">
        <f t="shared" si="93"/>
        <v>20</v>
      </c>
      <c r="G281" s="16">
        <f>IF(Data!F160&lt;=7,1,0)</f>
        <v>0</v>
      </c>
      <c r="H281" s="5" t="str">
        <f t="shared" si="94"/>
        <v>04-2024</v>
      </c>
      <c r="I281" s="5" t="str">
        <f t="shared" si="95"/>
        <v>Q2-2024</v>
      </c>
      <c r="J281" s="3">
        <f t="shared" si="96"/>
        <v>44947</v>
      </c>
      <c r="K281" s="5" t="str">
        <f t="shared" si="97"/>
        <v>01-2023</v>
      </c>
      <c r="L281" t="s">
        <v>649</v>
      </c>
      <c r="M281" t="s">
        <v>656</v>
      </c>
      <c r="N281" t="s">
        <v>698</v>
      </c>
      <c r="O281" t="str">
        <f t="shared" si="98"/>
        <v>Frankfurt</v>
      </c>
      <c r="P281" t="s">
        <v>706</v>
      </c>
      <c r="Q281" t="s">
        <v>709</v>
      </c>
      <c r="R281" t="str">
        <f t="shared" si="99"/>
        <v>Marketplace</v>
      </c>
      <c r="S281" t="s">
        <v>712</v>
      </c>
      <c r="T281" t="str">
        <f t="shared" si="112"/>
        <v>C. Otieno</v>
      </c>
      <c r="U281" t="s">
        <v>731</v>
      </c>
      <c r="V281" t="str">
        <f t="shared" si="100"/>
        <v>High</v>
      </c>
      <c r="W281" t="s">
        <v>989</v>
      </c>
      <c r="X281" t="str">
        <f t="shared" si="101"/>
        <v>A</v>
      </c>
      <c r="Y281" s="5">
        <v>668.97</v>
      </c>
      <c r="Z281" s="5">
        <v>1667.44</v>
      </c>
      <c r="AA281" s="5">
        <f t="shared" si="102"/>
        <v>1667.44</v>
      </c>
      <c r="AB281" s="7">
        <v>3.4000000000000002E-2</v>
      </c>
      <c r="AC281" s="7">
        <f t="shared" si="103"/>
        <v>3.4000000000000002E-2</v>
      </c>
      <c r="AD281" s="16">
        <f t="shared" si="104"/>
        <v>0</v>
      </c>
      <c r="AE281" s="16">
        <v>15</v>
      </c>
      <c r="AF281" s="5">
        <f t="shared" si="105"/>
        <v>24161.205600000001</v>
      </c>
      <c r="AG281">
        <f t="shared" si="106"/>
        <v>10034.550000000001</v>
      </c>
      <c r="AH281" s="5">
        <f t="shared" si="107"/>
        <v>14126.6556</v>
      </c>
      <c r="AI281" s="5">
        <f t="shared" si="108"/>
        <v>0.58468339013679016</v>
      </c>
      <c r="AJ281" s="5">
        <f t="shared" si="111"/>
        <v>8434996.6412800048</v>
      </c>
      <c r="AK281" s="7">
        <f t="shared" si="109"/>
        <v>0.77061716531560132</v>
      </c>
      <c r="AL281" s="17">
        <f>MIN(AC281,'What-If Analysis'!$B$2)</f>
        <v>3.4000000000000002E-2</v>
      </c>
      <c r="AM281">
        <f>AE281*(1+'What-If Analysis'!$B$3)</f>
        <v>19.5</v>
      </c>
      <c r="AN281">
        <f>Y281*(1+'What-If Analysis'!$B$4)</f>
        <v>735.86700000000008</v>
      </c>
      <c r="AO281">
        <f t="shared" si="110"/>
        <v>31409.567279999999</v>
      </c>
    </row>
    <row r="282" spans="1:41" x14ac:dyDescent="0.3">
      <c r="A282" t="s">
        <v>625</v>
      </c>
      <c r="B282" s="3">
        <v>45323</v>
      </c>
      <c r="C282" s="3">
        <f t="shared" si="91"/>
        <v>45323</v>
      </c>
      <c r="D282" s="3">
        <v>45323</v>
      </c>
      <c r="E282" s="3">
        <f t="shared" si="92"/>
        <v>45323</v>
      </c>
      <c r="F282" s="16">
        <f t="shared" si="93"/>
        <v>0</v>
      </c>
      <c r="G282" s="16">
        <f>IF(Data!F221&lt;=7,1,0)</f>
        <v>1</v>
      </c>
      <c r="H282" s="5" t="str">
        <f t="shared" si="94"/>
        <v>02-2024</v>
      </c>
      <c r="I282" s="5" t="str">
        <f t="shared" si="95"/>
        <v>Q1-2024</v>
      </c>
      <c r="J282" s="3">
        <f t="shared" si="96"/>
        <v>44939</v>
      </c>
      <c r="K282" s="5" t="str">
        <f t="shared" si="97"/>
        <v>01-2023</v>
      </c>
      <c r="L282" t="s">
        <v>648</v>
      </c>
      <c r="M282" t="s">
        <v>660</v>
      </c>
      <c r="N282" t="s">
        <v>697</v>
      </c>
      <c r="O282" t="str">
        <f t="shared" si="98"/>
        <v>Austin</v>
      </c>
      <c r="P282" t="s">
        <v>704</v>
      </c>
      <c r="Q282" t="s">
        <v>710</v>
      </c>
      <c r="R282" t="str">
        <f t="shared" si="99"/>
        <v>Distributor</v>
      </c>
      <c r="S282" t="s">
        <v>722</v>
      </c>
      <c r="T282" t="str">
        <f t="shared" si="112"/>
        <v>H. Kim</v>
      </c>
      <c r="U282" t="s">
        <v>728</v>
      </c>
      <c r="V282" t="str">
        <f t="shared" si="100"/>
        <v>Medium</v>
      </c>
      <c r="W282" t="s">
        <v>1343</v>
      </c>
      <c r="X282" t="str">
        <f t="shared" si="101"/>
        <v>A</v>
      </c>
      <c r="Y282" s="5">
        <v>714.43</v>
      </c>
      <c r="Z282" s="5">
        <v>1595.52</v>
      </c>
      <c r="AA282" s="5">
        <f t="shared" si="102"/>
        <v>1595.52</v>
      </c>
      <c r="AB282" s="7">
        <v>0.19400000000000001</v>
      </c>
      <c r="AC282" s="7">
        <f t="shared" si="103"/>
        <v>0.19400000000000001</v>
      </c>
      <c r="AD282" s="16">
        <f t="shared" si="104"/>
        <v>0</v>
      </c>
      <c r="AE282" s="16">
        <v>14</v>
      </c>
      <c r="AF282" s="5">
        <f t="shared" si="105"/>
        <v>18003.847679999999</v>
      </c>
      <c r="AG282">
        <f t="shared" si="106"/>
        <v>10002.019999999999</v>
      </c>
      <c r="AH282" s="5">
        <f t="shared" si="107"/>
        <v>8001.8276800000003</v>
      </c>
      <c r="AI282" s="5">
        <f t="shared" si="108"/>
        <v>0.44445097638151093</v>
      </c>
      <c r="AJ282" s="5">
        <f t="shared" si="111"/>
        <v>8453000.4889600053</v>
      </c>
      <c r="AK282" s="7">
        <f t="shared" si="109"/>
        <v>0.77226198802910873</v>
      </c>
      <c r="AL282" s="17">
        <f>MIN(AC282,'What-If Analysis'!$B$2)</f>
        <v>0.19400000000000001</v>
      </c>
      <c r="AM282">
        <f>AE282*(1+'What-If Analysis'!$B$3)</f>
        <v>18.2</v>
      </c>
      <c r="AN282">
        <f>Y282*(1+'What-If Analysis'!$B$4)</f>
        <v>785.87300000000005</v>
      </c>
      <c r="AO282">
        <f t="shared" si="110"/>
        <v>23405.001984000002</v>
      </c>
    </row>
    <row r="283" spans="1:41" x14ac:dyDescent="0.3">
      <c r="A283" t="s">
        <v>605</v>
      </c>
      <c r="B283" s="3">
        <v>45899</v>
      </c>
      <c r="C283" s="3">
        <f t="shared" si="91"/>
        <v>45899</v>
      </c>
      <c r="D283" s="3">
        <v>45922</v>
      </c>
      <c r="E283" s="3">
        <f t="shared" si="92"/>
        <v>45922</v>
      </c>
      <c r="F283" s="16">
        <f t="shared" si="93"/>
        <v>23</v>
      </c>
      <c r="G283" s="16">
        <f>IF(Data!F327&lt;=7,1,0)</f>
        <v>0</v>
      </c>
      <c r="H283" s="5" t="str">
        <f t="shared" si="94"/>
        <v>08-2025</v>
      </c>
      <c r="I283" s="5" t="str">
        <f t="shared" si="95"/>
        <v>Q3-2025</v>
      </c>
      <c r="J283" s="3">
        <f t="shared" si="96"/>
        <v>44936</v>
      </c>
      <c r="K283" s="5" t="str">
        <f t="shared" si="97"/>
        <v>01-2023</v>
      </c>
      <c r="L283" t="s">
        <v>649</v>
      </c>
      <c r="M283" t="s">
        <v>657</v>
      </c>
      <c r="N283" t="s">
        <v>673</v>
      </c>
      <c r="O283" t="str">
        <f t="shared" si="98"/>
        <v>Marseille</v>
      </c>
      <c r="P283" t="s">
        <v>701</v>
      </c>
      <c r="Q283" t="s">
        <v>711</v>
      </c>
      <c r="R283" t="str">
        <f t="shared" si="99"/>
        <v>Direct</v>
      </c>
      <c r="S283" t="s">
        <v>718</v>
      </c>
      <c r="T283" t="str">
        <f t="shared" si="112"/>
        <v>E. Garcia</v>
      </c>
      <c r="U283" t="s">
        <v>727</v>
      </c>
      <c r="V283" t="str">
        <f t="shared" si="100"/>
        <v>Medium</v>
      </c>
      <c r="W283" t="s">
        <v>1323</v>
      </c>
      <c r="X283" t="str">
        <f t="shared" si="101"/>
        <v>A</v>
      </c>
      <c r="Y283" s="5">
        <v>663.9</v>
      </c>
      <c r="Z283" s="5">
        <v>947.77</v>
      </c>
      <c r="AA283" s="5">
        <f t="shared" si="102"/>
        <v>947.77</v>
      </c>
      <c r="AB283" s="7">
        <v>0.17399999999999999</v>
      </c>
      <c r="AC283" s="7">
        <f t="shared" si="103"/>
        <v>0.17399999999999999</v>
      </c>
      <c r="AD283" s="16">
        <f t="shared" si="104"/>
        <v>0</v>
      </c>
      <c r="AE283" s="16">
        <v>15</v>
      </c>
      <c r="AF283" s="5">
        <f t="shared" si="105"/>
        <v>11742.8703</v>
      </c>
      <c r="AG283">
        <f t="shared" si="106"/>
        <v>9958.5</v>
      </c>
      <c r="AH283" s="5">
        <f t="shared" si="107"/>
        <v>1784.3703000000005</v>
      </c>
      <c r="AI283" s="5">
        <f t="shared" si="108"/>
        <v>0.1519535049280073</v>
      </c>
      <c r="AJ283" s="5">
        <f t="shared" si="111"/>
        <v>8464743.3592600059</v>
      </c>
      <c r="AK283" s="7">
        <f t="shared" si="109"/>
        <v>0.77333481091311196</v>
      </c>
      <c r="AL283" s="17">
        <f>MIN(AC283,'What-If Analysis'!$B$2)</f>
        <v>0.17399999999999999</v>
      </c>
      <c r="AM283">
        <f>AE283*(1+'What-If Analysis'!$B$3)</f>
        <v>19.5</v>
      </c>
      <c r="AN283">
        <f>Y283*(1+'What-If Analysis'!$B$4)</f>
        <v>730.29000000000008</v>
      </c>
      <c r="AO283">
        <f t="shared" si="110"/>
        <v>15265.731390000001</v>
      </c>
    </row>
    <row r="284" spans="1:41" x14ac:dyDescent="0.3">
      <c r="A284" t="s">
        <v>19</v>
      </c>
      <c r="B284" s="3">
        <v>45266</v>
      </c>
      <c r="C284" s="3">
        <f t="shared" si="91"/>
        <v>45266</v>
      </c>
      <c r="D284" s="3">
        <v>45291</v>
      </c>
      <c r="E284" s="3">
        <f t="shared" si="92"/>
        <v>45291</v>
      </c>
      <c r="F284" s="16">
        <f t="shared" si="93"/>
        <v>25</v>
      </c>
      <c r="G284" s="16">
        <f>IF(Data!F336&lt;=7,1,0)</f>
        <v>0</v>
      </c>
      <c r="H284" s="5" t="str">
        <f t="shared" si="94"/>
        <v>12-2023</v>
      </c>
      <c r="I284" s="5" t="str">
        <f t="shared" si="95"/>
        <v>Q4-2023</v>
      </c>
      <c r="J284" s="3">
        <f t="shared" si="96"/>
        <v>44988</v>
      </c>
      <c r="K284" s="5" t="str">
        <f t="shared" si="97"/>
        <v>03-2023</v>
      </c>
      <c r="L284" t="s">
        <v>647</v>
      </c>
      <c r="M284" t="s">
        <v>652</v>
      </c>
      <c r="N284" t="s">
        <v>666</v>
      </c>
      <c r="O284" t="str">
        <f t="shared" si="98"/>
        <v>Osaka</v>
      </c>
      <c r="P284" t="s">
        <v>704</v>
      </c>
      <c r="Q284" t="s">
        <v>707</v>
      </c>
      <c r="R284" t="str">
        <f t="shared" si="99"/>
        <v>Retail</v>
      </c>
      <c r="S284" t="s">
        <v>716</v>
      </c>
      <c r="T284" t="str">
        <f t="shared" si="112"/>
        <v>L. Okafor</v>
      </c>
      <c r="U284" t="s">
        <v>728</v>
      </c>
      <c r="V284" t="str">
        <f t="shared" si="100"/>
        <v>Low</v>
      </c>
      <c r="W284" t="s">
        <v>738</v>
      </c>
      <c r="X284" t="str">
        <f t="shared" si="101"/>
        <v>A</v>
      </c>
      <c r="Y284" s="5">
        <v>663.03</v>
      </c>
      <c r="Z284" s="5">
        <v>813.51</v>
      </c>
      <c r="AA284" s="5">
        <f t="shared" si="102"/>
        <v>813.51</v>
      </c>
      <c r="AB284" s="7">
        <v>0.10199999999999999</v>
      </c>
      <c r="AC284" s="7">
        <f t="shared" si="103"/>
        <v>0.10199999999999999</v>
      </c>
      <c r="AD284" s="16">
        <f t="shared" si="104"/>
        <v>0</v>
      </c>
      <c r="AE284" s="16">
        <v>15</v>
      </c>
      <c r="AF284" s="5">
        <f t="shared" si="105"/>
        <v>10957.9797</v>
      </c>
      <c r="AG284">
        <f t="shared" si="106"/>
        <v>9945.4499999999989</v>
      </c>
      <c r="AH284" s="5">
        <f t="shared" si="107"/>
        <v>1012.529700000001</v>
      </c>
      <c r="AI284" s="5">
        <f t="shared" si="108"/>
        <v>9.2401129379715952E-2</v>
      </c>
      <c r="AJ284" s="5">
        <f t="shared" si="111"/>
        <v>8475701.338960005</v>
      </c>
      <c r="AK284" s="7">
        <f t="shared" si="109"/>
        <v>0.7743359265760007</v>
      </c>
      <c r="AL284" s="17">
        <f>MIN(AC284,'What-If Analysis'!$B$2)</f>
        <v>0.10199999999999999</v>
      </c>
      <c r="AM284">
        <f>AE284*(1+'What-If Analysis'!$B$3)</f>
        <v>19.5</v>
      </c>
      <c r="AN284">
        <f>Y284*(1+'What-If Analysis'!$B$4)</f>
        <v>729.33300000000008</v>
      </c>
      <c r="AO284">
        <f t="shared" si="110"/>
        <v>14245.373610000001</v>
      </c>
    </row>
    <row r="285" spans="1:41" x14ac:dyDescent="0.3">
      <c r="A285" t="s">
        <v>455</v>
      </c>
      <c r="B285" s="3">
        <v>45374</v>
      </c>
      <c r="C285" s="3">
        <f t="shared" si="91"/>
        <v>45374</v>
      </c>
      <c r="D285" s="3">
        <v>45377</v>
      </c>
      <c r="E285" s="3">
        <f t="shared" si="92"/>
        <v>45377</v>
      </c>
      <c r="F285" s="16">
        <f t="shared" si="93"/>
        <v>3</v>
      </c>
      <c r="G285" s="16">
        <f>IF(Data!F305&lt;=7,1,0)</f>
        <v>1</v>
      </c>
      <c r="H285" s="5" t="str">
        <f t="shared" si="94"/>
        <v>03-2024</v>
      </c>
      <c r="I285" s="5" t="str">
        <f t="shared" si="95"/>
        <v>Q1-2024</v>
      </c>
      <c r="J285" s="3">
        <f t="shared" si="96"/>
        <v>44955</v>
      </c>
      <c r="K285" s="5" t="str">
        <f t="shared" si="97"/>
        <v>01-2023</v>
      </c>
      <c r="L285" t="s">
        <v>647</v>
      </c>
      <c r="M285" t="s">
        <v>654</v>
      </c>
      <c r="N285" t="s">
        <v>668</v>
      </c>
      <c r="O285" t="str">
        <f t="shared" si="98"/>
        <v>Bengaluru</v>
      </c>
      <c r="P285" t="s">
        <v>702</v>
      </c>
      <c r="Q285" t="s">
        <v>711</v>
      </c>
      <c r="R285" t="str">
        <f t="shared" si="99"/>
        <v>Direct</v>
      </c>
      <c r="S285" t="s">
        <v>715</v>
      </c>
      <c r="T285" t="str">
        <f t="shared" si="112"/>
        <v>G. Dubois</v>
      </c>
      <c r="U285" t="s">
        <v>730</v>
      </c>
      <c r="V285" t="str">
        <f t="shared" si="100"/>
        <v>Low</v>
      </c>
      <c r="W285" t="s">
        <v>1174</v>
      </c>
      <c r="X285" t="str">
        <f t="shared" si="101"/>
        <v>A</v>
      </c>
      <c r="Y285" s="5">
        <v>382.21</v>
      </c>
      <c r="Z285" s="5">
        <v>571.89</v>
      </c>
      <c r="AA285" s="5">
        <f t="shared" si="102"/>
        <v>571.89</v>
      </c>
      <c r="AB285" s="7">
        <v>0.14799999999999999</v>
      </c>
      <c r="AC285" s="7">
        <f t="shared" si="103"/>
        <v>0.14799999999999999</v>
      </c>
      <c r="AD285" s="16">
        <f t="shared" si="104"/>
        <v>0</v>
      </c>
      <c r="AE285" s="16">
        <v>26</v>
      </c>
      <c r="AF285" s="5">
        <f t="shared" si="105"/>
        <v>12668.50728</v>
      </c>
      <c r="AG285">
        <f t="shared" si="106"/>
        <v>9937.4599999999991</v>
      </c>
      <c r="AH285" s="5">
        <f t="shared" si="107"/>
        <v>2731.0472800000007</v>
      </c>
      <c r="AI285" s="5">
        <f t="shared" si="108"/>
        <v>0.2155776698578809</v>
      </c>
      <c r="AJ285" s="5">
        <f t="shared" si="111"/>
        <v>8488369.8462400045</v>
      </c>
      <c r="AK285" s="7">
        <f t="shared" si="109"/>
        <v>0.77549331520151787</v>
      </c>
      <c r="AL285" s="17">
        <f>MIN(AC285,'What-If Analysis'!$B$2)</f>
        <v>0.14799999999999999</v>
      </c>
      <c r="AM285">
        <f>AE285*(1+'What-If Analysis'!$B$3)</f>
        <v>33.800000000000004</v>
      </c>
      <c r="AN285">
        <f>Y285*(1+'What-If Analysis'!$B$4)</f>
        <v>420.43099999999998</v>
      </c>
      <c r="AO285">
        <f t="shared" si="110"/>
        <v>16469.059464000002</v>
      </c>
    </row>
    <row r="286" spans="1:41" x14ac:dyDescent="0.3">
      <c r="A286" t="s">
        <v>294</v>
      </c>
      <c r="B286" s="3">
        <v>45092</v>
      </c>
      <c r="C286" s="3">
        <f t="shared" si="91"/>
        <v>45092</v>
      </c>
      <c r="D286" s="3">
        <v>45100</v>
      </c>
      <c r="E286" s="3">
        <f t="shared" si="92"/>
        <v>45100</v>
      </c>
      <c r="F286" s="16">
        <f t="shared" si="93"/>
        <v>8</v>
      </c>
      <c r="G286" s="16">
        <f>IF(Data!F231&lt;=7,1,0)</f>
        <v>0</v>
      </c>
      <c r="H286" s="5" t="str">
        <f t="shared" si="94"/>
        <v>06-2023</v>
      </c>
      <c r="I286" s="5" t="str">
        <f t="shared" si="95"/>
        <v>Q2-2023</v>
      </c>
      <c r="J286" s="3">
        <f t="shared" si="96"/>
        <v>44939</v>
      </c>
      <c r="K286" s="5" t="str">
        <f t="shared" si="97"/>
        <v>01-2023</v>
      </c>
      <c r="L286" t="s">
        <v>648</v>
      </c>
      <c r="M286" t="s">
        <v>660</v>
      </c>
      <c r="N286" t="s">
        <v>686</v>
      </c>
      <c r="O286" t="str">
        <f t="shared" si="98"/>
        <v>San Francisco</v>
      </c>
      <c r="P286" t="s">
        <v>704</v>
      </c>
      <c r="Q286" t="s">
        <v>710</v>
      </c>
      <c r="R286" t="str">
        <f t="shared" si="99"/>
        <v>Distributor</v>
      </c>
      <c r="S286" t="s">
        <v>719</v>
      </c>
      <c r="T286" t="str">
        <f t="shared" si="112"/>
        <v>O. Wang</v>
      </c>
      <c r="U286" t="s">
        <v>732</v>
      </c>
      <c r="V286" t="str">
        <f t="shared" si="100"/>
        <v>High</v>
      </c>
      <c r="W286" t="s">
        <v>1014</v>
      </c>
      <c r="X286" t="str">
        <f t="shared" si="101"/>
        <v>A</v>
      </c>
      <c r="Y286" s="5">
        <v>1097.0899999999999</v>
      </c>
      <c r="Z286" s="5">
        <v>2182.31</v>
      </c>
      <c r="AA286" s="5">
        <f t="shared" si="102"/>
        <v>2182.31</v>
      </c>
      <c r="AB286" s="7">
        <v>0.112</v>
      </c>
      <c r="AC286" s="7">
        <f t="shared" si="103"/>
        <v>0.112</v>
      </c>
      <c r="AD286" s="16">
        <f t="shared" si="104"/>
        <v>0</v>
      </c>
      <c r="AE286" s="16">
        <v>9</v>
      </c>
      <c r="AF286" s="5">
        <f t="shared" si="105"/>
        <v>17441.021520000002</v>
      </c>
      <c r="AG286">
        <f t="shared" si="106"/>
        <v>9873.81</v>
      </c>
      <c r="AH286" s="5">
        <f t="shared" si="107"/>
        <v>7567.2115200000026</v>
      </c>
      <c r="AI286" s="5">
        <f t="shared" si="108"/>
        <v>0.43387432962699546</v>
      </c>
      <c r="AJ286" s="5">
        <f t="shared" si="111"/>
        <v>8505810.8677600045</v>
      </c>
      <c r="AK286" s="7">
        <f t="shared" si="109"/>
        <v>0.77708671839247767</v>
      </c>
      <c r="AL286" s="17">
        <f>MIN(AC286,'What-If Analysis'!$B$2)</f>
        <v>0.112</v>
      </c>
      <c r="AM286">
        <f>AE286*(1+'What-If Analysis'!$B$3)</f>
        <v>11.700000000000001</v>
      </c>
      <c r="AN286">
        <f>Y286*(1+'What-If Analysis'!$B$4)</f>
        <v>1206.799</v>
      </c>
      <c r="AO286">
        <f t="shared" si="110"/>
        <v>22673.327976</v>
      </c>
    </row>
    <row r="287" spans="1:41" x14ac:dyDescent="0.3">
      <c r="A287" t="s">
        <v>334</v>
      </c>
      <c r="B287" s="3">
        <v>45440</v>
      </c>
      <c r="C287" s="3">
        <f t="shared" si="91"/>
        <v>45440</v>
      </c>
      <c r="D287" s="3">
        <v>45461</v>
      </c>
      <c r="E287" s="3">
        <f t="shared" si="92"/>
        <v>45461</v>
      </c>
      <c r="F287" s="16">
        <f t="shared" si="93"/>
        <v>21</v>
      </c>
      <c r="G287" s="16">
        <f>IF(Data!F175&lt;=7,1,0)</f>
        <v>0</v>
      </c>
      <c r="H287" s="5" t="str">
        <f t="shared" si="94"/>
        <v>05-2024</v>
      </c>
      <c r="I287" s="5" t="str">
        <f t="shared" si="95"/>
        <v>Q2-2024</v>
      </c>
      <c r="J287" s="3">
        <f t="shared" si="96"/>
        <v>44947</v>
      </c>
      <c r="K287" s="5" t="str">
        <f t="shared" si="97"/>
        <v>01-2023</v>
      </c>
      <c r="L287" t="s">
        <v>649</v>
      </c>
      <c r="M287" t="s">
        <v>656</v>
      </c>
      <c r="N287" t="s">
        <v>698</v>
      </c>
      <c r="O287" t="str">
        <f t="shared" si="98"/>
        <v>Frankfurt</v>
      </c>
      <c r="P287" t="s">
        <v>705</v>
      </c>
      <c r="Q287" t="s">
        <v>708</v>
      </c>
      <c r="R287" t="str">
        <f t="shared" si="99"/>
        <v>Online</v>
      </c>
      <c r="S287" t="s">
        <v>718</v>
      </c>
      <c r="T287" t="str">
        <f t="shared" si="112"/>
        <v>E. Garcia</v>
      </c>
      <c r="U287" t="s">
        <v>730</v>
      </c>
      <c r="V287" t="str">
        <f t="shared" si="100"/>
        <v>High</v>
      </c>
      <c r="W287" t="s">
        <v>1054</v>
      </c>
      <c r="X287" t="str">
        <f t="shared" si="101"/>
        <v>A</v>
      </c>
      <c r="Y287" s="5">
        <v>986.85</v>
      </c>
      <c r="Z287" s="5">
        <v>2422.1</v>
      </c>
      <c r="AA287" s="5">
        <f t="shared" si="102"/>
        <v>2422.1</v>
      </c>
      <c r="AB287" s="7">
        <v>7.5999999999999998E-2</v>
      </c>
      <c r="AC287" s="7">
        <f t="shared" si="103"/>
        <v>7.5999999999999998E-2</v>
      </c>
      <c r="AD287" s="16">
        <f t="shared" si="104"/>
        <v>0</v>
      </c>
      <c r="AE287" s="16">
        <v>10</v>
      </c>
      <c r="AF287" s="5">
        <f t="shared" si="105"/>
        <v>22380.204000000002</v>
      </c>
      <c r="AG287">
        <f t="shared" si="106"/>
        <v>9868.5</v>
      </c>
      <c r="AH287" s="5">
        <f t="shared" si="107"/>
        <v>12511.704000000002</v>
      </c>
      <c r="AI287" s="5">
        <f t="shared" si="108"/>
        <v>0.55905227673527913</v>
      </c>
      <c r="AJ287" s="5">
        <f t="shared" si="111"/>
        <v>8528191.0717600044</v>
      </c>
      <c r="AK287" s="7">
        <f t="shared" si="109"/>
        <v>0.779131362877724</v>
      </c>
      <c r="AL287" s="17">
        <f>MIN(AC287,'What-If Analysis'!$B$2)</f>
        <v>7.5999999999999998E-2</v>
      </c>
      <c r="AM287">
        <f>AE287*(1+'What-If Analysis'!$B$3)</f>
        <v>13</v>
      </c>
      <c r="AN287">
        <f>Y287*(1+'What-If Analysis'!$B$4)</f>
        <v>1085.5350000000001</v>
      </c>
      <c r="AO287">
        <f t="shared" si="110"/>
        <v>29094.265200000002</v>
      </c>
    </row>
    <row r="288" spans="1:41" x14ac:dyDescent="0.3">
      <c r="A288" t="s">
        <v>224</v>
      </c>
      <c r="B288" s="3">
        <v>45567</v>
      </c>
      <c r="C288" s="3">
        <f t="shared" si="91"/>
        <v>45567</v>
      </c>
      <c r="D288" s="3">
        <v>45588</v>
      </c>
      <c r="E288" s="3">
        <f t="shared" si="92"/>
        <v>45588</v>
      </c>
      <c r="F288" s="16">
        <f t="shared" si="93"/>
        <v>21</v>
      </c>
      <c r="G288" s="16">
        <f>IF(Data!F220&lt;=7,1,0)</f>
        <v>1</v>
      </c>
      <c r="H288" s="5" t="str">
        <f t="shared" si="94"/>
        <v>10-2024</v>
      </c>
      <c r="I288" s="5" t="str">
        <f t="shared" si="95"/>
        <v>Q4-2024</v>
      </c>
      <c r="J288" s="3">
        <f t="shared" si="96"/>
        <v>44933</v>
      </c>
      <c r="K288" s="5" t="str">
        <f t="shared" si="97"/>
        <v>01-2023</v>
      </c>
      <c r="L288" t="s">
        <v>646</v>
      </c>
      <c r="M288" t="s">
        <v>661</v>
      </c>
      <c r="N288" t="s">
        <v>687</v>
      </c>
      <c r="O288" t="str">
        <f t="shared" si="98"/>
        <v>Durban</v>
      </c>
      <c r="P288" t="s">
        <v>701</v>
      </c>
      <c r="Q288" t="s">
        <v>709</v>
      </c>
      <c r="R288" t="str">
        <f t="shared" si="99"/>
        <v>Marketplace</v>
      </c>
      <c r="S288" t="s">
        <v>720</v>
      </c>
      <c r="T288" t="str">
        <f t="shared" si="112"/>
        <v>A. Patel</v>
      </c>
      <c r="U288" t="s">
        <v>727</v>
      </c>
      <c r="V288" t="str">
        <f t="shared" si="100"/>
        <v>High</v>
      </c>
      <c r="W288" t="s">
        <v>944</v>
      </c>
      <c r="X288" t="str">
        <f t="shared" si="101"/>
        <v>A</v>
      </c>
      <c r="Y288" s="5">
        <v>1095.6099999999999</v>
      </c>
      <c r="Z288" s="5">
        <v>2366.5100000000002</v>
      </c>
      <c r="AA288" s="5">
        <f t="shared" si="102"/>
        <v>2366.5100000000002</v>
      </c>
      <c r="AB288" s="7">
        <v>0.152</v>
      </c>
      <c r="AC288" s="7">
        <f t="shared" si="103"/>
        <v>0.152</v>
      </c>
      <c r="AD288" s="16">
        <f t="shared" si="104"/>
        <v>0</v>
      </c>
      <c r="AE288" s="16">
        <v>9</v>
      </c>
      <c r="AF288" s="5">
        <f t="shared" si="105"/>
        <v>18061.204320000004</v>
      </c>
      <c r="AG288">
        <f t="shared" si="106"/>
        <v>9860.49</v>
      </c>
      <c r="AH288" s="5">
        <f t="shared" si="107"/>
        <v>8200.7143200000046</v>
      </c>
      <c r="AI288" s="5">
        <f t="shared" si="108"/>
        <v>0.4540513564158607</v>
      </c>
      <c r="AJ288" s="5">
        <f t="shared" si="111"/>
        <v>8546252.2760800049</v>
      </c>
      <c r="AK288" s="7">
        <f t="shared" si="109"/>
        <v>0.78078142566579323</v>
      </c>
      <c r="AL288" s="17">
        <f>MIN(AC288,'What-If Analysis'!$B$2)</f>
        <v>0.152</v>
      </c>
      <c r="AM288">
        <f>AE288*(1+'What-If Analysis'!$B$3)</f>
        <v>11.700000000000001</v>
      </c>
      <c r="AN288">
        <f>Y288*(1+'What-If Analysis'!$B$4)</f>
        <v>1205.171</v>
      </c>
      <c r="AO288">
        <f t="shared" si="110"/>
        <v>23479.565616000004</v>
      </c>
    </row>
    <row r="289" spans="1:41" x14ac:dyDescent="0.3">
      <c r="A289" t="s">
        <v>481</v>
      </c>
      <c r="B289" s="3">
        <v>45278</v>
      </c>
      <c r="C289" s="3">
        <f t="shared" si="91"/>
        <v>45278</v>
      </c>
      <c r="D289" s="3">
        <v>45305</v>
      </c>
      <c r="E289" s="3">
        <f t="shared" si="92"/>
        <v>45305</v>
      </c>
      <c r="F289" s="16">
        <f t="shared" si="93"/>
        <v>27</v>
      </c>
      <c r="G289" s="16">
        <f>IF(Data!F277&lt;=7,1,0)</f>
        <v>0</v>
      </c>
      <c r="H289" s="5" t="str">
        <f t="shared" si="94"/>
        <v>12-2023</v>
      </c>
      <c r="I289" s="5" t="str">
        <f t="shared" si="95"/>
        <v>Q4-2023</v>
      </c>
      <c r="J289" s="3">
        <f t="shared" si="96"/>
        <v>44955</v>
      </c>
      <c r="K289" s="5" t="str">
        <f t="shared" si="97"/>
        <v>01-2023</v>
      </c>
      <c r="L289" t="s">
        <v>647</v>
      </c>
      <c r="M289" t="s">
        <v>654</v>
      </c>
      <c r="N289" t="s">
        <v>691</v>
      </c>
      <c r="O289" t="str">
        <f t="shared" si="98"/>
        <v>Mumbai</v>
      </c>
      <c r="P289" t="s">
        <v>704</v>
      </c>
      <c r="Q289" t="s">
        <v>710</v>
      </c>
      <c r="R289" t="str">
        <f t="shared" si="99"/>
        <v>Distributor</v>
      </c>
      <c r="S289" t="s">
        <v>726</v>
      </c>
      <c r="T289" t="str">
        <f t="shared" si="112"/>
        <v>D. Smith</v>
      </c>
      <c r="U289" t="s">
        <v>729</v>
      </c>
      <c r="V289" t="str">
        <f t="shared" si="100"/>
        <v>High</v>
      </c>
      <c r="W289" t="s">
        <v>1200</v>
      </c>
      <c r="X289" t="str">
        <f t="shared" si="101"/>
        <v>A</v>
      </c>
      <c r="Y289" s="5">
        <v>1408.3</v>
      </c>
      <c r="Z289" s="5">
        <v>2193.13</v>
      </c>
      <c r="AA289" s="5">
        <f t="shared" si="102"/>
        <v>2193.13</v>
      </c>
      <c r="AB289" s="7">
        <v>7.0999999999999994E-2</v>
      </c>
      <c r="AC289" s="7">
        <f t="shared" si="103"/>
        <v>7.0999999999999994E-2</v>
      </c>
      <c r="AD289" s="16">
        <f t="shared" si="104"/>
        <v>0</v>
      </c>
      <c r="AE289" s="16">
        <v>7</v>
      </c>
      <c r="AF289" s="5">
        <f t="shared" si="105"/>
        <v>14261.92439</v>
      </c>
      <c r="AG289">
        <f t="shared" si="106"/>
        <v>9858.1</v>
      </c>
      <c r="AH289" s="5">
        <f t="shared" si="107"/>
        <v>4403.8243899999998</v>
      </c>
      <c r="AI289" s="5">
        <f t="shared" si="108"/>
        <v>0.30878191957656281</v>
      </c>
      <c r="AJ289" s="5">
        <f t="shared" si="111"/>
        <v>8560514.2004700042</v>
      </c>
      <c r="AK289" s="7">
        <f t="shared" si="109"/>
        <v>0.78208438809870995</v>
      </c>
      <c r="AL289" s="17">
        <f>MIN(AC289,'What-If Analysis'!$B$2)</f>
        <v>7.0999999999999994E-2</v>
      </c>
      <c r="AM289">
        <f>AE289*(1+'What-If Analysis'!$B$3)</f>
        <v>9.1</v>
      </c>
      <c r="AN289">
        <f>Y289*(1+'What-If Analysis'!$B$4)</f>
        <v>1549.13</v>
      </c>
      <c r="AO289">
        <f t="shared" si="110"/>
        <v>18540.501706999999</v>
      </c>
    </row>
    <row r="290" spans="1:41" x14ac:dyDescent="0.3">
      <c r="A290" t="s">
        <v>506</v>
      </c>
      <c r="B290" s="3">
        <v>45861</v>
      </c>
      <c r="C290" s="3">
        <f t="shared" si="91"/>
        <v>45861</v>
      </c>
      <c r="D290" s="3">
        <v>45888</v>
      </c>
      <c r="E290" s="3">
        <f t="shared" si="92"/>
        <v>45888</v>
      </c>
      <c r="F290" s="16">
        <f t="shared" si="93"/>
        <v>27</v>
      </c>
      <c r="G290" s="16">
        <f>IF(Data!F426&lt;=7,1,0)</f>
        <v>0</v>
      </c>
      <c r="H290" s="5" t="str">
        <f t="shared" si="94"/>
        <v>07-2025</v>
      </c>
      <c r="I290" s="5" t="str">
        <f t="shared" si="95"/>
        <v>Q3-2025</v>
      </c>
      <c r="J290" s="3">
        <f t="shared" si="96"/>
        <v>44988</v>
      </c>
      <c r="K290" s="5" t="str">
        <f t="shared" si="97"/>
        <v>03-2023</v>
      </c>
      <c r="L290" t="s">
        <v>647</v>
      </c>
      <c r="M290" t="s">
        <v>652</v>
      </c>
      <c r="N290" t="s">
        <v>694</v>
      </c>
      <c r="O290" t="str">
        <f t="shared" si="98"/>
        <v>Nagoya</v>
      </c>
      <c r="P290" t="s">
        <v>704</v>
      </c>
      <c r="Q290" t="s">
        <v>709</v>
      </c>
      <c r="R290" t="str">
        <f t="shared" si="99"/>
        <v>Marketplace</v>
      </c>
      <c r="S290" t="s">
        <v>717</v>
      </c>
      <c r="T290" t="str">
        <f t="shared" si="112"/>
        <v>B. Chen</v>
      </c>
      <c r="U290" t="s">
        <v>733</v>
      </c>
      <c r="V290" t="str">
        <f t="shared" si="100"/>
        <v>Low</v>
      </c>
      <c r="W290" t="s">
        <v>1225</v>
      </c>
      <c r="X290" t="str">
        <f t="shared" si="101"/>
        <v>A</v>
      </c>
      <c r="Y290" s="5">
        <v>896.09</v>
      </c>
      <c r="Z290" s="5">
        <v>744.27</v>
      </c>
      <c r="AA290" s="5">
        <f t="shared" si="102"/>
        <v>744.27</v>
      </c>
      <c r="AB290" s="7">
        <v>8.3000000000000004E-2</v>
      </c>
      <c r="AC290" s="7">
        <f t="shared" si="103"/>
        <v>8.3000000000000004E-2</v>
      </c>
      <c r="AD290" s="16">
        <f t="shared" si="104"/>
        <v>0</v>
      </c>
      <c r="AE290" s="16">
        <v>11</v>
      </c>
      <c r="AF290" s="5">
        <f t="shared" si="105"/>
        <v>7507.4514899999995</v>
      </c>
      <c r="AG290">
        <f t="shared" si="106"/>
        <v>9856.99</v>
      </c>
      <c r="AH290" s="5">
        <f t="shared" si="107"/>
        <v>2349.5385100000003</v>
      </c>
      <c r="AI290" s="5">
        <f t="shared" si="108"/>
        <v>0.31296086469950679</v>
      </c>
      <c r="AJ290" s="5">
        <f t="shared" si="111"/>
        <v>8568021.6519600041</v>
      </c>
      <c r="AK290" s="7">
        <f t="shared" si="109"/>
        <v>0.78277026519291704</v>
      </c>
      <c r="AL290" s="17">
        <f>MIN(AC290,'What-If Analysis'!$B$2)</f>
        <v>8.3000000000000004E-2</v>
      </c>
      <c r="AM290">
        <f>AE290*(1+'What-If Analysis'!$B$3)</f>
        <v>14.3</v>
      </c>
      <c r="AN290">
        <f>Y290*(1+'What-If Analysis'!$B$4)</f>
        <v>985.69900000000007</v>
      </c>
      <c r="AO290">
        <f t="shared" si="110"/>
        <v>9759.6869370000004</v>
      </c>
    </row>
    <row r="291" spans="1:41" x14ac:dyDescent="0.3">
      <c r="A291" t="s">
        <v>418</v>
      </c>
      <c r="B291" s="3">
        <v>45677</v>
      </c>
      <c r="C291" s="3">
        <f t="shared" si="91"/>
        <v>45677</v>
      </c>
      <c r="D291" s="3">
        <v>45691</v>
      </c>
      <c r="E291" s="3">
        <f t="shared" si="92"/>
        <v>45691</v>
      </c>
      <c r="F291" s="16">
        <f t="shared" si="93"/>
        <v>14</v>
      </c>
      <c r="G291" s="16">
        <f>IF(Data!F417&lt;=7,1,0)</f>
        <v>1</v>
      </c>
      <c r="H291" s="5" t="str">
        <f t="shared" si="94"/>
        <v>01-2025</v>
      </c>
      <c r="I291" s="5" t="str">
        <f t="shared" si="95"/>
        <v>Q1-2025</v>
      </c>
      <c r="J291" s="3">
        <f t="shared" si="96"/>
        <v>44955</v>
      </c>
      <c r="K291" s="5" t="str">
        <f t="shared" si="97"/>
        <v>01-2023</v>
      </c>
      <c r="L291" t="s">
        <v>648</v>
      </c>
      <c r="M291" t="s">
        <v>655</v>
      </c>
      <c r="N291" t="s">
        <v>672</v>
      </c>
      <c r="O291" t="str">
        <f t="shared" si="98"/>
        <v>Brasília</v>
      </c>
      <c r="P291" t="s">
        <v>706</v>
      </c>
      <c r="Q291" t="s">
        <v>709</v>
      </c>
      <c r="R291" t="str">
        <f t="shared" si="99"/>
        <v>Marketplace</v>
      </c>
      <c r="S291" t="s">
        <v>721</v>
      </c>
      <c r="T291" t="str">
        <f t="shared" si="112"/>
        <v>F. Müller</v>
      </c>
      <c r="U291" t="s">
        <v>727</v>
      </c>
      <c r="V291" t="str">
        <f t="shared" si="100"/>
        <v>Medium</v>
      </c>
      <c r="W291" t="s">
        <v>1137</v>
      </c>
      <c r="X291" t="str">
        <f t="shared" si="101"/>
        <v>A</v>
      </c>
      <c r="Y291" s="5">
        <v>974.11</v>
      </c>
      <c r="Z291" s="5">
        <v>880.99</v>
      </c>
      <c r="AA291" s="5">
        <f t="shared" si="102"/>
        <v>880.99</v>
      </c>
      <c r="AB291" s="7">
        <v>0.111</v>
      </c>
      <c r="AC291" s="7">
        <f t="shared" si="103"/>
        <v>0.111</v>
      </c>
      <c r="AD291" s="16">
        <f t="shared" si="104"/>
        <v>0</v>
      </c>
      <c r="AE291" s="16">
        <v>10</v>
      </c>
      <c r="AF291" s="5">
        <f t="shared" si="105"/>
        <v>7832.0010999999995</v>
      </c>
      <c r="AG291">
        <f t="shared" si="106"/>
        <v>9741.1</v>
      </c>
      <c r="AH291" s="5">
        <f t="shared" si="107"/>
        <v>1909.0989000000009</v>
      </c>
      <c r="AI291" s="5">
        <f t="shared" si="108"/>
        <v>0.2437562093805121</v>
      </c>
      <c r="AJ291" s="5">
        <f t="shared" si="111"/>
        <v>8575853.6530600041</v>
      </c>
      <c r="AK291" s="7">
        <f t="shared" si="109"/>
        <v>0.78348579298066912</v>
      </c>
      <c r="AL291" s="17">
        <f>MIN(AC291,'What-If Analysis'!$B$2)</f>
        <v>0.111</v>
      </c>
      <c r="AM291">
        <f>AE291*(1+'What-If Analysis'!$B$3)</f>
        <v>13</v>
      </c>
      <c r="AN291">
        <f>Y291*(1+'What-If Analysis'!$B$4)</f>
        <v>1071.5210000000002</v>
      </c>
      <c r="AO291">
        <f t="shared" si="110"/>
        <v>10181.601430000001</v>
      </c>
    </row>
    <row r="292" spans="1:41" x14ac:dyDescent="0.3">
      <c r="A292" t="s">
        <v>263</v>
      </c>
      <c r="B292" s="3">
        <v>45912</v>
      </c>
      <c r="C292" s="3">
        <f t="shared" si="91"/>
        <v>45912</v>
      </c>
      <c r="D292" s="3">
        <v>45930</v>
      </c>
      <c r="E292" s="3">
        <f t="shared" si="92"/>
        <v>45930</v>
      </c>
      <c r="F292" s="16">
        <f t="shared" si="93"/>
        <v>18</v>
      </c>
      <c r="G292" s="16">
        <f>IF(Data!F326&lt;=7,1,0)</f>
        <v>0</v>
      </c>
      <c r="H292" s="5" t="str">
        <f t="shared" si="94"/>
        <v>09-2025</v>
      </c>
      <c r="I292" s="5" t="str">
        <f t="shared" si="95"/>
        <v>Q3-2025</v>
      </c>
      <c r="J292" s="3">
        <f t="shared" si="96"/>
        <v>44988</v>
      </c>
      <c r="K292" s="5" t="str">
        <f t="shared" si="97"/>
        <v>03-2023</v>
      </c>
      <c r="L292" t="s">
        <v>647</v>
      </c>
      <c r="M292" t="s">
        <v>652</v>
      </c>
      <c r="N292" t="s">
        <v>694</v>
      </c>
      <c r="O292" t="str">
        <f t="shared" si="98"/>
        <v>Nagoya</v>
      </c>
      <c r="P292" t="s">
        <v>703</v>
      </c>
      <c r="Q292" t="s">
        <v>709</v>
      </c>
      <c r="R292" t="str">
        <f t="shared" si="99"/>
        <v>Marketplace</v>
      </c>
      <c r="S292" t="s">
        <v>721</v>
      </c>
      <c r="T292" t="str">
        <f t="shared" si="112"/>
        <v>F. Müller</v>
      </c>
      <c r="U292" t="s">
        <v>732</v>
      </c>
      <c r="V292" t="str">
        <f t="shared" si="100"/>
        <v>High</v>
      </c>
      <c r="W292" t="s">
        <v>983</v>
      </c>
      <c r="X292" t="str">
        <f t="shared" si="101"/>
        <v>A</v>
      </c>
      <c r="Y292" s="5">
        <v>1212.99</v>
      </c>
      <c r="Z292" s="5">
        <v>1653.64</v>
      </c>
      <c r="AA292" s="5">
        <f t="shared" si="102"/>
        <v>1653.64</v>
      </c>
      <c r="AB292" s="7">
        <v>0.107</v>
      </c>
      <c r="AC292" s="7">
        <f t="shared" si="103"/>
        <v>0.107</v>
      </c>
      <c r="AD292" s="16">
        <f t="shared" si="104"/>
        <v>0</v>
      </c>
      <c r="AE292" s="16">
        <v>8</v>
      </c>
      <c r="AF292" s="5">
        <f t="shared" si="105"/>
        <v>11813.604160000001</v>
      </c>
      <c r="AG292">
        <f t="shared" si="106"/>
        <v>9703.92</v>
      </c>
      <c r="AH292" s="5">
        <f t="shared" si="107"/>
        <v>2109.6841600000007</v>
      </c>
      <c r="AI292" s="5">
        <f t="shared" si="108"/>
        <v>0.17858090819931455</v>
      </c>
      <c r="AJ292" s="5">
        <f t="shared" si="111"/>
        <v>8587667.2572200038</v>
      </c>
      <c r="AK292" s="7">
        <f t="shared" si="109"/>
        <v>0.78456507807550679</v>
      </c>
      <c r="AL292" s="17">
        <f>MIN(AC292,'What-If Analysis'!$B$2)</f>
        <v>0.107</v>
      </c>
      <c r="AM292">
        <f>AE292*(1+'What-If Analysis'!$B$3)</f>
        <v>10.4</v>
      </c>
      <c r="AN292">
        <f>Y292*(1+'What-If Analysis'!$B$4)</f>
        <v>1334.2890000000002</v>
      </c>
      <c r="AO292">
        <f t="shared" si="110"/>
        <v>15357.685408000003</v>
      </c>
    </row>
    <row r="293" spans="1:41" x14ac:dyDescent="0.3">
      <c r="A293" t="s">
        <v>28</v>
      </c>
      <c r="B293" s="3">
        <v>45311</v>
      </c>
      <c r="C293" s="3">
        <f t="shared" si="91"/>
        <v>45311</v>
      </c>
      <c r="D293" s="3">
        <v>45335</v>
      </c>
      <c r="E293" s="3">
        <f t="shared" si="92"/>
        <v>45335</v>
      </c>
      <c r="F293" s="16">
        <f t="shared" si="93"/>
        <v>24</v>
      </c>
      <c r="G293" s="16">
        <f>IF(Data!F182&lt;=7,1,0)</f>
        <v>0</v>
      </c>
      <c r="H293" s="5" t="str">
        <f t="shared" si="94"/>
        <v>01-2024</v>
      </c>
      <c r="I293" s="5" t="str">
        <f t="shared" si="95"/>
        <v>Q1-2024</v>
      </c>
      <c r="J293" s="3">
        <f t="shared" si="96"/>
        <v>44936</v>
      </c>
      <c r="K293" s="5" t="str">
        <f t="shared" si="97"/>
        <v>01-2023</v>
      </c>
      <c r="L293" t="s">
        <v>649</v>
      </c>
      <c r="M293" t="s">
        <v>657</v>
      </c>
      <c r="N293" t="s">
        <v>673</v>
      </c>
      <c r="O293" t="str">
        <f t="shared" si="98"/>
        <v>Marseille</v>
      </c>
      <c r="P293" t="s">
        <v>701</v>
      </c>
      <c r="Q293" t="s">
        <v>707</v>
      </c>
      <c r="R293" t="str">
        <f t="shared" si="99"/>
        <v>Retail</v>
      </c>
      <c r="S293" t="s">
        <v>722</v>
      </c>
      <c r="T293" t="str">
        <f t="shared" si="112"/>
        <v>H. Kim</v>
      </c>
      <c r="U293" t="s">
        <v>728</v>
      </c>
      <c r="V293" t="str">
        <f t="shared" si="100"/>
        <v>Medium</v>
      </c>
      <c r="W293" t="s">
        <v>747</v>
      </c>
      <c r="X293" t="str">
        <f t="shared" si="101"/>
        <v>A</v>
      </c>
      <c r="Y293" s="5">
        <v>643.53</v>
      </c>
      <c r="Z293" s="5">
        <v>1439.01</v>
      </c>
      <c r="AA293" s="5">
        <f t="shared" si="102"/>
        <v>1439.01</v>
      </c>
      <c r="AB293" s="7">
        <v>0</v>
      </c>
      <c r="AC293" s="7">
        <f t="shared" si="103"/>
        <v>0</v>
      </c>
      <c r="AD293" s="16">
        <f t="shared" si="104"/>
        <v>0</v>
      </c>
      <c r="AE293" s="16">
        <v>15</v>
      </c>
      <c r="AF293" s="5">
        <f t="shared" si="105"/>
        <v>21585.15</v>
      </c>
      <c r="AG293">
        <f t="shared" si="106"/>
        <v>9652.9499999999989</v>
      </c>
      <c r="AH293" s="5">
        <f t="shared" si="107"/>
        <v>11932.200000000003</v>
      </c>
      <c r="AI293" s="5">
        <f t="shared" si="108"/>
        <v>0.55279671440782208</v>
      </c>
      <c r="AJ293" s="5">
        <f t="shared" si="111"/>
        <v>8609252.4072200041</v>
      </c>
      <c r="AK293" s="7">
        <f t="shared" si="109"/>
        <v>0.78653708681638856</v>
      </c>
      <c r="AL293" s="17">
        <f>MIN(AC293,'What-If Analysis'!$B$2)</f>
        <v>0</v>
      </c>
      <c r="AM293">
        <f>AE293*(1+'What-If Analysis'!$B$3)</f>
        <v>19.5</v>
      </c>
      <c r="AN293">
        <f>Y293*(1+'What-If Analysis'!$B$4)</f>
        <v>707.88300000000004</v>
      </c>
      <c r="AO293">
        <f t="shared" si="110"/>
        <v>28060.695</v>
      </c>
    </row>
    <row r="294" spans="1:41" x14ac:dyDescent="0.3">
      <c r="A294" t="s">
        <v>301</v>
      </c>
      <c r="B294" s="3">
        <v>45542</v>
      </c>
      <c r="C294" s="3">
        <f t="shared" si="91"/>
        <v>45542</v>
      </c>
      <c r="D294" s="3">
        <v>45542</v>
      </c>
      <c r="E294" s="3">
        <f t="shared" si="92"/>
        <v>45542</v>
      </c>
      <c r="F294" s="16">
        <f t="shared" si="93"/>
        <v>0</v>
      </c>
      <c r="G294" s="16">
        <f>IF(Data!F200&lt;=7,1,0)</f>
        <v>1</v>
      </c>
      <c r="H294" s="5" t="str">
        <f t="shared" si="94"/>
        <v>09-2024</v>
      </c>
      <c r="I294" s="5" t="str">
        <f t="shared" si="95"/>
        <v>Q3-2024</v>
      </c>
      <c r="J294" s="3">
        <f t="shared" si="96"/>
        <v>44955</v>
      </c>
      <c r="K294" s="5" t="str">
        <f t="shared" si="97"/>
        <v>01-2023</v>
      </c>
      <c r="L294" t="s">
        <v>647</v>
      </c>
      <c r="M294" t="s">
        <v>654</v>
      </c>
      <c r="N294" t="s">
        <v>691</v>
      </c>
      <c r="O294" t="str">
        <f t="shared" si="98"/>
        <v>Mumbai</v>
      </c>
      <c r="P294" t="s">
        <v>702</v>
      </c>
      <c r="Q294" t="s">
        <v>710</v>
      </c>
      <c r="R294" t="str">
        <f t="shared" si="99"/>
        <v>Distributor</v>
      </c>
      <c r="S294" t="s">
        <v>717</v>
      </c>
      <c r="T294" t="str">
        <f t="shared" si="112"/>
        <v>B. Chen</v>
      </c>
      <c r="U294" t="s">
        <v>729</v>
      </c>
      <c r="V294" t="str">
        <f t="shared" si="100"/>
        <v>High</v>
      </c>
      <c r="W294" t="s">
        <v>1021</v>
      </c>
      <c r="X294" t="str">
        <f t="shared" si="101"/>
        <v>A</v>
      </c>
      <c r="Y294" s="5">
        <v>1066.6500000000001</v>
      </c>
      <c r="Z294" s="5">
        <v>2569.77</v>
      </c>
      <c r="AA294" s="5">
        <f t="shared" si="102"/>
        <v>2569.77</v>
      </c>
      <c r="AB294" s="7">
        <v>0.13400000000000001</v>
      </c>
      <c r="AC294" s="7">
        <f t="shared" si="103"/>
        <v>0.13400000000000001</v>
      </c>
      <c r="AD294" s="16">
        <f t="shared" si="104"/>
        <v>0</v>
      </c>
      <c r="AE294" s="16">
        <v>9</v>
      </c>
      <c r="AF294" s="5">
        <f t="shared" si="105"/>
        <v>20028.787380000002</v>
      </c>
      <c r="AG294">
        <f t="shared" si="106"/>
        <v>9599.85</v>
      </c>
      <c r="AH294" s="5">
        <f t="shared" si="107"/>
        <v>10428.937380000001</v>
      </c>
      <c r="AI294" s="5">
        <f t="shared" si="108"/>
        <v>0.52069739331368348</v>
      </c>
      <c r="AJ294" s="5">
        <f t="shared" si="111"/>
        <v>8629281.1946000047</v>
      </c>
      <c r="AK294" s="7">
        <f t="shared" si="109"/>
        <v>0.78836690702994383</v>
      </c>
      <c r="AL294" s="17">
        <f>MIN(AC294,'What-If Analysis'!$B$2)</f>
        <v>0.13400000000000001</v>
      </c>
      <c r="AM294">
        <f>AE294*(1+'What-If Analysis'!$B$3)</f>
        <v>11.700000000000001</v>
      </c>
      <c r="AN294">
        <f>Y294*(1+'What-If Analysis'!$B$4)</f>
        <v>1173.3150000000003</v>
      </c>
      <c r="AO294">
        <f t="shared" si="110"/>
        <v>26037.423594</v>
      </c>
    </row>
    <row r="295" spans="1:41" x14ac:dyDescent="0.3">
      <c r="A295" t="s">
        <v>162</v>
      </c>
      <c r="B295" s="3">
        <v>45386</v>
      </c>
      <c r="C295" s="3">
        <f t="shared" si="91"/>
        <v>45386</v>
      </c>
      <c r="D295" s="3">
        <v>45406</v>
      </c>
      <c r="E295" s="3">
        <f t="shared" si="92"/>
        <v>45406</v>
      </c>
      <c r="F295" s="16">
        <f t="shared" si="93"/>
        <v>20</v>
      </c>
      <c r="G295" s="16">
        <f>IF(Data!F291&lt;=7,1,0)</f>
        <v>0</v>
      </c>
      <c r="H295" s="5" t="str">
        <f t="shared" si="94"/>
        <v>04-2024</v>
      </c>
      <c r="I295" s="5" t="str">
        <f t="shared" si="95"/>
        <v>Q2-2024</v>
      </c>
      <c r="J295" s="3">
        <f t="shared" si="96"/>
        <v>44947</v>
      </c>
      <c r="K295" s="5" t="str">
        <f t="shared" si="97"/>
        <v>01-2023</v>
      </c>
      <c r="L295" t="s">
        <v>649</v>
      </c>
      <c r="M295" t="s">
        <v>656</v>
      </c>
      <c r="N295" t="s">
        <v>698</v>
      </c>
      <c r="O295" t="str">
        <f t="shared" si="98"/>
        <v>Frankfurt</v>
      </c>
      <c r="P295" t="s">
        <v>703</v>
      </c>
      <c r="Q295" t="s">
        <v>711</v>
      </c>
      <c r="R295" t="str">
        <f t="shared" si="99"/>
        <v>Direct</v>
      </c>
      <c r="S295" t="s">
        <v>719</v>
      </c>
      <c r="T295" t="str">
        <f t="shared" si="112"/>
        <v>O. Wang</v>
      </c>
      <c r="U295" t="s">
        <v>733</v>
      </c>
      <c r="V295" t="str">
        <f t="shared" si="100"/>
        <v>Medium</v>
      </c>
      <c r="W295" t="s">
        <v>881</v>
      </c>
      <c r="X295" t="str">
        <f t="shared" si="101"/>
        <v>A</v>
      </c>
      <c r="Y295" s="5">
        <v>683.42</v>
      </c>
      <c r="Z295" s="5">
        <v>951.51</v>
      </c>
      <c r="AA295" s="5">
        <f t="shared" si="102"/>
        <v>951.51</v>
      </c>
      <c r="AB295" s="7">
        <v>0</v>
      </c>
      <c r="AC295" s="7">
        <f t="shared" si="103"/>
        <v>0</v>
      </c>
      <c r="AD295" s="16">
        <f t="shared" si="104"/>
        <v>0</v>
      </c>
      <c r="AE295" s="16">
        <v>14</v>
      </c>
      <c r="AF295" s="5">
        <f t="shared" si="105"/>
        <v>13321.14</v>
      </c>
      <c r="AG295">
        <f t="shared" si="106"/>
        <v>9567.8799999999992</v>
      </c>
      <c r="AH295" s="5">
        <f t="shared" si="107"/>
        <v>3753.26</v>
      </c>
      <c r="AI295" s="5">
        <f t="shared" si="108"/>
        <v>0.28175216235247136</v>
      </c>
      <c r="AJ295" s="5">
        <f t="shared" si="111"/>
        <v>8642602.3346000053</v>
      </c>
      <c r="AK295" s="7">
        <f t="shared" si="109"/>
        <v>0.78958391986138166</v>
      </c>
      <c r="AL295" s="17">
        <f>MIN(AC295,'What-If Analysis'!$B$2)</f>
        <v>0</v>
      </c>
      <c r="AM295">
        <f>AE295*(1+'What-If Analysis'!$B$3)</f>
        <v>18.2</v>
      </c>
      <c r="AN295">
        <f>Y295*(1+'What-If Analysis'!$B$4)</f>
        <v>751.76200000000006</v>
      </c>
      <c r="AO295">
        <f t="shared" si="110"/>
        <v>17317.482</v>
      </c>
    </row>
    <row r="296" spans="1:41" x14ac:dyDescent="0.3">
      <c r="A296" t="s">
        <v>309</v>
      </c>
      <c r="B296" s="3">
        <v>45809</v>
      </c>
      <c r="C296" s="3">
        <f t="shared" si="91"/>
        <v>45809</v>
      </c>
      <c r="D296" s="3">
        <v>45835</v>
      </c>
      <c r="E296" s="3">
        <f t="shared" si="92"/>
        <v>45835</v>
      </c>
      <c r="F296" s="16">
        <f t="shared" si="93"/>
        <v>26</v>
      </c>
      <c r="G296" s="16">
        <f>IF(Data!F190&lt;=7,1,0)</f>
        <v>0</v>
      </c>
      <c r="H296" s="5" t="str">
        <f t="shared" si="94"/>
        <v>06-2025</v>
      </c>
      <c r="I296" s="5" t="str">
        <f t="shared" si="95"/>
        <v>Q2-2025</v>
      </c>
      <c r="J296" s="3">
        <f t="shared" si="96"/>
        <v>44947</v>
      </c>
      <c r="K296" s="5" t="str">
        <f t="shared" si="97"/>
        <v>01-2023</v>
      </c>
      <c r="L296" t="s">
        <v>649</v>
      </c>
      <c r="M296" t="s">
        <v>656</v>
      </c>
      <c r="N296" t="s">
        <v>684</v>
      </c>
      <c r="O296" t="str">
        <f t="shared" si="98"/>
        <v>Munich</v>
      </c>
      <c r="P296" t="s">
        <v>704</v>
      </c>
      <c r="Q296" t="s">
        <v>710</v>
      </c>
      <c r="R296" t="str">
        <f t="shared" si="99"/>
        <v>Distributor</v>
      </c>
      <c r="S296" t="s">
        <v>718</v>
      </c>
      <c r="T296" t="str">
        <f t="shared" si="112"/>
        <v>E. Garcia</v>
      </c>
      <c r="U296" t="s">
        <v>731</v>
      </c>
      <c r="V296" t="str">
        <f t="shared" si="100"/>
        <v>High</v>
      </c>
      <c r="W296" t="s">
        <v>1029</v>
      </c>
      <c r="X296" t="str">
        <f t="shared" si="101"/>
        <v>A</v>
      </c>
      <c r="Y296" s="5">
        <v>1362.31</v>
      </c>
      <c r="Z296" s="5">
        <v>3294.57</v>
      </c>
      <c r="AA296" s="5">
        <f t="shared" si="102"/>
        <v>3294.57</v>
      </c>
      <c r="AB296" s="7">
        <v>0.113</v>
      </c>
      <c r="AC296" s="7">
        <f t="shared" si="103"/>
        <v>0.113</v>
      </c>
      <c r="AD296" s="16">
        <f t="shared" si="104"/>
        <v>0</v>
      </c>
      <c r="AE296" s="16">
        <v>7</v>
      </c>
      <c r="AF296" s="5">
        <f t="shared" si="105"/>
        <v>20455.985130000001</v>
      </c>
      <c r="AG296">
        <f t="shared" si="106"/>
        <v>9536.17</v>
      </c>
      <c r="AH296" s="5">
        <f t="shared" si="107"/>
        <v>10919.815130000001</v>
      </c>
      <c r="AI296" s="5">
        <f t="shared" si="108"/>
        <v>0.5338200561157721</v>
      </c>
      <c r="AJ296" s="5">
        <f t="shared" si="111"/>
        <v>8663058.3197300062</v>
      </c>
      <c r="AK296" s="7">
        <f t="shared" si="109"/>
        <v>0.79145276865231928</v>
      </c>
      <c r="AL296" s="17">
        <f>MIN(AC296,'What-If Analysis'!$B$2)</f>
        <v>0.113</v>
      </c>
      <c r="AM296">
        <f>AE296*(1+'What-If Analysis'!$B$3)</f>
        <v>9.1</v>
      </c>
      <c r="AN296">
        <f>Y296*(1+'What-If Analysis'!$B$4)</f>
        <v>1498.5410000000002</v>
      </c>
      <c r="AO296">
        <f t="shared" si="110"/>
        <v>26592.780669</v>
      </c>
    </row>
    <row r="297" spans="1:41" x14ac:dyDescent="0.3">
      <c r="A297" t="s">
        <v>108</v>
      </c>
      <c r="B297" s="3">
        <v>45569</v>
      </c>
      <c r="C297" s="3">
        <f t="shared" si="91"/>
        <v>45569</v>
      </c>
      <c r="D297" s="3">
        <v>45598</v>
      </c>
      <c r="E297" s="3">
        <f t="shared" si="92"/>
        <v>45598</v>
      </c>
      <c r="F297" s="16">
        <f t="shared" si="93"/>
        <v>29</v>
      </c>
      <c r="G297" s="16">
        <f>IF(Data!F197&lt;=7,1,0)</f>
        <v>0</v>
      </c>
      <c r="H297" s="5" t="str">
        <f t="shared" si="94"/>
        <v>10-2024</v>
      </c>
      <c r="I297" s="5" t="str">
        <f t="shared" si="95"/>
        <v>Q4-2024</v>
      </c>
      <c r="J297" s="3">
        <f t="shared" si="96"/>
        <v>44939</v>
      </c>
      <c r="K297" s="5" t="str">
        <f t="shared" si="97"/>
        <v>01-2023</v>
      </c>
      <c r="L297" t="s">
        <v>646</v>
      </c>
      <c r="M297" t="s">
        <v>651</v>
      </c>
      <c r="N297" t="s">
        <v>669</v>
      </c>
      <c r="O297" t="str">
        <f t="shared" si="98"/>
        <v>Abuja</v>
      </c>
      <c r="P297" t="s">
        <v>701</v>
      </c>
      <c r="Q297" t="s">
        <v>710</v>
      </c>
      <c r="R297" t="str">
        <f t="shared" si="99"/>
        <v>Distributor</v>
      </c>
      <c r="S297" t="s">
        <v>721</v>
      </c>
      <c r="T297" t="str">
        <f t="shared" si="112"/>
        <v>F. Müller</v>
      </c>
      <c r="U297" t="s">
        <v>733</v>
      </c>
      <c r="V297" t="str">
        <f t="shared" si="100"/>
        <v>Medium</v>
      </c>
      <c r="W297" t="s">
        <v>827</v>
      </c>
      <c r="X297" t="str">
        <f t="shared" si="101"/>
        <v>A</v>
      </c>
      <c r="Y297" s="5">
        <v>412.09</v>
      </c>
      <c r="Z297" s="5">
        <v>968.94</v>
      </c>
      <c r="AA297" s="5">
        <f t="shared" si="102"/>
        <v>968.94</v>
      </c>
      <c r="AB297" s="7">
        <v>9.9000000000000005E-2</v>
      </c>
      <c r="AC297" s="7">
        <f t="shared" si="103"/>
        <v>9.9000000000000005E-2</v>
      </c>
      <c r="AD297" s="16">
        <f t="shared" si="104"/>
        <v>0</v>
      </c>
      <c r="AE297" s="16">
        <v>23</v>
      </c>
      <c r="AF297" s="5">
        <f t="shared" si="105"/>
        <v>20079.343620000003</v>
      </c>
      <c r="AG297">
        <f t="shared" si="106"/>
        <v>9478.07</v>
      </c>
      <c r="AH297" s="5">
        <f t="shared" si="107"/>
        <v>10601.273620000004</v>
      </c>
      <c r="AI297" s="5">
        <f t="shared" si="108"/>
        <v>0.52796913189137418</v>
      </c>
      <c r="AJ297" s="5">
        <f t="shared" si="111"/>
        <v>8683137.6633500066</v>
      </c>
      <c r="AK297" s="7">
        <f t="shared" si="109"/>
        <v>0.79328720765922023</v>
      </c>
      <c r="AL297" s="17">
        <f>MIN(AC297,'What-If Analysis'!$B$2)</f>
        <v>9.9000000000000005E-2</v>
      </c>
      <c r="AM297">
        <f>AE297*(1+'What-If Analysis'!$B$3)</f>
        <v>29.900000000000002</v>
      </c>
      <c r="AN297">
        <f>Y297*(1+'What-If Analysis'!$B$4)</f>
        <v>453.29900000000004</v>
      </c>
      <c r="AO297">
        <f t="shared" si="110"/>
        <v>26103.146706000003</v>
      </c>
    </row>
    <row r="298" spans="1:41" x14ac:dyDescent="0.3">
      <c r="A298" t="s">
        <v>394</v>
      </c>
      <c r="B298" s="3">
        <v>45688</v>
      </c>
      <c r="C298" s="3">
        <f t="shared" si="91"/>
        <v>45688</v>
      </c>
      <c r="D298" s="3">
        <v>45705</v>
      </c>
      <c r="E298" s="3">
        <f t="shared" si="92"/>
        <v>45705</v>
      </c>
      <c r="F298" s="16">
        <f t="shared" si="93"/>
        <v>17</v>
      </c>
      <c r="G298" s="16">
        <f>IF(Data!F331&lt;=7,1,0)</f>
        <v>0</v>
      </c>
      <c r="H298" s="5" t="str">
        <f t="shared" si="94"/>
        <v>01-2025</v>
      </c>
      <c r="I298" s="5" t="str">
        <f t="shared" si="95"/>
        <v>Q1-2025</v>
      </c>
      <c r="J298" s="3">
        <f t="shared" si="96"/>
        <v>44945</v>
      </c>
      <c r="K298" s="5" t="str">
        <f t="shared" si="97"/>
        <v>01-2023</v>
      </c>
      <c r="L298" t="s">
        <v>649</v>
      </c>
      <c r="M298" t="s">
        <v>658</v>
      </c>
      <c r="N298" t="s">
        <v>683</v>
      </c>
      <c r="O298" t="str">
        <f t="shared" si="98"/>
        <v>London</v>
      </c>
      <c r="P298" t="s">
        <v>706</v>
      </c>
      <c r="Q298" t="s">
        <v>707</v>
      </c>
      <c r="R298" t="str">
        <f t="shared" si="99"/>
        <v>Retail</v>
      </c>
      <c r="S298" t="s">
        <v>722</v>
      </c>
      <c r="T298" t="str">
        <f t="shared" si="112"/>
        <v>H. Kim</v>
      </c>
      <c r="U298" t="s">
        <v>727</v>
      </c>
      <c r="V298" t="str">
        <f t="shared" si="100"/>
        <v>Low</v>
      </c>
      <c r="W298" t="s">
        <v>812</v>
      </c>
      <c r="X298" t="str">
        <f t="shared" si="101"/>
        <v>A</v>
      </c>
      <c r="Y298" s="5">
        <v>378.26</v>
      </c>
      <c r="Z298" s="5">
        <v>541.55999999999995</v>
      </c>
      <c r="AA298" s="5">
        <f t="shared" si="102"/>
        <v>541.55999999999995</v>
      </c>
      <c r="AB298" s="7">
        <v>0.16300000000000001</v>
      </c>
      <c r="AC298" s="7">
        <f t="shared" si="103"/>
        <v>0.16300000000000001</v>
      </c>
      <c r="AD298" s="16">
        <f t="shared" si="104"/>
        <v>0</v>
      </c>
      <c r="AE298" s="16">
        <v>25</v>
      </c>
      <c r="AF298" s="5">
        <f t="shared" si="105"/>
        <v>11332.142999999998</v>
      </c>
      <c r="AG298">
        <f t="shared" si="106"/>
        <v>9456.5</v>
      </c>
      <c r="AH298" s="5">
        <f t="shared" si="107"/>
        <v>1875.6429999999982</v>
      </c>
      <c r="AI298" s="5">
        <f t="shared" si="108"/>
        <v>0.16551529573885526</v>
      </c>
      <c r="AJ298" s="5">
        <f t="shared" si="111"/>
        <v>8694469.8063500058</v>
      </c>
      <c r="AK298" s="7">
        <f t="shared" si="109"/>
        <v>0.79432250669809279</v>
      </c>
      <c r="AL298" s="17">
        <f>MIN(AC298,'What-If Analysis'!$B$2)</f>
        <v>0.16300000000000001</v>
      </c>
      <c r="AM298">
        <f>AE298*(1+'What-If Analysis'!$B$3)</f>
        <v>32.5</v>
      </c>
      <c r="AN298">
        <f>Y298*(1+'What-If Analysis'!$B$4)</f>
        <v>416.08600000000001</v>
      </c>
      <c r="AO298">
        <f t="shared" si="110"/>
        <v>14731.785899999997</v>
      </c>
    </row>
    <row r="299" spans="1:41" x14ac:dyDescent="0.3">
      <c r="A299" t="s">
        <v>163</v>
      </c>
      <c r="B299" s="3">
        <v>45183</v>
      </c>
      <c r="C299" s="3">
        <f t="shared" si="91"/>
        <v>45183</v>
      </c>
      <c r="D299" s="3">
        <v>45185</v>
      </c>
      <c r="E299" s="3">
        <f t="shared" si="92"/>
        <v>45185</v>
      </c>
      <c r="F299" s="16">
        <f t="shared" si="93"/>
        <v>2</v>
      </c>
      <c r="G299" s="16">
        <f>IF(Data!F266&lt;=7,1,0)</f>
        <v>0</v>
      </c>
      <c r="H299" s="5" t="str">
        <f t="shared" si="94"/>
        <v>09-2023</v>
      </c>
      <c r="I299" s="5" t="str">
        <f t="shared" si="95"/>
        <v>Q3-2023</v>
      </c>
      <c r="J299" s="3">
        <f t="shared" si="96"/>
        <v>44936</v>
      </c>
      <c r="K299" s="5" t="str">
        <f t="shared" si="97"/>
        <v>01-2023</v>
      </c>
      <c r="L299" t="s">
        <v>649</v>
      </c>
      <c r="M299" t="s">
        <v>657</v>
      </c>
      <c r="N299" t="s">
        <v>679</v>
      </c>
      <c r="O299" t="str">
        <f t="shared" si="98"/>
        <v>Lyon</v>
      </c>
      <c r="P299" t="s">
        <v>703</v>
      </c>
      <c r="Q299" t="s">
        <v>711</v>
      </c>
      <c r="R299" t="str">
        <f t="shared" si="99"/>
        <v>Direct</v>
      </c>
      <c r="S299" t="s">
        <v>717</v>
      </c>
      <c r="T299" t="str">
        <f t="shared" si="112"/>
        <v>B. Chen</v>
      </c>
      <c r="U299" t="s">
        <v>728</v>
      </c>
      <c r="V299" t="str">
        <f t="shared" si="100"/>
        <v>Low</v>
      </c>
      <c r="W299" t="s">
        <v>882</v>
      </c>
      <c r="X299" t="str">
        <f t="shared" si="101"/>
        <v>A</v>
      </c>
      <c r="Y299" s="5">
        <v>376.83</v>
      </c>
      <c r="Z299" s="5">
        <v>732.88</v>
      </c>
      <c r="AA299" s="5">
        <f t="shared" si="102"/>
        <v>732.88</v>
      </c>
      <c r="AB299" s="7">
        <v>0.188</v>
      </c>
      <c r="AC299" s="7">
        <f t="shared" si="103"/>
        <v>0.188</v>
      </c>
      <c r="AD299" s="16">
        <f t="shared" si="104"/>
        <v>0</v>
      </c>
      <c r="AE299" s="16">
        <v>25</v>
      </c>
      <c r="AF299" s="5">
        <f t="shared" si="105"/>
        <v>14877.464000000002</v>
      </c>
      <c r="AG299">
        <f t="shared" si="106"/>
        <v>9420.75</v>
      </c>
      <c r="AH299" s="5">
        <f t="shared" si="107"/>
        <v>5456.7140000000018</v>
      </c>
      <c r="AI299" s="5">
        <f t="shared" si="108"/>
        <v>0.36677716040852132</v>
      </c>
      <c r="AJ299" s="5">
        <f t="shared" si="111"/>
        <v>8709347.2703500055</v>
      </c>
      <c r="AK299" s="7">
        <f t="shared" si="109"/>
        <v>0.79568170452855269</v>
      </c>
      <c r="AL299" s="17">
        <f>MIN(AC299,'What-If Analysis'!$B$2)</f>
        <v>0.188</v>
      </c>
      <c r="AM299">
        <f>AE299*(1+'What-If Analysis'!$B$3)</f>
        <v>32.5</v>
      </c>
      <c r="AN299">
        <f>Y299*(1+'What-If Analysis'!$B$4)</f>
        <v>414.51300000000003</v>
      </c>
      <c r="AO299">
        <f t="shared" si="110"/>
        <v>19340.7032</v>
      </c>
    </row>
    <row r="300" spans="1:41" x14ac:dyDescent="0.3">
      <c r="A300" t="s">
        <v>304</v>
      </c>
      <c r="B300" s="3">
        <v>45897</v>
      </c>
      <c r="C300" s="3">
        <f t="shared" si="91"/>
        <v>45895</v>
      </c>
      <c r="D300" s="3">
        <v>45895</v>
      </c>
      <c r="E300" s="3">
        <f t="shared" si="92"/>
        <v>45897</v>
      </c>
      <c r="F300" s="16">
        <f t="shared" si="93"/>
        <v>2</v>
      </c>
      <c r="G300" s="16">
        <f>IF(Data!F212&lt;=7,1,0)</f>
        <v>0</v>
      </c>
      <c r="H300" s="5" t="str">
        <f t="shared" si="94"/>
        <v>08-2025</v>
      </c>
      <c r="I300" s="5" t="str">
        <f t="shared" si="95"/>
        <v>Q3-2025</v>
      </c>
      <c r="J300" s="3">
        <f t="shared" si="96"/>
        <v>44939</v>
      </c>
      <c r="K300" s="5" t="str">
        <f t="shared" si="97"/>
        <v>01-2023</v>
      </c>
      <c r="L300" t="s">
        <v>646</v>
      </c>
      <c r="M300" t="s">
        <v>651</v>
      </c>
      <c r="N300" t="s">
        <v>663</v>
      </c>
      <c r="O300" t="str">
        <f t="shared" si="98"/>
        <v>Port Harcourt</v>
      </c>
      <c r="P300" t="s">
        <v>705</v>
      </c>
      <c r="Q300" t="s">
        <v>707</v>
      </c>
      <c r="R300" t="str">
        <f t="shared" si="99"/>
        <v>Retail</v>
      </c>
      <c r="S300" t="s">
        <v>720</v>
      </c>
      <c r="T300" t="str">
        <f t="shared" si="112"/>
        <v>A. Patel</v>
      </c>
      <c r="U300" t="s">
        <v>733</v>
      </c>
      <c r="V300" t="str">
        <f t="shared" si="100"/>
        <v>Medium</v>
      </c>
      <c r="W300" t="s">
        <v>1024</v>
      </c>
      <c r="X300" t="str">
        <f t="shared" si="101"/>
        <v>A</v>
      </c>
      <c r="Y300" s="5">
        <v>521.05999999999995</v>
      </c>
      <c r="Z300" s="5">
        <v>1240.31</v>
      </c>
      <c r="AA300" s="5">
        <f t="shared" si="102"/>
        <v>1240.31</v>
      </c>
      <c r="AB300" s="7">
        <v>0.14599999999999999</v>
      </c>
      <c r="AC300" s="7">
        <f t="shared" si="103"/>
        <v>0.14599999999999999</v>
      </c>
      <c r="AD300" s="16">
        <f t="shared" si="104"/>
        <v>0</v>
      </c>
      <c r="AE300" s="16">
        <v>18</v>
      </c>
      <c r="AF300" s="5">
        <f t="shared" si="105"/>
        <v>19066.045319999997</v>
      </c>
      <c r="AG300">
        <f t="shared" si="106"/>
        <v>9379.0799999999981</v>
      </c>
      <c r="AH300" s="5">
        <f t="shared" si="107"/>
        <v>9686.9653199999993</v>
      </c>
      <c r="AI300" s="5">
        <f t="shared" si="108"/>
        <v>0.50807417885650974</v>
      </c>
      <c r="AJ300" s="5">
        <f t="shared" si="111"/>
        <v>8728413.315670006</v>
      </c>
      <c r="AK300" s="7">
        <f t="shared" si="109"/>
        <v>0.7974235690986432</v>
      </c>
      <c r="AL300" s="17">
        <f>MIN(AC300,'What-If Analysis'!$B$2)</f>
        <v>0.14599999999999999</v>
      </c>
      <c r="AM300">
        <f>AE300*(1+'What-If Analysis'!$B$3)</f>
        <v>23.400000000000002</v>
      </c>
      <c r="AN300">
        <f>Y300*(1+'What-If Analysis'!$B$4)</f>
        <v>573.16599999999994</v>
      </c>
      <c r="AO300">
        <f t="shared" si="110"/>
        <v>24785.858916000001</v>
      </c>
    </row>
    <row r="301" spans="1:41" x14ac:dyDescent="0.3">
      <c r="A301" t="s">
        <v>29</v>
      </c>
      <c r="B301" s="3">
        <v>45901</v>
      </c>
      <c r="C301" s="3">
        <f t="shared" si="91"/>
        <v>45901</v>
      </c>
      <c r="D301" s="3">
        <v>45930</v>
      </c>
      <c r="E301" s="3">
        <f t="shared" si="92"/>
        <v>45930</v>
      </c>
      <c r="F301" s="16">
        <f t="shared" si="93"/>
        <v>29</v>
      </c>
      <c r="G301" s="16">
        <f>IF(Data!F424&lt;=7,1,0)</f>
        <v>0</v>
      </c>
      <c r="H301" s="5" t="str">
        <f t="shared" si="94"/>
        <v>09-2025</v>
      </c>
      <c r="I301" s="5" t="str">
        <f t="shared" si="95"/>
        <v>Q3-2025</v>
      </c>
      <c r="J301" s="3">
        <f t="shared" si="96"/>
        <v>44955</v>
      </c>
      <c r="K301" s="5" t="str">
        <f t="shared" si="97"/>
        <v>01-2023</v>
      </c>
      <c r="L301" t="s">
        <v>648</v>
      </c>
      <c r="M301" t="s">
        <v>655</v>
      </c>
      <c r="N301" t="s">
        <v>672</v>
      </c>
      <c r="O301" t="str">
        <f t="shared" si="98"/>
        <v>Brasília</v>
      </c>
      <c r="P301" t="s">
        <v>702</v>
      </c>
      <c r="Q301" t="s">
        <v>707</v>
      </c>
      <c r="R301" t="str">
        <f t="shared" si="99"/>
        <v>Retail</v>
      </c>
      <c r="S301" t="s">
        <v>723</v>
      </c>
      <c r="T301" t="str">
        <f t="shared" si="112"/>
        <v>K. Singh</v>
      </c>
      <c r="U301" t="s">
        <v>733</v>
      </c>
      <c r="V301" t="str">
        <f t="shared" si="100"/>
        <v>Low</v>
      </c>
      <c r="W301" t="s">
        <v>748</v>
      </c>
      <c r="X301" t="str">
        <f t="shared" si="101"/>
        <v>A</v>
      </c>
      <c r="Y301" s="5">
        <v>780.59</v>
      </c>
      <c r="Z301" s="5">
        <v>631.57000000000005</v>
      </c>
      <c r="AA301" s="5">
        <f t="shared" si="102"/>
        <v>631.57000000000005</v>
      </c>
      <c r="AB301" s="7">
        <v>0</v>
      </c>
      <c r="AC301" s="7">
        <f t="shared" si="103"/>
        <v>0</v>
      </c>
      <c r="AD301" s="16">
        <f t="shared" si="104"/>
        <v>0</v>
      </c>
      <c r="AE301" s="16">
        <v>12</v>
      </c>
      <c r="AF301" s="5">
        <f t="shared" si="105"/>
        <v>7578.84</v>
      </c>
      <c r="AG301">
        <f t="shared" si="106"/>
        <v>9367.08</v>
      </c>
      <c r="AH301" s="5">
        <f t="shared" si="107"/>
        <v>1788.2399999999998</v>
      </c>
      <c r="AI301" s="5">
        <f t="shared" si="108"/>
        <v>0.23595167598207639</v>
      </c>
      <c r="AJ301" s="5">
        <f t="shared" si="111"/>
        <v>8735992.1556700058</v>
      </c>
      <c r="AK301" s="7">
        <f t="shared" si="109"/>
        <v>0.79811596821218855</v>
      </c>
      <c r="AL301" s="17">
        <f>MIN(AC301,'What-If Analysis'!$B$2)</f>
        <v>0</v>
      </c>
      <c r="AM301">
        <f>AE301*(1+'What-If Analysis'!$B$3)</f>
        <v>15.600000000000001</v>
      </c>
      <c r="AN301">
        <f>Y301*(1+'What-If Analysis'!$B$4)</f>
        <v>858.64900000000011</v>
      </c>
      <c r="AO301">
        <f t="shared" si="110"/>
        <v>9852.492000000002</v>
      </c>
    </row>
    <row r="302" spans="1:41" x14ac:dyDescent="0.3">
      <c r="A302" t="s">
        <v>615</v>
      </c>
      <c r="B302" s="3">
        <v>45523</v>
      </c>
      <c r="C302" s="3">
        <f t="shared" si="91"/>
        <v>45523</v>
      </c>
      <c r="D302" s="3">
        <v>45537</v>
      </c>
      <c r="E302" s="3">
        <f t="shared" si="92"/>
        <v>45537</v>
      </c>
      <c r="F302" s="16">
        <f t="shared" si="93"/>
        <v>14</v>
      </c>
      <c r="G302" s="16">
        <f>IF(Data!F428&lt;=7,1,0)</f>
        <v>0</v>
      </c>
      <c r="H302" s="5" t="str">
        <f t="shared" si="94"/>
        <v>08-2024</v>
      </c>
      <c r="I302" s="5" t="str">
        <f t="shared" si="95"/>
        <v>Q3-2024</v>
      </c>
      <c r="J302" s="3">
        <f t="shared" si="96"/>
        <v>44928</v>
      </c>
      <c r="K302" s="5" t="str">
        <f t="shared" si="97"/>
        <v>01-2023</v>
      </c>
      <c r="L302" t="s">
        <v>648</v>
      </c>
      <c r="M302" t="s">
        <v>653</v>
      </c>
      <c r="N302" t="s">
        <v>667</v>
      </c>
      <c r="O302" t="str">
        <f t="shared" si="98"/>
        <v>Toronto</v>
      </c>
      <c r="P302" t="s">
        <v>704</v>
      </c>
      <c r="Q302" t="s">
        <v>710</v>
      </c>
      <c r="R302" t="str">
        <f t="shared" si="99"/>
        <v>Distributor</v>
      </c>
      <c r="S302" t="s">
        <v>712</v>
      </c>
      <c r="T302" t="str">
        <f t="shared" si="112"/>
        <v>C. Otieno</v>
      </c>
      <c r="U302" t="s">
        <v>728</v>
      </c>
      <c r="V302" t="str">
        <f t="shared" si="100"/>
        <v>Medium</v>
      </c>
      <c r="W302" t="s">
        <v>1333</v>
      </c>
      <c r="X302" t="str">
        <f t="shared" si="101"/>
        <v>A</v>
      </c>
      <c r="Y302" s="5">
        <v>1337.01</v>
      </c>
      <c r="Z302" s="5">
        <v>1269.78</v>
      </c>
      <c r="AA302" s="5">
        <f t="shared" si="102"/>
        <v>1269.78</v>
      </c>
      <c r="AB302" s="7">
        <v>0.16</v>
      </c>
      <c r="AC302" s="7">
        <f t="shared" si="103"/>
        <v>0.16</v>
      </c>
      <c r="AD302" s="16">
        <f t="shared" si="104"/>
        <v>0</v>
      </c>
      <c r="AE302" s="16">
        <v>7</v>
      </c>
      <c r="AF302" s="5">
        <f t="shared" si="105"/>
        <v>7466.3063999999986</v>
      </c>
      <c r="AG302">
        <f t="shared" si="106"/>
        <v>9359.07</v>
      </c>
      <c r="AH302" s="5">
        <f t="shared" si="107"/>
        <v>1892.7636000000011</v>
      </c>
      <c r="AI302" s="5">
        <f t="shared" si="108"/>
        <v>0.25350735672996244</v>
      </c>
      <c r="AJ302" s="5">
        <f t="shared" si="111"/>
        <v>8743458.462070005</v>
      </c>
      <c r="AK302" s="7">
        <f t="shared" si="109"/>
        <v>0.79879808631110838</v>
      </c>
      <c r="AL302" s="17">
        <f>MIN(AC302,'What-If Analysis'!$B$2)</f>
        <v>0.16</v>
      </c>
      <c r="AM302">
        <f>AE302*(1+'What-If Analysis'!$B$3)</f>
        <v>9.1</v>
      </c>
      <c r="AN302">
        <f>Y302*(1+'What-If Analysis'!$B$4)</f>
        <v>1470.711</v>
      </c>
      <c r="AO302">
        <f t="shared" si="110"/>
        <v>9706.1983199999995</v>
      </c>
    </row>
    <row r="303" spans="1:41" x14ac:dyDescent="0.3">
      <c r="A303" t="s">
        <v>377</v>
      </c>
      <c r="B303" s="3">
        <v>45360</v>
      </c>
      <c r="C303" s="3">
        <f t="shared" si="91"/>
        <v>45360</v>
      </c>
      <c r="D303" s="3">
        <v>45377</v>
      </c>
      <c r="E303" s="3">
        <f t="shared" si="92"/>
        <v>45377</v>
      </c>
      <c r="F303" s="16">
        <f t="shared" si="93"/>
        <v>17</v>
      </c>
      <c r="G303" s="16">
        <f>IF(Data!F434&lt;=7,1,0)</f>
        <v>1</v>
      </c>
      <c r="H303" s="5" t="str">
        <f t="shared" si="94"/>
        <v>03-2024</v>
      </c>
      <c r="I303" s="5" t="str">
        <f t="shared" si="95"/>
        <v>Q1-2024</v>
      </c>
      <c r="J303" s="3">
        <f t="shared" si="96"/>
        <v>44938</v>
      </c>
      <c r="K303" s="5" t="str">
        <f t="shared" si="97"/>
        <v>01-2023</v>
      </c>
      <c r="L303" t="s">
        <v>647</v>
      </c>
      <c r="M303" t="s">
        <v>659</v>
      </c>
      <c r="N303" t="s">
        <v>676</v>
      </c>
      <c r="O303" t="str">
        <f t="shared" si="98"/>
        <v>Shenzhen</v>
      </c>
      <c r="P303" t="s">
        <v>706</v>
      </c>
      <c r="Q303" t="s">
        <v>708</v>
      </c>
      <c r="R303" t="str">
        <f t="shared" si="99"/>
        <v>Online</v>
      </c>
      <c r="S303" t="s">
        <v>723</v>
      </c>
      <c r="T303" t="str">
        <f t="shared" si="112"/>
        <v>K. Singh</v>
      </c>
      <c r="U303" t="s">
        <v>732</v>
      </c>
      <c r="V303" t="str">
        <f t="shared" si="100"/>
        <v>Medium</v>
      </c>
      <c r="W303" t="s">
        <v>1097</v>
      </c>
      <c r="X303" t="str">
        <f t="shared" si="101"/>
        <v>A</v>
      </c>
      <c r="Y303" s="5">
        <v>1029.67</v>
      </c>
      <c r="Z303" s="5">
        <v>1118.43</v>
      </c>
      <c r="AA303" s="5">
        <f t="shared" si="102"/>
        <v>1118.43</v>
      </c>
      <c r="AB303" s="7">
        <v>0.27200000000000002</v>
      </c>
      <c r="AC303" s="7">
        <f t="shared" si="103"/>
        <v>0.27200000000000002</v>
      </c>
      <c r="AD303" s="16">
        <f t="shared" si="104"/>
        <v>1</v>
      </c>
      <c r="AE303" s="16">
        <v>9</v>
      </c>
      <c r="AF303" s="5">
        <f t="shared" si="105"/>
        <v>7327.9533600000004</v>
      </c>
      <c r="AG303">
        <f t="shared" si="106"/>
        <v>9267.0300000000007</v>
      </c>
      <c r="AH303" s="5">
        <f t="shared" si="107"/>
        <v>1939.0766400000002</v>
      </c>
      <c r="AI303" s="5">
        <f t="shared" si="108"/>
        <v>0.26461367106736061</v>
      </c>
      <c r="AJ303" s="5">
        <f t="shared" si="111"/>
        <v>8750786.4154300056</v>
      </c>
      <c r="AK303" s="7">
        <f t="shared" si="109"/>
        <v>0.7994675645439997</v>
      </c>
      <c r="AL303" s="17">
        <f>MIN(AC303,'What-If Analysis'!$B$2)</f>
        <v>0.2</v>
      </c>
      <c r="AM303">
        <f>AE303*(1+'What-If Analysis'!$B$3)</f>
        <v>11.700000000000001</v>
      </c>
      <c r="AN303">
        <f>Y303*(1+'What-If Analysis'!$B$4)</f>
        <v>1132.6370000000002</v>
      </c>
      <c r="AO303">
        <f t="shared" si="110"/>
        <v>10468.504800000002</v>
      </c>
    </row>
    <row r="304" spans="1:41" x14ac:dyDescent="0.3">
      <c r="A304" t="s">
        <v>552</v>
      </c>
      <c r="B304" s="3">
        <v>45114</v>
      </c>
      <c r="C304" s="3">
        <f t="shared" si="91"/>
        <v>45114</v>
      </c>
      <c r="D304" s="3">
        <v>45120</v>
      </c>
      <c r="E304" s="3">
        <f t="shared" si="92"/>
        <v>45120</v>
      </c>
      <c r="F304" s="16">
        <f t="shared" si="93"/>
        <v>6</v>
      </c>
      <c r="G304" s="16">
        <f>IF(Data!F191&lt;=7,1,0)</f>
        <v>0</v>
      </c>
      <c r="H304" s="5" t="str">
        <f t="shared" si="94"/>
        <v>07-2023</v>
      </c>
      <c r="I304" s="5" t="str">
        <f t="shared" si="95"/>
        <v>Q3-2023</v>
      </c>
      <c r="J304" s="3">
        <f t="shared" si="96"/>
        <v>44933</v>
      </c>
      <c r="K304" s="5" t="str">
        <f t="shared" si="97"/>
        <v>01-2023</v>
      </c>
      <c r="L304" t="s">
        <v>646</v>
      </c>
      <c r="M304" t="s">
        <v>661</v>
      </c>
      <c r="N304" t="s">
        <v>695</v>
      </c>
      <c r="O304" t="str">
        <f t="shared" si="98"/>
        <v>Cape Town</v>
      </c>
      <c r="P304" t="s">
        <v>705</v>
      </c>
      <c r="Q304" t="s">
        <v>709</v>
      </c>
      <c r="R304" t="str">
        <f t="shared" si="99"/>
        <v>Marketplace</v>
      </c>
      <c r="S304" t="s">
        <v>717</v>
      </c>
      <c r="T304" t="str">
        <f t="shared" si="112"/>
        <v>B. Chen</v>
      </c>
      <c r="U304" t="s">
        <v>733</v>
      </c>
      <c r="V304" t="str">
        <f t="shared" si="100"/>
        <v>Medium</v>
      </c>
      <c r="W304" t="s">
        <v>1270</v>
      </c>
      <c r="X304" t="str">
        <f t="shared" si="101"/>
        <v>B</v>
      </c>
      <c r="Y304" s="5">
        <v>612.59</v>
      </c>
      <c r="Z304" s="5">
        <v>1424.74</v>
      </c>
      <c r="AA304" s="5">
        <f t="shared" si="102"/>
        <v>1424.74</v>
      </c>
      <c r="AB304" s="7">
        <v>4.3999999999999997E-2</v>
      </c>
      <c r="AC304" s="7">
        <f t="shared" si="103"/>
        <v>4.3999999999999997E-2</v>
      </c>
      <c r="AD304" s="16">
        <f t="shared" si="104"/>
        <v>0</v>
      </c>
      <c r="AE304" s="16">
        <v>15</v>
      </c>
      <c r="AF304" s="5">
        <f t="shared" si="105"/>
        <v>20430.771599999996</v>
      </c>
      <c r="AG304">
        <f t="shared" si="106"/>
        <v>9188.85</v>
      </c>
      <c r="AH304" s="5">
        <f t="shared" si="107"/>
        <v>11241.921599999996</v>
      </c>
      <c r="AI304" s="5">
        <f t="shared" si="108"/>
        <v>0.55024459281802152</v>
      </c>
      <c r="AJ304" s="5">
        <f t="shared" si="111"/>
        <v>8771217.1870300062</v>
      </c>
      <c r="AK304" s="7">
        <f t="shared" si="109"/>
        <v>0.8013341098391753</v>
      </c>
      <c r="AL304" s="17">
        <f>MIN(AC304,'What-If Analysis'!$B$2)</f>
        <v>4.3999999999999997E-2</v>
      </c>
      <c r="AM304">
        <f>AE304*(1+'What-If Analysis'!$B$3)</f>
        <v>19.5</v>
      </c>
      <c r="AN304">
        <f>Y304*(1+'What-If Analysis'!$B$4)</f>
        <v>673.84900000000005</v>
      </c>
      <c r="AO304">
        <f t="shared" si="110"/>
        <v>26560.003079999999</v>
      </c>
    </row>
    <row r="305" spans="1:41" x14ac:dyDescent="0.3">
      <c r="A305" t="s">
        <v>469</v>
      </c>
      <c r="B305" s="3">
        <v>45653</v>
      </c>
      <c r="C305" s="3">
        <f t="shared" si="91"/>
        <v>45653</v>
      </c>
      <c r="D305" s="3">
        <v>45655</v>
      </c>
      <c r="E305" s="3">
        <f t="shared" si="92"/>
        <v>45655</v>
      </c>
      <c r="F305" s="16">
        <f t="shared" si="93"/>
        <v>2</v>
      </c>
      <c r="G305" s="16">
        <f>IF(Data!F268&lt;=7,1,0)</f>
        <v>1</v>
      </c>
      <c r="H305" s="5" t="str">
        <f t="shared" si="94"/>
        <v>12-2024</v>
      </c>
      <c r="I305" s="5" t="str">
        <f t="shared" si="95"/>
        <v>Q4-2024</v>
      </c>
      <c r="J305" s="3">
        <f t="shared" si="96"/>
        <v>44928</v>
      </c>
      <c r="K305" s="5" t="str">
        <f t="shared" si="97"/>
        <v>01-2023</v>
      </c>
      <c r="L305" t="s">
        <v>648</v>
      </c>
      <c r="M305" t="s">
        <v>653</v>
      </c>
      <c r="N305" t="s">
        <v>688</v>
      </c>
      <c r="O305" t="str">
        <f t="shared" si="98"/>
        <v>Vancouver</v>
      </c>
      <c r="P305" t="s">
        <v>706</v>
      </c>
      <c r="Q305" t="s">
        <v>709</v>
      </c>
      <c r="R305" t="str">
        <f t="shared" si="99"/>
        <v>Marketplace</v>
      </c>
      <c r="S305" t="s">
        <v>712</v>
      </c>
      <c r="T305" t="str">
        <f t="shared" si="112"/>
        <v>C. Otieno</v>
      </c>
      <c r="U305" t="s">
        <v>733</v>
      </c>
      <c r="V305" t="str">
        <f t="shared" si="100"/>
        <v>High</v>
      </c>
      <c r="W305" t="s">
        <v>1188</v>
      </c>
      <c r="X305" t="str">
        <f t="shared" si="101"/>
        <v>B</v>
      </c>
      <c r="Y305" s="5">
        <v>1146.72</v>
      </c>
      <c r="Z305" s="5">
        <v>2074.34</v>
      </c>
      <c r="AA305" s="5">
        <f t="shared" si="102"/>
        <v>2074.34</v>
      </c>
      <c r="AB305" s="7">
        <v>0.111</v>
      </c>
      <c r="AC305" s="7">
        <f t="shared" si="103"/>
        <v>0.111</v>
      </c>
      <c r="AD305" s="16">
        <f t="shared" si="104"/>
        <v>0</v>
      </c>
      <c r="AE305" s="16">
        <v>8</v>
      </c>
      <c r="AF305" s="5">
        <f t="shared" si="105"/>
        <v>14752.706080000002</v>
      </c>
      <c r="AG305">
        <f t="shared" si="106"/>
        <v>9173.76</v>
      </c>
      <c r="AH305" s="5">
        <f t="shared" si="107"/>
        <v>5578.9460800000015</v>
      </c>
      <c r="AI305" s="5">
        <f t="shared" si="108"/>
        <v>0.37816425337472737</v>
      </c>
      <c r="AJ305" s="5">
        <f t="shared" si="111"/>
        <v>8785969.893110007</v>
      </c>
      <c r="AK305" s="7">
        <f t="shared" si="109"/>
        <v>0.80268190984711685</v>
      </c>
      <c r="AL305" s="17">
        <f>MIN(AC305,'What-If Analysis'!$B$2)</f>
        <v>0.111</v>
      </c>
      <c r="AM305">
        <f>AE305*(1+'What-If Analysis'!$B$3)</f>
        <v>10.4</v>
      </c>
      <c r="AN305">
        <f>Y305*(1+'What-If Analysis'!$B$4)</f>
        <v>1261.3920000000001</v>
      </c>
      <c r="AO305">
        <f t="shared" si="110"/>
        <v>19178.517904000004</v>
      </c>
    </row>
    <row r="306" spans="1:41" x14ac:dyDescent="0.3">
      <c r="A306" t="s">
        <v>349</v>
      </c>
      <c r="B306" s="3">
        <v>45391</v>
      </c>
      <c r="C306" s="3">
        <f t="shared" si="91"/>
        <v>45391</v>
      </c>
      <c r="D306" s="3">
        <v>45400</v>
      </c>
      <c r="E306" s="3">
        <f t="shared" si="92"/>
        <v>45400</v>
      </c>
      <c r="F306" s="16">
        <f t="shared" si="93"/>
        <v>9</v>
      </c>
      <c r="G306" s="16">
        <f>IF(Data!F241&lt;=7,1,0)</f>
        <v>0</v>
      </c>
      <c r="H306" s="5" t="str">
        <f t="shared" si="94"/>
        <v>04-2024</v>
      </c>
      <c r="I306" s="5" t="str">
        <f t="shared" si="95"/>
        <v>Q2-2024</v>
      </c>
      <c r="J306" s="3">
        <f t="shared" si="96"/>
        <v>44936</v>
      </c>
      <c r="K306" s="5" t="str">
        <f t="shared" si="97"/>
        <v>01-2023</v>
      </c>
      <c r="L306" t="s">
        <v>649</v>
      </c>
      <c r="M306" t="s">
        <v>657</v>
      </c>
      <c r="N306" t="s">
        <v>679</v>
      </c>
      <c r="O306" t="str">
        <f t="shared" si="98"/>
        <v>Lyon</v>
      </c>
      <c r="P306" t="s">
        <v>704</v>
      </c>
      <c r="Q306" t="s">
        <v>708</v>
      </c>
      <c r="R306" t="str">
        <f t="shared" si="99"/>
        <v>Online</v>
      </c>
      <c r="S306" t="s">
        <v>718</v>
      </c>
      <c r="T306" t="str">
        <f t="shared" si="112"/>
        <v>E. Garcia</v>
      </c>
      <c r="U306" t="s">
        <v>728</v>
      </c>
      <c r="V306" t="str">
        <f t="shared" si="100"/>
        <v>High</v>
      </c>
      <c r="W306" t="s">
        <v>1069</v>
      </c>
      <c r="X306" t="str">
        <f t="shared" si="101"/>
        <v>B</v>
      </c>
      <c r="Y306" s="5">
        <v>1288.8499999999999</v>
      </c>
      <c r="Z306" s="5">
        <v>2751.84</v>
      </c>
      <c r="AA306" s="5">
        <f t="shared" si="102"/>
        <v>2751.84</v>
      </c>
      <c r="AB306" s="7">
        <v>0.158</v>
      </c>
      <c r="AC306" s="7">
        <f t="shared" si="103"/>
        <v>0.158</v>
      </c>
      <c r="AD306" s="16">
        <f t="shared" si="104"/>
        <v>0</v>
      </c>
      <c r="AE306" s="16">
        <v>7</v>
      </c>
      <c r="AF306" s="5">
        <f t="shared" si="105"/>
        <v>16219.34496</v>
      </c>
      <c r="AG306">
        <f t="shared" si="106"/>
        <v>9021.9499999999989</v>
      </c>
      <c r="AH306" s="5">
        <f t="shared" si="107"/>
        <v>7197.3949600000014</v>
      </c>
      <c r="AI306" s="5">
        <f t="shared" si="108"/>
        <v>0.44375373837538756</v>
      </c>
      <c r="AJ306" s="5">
        <f t="shared" si="111"/>
        <v>8802189.2380700074</v>
      </c>
      <c r="AK306" s="7">
        <f t="shared" si="109"/>
        <v>0.80416370126540659</v>
      </c>
      <c r="AL306" s="17">
        <f>MIN(AC306,'What-If Analysis'!$B$2)</f>
        <v>0.158</v>
      </c>
      <c r="AM306">
        <f>AE306*(1+'What-If Analysis'!$B$3)</f>
        <v>9.1</v>
      </c>
      <c r="AN306">
        <f>Y306*(1+'What-If Analysis'!$B$4)</f>
        <v>1417.7350000000001</v>
      </c>
      <c r="AO306">
        <f t="shared" si="110"/>
        <v>21085.148448</v>
      </c>
    </row>
    <row r="307" spans="1:41" x14ac:dyDescent="0.3">
      <c r="A307" t="s">
        <v>429</v>
      </c>
      <c r="B307" s="3">
        <v>45167</v>
      </c>
      <c r="C307" s="3">
        <f t="shared" si="91"/>
        <v>45167</v>
      </c>
      <c r="D307" s="3">
        <v>45182</v>
      </c>
      <c r="E307" s="3">
        <f t="shared" si="92"/>
        <v>45182</v>
      </c>
      <c r="F307" s="16">
        <f t="shared" si="93"/>
        <v>15</v>
      </c>
      <c r="G307" s="16">
        <f>IF(Data!F218&lt;=7,1,0)</f>
        <v>0</v>
      </c>
      <c r="H307" s="5" t="str">
        <f t="shared" si="94"/>
        <v>08-2023</v>
      </c>
      <c r="I307" s="5" t="str">
        <f t="shared" si="95"/>
        <v>Q3-2023</v>
      </c>
      <c r="J307" s="3">
        <f t="shared" si="96"/>
        <v>44928</v>
      </c>
      <c r="K307" s="5" t="str">
        <f t="shared" si="97"/>
        <v>01-2023</v>
      </c>
      <c r="L307" t="s">
        <v>648</v>
      </c>
      <c r="M307" t="s">
        <v>653</v>
      </c>
      <c r="N307" t="s">
        <v>688</v>
      </c>
      <c r="O307" t="str">
        <f t="shared" si="98"/>
        <v>Vancouver</v>
      </c>
      <c r="P307" t="s">
        <v>705</v>
      </c>
      <c r="Q307" t="s">
        <v>709</v>
      </c>
      <c r="R307" t="str">
        <f t="shared" si="99"/>
        <v>Marketplace</v>
      </c>
      <c r="S307" t="s">
        <v>719</v>
      </c>
      <c r="T307" t="str">
        <f t="shared" si="112"/>
        <v>O. Wang</v>
      </c>
      <c r="U307" t="s">
        <v>728</v>
      </c>
      <c r="V307" t="str">
        <f t="shared" si="100"/>
        <v>High</v>
      </c>
      <c r="W307" t="s">
        <v>1148</v>
      </c>
      <c r="X307" t="str">
        <f t="shared" si="101"/>
        <v>B</v>
      </c>
      <c r="Y307" s="5">
        <v>1287.6400000000001</v>
      </c>
      <c r="Z307" s="5">
        <v>2717.15</v>
      </c>
      <c r="AA307" s="5">
        <f t="shared" si="102"/>
        <v>2717.15</v>
      </c>
      <c r="AB307" s="7">
        <v>3.2000000000000001E-2</v>
      </c>
      <c r="AC307" s="7">
        <f t="shared" si="103"/>
        <v>3.2000000000000001E-2</v>
      </c>
      <c r="AD307" s="16">
        <f t="shared" si="104"/>
        <v>0</v>
      </c>
      <c r="AE307" s="16">
        <v>7</v>
      </c>
      <c r="AF307" s="5">
        <f t="shared" si="105"/>
        <v>18411.4084</v>
      </c>
      <c r="AG307">
        <f t="shared" si="106"/>
        <v>9013.4800000000014</v>
      </c>
      <c r="AH307" s="5">
        <f t="shared" si="107"/>
        <v>9397.9283999999989</v>
      </c>
      <c r="AI307" s="5">
        <f t="shared" si="108"/>
        <v>0.51044049405802105</v>
      </c>
      <c r="AJ307" s="5">
        <f t="shared" si="111"/>
        <v>8820600.6464700066</v>
      </c>
      <c r="AK307" s="7">
        <f t="shared" si="109"/>
        <v>0.80584575852684526</v>
      </c>
      <c r="AL307" s="17">
        <f>MIN(AC307,'What-If Analysis'!$B$2)</f>
        <v>3.2000000000000001E-2</v>
      </c>
      <c r="AM307">
        <f>AE307*(1+'What-If Analysis'!$B$3)</f>
        <v>9.1</v>
      </c>
      <c r="AN307">
        <f>Y307*(1+'What-If Analysis'!$B$4)</f>
        <v>1416.4040000000002</v>
      </c>
      <c r="AO307">
        <f t="shared" si="110"/>
        <v>23934.830919999997</v>
      </c>
    </row>
    <row r="308" spans="1:41" x14ac:dyDescent="0.3">
      <c r="A308" t="s">
        <v>518</v>
      </c>
      <c r="B308" s="3">
        <v>45726</v>
      </c>
      <c r="C308" s="3">
        <f t="shared" si="91"/>
        <v>45726</v>
      </c>
      <c r="D308" s="3">
        <v>45743</v>
      </c>
      <c r="E308" s="3">
        <f t="shared" si="92"/>
        <v>45743</v>
      </c>
      <c r="F308" s="16">
        <f t="shared" si="93"/>
        <v>17</v>
      </c>
      <c r="G308" s="16">
        <f>IF(Data!F359&lt;=7,1,0)</f>
        <v>0</v>
      </c>
      <c r="H308" s="5" t="str">
        <f t="shared" si="94"/>
        <v>03-2025</v>
      </c>
      <c r="I308" s="5" t="str">
        <f t="shared" si="95"/>
        <v>Q1-2025</v>
      </c>
      <c r="J308" s="3">
        <f t="shared" si="96"/>
        <v>44955</v>
      </c>
      <c r="K308" s="5" t="str">
        <f t="shared" si="97"/>
        <v>01-2023</v>
      </c>
      <c r="L308" t="s">
        <v>648</v>
      </c>
      <c r="M308" t="s">
        <v>655</v>
      </c>
      <c r="N308" t="s">
        <v>692</v>
      </c>
      <c r="O308" t="str">
        <f t="shared" si="98"/>
        <v>Rio de Janeiro</v>
      </c>
      <c r="P308" t="s">
        <v>706</v>
      </c>
      <c r="Q308" t="s">
        <v>711</v>
      </c>
      <c r="R308" t="str">
        <f t="shared" si="99"/>
        <v>Direct</v>
      </c>
      <c r="S308" t="s">
        <v>721</v>
      </c>
      <c r="T308" t="str">
        <f t="shared" si="112"/>
        <v>F. Müller</v>
      </c>
      <c r="U308" t="s">
        <v>729</v>
      </c>
      <c r="V308" t="str">
        <f t="shared" si="100"/>
        <v>Medium</v>
      </c>
      <c r="W308" t="s">
        <v>1237</v>
      </c>
      <c r="X308" t="str">
        <f t="shared" si="101"/>
        <v>B</v>
      </c>
      <c r="Y308" s="5">
        <v>996.73</v>
      </c>
      <c r="Z308" s="5">
        <v>1217.43</v>
      </c>
      <c r="AA308" s="5">
        <f t="shared" si="102"/>
        <v>1217.43</v>
      </c>
      <c r="AB308" s="7">
        <v>7.0000000000000007E-2</v>
      </c>
      <c r="AC308" s="7">
        <f t="shared" si="103"/>
        <v>7.0000000000000007E-2</v>
      </c>
      <c r="AD308" s="16">
        <f t="shared" si="104"/>
        <v>0</v>
      </c>
      <c r="AE308" s="16">
        <v>9</v>
      </c>
      <c r="AF308" s="5">
        <f t="shared" si="105"/>
        <v>10189.8891</v>
      </c>
      <c r="AG308">
        <f t="shared" si="106"/>
        <v>8970.57</v>
      </c>
      <c r="AH308" s="5">
        <f t="shared" si="107"/>
        <v>1219.3191000000006</v>
      </c>
      <c r="AI308" s="5">
        <f t="shared" si="108"/>
        <v>0.11965970267527255</v>
      </c>
      <c r="AJ308" s="5">
        <f t="shared" si="111"/>
        <v>8830790.5355700068</v>
      </c>
      <c r="AK308" s="7">
        <f t="shared" si="109"/>
        <v>0.80677670180839833</v>
      </c>
      <c r="AL308" s="17">
        <f>MIN(AC308,'What-If Analysis'!$B$2)</f>
        <v>7.0000000000000007E-2</v>
      </c>
      <c r="AM308">
        <f>AE308*(1+'What-If Analysis'!$B$3)</f>
        <v>11.700000000000001</v>
      </c>
      <c r="AN308">
        <f>Y308*(1+'What-If Analysis'!$B$4)</f>
        <v>1096.403</v>
      </c>
      <c r="AO308">
        <f t="shared" si="110"/>
        <v>13246.85583</v>
      </c>
    </row>
    <row r="309" spans="1:41" x14ac:dyDescent="0.3">
      <c r="A309" t="s">
        <v>619</v>
      </c>
      <c r="B309" s="3">
        <v>45186</v>
      </c>
      <c r="C309" s="3">
        <f t="shared" si="91"/>
        <v>45186</v>
      </c>
      <c r="D309" s="3">
        <v>45201</v>
      </c>
      <c r="E309" s="3">
        <f t="shared" si="92"/>
        <v>45201</v>
      </c>
      <c r="F309" s="16">
        <f t="shared" si="93"/>
        <v>15</v>
      </c>
      <c r="G309" s="16">
        <f>IF(Data!F443&lt;=7,1,0)</f>
        <v>1</v>
      </c>
      <c r="H309" s="5" t="str">
        <f t="shared" si="94"/>
        <v>09-2023</v>
      </c>
      <c r="I309" s="5" t="str">
        <f t="shared" si="95"/>
        <v>Q3-2023</v>
      </c>
      <c r="J309" s="3">
        <f t="shared" si="96"/>
        <v>44955</v>
      </c>
      <c r="K309" s="5" t="str">
        <f t="shared" si="97"/>
        <v>01-2023</v>
      </c>
      <c r="L309" t="s">
        <v>648</v>
      </c>
      <c r="M309" t="s">
        <v>655</v>
      </c>
      <c r="N309" t="s">
        <v>692</v>
      </c>
      <c r="O309" t="str">
        <f t="shared" si="98"/>
        <v>Rio de Janeiro</v>
      </c>
      <c r="P309" t="s">
        <v>705</v>
      </c>
      <c r="Q309" t="s">
        <v>707</v>
      </c>
      <c r="R309" t="str">
        <f t="shared" si="99"/>
        <v>Retail</v>
      </c>
      <c r="S309" t="s">
        <v>717</v>
      </c>
      <c r="T309" t="str">
        <f t="shared" si="112"/>
        <v>B. Chen</v>
      </c>
      <c r="U309" t="s">
        <v>731</v>
      </c>
      <c r="V309" t="str">
        <f t="shared" si="100"/>
        <v>Low</v>
      </c>
      <c r="W309" t="s">
        <v>1337</v>
      </c>
      <c r="X309" t="str">
        <f t="shared" si="101"/>
        <v>B</v>
      </c>
      <c r="Y309" s="5">
        <v>689.33</v>
      </c>
      <c r="Z309" s="5">
        <v>668.27</v>
      </c>
      <c r="AA309" s="5">
        <f t="shared" si="102"/>
        <v>668.27</v>
      </c>
      <c r="AB309" s="7">
        <v>0.186</v>
      </c>
      <c r="AC309" s="7">
        <f t="shared" si="103"/>
        <v>0.186</v>
      </c>
      <c r="AD309" s="16">
        <f t="shared" si="104"/>
        <v>0</v>
      </c>
      <c r="AE309" s="16">
        <v>13</v>
      </c>
      <c r="AF309" s="5">
        <f t="shared" si="105"/>
        <v>7071.6331400000008</v>
      </c>
      <c r="AG309">
        <f t="shared" si="106"/>
        <v>8961.2900000000009</v>
      </c>
      <c r="AH309" s="5">
        <f t="shared" si="107"/>
        <v>1889.6568600000001</v>
      </c>
      <c r="AI309" s="5">
        <f t="shared" si="108"/>
        <v>0.26721647214861033</v>
      </c>
      <c r="AJ309" s="5">
        <f t="shared" si="111"/>
        <v>8837862.1687100064</v>
      </c>
      <c r="AK309" s="7">
        <f t="shared" si="109"/>
        <v>0.80742276275142566</v>
      </c>
      <c r="AL309" s="17">
        <f>MIN(AC309,'What-If Analysis'!$B$2)</f>
        <v>0.186</v>
      </c>
      <c r="AM309">
        <f>AE309*(1+'What-If Analysis'!$B$3)</f>
        <v>16.900000000000002</v>
      </c>
      <c r="AN309">
        <f>Y309*(1+'What-If Analysis'!$B$4)</f>
        <v>758.26300000000015</v>
      </c>
      <c r="AO309">
        <f t="shared" si="110"/>
        <v>9193.1230820000019</v>
      </c>
    </row>
    <row r="310" spans="1:41" x14ac:dyDescent="0.3">
      <c r="A310" t="s">
        <v>317</v>
      </c>
      <c r="B310" s="3">
        <v>45830</v>
      </c>
      <c r="C310" s="3">
        <f t="shared" si="91"/>
        <v>45830</v>
      </c>
      <c r="D310" s="3">
        <v>45846</v>
      </c>
      <c r="E310" s="3">
        <f t="shared" si="92"/>
        <v>45846</v>
      </c>
      <c r="F310" s="16">
        <f t="shared" si="93"/>
        <v>16</v>
      </c>
      <c r="G310" s="16">
        <f>IF(Data!F412&lt;=7,1,0)</f>
        <v>0</v>
      </c>
      <c r="H310" s="5" t="str">
        <f t="shared" si="94"/>
        <v>06-2025</v>
      </c>
      <c r="I310" s="5" t="str">
        <f t="shared" si="95"/>
        <v>Q2-2025</v>
      </c>
      <c r="J310" s="3">
        <f t="shared" si="96"/>
        <v>44945</v>
      </c>
      <c r="K310" s="5" t="str">
        <f t="shared" si="97"/>
        <v>01-2023</v>
      </c>
      <c r="L310" t="s">
        <v>649</v>
      </c>
      <c r="M310" t="s">
        <v>658</v>
      </c>
      <c r="N310" t="s">
        <v>683</v>
      </c>
      <c r="O310" t="str">
        <f t="shared" si="98"/>
        <v>London</v>
      </c>
      <c r="P310" t="s">
        <v>702</v>
      </c>
      <c r="Q310" t="s">
        <v>711</v>
      </c>
      <c r="R310" t="str">
        <f t="shared" si="99"/>
        <v>Direct</v>
      </c>
      <c r="S310" t="s">
        <v>720</v>
      </c>
      <c r="T310" t="str">
        <f t="shared" si="112"/>
        <v>A. Patel</v>
      </c>
      <c r="U310" t="s">
        <v>730</v>
      </c>
      <c r="V310" t="str">
        <f t="shared" si="100"/>
        <v>Medium</v>
      </c>
      <c r="W310" t="s">
        <v>1037</v>
      </c>
      <c r="X310" t="str">
        <f t="shared" si="101"/>
        <v>B</v>
      </c>
      <c r="Y310" s="5">
        <v>892.73</v>
      </c>
      <c r="Z310" s="5">
        <v>979.84</v>
      </c>
      <c r="AA310" s="5">
        <f t="shared" si="102"/>
        <v>979.84</v>
      </c>
      <c r="AB310" s="7">
        <v>0.17399999999999999</v>
      </c>
      <c r="AC310" s="7">
        <f t="shared" si="103"/>
        <v>0.17399999999999999</v>
      </c>
      <c r="AD310" s="16">
        <f t="shared" si="104"/>
        <v>0</v>
      </c>
      <c r="AE310" s="16">
        <v>10</v>
      </c>
      <c r="AF310" s="5">
        <f t="shared" si="105"/>
        <v>8093.4784</v>
      </c>
      <c r="AG310">
        <f t="shared" si="106"/>
        <v>8927.2999999999993</v>
      </c>
      <c r="AH310" s="5">
        <f t="shared" si="107"/>
        <v>833.82159999999931</v>
      </c>
      <c r="AI310" s="5">
        <f t="shared" si="108"/>
        <v>0.10302388649112838</v>
      </c>
      <c r="AJ310" s="5">
        <f t="shared" si="111"/>
        <v>8845955.6471100058</v>
      </c>
      <c r="AK310" s="7">
        <f t="shared" si="109"/>
        <v>0.80816217897734655</v>
      </c>
      <c r="AL310" s="17">
        <f>MIN(AC310,'What-If Analysis'!$B$2)</f>
        <v>0.17399999999999999</v>
      </c>
      <c r="AM310">
        <f>AE310*(1+'What-If Analysis'!$B$3)</f>
        <v>13</v>
      </c>
      <c r="AN310">
        <f>Y310*(1+'What-If Analysis'!$B$4)</f>
        <v>982.00300000000004</v>
      </c>
      <c r="AO310">
        <f t="shared" si="110"/>
        <v>10521.521920000001</v>
      </c>
    </row>
    <row r="311" spans="1:41" x14ac:dyDescent="0.3">
      <c r="A311" t="s">
        <v>335</v>
      </c>
      <c r="B311" s="3">
        <v>45293</v>
      </c>
      <c r="C311" s="3">
        <f t="shared" si="91"/>
        <v>45292</v>
      </c>
      <c r="D311" s="3">
        <v>45292</v>
      </c>
      <c r="E311" s="3">
        <f t="shared" si="92"/>
        <v>45293</v>
      </c>
      <c r="F311" s="16">
        <f t="shared" si="93"/>
        <v>1</v>
      </c>
      <c r="G311" s="16">
        <f>IF(Data!F427&lt;=7,1,0)</f>
        <v>0</v>
      </c>
      <c r="H311" s="5" t="str">
        <f t="shared" si="94"/>
        <v>01-2024</v>
      </c>
      <c r="I311" s="5" t="str">
        <f t="shared" si="95"/>
        <v>Q1-2024</v>
      </c>
      <c r="J311" s="3">
        <f t="shared" si="96"/>
        <v>44939</v>
      </c>
      <c r="K311" s="5" t="str">
        <f t="shared" si="97"/>
        <v>01-2023</v>
      </c>
      <c r="L311" t="s">
        <v>648</v>
      </c>
      <c r="M311" t="s">
        <v>660</v>
      </c>
      <c r="N311" t="s">
        <v>677</v>
      </c>
      <c r="O311" t="str">
        <f t="shared" si="98"/>
        <v>Chicago</v>
      </c>
      <c r="P311" t="s">
        <v>702</v>
      </c>
      <c r="Q311" t="s">
        <v>709</v>
      </c>
      <c r="R311" t="str">
        <f t="shared" si="99"/>
        <v>Marketplace</v>
      </c>
      <c r="S311" t="s">
        <v>717</v>
      </c>
      <c r="T311" t="str">
        <f t="shared" si="112"/>
        <v>B. Chen</v>
      </c>
      <c r="U311" t="s">
        <v>729</v>
      </c>
      <c r="V311" t="str">
        <f t="shared" si="100"/>
        <v>Low</v>
      </c>
      <c r="W311" t="s">
        <v>1055</v>
      </c>
      <c r="X311" t="str">
        <f t="shared" si="101"/>
        <v>B</v>
      </c>
      <c r="Y311" s="5">
        <v>404.77</v>
      </c>
      <c r="Z311" s="5">
        <v>433.88</v>
      </c>
      <c r="AA311" s="5">
        <f t="shared" si="102"/>
        <v>433.88</v>
      </c>
      <c r="AB311" s="7">
        <v>0.215</v>
      </c>
      <c r="AC311" s="7">
        <f t="shared" si="103"/>
        <v>0.215</v>
      </c>
      <c r="AD311" s="16">
        <f t="shared" si="104"/>
        <v>1</v>
      </c>
      <c r="AE311" s="16">
        <v>22</v>
      </c>
      <c r="AF311" s="5">
        <f t="shared" si="105"/>
        <v>7493.1076000000012</v>
      </c>
      <c r="AG311">
        <f t="shared" si="106"/>
        <v>8904.9399999999987</v>
      </c>
      <c r="AH311" s="5">
        <f t="shared" si="107"/>
        <v>1411.8323999999975</v>
      </c>
      <c r="AI311" s="5">
        <f t="shared" si="108"/>
        <v>0.18841747314558746</v>
      </c>
      <c r="AJ311" s="5">
        <f t="shared" si="111"/>
        <v>8853448.7547100056</v>
      </c>
      <c r="AK311" s="7">
        <f t="shared" si="109"/>
        <v>0.80884674562078285</v>
      </c>
      <c r="AL311" s="17">
        <f>MIN(AC311,'What-If Analysis'!$B$2)</f>
        <v>0.2</v>
      </c>
      <c r="AM311">
        <f>AE311*(1+'What-If Analysis'!$B$3)</f>
        <v>28.6</v>
      </c>
      <c r="AN311">
        <f>Y311*(1+'What-If Analysis'!$B$4)</f>
        <v>445.24700000000001</v>
      </c>
      <c r="AO311">
        <f t="shared" si="110"/>
        <v>9927.1744000000017</v>
      </c>
    </row>
    <row r="312" spans="1:41" x14ac:dyDescent="0.3">
      <c r="A312" t="s">
        <v>83</v>
      </c>
      <c r="B312" s="3">
        <v>45157</v>
      </c>
      <c r="C312" s="3">
        <f t="shared" si="91"/>
        <v>45157</v>
      </c>
      <c r="D312" s="3">
        <v>45176</v>
      </c>
      <c r="E312" s="3">
        <f t="shared" si="92"/>
        <v>45176</v>
      </c>
      <c r="F312" s="16">
        <f t="shared" si="93"/>
        <v>19</v>
      </c>
      <c r="G312" s="16">
        <f>IF(Data!F394&lt;=7,1,0)</f>
        <v>0</v>
      </c>
      <c r="H312" s="5" t="str">
        <f t="shared" si="94"/>
        <v>08-2023</v>
      </c>
      <c r="I312" s="5" t="str">
        <f t="shared" si="95"/>
        <v>Q3-2023</v>
      </c>
      <c r="J312" s="3">
        <f t="shared" si="96"/>
        <v>44933</v>
      </c>
      <c r="K312" s="5" t="str">
        <f t="shared" si="97"/>
        <v>01-2023</v>
      </c>
      <c r="L312" t="s">
        <v>646</v>
      </c>
      <c r="M312" t="s">
        <v>661</v>
      </c>
      <c r="N312" t="s">
        <v>682</v>
      </c>
      <c r="O312" t="str">
        <f t="shared" si="98"/>
        <v>Johannesburg</v>
      </c>
      <c r="P312" t="s">
        <v>706</v>
      </c>
      <c r="Q312" t="s">
        <v>707</v>
      </c>
      <c r="R312" t="str">
        <f t="shared" si="99"/>
        <v>Retail</v>
      </c>
      <c r="S312" t="s">
        <v>726</v>
      </c>
      <c r="T312" t="str">
        <f t="shared" si="112"/>
        <v>D. Smith</v>
      </c>
      <c r="U312" t="s">
        <v>732</v>
      </c>
      <c r="V312" t="str">
        <f t="shared" si="100"/>
        <v>Low</v>
      </c>
      <c r="W312" t="s">
        <v>802</v>
      </c>
      <c r="X312" t="str">
        <f t="shared" si="101"/>
        <v>B</v>
      </c>
      <c r="Y312" s="5">
        <v>494.61</v>
      </c>
      <c r="Z312" s="5">
        <v>605.23</v>
      </c>
      <c r="AA312" s="5">
        <f t="shared" si="102"/>
        <v>605.23</v>
      </c>
      <c r="AB312" s="7">
        <v>0.20399999999999999</v>
      </c>
      <c r="AC312" s="7">
        <f t="shared" si="103"/>
        <v>0.20399999999999999</v>
      </c>
      <c r="AD312" s="16">
        <f t="shared" si="104"/>
        <v>1</v>
      </c>
      <c r="AE312" s="16">
        <v>18</v>
      </c>
      <c r="AF312" s="5">
        <f t="shared" si="105"/>
        <v>8671.7354400000004</v>
      </c>
      <c r="AG312">
        <f t="shared" si="106"/>
        <v>8902.98</v>
      </c>
      <c r="AH312" s="5">
        <f t="shared" si="107"/>
        <v>231.24455999999918</v>
      </c>
      <c r="AI312" s="5">
        <f t="shared" si="108"/>
        <v>2.6666468505639647E-2</v>
      </c>
      <c r="AJ312" s="5">
        <f t="shared" si="111"/>
        <v>8862120.4901500065</v>
      </c>
      <c r="AK312" s="7">
        <f t="shared" si="109"/>
        <v>0.80963899112689675</v>
      </c>
      <c r="AL312" s="17">
        <f>MIN(AC312,'What-If Analysis'!$B$2)</f>
        <v>0.2</v>
      </c>
      <c r="AM312">
        <f>AE312*(1+'What-If Analysis'!$B$3)</f>
        <v>23.400000000000002</v>
      </c>
      <c r="AN312">
        <f>Y312*(1+'What-If Analysis'!$B$4)</f>
        <v>544.07100000000003</v>
      </c>
      <c r="AO312">
        <f t="shared" si="110"/>
        <v>11329.905600000002</v>
      </c>
    </row>
    <row r="313" spans="1:41" x14ac:dyDescent="0.3">
      <c r="A313" t="s">
        <v>356</v>
      </c>
      <c r="B313" s="3">
        <v>45594</v>
      </c>
      <c r="C313" s="3">
        <f t="shared" si="91"/>
        <v>45594</v>
      </c>
      <c r="D313" s="3">
        <v>45600</v>
      </c>
      <c r="E313" s="3">
        <f t="shared" si="92"/>
        <v>45600</v>
      </c>
      <c r="F313" s="16">
        <f t="shared" si="93"/>
        <v>6</v>
      </c>
      <c r="G313" s="16">
        <f>IF(Data!F198&lt;=7,1,0)</f>
        <v>1</v>
      </c>
      <c r="H313" s="5" t="str">
        <f t="shared" si="94"/>
        <v>10-2024</v>
      </c>
      <c r="I313" s="5" t="str">
        <f t="shared" si="95"/>
        <v>Q4-2024</v>
      </c>
      <c r="J313" s="3">
        <f t="shared" si="96"/>
        <v>44946</v>
      </c>
      <c r="K313" s="5" t="str">
        <f t="shared" si="97"/>
        <v>01-2023</v>
      </c>
      <c r="L313" t="s">
        <v>646</v>
      </c>
      <c r="M313" t="s">
        <v>650</v>
      </c>
      <c r="N313" t="s">
        <v>664</v>
      </c>
      <c r="O313" t="str">
        <f t="shared" si="98"/>
        <v>Nairobi</v>
      </c>
      <c r="P313" t="s">
        <v>701</v>
      </c>
      <c r="Q313" t="s">
        <v>710</v>
      </c>
      <c r="R313" t="str">
        <f t="shared" si="99"/>
        <v>Distributor</v>
      </c>
      <c r="S313" t="s">
        <v>724</v>
      </c>
      <c r="T313" t="str">
        <f t="shared" si="112"/>
        <v>M. Rossi</v>
      </c>
      <c r="U313" t="s">
        <v>728</v>
      </c>
      <c r="V313" t="str">
        <f t="shared" si="100"/>
        <v>High</v>
      </c>
      <c r="W313" t="s">
        <v>1076</v>
      </c>
      <c r="X313" t="str">
        <f t="shared" si="101"/>
        <v>B</v>
      </c>
      <c r="Y313" s="5">
        <v>805.81</v>
      </c>
      <c r="Z313" s="5">
        <v>1823.04</v>
      </c>
      <c r="AA313" s="5">
        <f t="shared" si="102"/>
        <v>1823.04</v>
      </c>
      <c r="AB313" s="7">
        <v>0</v>
      </c>
      <c r="AC313" s="7">
        <f t="shared" si="103"/>
        <v>0</v>
      </c>
      <c r="AD313" s="16">
        <f t="shared" si="104"/>
        <v>0</v>
      </c>
      <c r="AE313" s="16">
        <v>11</v>
      </c>
      <c r="AF313" s="5">
        <f t="shared" si="105"/>
        <v>20053.439999999999</v>
      </c>
      <c r="AG313">
        <f t="shared" si="106"/>
        <v>8863.91</v>
      </c>
      <c r="AH313" s="5">
        <f t="shared" si="107"/>
        <v>11189.529999999999</v>
      </c>
      <c r="AI313" s="5">
        <f t="shared" si="108"/>
        <v>0.55798556257679477</v>
      </c>
      <c r="AJ313" s="5">
        <f t="shared" si="111"/>
        <v>8882173.930150006</v>
      </c>
      <c r="AK313" s="7">
        <f t="shared" si="109"/>
        <v>0.81147106359175081</v>
      </c>
      <c r="AL313" s="17">
        <f>MIN(AC313,'What-If Analysis'!$B$2)</f>
        <v>0</v>
      </c>
      <c r="AM313">
        <f>AE313*(1+'What-If Analysis'!$B$3)</f>
        <v>14.3</v>
      </c>
      <c r="AN313">
        <f>Y313*(1+'What-If Analysis'!$B$4)</f>
        <v>886.39099999999996</v>
      </c>
      <c r="AO313">
        <f t="shared" si="110"/>
        <v>26069.472000000002</v>
      </c>
    </row>
    <row r="314" spans="1:41" x14ac:dyDescent="0.3">
      <c r="A314" t="s">
        <v>508</v>
      </c>
      <c r="B314" s="3">
        <v>45439</v>
      </c>
      <c r="C314" s="3">
        <f t="shared" si="91"/>
        <v>45439</v>
      </c>
      <c r="D314" s="3">
        <v>45460</v>
      </c>
      <c r="E314" s="3">
        <f t="shared" si="92"/>
        <v>45460</v>
      </c>
      <c r="F314" s="16">
        <f t="shared" si="93"/>
        <v>21</v>
      </c>
      <c r="G314" s="16">
        <f>IF(Data!F323&lt;=7,1,0)</f>
        <v>1</v>
      </c>
      <c r="H314" s="5" t="str">
        <f t="shared" si="94"/>
        <v>05-2024</v>
      </c>
      <c r="I314" s="5" t="str">
        <f t="shared" si="95"/>
        <v>Q2-2024</v>
      </c>
      <c r="J314" s="3">
        <f t="shared" si="96"/>
        <v>44955</v>
      </c>
      <c r="K314" s="5" t="str">
        <f t="shared" si="97"/>
        <v>01-2023</v>
      </c>
      <c r="L314" t="s">
        <v>647</v>
      </c>
      <c r="M314" t="s">
        <v>654</v>
      </c>
      <c r="N314" t="s">
        <v>680</v>
      </c>
      <c r="O314" t="str">
        <f t="shared" si="98"/>
        <v>Delhi</v>
      </c>
      <c r="P314" t="s">
        <v>705</v>
      </c>
      <c r="Q314" t="s">
        <v>708</v>
      </c>
      <c r="R314" t="str">
        <f t="shared" si="99"/>
        <v>Online</v>
      </c>
      <c r="S314" t="s">
        <v>722</v>
      </c>
      <c r="T314" t="str">
        <f t="shared" si="112"/>
        <v>H. Kim</v>
      </c>
      <c r="U314" t="s">
        <v>733</v>
      </c>
      <c r="V314" t="str">
        <f t="shared" si="100"/>
        <v>Low</v>
      </c>
      <c r="W314" t="s">
        <v>1227</v>
      </c>
      <c r="X314" t="str">
        <f t="shared" si="101"/>
        <v>B</v>
      </c>
      <c r="Y314" s="5">
        <v>465.02</v>
      </c>
      <c r="Z314" s="5">
        <v>651.55999999999995</v>
      </c>
      <c r="AA314" s="5">
        <f t="shared" si="102"/>
        <v>651.55999999999995</v>
      </c>
      <c r="AB314" s="7">
        <v>4.2000000000000003E-2</v>
      </c>
      <c r="AC314" s="7">
        <f t="shared" si="103"/>
        <v>4.2000000000000003E-2</v>
      </c>
      <c r="AD314" s="16">
        <f t="shared" si="104"/>
        <v>0</v>
      </c>
      <c r="AE314" s="16">
        <v>19</v>
      </c>
      <c r="AF314" s="5">
        <f t="shared" si="105"/>
        <v>11859.695119999998</v>
      </c>
      <c r="AG314">
        <f t="shared" si="106"/>
        <v>8835.3799999999992</v>
      </c>
      <c r="AH314" s="5">
        <f t="shared" si="107"/>
        <v>3024.3151199999993</v>
      </c>
      <c r="AI314" s="5">
        <f t="shared" si="108"/>
        <v>0.25500783025187918</v>
      </c>
      <c r="AJ314" s="5">
        <f t="shared" si="111"/>
        <v>8894033.6252700053</v>
      </c>
      <c r="AK314" s="7">
        <f t="shared" si="109"/>
        <v>0.81255455953413858</v>
      </c>
      <c r="AL314" s="17">
        <f>MIN(AC314,'What-If Analysis'!$B$2)</f>
        <v>4.2000000000000003E-2</v>
      </c>
      <c r="AM314">
        <f>AE314*(1+'What-If Analysis'!$B$3)</f>
        <v>24.7</v>
      </c>
      <c r="AN314">
        <f>Y314*(1+'What-If Analysis'!$B$4)</f>
        <v>511.52200000000005</v>
      </c>
      <c r="AO314">
        <f t="shared" si="110"/>
        <v>15417.603655999997</v>
      </c>
    </row>
    <row r="315" spans="1:41" x14ac:dyDescent="0.3">
      <c r="A315" t="s">
        <v>200</v>
      </c>
      <c r="B315" s="3">
        <v>45099</v>
      </c>
      <c r="C315" s="3">
        <f t="shared" si="91"/>
        <v>45099</v>
      </c>
      <c r="D315" s="3">
        <v>45128</v>
      </c>
      <c r="E315" s="3">
        <f t="shared" si="92"/>
        <v>45128</v>
      </c>
      <c r="F315" s="16">
        <f t="shared" si="93"/>
        <v>29</v>
      </c>
      <c r="G315" s="16">
        <f>IF(Data!F355&lt;=7,1,0)</f>
        <v>0</v>
      </c>
      <c r="H315" s="5" t="str">
        <f t="shared" si="94"/>
        <v>06-2023</v>
      </c>
      <c r="I315" s="5" t="str">
        <f t="shared" si="95"/>
        <v>Q2-2023</v>
      </c>
      <c r="J315" s="3">
        <f t="shared" si="96"/>
        <v>44936</v>
      </c>
      <c r="K315" s="5" t="str">
        <f t="shared" si="97"/>
        <v>01-2023</v>
      </c>
      <c r="L315" t="s">
        <v>649</v>
      </c>
      <c r="M315" t="s">
        <v>657</v>
      </c>
      <c r="N315" t="s">
        <v>679</v>
      </c>
      <c r="O315" t="str">
        <f t="shared" si="98"/>
        <v>Lyon</v>
      </c>
      <c r="P315" t="s">
        <v>701</v>
      </c>
      <c r="Q315" t="s">
        <v>707</v>
      </c>
      <c r="R315" t="str">
        <f t="shared" si="99"/>
        <v>Retail</v>
      </c>
      <c r="S315" t="s">
        <v>713</v>
      </c>
      <c r="T315" t="str">
        <f t="shared" si="112"/>
        <v>J. Njeri</v>
      </c>
      <c r="U315" t="s">
        <v>733</v>
      </c>
      <c r="V315" t="str">
        <f t="shared" si="100"/>
        <v>Medium</v>
      </c>
      <c r="W315" t="s">
        <v>919</v>
      </c>
      <c r="X315" t="str">
        <f t="shared" si="101"/>
        <v>B</v>
      </c>
      <c r="Y315" s="5">
        <v>734.34</v>
      </c>
      <c r="Z315" s="5">
        <v>887.9</v>
      </c>
      <c r="AA315" s="5">
        <f t="shared" si="102"/>
        <v>887.9</v>
      </c>
      <c r="AB315" s="7">
        <v>2.5000000000000001E-2</v>
      </c>
      <c r="AC315" s="7">
        <f t="shared" si="103"/>
        <v>2.5000000000000001E-2</v>
      </c>
      <c r="AD315" s="16">
        <f t="shared" si="104"/>
        <v>0</v>
      </c>
      <c r="AE315" s="16">
        <v>12</v>
      </c>
      <c r="AF315" s="5">
        <f t="shared" si="105"/>
        <v>10388.429999999998</v>
      </c>
      <c r="AG315">
        <f t="shared" si="106"/>
        <v>8812.08</v>
      </c>
      <c r="AH315" s="5">
        <f t="shared" si="107"/>
        <v>1576.3499999999985</v>
      </c>
      <c r="AI315" s="5">
        <f t="shared" si="108"/>
        <v>0.15174092716608753</v>
      </c>
      <c r="AJ315" s="5">
        <f t="shared" si="111"/>
        <v>8904422.055270005</v>
      </c>
      <c r="AK315" s="7">
        <f t="shared" si="109"/>
        <v>0.81350364141515574</v>
      </c>
      <c r="AL315" s="17">
        <f>MIN(AC315,'What-If Analysis'!$B$2)</f>
        <v>2.5000000000000001E-2</v>
      </c>
      <c r="AM315">
        <f>AE315*(1+'What-If Analysis'!$B$3)</f>
        <v>15.600000000000001</v>
      </c>
      <c r="AN315">
        <f>Y315*(1+'What-If Analysis'!$B$4)</f>
        <v>807.77400000000011</v>
      </c>
      <c r="AO315">
        <f t="shared" si="110"/>
        <v>13504.959000000001</v>
      </c>
    </row>
    <row r="316" spans="1:41" x14ac:dyDescent="0.3">
      <c r="A316" t="s">
        <v>555</v>
      </c>
      <c r="B316" s="3">
        <v>45115</v>
      </c>
      <c r="C316" s="3">
        <f t="shared" si="91"/>
        <v>45115</v>
      </c>
      <c r="D316" s="3">
        <v>45116</v>
      </c>
      <c r="E316" s="3">
        <f t="shared" si="92"/>
        <v>45116</v>
      </c>
      <c r="F316" s="16">
        <f t="shared" si="93"/>
        <v>1</v>
      </c>
      <c r="G316" s="16">
        <f>IF(Data!F205&lt;=7,1,0)</f>
        <v>0</v>
      </c>
      <c r="H316" s="5" t="str">
        <f t="shared" si="94"/>
        <v>07-2023</v>
      </c>
      <c r="I316" s="5" t="str">
        <f t="shared" si="95"/>
        <v>Q3-2023</v>
      </c>
      <c r="J316" s="3">
        <f t="shared" si="96"/>
        <v>44946</v>
      </c>
      <c r="K316" s="5" t="str">
        <f t="shared" si="97"/>
        <v>01-2023</v>
      </c>
      <c r="L316" t="s">
        <v>646</v>
      </c>
      <c r="M316" t="s">
        <v>650</v>
      </c>
      <c r="N316" t="s">
        <v>664</v>
      </c>
      <c r="O316" t="str">
        <f t="shared" si="98"/>
        <v>Nairobi</v>
      </c>
      <c r="P316" t="s">
        <v>704</v>
      </c>
      <c r="Q316" t="s">
        <v>708</v>
      </c>
      <c r="R316" t="str">
        <f t="shared" si="99"/>
        <v>Online</v>
      </c>
      <c r="S316" t="s">
        <v>726</v>
      </c>
      <c r="T316" t="str">
        <f t="shared" si="112"/>
        <v>D. Smith</v>
      </c>
      <c r="U316" t="s">
        <v>731</v>
      </c>
      <c r="V316" t="str">
        <f t="shared" si="100"/>
        <v>High</v>
      </c>
      <c r="W316" t="s">
        <v>1273</v>
      </c>
      <c r="X316" t="str">
        <f t="shared" si="101"/>
        <v>B</v>
      </c>
      <c r="Y316" s="5">
        <v>1258.72</v>
      </c>
      <c r="Z316" s="5">
        <v>2797.41</v>
      </c>
      <c r="AA316" s="5">
        <f t="shared" si="102"/>
        <v>2797.41</v>
      </c>
      <c r="AB316" s="7">
        <v>0</v>
      </c>
      <c r="AC316" s="7">
        <f t="shared" si="103"/>
        <v>0</v>
      </c>
      <c r="AD316" s="16">
        <f t="shared" si="104"/>
        <v>0</v>
      </c>
      <c r="AE316" s="16">
        <v>7</v>
      </c>
      <c r="AF316" s="5">
        <f t="shared" si="105"/>
        <v>19581.87</v>
      </c>
      <c r="AG316">
        <f t="shared" si="106"/>
        <v>8811.0400000000009</v>
      </c>
      <c r="AH316" s="5">
        <f t="shared" si="107"/>
        <v>10770.829999999998</v>
      </c>
      <c r="AI316" s="5">
        <f t="shared" si="108"/>
        <v>0.55004093071805704</v>
      </c>
      <c r="AJ316" s="5">
        <f t="shared" si="111"/>
        <v>8924003.9252700042</v>
      </c>
      <c r="AK316" s="7">
        <f t="shared" si="109"/>
        <v>0.81529263147558195</v>
      </c>
      <c r="AL316" s="17">
        <f>MIN(AC316,'What-If Analysis'!$B$2)</f>
        <v>0</v>
      </c>
      <c r="AM316">
        <f>AE316*(1+'What-If Analysis'!$B$3)</f>
        <v>9.1</v>
      </c>
      <c r="AN316">
        <f>Y316*(1+'What-If Analysis'!$B$4)</f>
        <v>1384.5920000000001</v>
      </c>
      <c r="AO316">
        <f t="shared" si="110"/>
        <v>25456.430999999997</v>
      </c>
    </row>
    <row r="317" spans="1:41" x14ac:dyDescent="0.3">
      <c r="A317" t="s">
        <v>624</v>
      </c>
      <c r="B317" s="3">
        <v>45032</v>
      </c>
      <c r="C317" s="3">
        <f t="shared" si="91"/>
        <v>45032</v>
      </c>
      <c r="D317" s="3">
        <v>45039</v>
      </c>
      <c r="E317" s="3">
        <f t="shared" si="92"/>
        <v>45039</v>
      </c>
      <c r="F317" s="16">
        <f t="shared" si="93"/>
        <v>7</v>
      </c>
      <c r="G317" s="16">
        <f>IF(Data!F358&lt;=7,1,0)</f>
        <v>0</v>
      </c>
      <c r="H317" s="5" t="str">
        <f t="shared" si="94"/>
        <v>04-2023</v>
      </c>
      <c r="I317" s="5" t="str">
        <f t="shared" si="95"/>
        <v>Q2-2023</v>
      </c>
      <c r="J317" s="3">
        <f t="shared" si="96"/>
        <v>44939</v>
      </c>
      <c r="K317" s="5" t="str">
        <f t="shared" si="97"/>
        <v>01-2023</v>
      </c>
      <c r="L317" t="s">
        <v>648</v>
      </c>
      <c r="M317" t="s">
        <v>660</v>
      </c>
      <c r="N317" t="s">
        <v>697</v>
      </c>
      <c r="O317" t="str">
        <f t="shared" si="98"/>
        <v>Austin</v>
      </c>
      <c r="P317" t="s">
        <v>701</v>
      </c>
      <c r="Q317" t="s">
        <v>710</v>
      </c>
      <c r="R317" t="str">
        <f t="shared" si="99"/>
        <v>Distributor</v>
      </c>
      <c r="S317" t="s">
        <v>719</v>
      </c>
      <c r="T317" t="str">
        <f t="shared" si="112"/>
        <v>O. Wang</v>
      </c>
      <c r="U317" t="s">
        <v>728</v>
      </c>
      <c r="V317" t="str">
        <f t="shared" si="100"/>
        <v>Medium</v>
      </c>
      <c r="W317" t="s">
        <v>1342</v>
      </c>
      <c r="X317" t="str">
        <f t="shared" si="101"/>
        <v>B</v>
      </c>
      <c r="Y317" s="5">
        <v>1099.1500000000001</v>
      </c>
      <c r="Z317" s="5">
        <v>1431.37</v>
      </c>
      <c r="AA317" s="5">
        <f t="shared" si="102"/>
        <v>1431.37</v>
      </c>
      <c r="AB317" s="7">
        <v>0.104</v>
      </c>
      <c r="AC317" s="7">
        <f t="shared" si="103"/>
        <v>0.104</v>
      </c>
      <c r="AD317" s="16">
        <f t="shared" si="104"/>
        <v>0</v>
      </c>
      <c r="AE317" s="16">
        <v>8</v>
      </c>
      <c r="AF317" s="5">
        <f t="shared" si="105"/>
        <v>10260.060159999999</v>
      </c>
      <c r="AG317">
        <f t="shared" si="106"/>
        <v>8793.2000000000007</v>
      </c>
      <c r="AH317" s="5">
        <f t="shared" si="107"/>
        <v>1466.8601599999984</v>
      </c>
      <c r="AI317" s="5">
        <f t="shared" si="108"/>
        <v>0.14296798821109433</v>
      </c>
      <c r="AJ317" s="5">
        <f t="shared" si="111"/>
        <v>8934263.9854300041</v>
      </c>
      <c r="AK317" s="7">
        <f t="shared" si="109"/>
        <v>0.81622998555083703</v>
      </c>
      <c r="AL317" s="17">
        <f>MIN(AC317,'What-If Analysis'!$B$2)</f>
        <v>0.104</v>
      </c>
      <c r="AM317">
        <f>AE317*(1+'What-If Analysis'!$B$3)</f>
        <v>10.4</v>
      </c>
      <c r="AN317">
        <f>Y317*(1+'What-If Analysis'!$B$4)</f>
        <v>1209.0650000000003</v>
      </c>
      <c r="AO317">
        <f t="shared" si="110"/>
        <v>13338.078208000001</v>
      </c>
    </row>
    <row r="318" spans="1:41" x14ac:dyDescent="0.3">
      <c r="A318" t="s">
        <v>578</v>
      </c>
      <c r="B318" s="3">
        <v>45692</v>
      </c>
      <c r="C318" s="3">
        <f t="shared" si="91"/>
        <v>45692</v>
      </c>
      <c r="D318" s="3">
        <v>45696</v>
      </c>
      <c r="E318" s="3">
        <f t="shared" si="92"/>
        <v>45696</v>
      </c>
      <c r="F318" s="16">
        <f t="shared" si="93"/>
        <v>4</v>
      </c>
      <c r="G318" s="16">
        <f>IF(Data!F360&lt;=7,1,0)</f>
        <v>0</v>
      </c>
      <c r="H318" s="5" t="str">
        <f t="shared" si="94"/>
        <v>02-2025</v>
      </c>
      <c r="I318" s="5" t="str">
        <f t="shared" si="95"/>
        <v>Q1-2025</v>
      </c>
      <c r="J318" s="3">
        <f t="shared" si="96"/>
        <v>44945</v>
      </c>
      <c r="K318" s="5" t="str">
        <f t="shared" si="97"/>
        <v>01-2023</v>
      </c>
      <c r="L318" t="s">
        <v>649</v>
      </c>
      <c r="M318" t="s">
        <v>658</v>
      </c>
      <c r="N318" t="s">
        <v>693</v>
      </c>
      <c r="O318" t="str">
        <f t="shared" si="98"/>
        <v>Manchester</v>
      </c>
      <c r="P318" t="s">
        <v>706</v>
      </c>
      <c r="Q318" t="s">
        <v>709</v>
      </c>
      <c r="R318" t="str">
        <f t="shared" si="99"/>
        <v>Marketplace</v>
      </c>
      <c r="S318" t="s">
        <v>716</v>
      </c>
      <c r="T318" t="str">
        <f t="shared" si="112"/>
        <v>L. Okafor</v>
      </c>
      <c r="U318" t="s">
        <v>729</v>
      </c>
      <c r="V318" t="str">
        <f t="shared" si="100"/>
        <v>Low</v>
      </c>
      <c r="W318" t="s">
        <v>1296</v>
      </c>
      <c r="X318" t="str">
        <f t="shared" si="101"/>
        <v>B</v>
      </c>
      <c r="Y318" s="5">
        <v>586.21</v>
      </c>
      <c r="Z318" s="5">
        <v>727.22</v>
      </c>
      <c r="AA318" s="5">
        <f t="shared" si="102"/>
        <v>727.22</v>
      </c>
      <c r="AB318" s="7">
        <v>6.8000000000000005E-2</v>
      </c>
      <c r="AC318" s="7">
        <f t="shared" si="103"/>
        <v>6.8000000000000005E-2</v>
      </c>
      <c r="AD318" s="16">
        <f t="shared" si="104"/>
        <v>0</v>
      </c>
      <c r="AE318" s="16">
        <v>15</v>
      </c>
      <c r="AF318" s="5">
        <f t="shared" si="105"/>
        <v>10166.535600000001</v>
      </c>
      <c r="AG318">
        <f t="shared" si="106"/>
        <v>8793.1500000000015</v>
      </c>
      <c r="AH318" s="5">
        <f t="shared" si="107"/>
        <v>1373.3855999999996</v>
      </c>
      <c r="AI318" s="5">
        <f t="shared" si="108"/>
        <v>0.13508884973559721</v>
      </c>
      <c r="AJ318" s="5">
        <f t="shared" si="111"/>
        <v>8944430.5210300032</v>
      </c>
      <c r="AK318" s="7">
        <f t="shared" si="109"/>
        <v>0.81715879526805846</v>
      </c>
      <c r="AL318" s="17">
        <f>MIN(AC318,'What-If Analysis'!$B$2)</f>
        <v>6.8000000000000005E-2</v>
      </c>
      <c r="AM318">
        <f>AE318*(1+'What-If Analysis'!$B$3)</f>
        <v>19.5</v>
      </c>
      <c r="AN318">
        <f>Y318*(1+'What-If Analysis'!$B$4)</f>
        <v>644.83100000000013</v>
      </c>
      <c r="AO318">
        <f t="shared" si="110"/>
        <v>13216.496279999999</v>
      </c>
    </row>
    <row r="319" spans="1:41" x14ac:dyDescent="0.3">
      <c r="A319" t="s">
        <v>82</v>
      </c>
      <c r="B319" s="3">
        <v>45434</v>
      </c>
      <c r="C319" s="3">
        <f t="shared" si="91"/>
        <v>45434</v>
      </c>
      <c r="D319" s="3">
        <v>45449</v>
      </c>
      <c r="E319" s="3">
        <f t="shared" si="92"/>
        <v>45449</v>
      </c>
      <c r="F319" s="16">
        <f t="shared" si="93"/>
        <v>15</v>
      </c>
      <c r="G319" s="16">
        <f>IF(Data!F275&lt;=7,1,0)</f>
        <v>0</v>
      </c>
      <c r="H319" s="5" t="str">
        <f t="shared" si="94"/>
        <v>05-2024</v>
      </c>
      <c r="I319" s="5" t="str">
        <f t="shared" si="95"/>
        <v>Q2-2024</v>
      </c>
      <c r="J319" s="3">
        <f t="shared" si="96"/>
        <v>44988</v>
      </c>
      <c r="K319" s="5" t="str">
        <f t="shared" si="97"/>
        <v>03-2023</v>
      </c>
      <c r="L319" t="s">
        <v>647</v>
      </c>
      <c r="M319" t="s">
        <v>652</v>
      </c>
      <c r="N319" t="s">
        <v>694</v>
      </c>
      <c r="O319" t="str">
        <f t="shared" si="98"/>
        <v>Nagoya</v>
      </c>
      <c r="P319" t="s">
        <v>701</v>
      </c>
      <c r="Q319" t="s">
        <v>710</v>
      </c>
      <c r="R319" t="str">
        <f t="shared" si="99"/>
        <v>Distributor</v>
      </c>
      <c r="S319" t="s">
        <v>712</v>
      </c>
      <c r="T319" t="str">
        <f t="shared" si="112"/>
        <v>C. Otieno</v>
      </c>
      <c r="U319" t="s">
        <v>732</v>
      </c>
      <c r="V319" t="str">
        <f t="shared" si="100"/>
        <v>Medium</v>
      </c>
      <c r="W319" t="s">
        <v>801</v>
      </c>
      <c r="X319" t="str">
        <f t="shared" si="101"/>
        <v>B</v>
      </c>
      <c r="Y319" s="5">
        <v>673.88</v>
      </c>
      <c r="Z319" s="5">
        <v>1228.01</v>
      </c>
      <c r="AA319" s="5">
        <f t="shared" si="102"/>
        <v>1228.01</v>
      </c>
      <c r="AB319" s="7">
        <v>0.105</v>
      </c>
      <c r="AC319" s="7">
        <f t="shared" si="103"/>
        <v>0.105</v>
      </c>
      <c r="AD319" s="16">
        <f t="shared" si="104"/>
        <v>0</v>
      </c>
      <c r="AE319" s="16">
        <v>13</v>
      </c>
      <c r="AF319" s="5">
        <f t="shared" si="105"/>
        <v>14287.896349999999</v>
      </c>
      <c r="AG319">
        <f t="shared" si="106"/>
        <v>8760.44</v>
      </c>
      <c r="AH319" s="5">
        <f t="shared" si="107"/>
        <v>5527.4563499999986</v>
      </c>
      <c r="AI319" s="5">
        <f t="shared" si="108"/>
        <v>0.38686285332689996</v>
      </c>
      <c r="AJ319" s="5">
        <f t="shared" si="111"/>
        <v>8958718.4173800033</v>
      </c>
      <c r="AK319" s="7">
        <f t="shared" si="109"/>
        <v>0.81846413048653099</v>
      </c>
      <c r="AL319" s="17">
        <f>MIN(AC319,'What-If Analysis'!$B$2)</f>
        <v>0.105</v>
      </c>
      <c r="AM319">
        <f>AE319*(1+'What-If Analysis'!$B$3)</f>
        <v>16.900000000000002</v>
      </c>
      <c r="AN319">
        <f>Y319*(1+'What-If Analysis'!$B$4)</f>
        <v>741.26800000000003</v>
      </c>
      <c r="AO319">
        <f t="shared" si="110"/>
        <v>18574.265255000002</v>
      </c>
    </row>
    <row r="320" spans="1:41" x14ac:dyDescent="0.3">
      <c r="A320" t="s">
        <v>465</v>
      </c>
      <c r="B320" s="3">
        <v>44945</v>
      </c>
      <c r="C320" s="3">
        <f t="shared" si="91"/>
        <v>44945</v>
      </c>
      <c r="D320" s="3">
        <v>44960</v>
      </c>
      <c r="E320" s="3">
        <f t="shared" si="92"/>
        <v>44960</v>
      </c>
      <c r="F320" s="16">
        <f t="shared" si="93"/>
        <v>15</v>
      </c>
      <c r="G320" s="16">
        <f>IF(Data!F204&lt;=7,1,0)</f>
        <v>1</v>
      </c>
      <c r="H320" s="5" t="str">
        <f t="shared" si="94"/>
        <v>01-2023</v>
      </c>
      <c r="I320" s="5" t="str">
        <f t="shared" si="95"/>
        <v>Q1-2023</v>
      </c>
      <c r="J320" s="3">
        <f t="shared" si="96"/>
        <v>44945</v>
      </c>
      <c r="K320" s="5" t="str">
        <f t="shared" si="97"/>
        <v>01-2023</v>
      </c>
      <c r="L320" t="s">
        <v>649</v>
      </c>
      <c r="M320" t="s">
        <v>658</v>
      </c>
      <c r="N320" t="s">
        <v>683</v>
      </c>
      <c r="O320" t="str">
        <f t="shared" si="98"/>
        <v>London</v>
      </c>
      <c r="P320" t="s">
        <v>706</v>
      </c>
      <c r="Q320" t="s">
        <v>710</v>
      </c>
      <c r="R320" t="str">
        <f t="shared" si="99"/>
        <v>Distributor</v>
      </c>
      <c r="S320" t="s">
        <v>715</v>
      </c>
      <c r="T320" t="str">
        <f t="shared" si="112"/>
        <v>G. Dubois</v>
      </c>
      <c r="U320" t="s">
        <v>733</v>
      </c>
      <c r="V320" t="str">
        <f t="shared" si="100"/>
        <v>High</v>
      </c>
      <c r="W320" t="s">
        <v>1184</v>
      </c>
      <c r="X320" t="str">
        <f t="shared" si="101"/>
        <v>B</v>
      </c>
      <c r="Y320" s="5">
        <v>873.06</v>
      </c>
      <c r="Z320" s="5">
        <v>2101.5500000000002</v>
      </c>
      <c r="AA320" s="5">
        <f t="shared" si="102"/>
        <v>2101.5500000000002</v>
      </c>
      <c r="AB320" s="7">
        <v>6.6000000000000003E-2</v>
      </c>
      <c r="AC320" s="7">
        <f t="shared" si="103"/>
        <v>6.6000000000000003E-2</v>
      </c>
      <c r="AD320" s="16">
        <f t="shared" si="104"/>
        <v>0</v>
      </c>
      <c r="AE320" s="16">
        <v>10</v>
      </c>
      <c r="AF320" s="5">
        <f t="shared" si="105"/>
        <v>19628.476999999999</v>
      </c>
      <c r="AG320">
        <f t="shared" si="106"/>
        <v>8730.5999999999985</v>
      </c>
      <c r="AH320" s="5">
        <f t="shared" si="107"/>
        <v>10897.877</v>
      </c>
      <c r="AI320" s="5">
        <f t="shared" si="108"/>
        <v>0.55520746719167269</v>
      </c>
      <c r="AJ320" s="5">
        <f t="shared" si="111"/>
        <v>8978346.8943800032</v>
      </c>
      <c r="AK320" s="7">
        <f t="shared" si="109"/>
        <v>0.82025737853966918</v>
      </c>
      <c r="AL320" s="17">
        <f>MIN(AC320,'What-If Analysis'!$B$2)</f>
        <v>6.6000000000000003E-2</v>
      </c>
      <c r="AM320">
        <f>AE320*(1+'What-If Analysis'!$B$3)</f>
        <v>13</v>
      </c>
      <c r="AN320">
        <f>Y320*(1+'What-If Analysis'!$B$4)</f>
        <v>960.36599999999999</v>
      </c>
      <c r="AO320">
        <f t="shared" si="110"/>
        <v>25517.020100000002</v>
      </c>
    </row>
    <row r="321" spans="1:41" x14ac:dyDescent="0.3">
      <c r="A321" t="s">
        <v>524</v>
      </c>
      <c r="B321" s="3">
        <v>45056</v>
      </c>
      <c r="C321" s="3">
        <f t="shared" si="91"/>
        <v>45056</v>
      </c>
      <c r="D321" s="3">
        <v>45060</v>
      </c>
      <c r="E321" s="3">
        <f t="shared" si="92"/>
        <v>45060</v>
      </c>
      <c r="F321" s="16">
        <f t="shared" si="93"/>
        <v>4</v>
      </c>
      <c r="G321" s="16">
        <f>IF(Data!F380&lt;=7,1,0)</f>
        <v>0</v>
      </c>
      <c r="H321" s="5" t="str">
        <f t="shared" si="94"/>
        <v>05-2023</v>
      </c>
      <c r="I321" s="5" t="str">
        <f t="shared" si="95"/>
        <v>Q2-2023</v>
      </c>
      <c r="J321" s="3">
        <f t="shared" si="96"/>
        <v>44955</v>
      </c>
      <c r="K321" s="5" t="str">
        <f t="shared" si="97"/>
        <v>01-2023</v>
      </c>
      <c r="L321" t="s">
        <v>647</v>
      </c>
      <c r="M321" t="s">
        <v>654</v>
      </c>
      <c r="N321" t="s">
        <v>680</v>
      </c>
      <c r="O321" t="str">
        <f t="shared" si="98"/>
        <v>Delhi</v>
      </c>
      <c r="P321" t="s">
        <v>703</v>
      </c>
      <c r="Q321" t="s">
        <v>710</v>
      </c>
      <c r="R321" t="str">
        <f t="shared" si="99"/>
        <v>Distributor</v>
      </c>
      <c r="S321" t="s">
        <v>712</v>
      </c>
      <c r="T321" t="str">
        <f t="shared" si="112"/>
        <v>C. Otieno</v>
      </c>
      <c r="U321" t="s">
        <v>732</v>
      </c>
      <c r="V321" t="str">
        <f t="shared" si="100"/>
        <v>Medium</v>
      </c>
      <c r="W321" t="s">
        <v>1243</v>
      </c>
      <c r="X321" t="str">
        <f t="shared" si="101"/>
        <v>B</v>
      </c>
      <c r="Y321" s="5">
        <v>622.6</v>
      </c>
      <c r="Z321" s="5">
        <v>833.69</v>
      </c>
      <c r="AA321" s="5">
        <f t="shared" si="102"/>
        <v>833.69</v>
      </c>
      <c r="AB321" s="7">
        <v>0.20899999999999999</v>
      </c>
      <c r="AC321" s="7">
        <f t="shared" si="103"/>
        <v>0.20899999999999999</v>
      </c>
      <c r="AD321" s="16">
        <f t="shared" si="104"/>
        <v>1</v>
      </c>
      <c r="AE321" s="16">
        <v>14</v>
      </c>
      <c r="AF321" s="5">
        <f t="shared" si="105"/>
        <v>9232.2830599999998</v>
      </c>
      <c r="AG321">
        <f t="shared" si="106"/>
        <v>8716.4</v>
      </c>
      <c r="AH321" s="5">
        <f t="shared" si="107"/>
        <v>515.88306000000011</v>
      </c>
      <c r="AI321" s="5">
        <f t="shared" si="108"/>
        <v>5.5878167582959715E-2</v>
      </c>
      <c r="AJ321" s="5">
        <f t="shared" si="111"/>
        <v>8987579.1774400026</v>
      </c>
      <c r="AK321" s="7">
        <f t="shared" si="109"/>
        <v>0.82110083540203116</v>
      </c>
      <c r="AL321" s="17">
        <f>MIN(AC321,'What-If Analysis'!$B$2)</f>
        <v>0.2</v>
      </c>
      <c r="AM321">
        <f>AE321*(1+'What-If Analysis'!$B$3)</f>
        <v>18.2</v>
      </c>
      <c r="AN321">
        <f>Y321*(1+'What-If Analysis'!$B$4)</f>
        <v>684.86000000000013</v>
      </c>
      <c r="AO321">
        <f t="shared" si="110"/>
        <v>12138.526400000002</v>
      </c>
    </row>
    <row r="322" spans="1:41" x14ac:dyDescent="0.3">
      <c r="A322" t="s">
        <v>549</v>
      </c>
      <c r="B322" s="3">
        <v>45667</v>
      </c>
      <c r="C322" s="3">
        <f t="shared" ref="C322:C385" si="113">IF(D322&lt;B322,D322,B322)</f>
        <v>45667</v>
      </c>
      <c r="D322" s="3">
        <v>45694</v>
      </c>
      <c r="E322" s="3">
        <f t="shared" ref="E322:E385" si="114">IF(D322&lt;B322,B322,D322)</f>
        <v>45694</v>
      </c>
      <c r="F322" s="16">
        <f t="shared" ref="F322:F385" si="115">E322-C322</f>
        <v>27</v>
      </c>
      <c r="G322" s="16">
        <f>IF(Data!F261&lt;=7,1,0)</f>
        <v>0</v>
      </c>
      <c r="H322" s="5" t="str">
        <f t="shared" ref="H322:H385" si="116">TEXT(C322,"MM-YYYY")</f>
        <v>01-2025</v>
      </c>
      <c r="I322" s="5" t="str">
        <f t="shared" ref="I322:I385" si="117">"Q"&amp;ROUNDUP(MONTH(H322)/3,0)&amp;"-"&amp;YEAR(H322)</f>
        <v>Q1-2025</v>
      </c>
      <c r="J322" s="3">
        <f t="shared" ref="J322:J385" si="118">_xlfn.MINIFS(C:C,M:M,M322)</f>
        <v>44955</v>
      </c>
      <c r="K322" s="5" t="str">
        <f t="shared" ref="K322:K385" si="119">TEXT(J322,"MM-YYYY")</f>
        <v>01-2023</v>
      </c>
      <c r="L322" t="s">
        <v>648</v>
      </c>
      <c r="M322" t="s">
        <v>655</v>
      </c>
      <c r="N322" t="s">
        <v>672</v>
      </c>
      <c r="O322" t="str">
        <f t="shared" ref="O322:O385" si="120">IF(N322="",_xlfn.XLOOKUP(M322,M:M,N:N),N322)</f>
        <v>Brasília</v>
      </c>
      <c r="P322" t="s">
        <v>703</v>
      </c>
      <c r="Q322" t="s">
        <v>707</v>
      </c>
      <c r="R322" t="str">
        <f t="shared" ref="R322:R385" si="121">IF(Q322="",_xlfn.XLOOKUP(M322,M:M,Q:Q),Q322)</f>
        <v>Retail</v>
      </c>
      <c r="S322" t="s">
        <v>717</v>
      </c>
      <c r="T322" t="str">
        <f t="shared" si="112"/>
        <v>B. Chen</v>
      </c>
      <c r="U322" t="s">
        <v>731</v>
      </c>
      <c r="V322" t="str">
        <f t="shared" ref="V322:V385" si="122">IF(AA322&lt;815.0987,"Low",IF(AA322&lt;1640.058,"Medium","High"))</f>
        <v>Medium</v>
      </c>
      <c r="W322" t="s">
        <v>1268</v>
      </c>
      <c r="X322" t="str">
        <f t="shared" ref="X322:X385" si="123">IF(AK322&lt;=80%,"A",IF(AK322&lt;=95%,"B","C"))</f>
        <v>B</v>
      </c>
      <c r="Y322" s="5">
        <v>725.62</v>
      </c>
      <c r="Z322" s="5">
        <v>1559.19</v>
      </c>
      <c r="AA322" s="5">
        <f t="shared" ref="AA322:AA385" si="124">ABS(Z322)</f>
        <v>1559.19</v>
      </c>
      <c r="AB322" s="7">
        <v>0.19</v>
      </c>
      <c r="AC322" s="7">
        <f t="shared" ref="AC322:AC385" si="125">MIN(AB322,30%)</f>
        <v>0.19</v>
      </c>
      <c r="AD322" s="16">
        <f t="shared" ref="AD322:AD385" si="126">IF(AC322&gt;20%,1,0)</f>
        <v>0</v>
      </c>
      <c r="AE322" s="16">
        <v>12</v>
      </c>
      <c r="AF322" s="5">
        <f t="shared" ref="AF322:AF385" si="127">AA322*AE322*(1-AC322)</f>
        <v>15155.326800000001</v>
      </c>
      <c r="AG322">
        <f t="shared" ref="AG322:AG385" si="128">Y322*AE322</f>
        <v>8707.44</v>
      </c>
      <c r="AH322" s="5">
        <f t="shared" ref="AH322:AH385" si="129">ABS(AF322-AG322)</f>
        <v>6447.8868000000002</v>
      </c>
      <c r="AI322" s="5">
        <f t="shared" ref="AI322:AI385" si="130">IF(AF322=0,0,AH322/AF322)</f>
        <v>0.42545349797405885</v>
      </c>
      <c r="AJ322" s="5">
        <f t="shared" si="111"/>
        <v>9002734.5042400025</v>
      </c>
      <c r="AK322" s="7">
        <f t="shared" ref="AK322:AK385" si="131">AJ322/SUM(AF:AF)</f>
        <v>0.82248541864192148</v>
      </c>
      <c r="AL322" s="17">
        <f>MIN(AC322,'What-If Analysis'!$B$2)</f>
        <v>0.19</v>
      </c>
      <c r="AM322">
        <f>AE322*(1+'What-If Analysis'!$B$3)</f>
        <v>15.600000000000001</v>
      </c>
      <c r="AN322">
        <f>Y322*(1+'What-If Analysis'!$B$4)</f>
        <v>798.18200000000002</v>
      </c>
      <c r="AO322">
        <f t="shared" ref="AO322:AO385" si="132">AA322*AM322*(1-AL322)</f>
        <v>19701.924840000003</v>
      </c>
    </row>
    <row r="323" spans="1:41" x14ac:dyDescent="0.3">
      <c r="A323" t="s">
        <v>169</v>
      </c>
      <c r="B323" s="3">
        <v>45230</v>
      </c>
      <c r="C323" s="3">
        <f t="shared" si="113"/>
        <v>45230</v>
      </c>
      <c r="D323" s="3">
        <v>45232</v>
      </c>
      <c r="E323" s="3">
        <f t="shared" si="114"/>
        <v>45232</v>
      </c>
      <c r="F323" s="16">
        <f t="shared" si="115"/>
        <v>2</v>
      </c>
      <c r="G323" s="16">
        <f>IF(Data!F335&lt;=7,1,0)</f>
        <v>0</v>
      </c>
      <c r="H323" s="5" t="str">
        <f t="shared" si="116"/>
        <v>10-2023</v>
      </c>
      <c r="I323" s="5" t="str">
        <f t="shared" si="117"/>
        <v>Q4-2023</v>
      </c>
      <c r="J323" s="3">
        <f t="shared" si="118"/>
        <v>44946</v>
      </c>
      <c r="K323" s="5" t="str">
        <f t="shared" si="119"/>
        <v>01-2023</v>
      </c>
      <c r="L323" t="s">
        <v>646</v>
      </c>
      <c r="M323" t="s">
        <v>650</v>
      </c>
      <c r="N323" t="s">
        <v>662</v>
      </c>
      <c r="O323" t="str">
        <f t="shared" si="120"/>
        <v>Kisumu</v>
      </c>
      <c r="P323" t="s">
        <v>702</v>
      </c>
      <c r="Q323" t="s">
        <v>707</v>
      </c>
      <c r="R323" t="str">
        <f t="shared" si="121"/>
        <v>Retail</v>
      </c>
      <c r="S323" t="s">
        <v>719</v>
      </c>
      <c r="T323" t="str">
        <f t="shared" si="112"/>
        <v>O. Wang</v>
      </c>
      <c r="U323" t="s">
        <v>733</v>
      </c>
      <c r="V323" t="str">
        <f t="shared" si="122"/>
        <v>Medium</v>
      </c>
      <c r="W323" t="s">
        <v>888</v>
      </c>
      <c r="X323" t="str">
        <f t="shared" si="123"/>
        <v>B</v>
      </c>
      <c r="Y323" s="5">
        <v>867.89</v>
      </c>
      <c r="Z323" s="5">
        <v>1349.94</v>
      </c>
      <c r="AA323" s="5">
        <f t="shared" si="124"/>
        <v>1349.94</v>
      </c>
      <c r="AB323" s="7">
        <v>0.184</v>
      </c>
      <c r="AC323" s="7">
        <f t="shared" si="125"/>
        <v>0.184</v>
      </c>
      <c r="AD323" s="16">
        <f t="shared" si="126"/>
        <v>0</v>
      </c>
      <c r="AE323" s="16">
        <v>10</v>
      </c>
      <c r="AF323" s="5">
        <f t="shared" si="127"/>
        <v>11015.510400000003</v>
      </c>
      <c r="AG323">
        <f t="shared" si="128"/>
        <v>8678.9</v>
      </c>
      <c r="AH323" s="5">
        <f t="shared" si="129"/>
        <v>2336.6104000000032</v>
      </c>
      <c r="AI323" s="5">
        <f t="shared" si="130"/>
        <v>0.21212003031652557</v>
      </c>
      <c r="AJ323" s="5">
        <f t="shared" ref="AJ323:AJ386" si="133">AJ322+AF323</f>
        <v>9013750.0146400016</v>
      </c>
      <c r="AK323" s="7">
        <f t="shared" si="131"/>
        <v>0.8234917902814084</v>
      </c>
      <c r="AL323" s="17">
        <f>MIN(AC323,'What-If Analysis'!$B$2)</f>
        <v>0.184</v>
      </c>
      <c r="AM323">
        <f>AE323*(1+'What-If Analysis'!$B$3)</f>
        <v>13</v>
      </c>
      <c r="AN323">
        <f>Y323*(1+'What-If Analysis'!$B$4)</f>
        <v>954.67900000000009</v>
      </c>
      <c r="AO323">
        <f t="shared" si="132"/>
        <v>14320.163520000002</v>
      </c>
    </row>
    <row r="324" spans="1:41" x14ac:dyDescent="0.3">
      <c r="A324" t="s">
        <v>637</v>
      </c>
      <c r="B324" s="3">
        <v>45857</v>
      </c>
      <c r="C324" s="3">
        <f t="shared" si="113"/>
        <v>45857</v>
      </c>
      <c r="D324" s="3">
        <v>45869</v>
      </c>
      <c r="E324" s="3">
        <f t="shared" si="114"/>
        <v>45869</v>
      </c>
      <c r="F324" s="16">
        <f t="shared" si="115"/>
        <v>12</v>
      </c>
      <c r="G324" s="16">
        <f>IF(Data!F346&lt;=7,1,0)</f>
        <v>0</v>
      </c>
      <c r="H324" s="5" t="str">
        <f t="shared" si="116"/>
        <v>07-2025</v>
      </c>
      <c r="I324" s="5" t="str">
        <f t="shared" si="117"/>
        <v>Q3-2025</v>
      </c>
      <c r="J324" s="3">
        <f t="shared" si="118"/>
        <v>44946</v>
      </c>
      <c r="K324" s="5" t="str">
        <f t="shared" si="119"/>
        <v>01-2023</v>
      </c>
      <c r="L324" t="s">
        <v>646</v>
      </c>
      <c r="M324" t="s">
        <v>650</v>
      </c>
      <c r="N324" t="s">
        <v>664</v>
      </c>
      <c r="O324" t="str">
        <f t="shared" si="120"/>
        <v>Nairobi</v>
      </c>
      <c r="P324" t="s">
        <v>705</v>
      </c>
      <c r="Q324" t="s">
        <v>709</v>
      </c>
      <c r="R324" t="str">
        <f t="shared" si="121"/>
        <v>Marketplace</v>
      </c>
      <c r="S324" t="s">
        <v>719</v>
      </c>
      <c r="T324" t="str">
        <f t="shared" si="112"/>
        <v>O. Wang</v>
      </c>
      <c r="U324" t="s">
        <v>733</v>
      </c>
      <c r="V324" t="str">
        <f t="shared" si="122"/>
        <v>Medium</v>
      </c>
      <c r="W324" t="s">
        <v>1355</v>
      </c>
      <c r="X324" t="str">
        <f t="shared" si="123"/>
        <v>B</v>
      </c>
      <c r="Y324" s="5">
        <v>619.64</v>
      </c>
      <c r="Z324" s="5">
        <v>861.16</v>
      </c>
      <c r="AA324" s="5">
        <f t="shared" si="124"/>
        <v>861.16</v>
      </c>
      <c r="AB324" s="7">
        <v>0.113</v>
      </c>
      <c r="AC324" s="7">
        <f t="shared" si="125"/>
        <v>0.113</v>
      </c>
      <c r="AD324" s="16">
        <f t="shared" si="126"/>
        <v>0</v>
      </c>
      <c r="AE324" s="16">
        <v>14</v>
      </c>
      <c r="AF324" s="5">
        <f t="shared" si="127"/>
        <v>10693.88488</v>
      </c>
      <c r="AG324">
        <f t="shared" si="128"/>
        <v>8674.9599999999991</v>
      </c>
      <c r="AH324" s="5">
        <f t="shared" si="129"/>
        <v>2018.9248800000005</v>
      </c>
      <c r="AI324" s="5">
        <f t="shared" si="130"/>
        <v>0.18879246435276761</v>
      </c>
      <c r="AJ324" s="5">
        <f t="shared" si="133"/>
        <v>9024443.8995200023</v>
      </c>
      <c r="AK324" s="7">
        <f t="shared" si="131"/>
        <v>0.82446877837078214</v>
      </c>
      <c r="AL324" s="17">
        <f>MIN(AC324,'What-If Analysis'!$B$2)</f>
        <v>0.113</v>
      </c>
      <c r="AM324">
        <f>AE324*(1+'What-If Analysis'!$B$3)</f>
        <v>18.2</v>
      </c>
      <c r="AN324">
        <f>Y324*(1+'What-If Analysis'!$B$4)</f>
        <v>681.60400000000004</v>
      </c>
      <c r="AO324">
        <f t="shared" si="132"/>
        <v>13902.050343999999</v>
      </c>
    </row>
    <row r="325" spans="1:41" x14ac:dyDescent="0.3">
      <c r="A325" t="s">
        <v>541</v>
      </c>
      <c r="B325" s="3">
        <v>44938</v>
      </c>
      <c r="C325" s="3">
        <f t="shared" si="113"/>
        <v>44938</v>
      </c>
      <c r="D325" s="3">
        <v>44952</v>
      </c>
      <c r="E325" s="3">
        <f t="shared" si="114"/>
        <v>44952</v>
      </c>
      <c r="F325" s="16">
        <f t="shared" si="115"/>
        <v>14</v>
      </c>
      <c r="G325" s="16">
        <f>IF(Data!F330&lt;=7,1,0)</f>
        <v>0</v>
      </c>
      <c r="H325" s="5" t="str">
        <f t="shared" si="116"/>
        <v>01-2023</v>
      </c>
      <c r="I325" s="5" t="str">
        <f t="shared" si="117"/>
        <v>Q1-2023</v>
      </c>
      <c r="J325" s="3">
        <f t="shared" si="118"/>
        <v>44938</v>
      </c>
      <c r="K325" s="5" t="str">
        <f t="shared" si="119"/>
        <v>01-2023</v>
      </c>
      <c r="L325" t="s">
        <v>647</v>
      </c>
      <c r="M325" t="s">
        <v>659</v>
      </c>
      <c r="N325" t="s">
        <v>676</v>
      </c>
      <c r="O325" t="str">
        <f t="shared" si="120"/>
        <v>Shenzhen</v>
      </c>
      <c r="P325" t="s">
        <v>703</v>
      </c>
      <c r="Q325" t="s">
        <v>707</v>
      </c>
      <c r="R325" t="str">
        <f t="shared" si="121"/>
        <v>Retail</v>
      </c>
      <c r="S325" t="s">
        <v>724</v>
      </c>
      <c r="T325" t="str">
        <f t="shared" si="112"/>
        <v>M. Rossi</v>
      </c>
      <c r="U325" t="s">
        <v>728</v>
      </c>
      <c r="V325" t="str">
        <f t="shared" si="122"/>
        <v>Medium</v>
      </c>
      <c r="W325" t="s">
        <v>1260</v>
      </c>
      <c r="X325" t="str">
        <f t="shared" si="123"/>
        <v>B</v>
      </c>
      <c r="Y325" s="5">
        <v>1083.0899999999999</v>
      </c>
      <c r="Z325" s="5">
        <v>1425.87</v>
      </c>
      <c r="AA325" s="5">
        <f t="shared" si="124"/>
        <v>1425.87</v>
      </c>
      <c r="AB325" s="7">
        <v>0</v>
      </c>
      <c r="AC325" s="7">
        <f t="shared" si="125"/>
        <v>0</v>
      </c>
      <c r="AD325" s="16">
        <f t="shared" si="126"/>
        <v>0</v>
      </c>
      <c r="AE325" s="16">
        <v>8</v>
      </c>
      <c r="AF325" s="5">
        <f t="shared" si="127"/>
        <v>11406.96</v>
      </c>
      <c r="AG325">
        <f t="shared" si="128"/>
        <v>8664.7199999999993</v>
      </c>
      <c r="AH325" s="5">
        <f t="shared" si="129"/>
        <v>2742.24</v>
      </c>
      <c r="AI325" s="5">
        <f t="shared" si="130"/>
        <v>0.24040059752992909</v>
      </c>
      <c r="AJ325" s="5">
        <f t="shared" si="133"/>
        <v>9035850.8595200032</v>
      </c>
      <c r="AK325" s="7">
        <f t="shared" si="131"/>
        <v>0.82551091265416165</v>
      </c>
      <c r="AL325" s="17">
        <f>MIN(AC325,'What-If Analysis'!$B$2)</f>
        <v>0</v>
      </c>
      <c r="AM325">
        <f>AE325*(1+'What-If Analysis'!$B$3)</f>
        <v>10.4</v>
      </c>
      <c r="AN325">
        <f>Y325*(1+'What-If Analysis'!$B$4)</f>
        <v>1191.3990000000001</v>
      </c>
      <c r="AO325">
        <f t="shared" si="132"/>
        <v>14829.047999999999</v>
      </c>
    </row>
    <row r="326" spans="1:41" x14ac:dyDescent="0.3">
      <c r="A326" t="s">
        <v>373</v>
      </c>
      <c r="B326" s="3">
        <v>45309</v>
      </c>
      <c r="C326" s="3">
        <f t="shared" si="113"/>
        <v>45309</v>
      </c>
      <c r="D326" s="3">
        <v>45325</v>
      </c>
      <c r="E326" s="3">
        <f t="shared" si="114"/>
        <v>45325</v>
      </c>
      <c r="F326" s="16">
        <f t="shared" si="115"/>
        <v>16</v>
      </c>
      <c r="G326" s="16">
        <f>IF(Data!F267&lt;=7,1,0)</f>
        <v>0</v>
      </c>
      <c r="H326" s="5" t="str">
        <f t="shared" si="116"/>
        <v>01-2024</v>
      </c>
      <c r="I326" s="5" t="str">
        <f t="shared" si="117"/>
        <v>Q1-2024</v>
      </c>
      <c r="J326" s="3">
        <f t="shared" si="118"/>
        <v>44933</v>
      </c>
      <c r="K326" s="5" t="str">
        <f t="shared" si="119"/>
        <v>01-2023</v>
      </c>
      <c r="L326" t="s">
        <v>646</v>
      </c>
      <c r="M326" t="s">
        <v>661</v>
      </c>
      <c r="N326" t="s">
        <v>695</v>
      </c>
      <c r="O326" t="str">
        <f t="shared" si="120"/>
        <v>Cape Town</v>
      </c>
      <c r="P326" t="s">
        <v>703</v>
      </c>
      <c r="Q326" t="s">
        <v>710</v>
      </c>
      <c r="R326" t="str">
        <f t="shared" si="121"/>
        <v>Distributor</v>
      </c>
      <c r="S326" t="s">
        <v>716</v>
      </c>
      <c r="T326" t="str">
        <f t="shared" si="112"/>
        <v>L. Okafor</v>
      </c>
      <c r="U326" t="s">
        <v>728</v>
      </c>
      <c r="V326" t="str">
        <f t="shared" si="122"/>
        <v>Medium</v>
      </c>
      <c r="W326" t="s">
        <v>1093</v>
      </c>
      <c r="X326" t="str">
        <f t="shared" si="123"/>
        <v>B</v>
      </c>
      <c r="Y326" s="5">
        <v>666.23</v>
      </c>
      <c r="Z326" s="5">
        <v>1382.91</v>
      </c>
      <c r="AA326" s="5">
        <f t="shared" si="124"/>
        <v>1382.91</v>
      </c>
      <c r="AB326" s="7">
        <v>0.17599999999999999</v>
      </c>
      <c r="AC326" s="7">
        <f t="shared" si="125"/>
        <v>0.17599999999999999</v>
      </c>
      <c r="AD326" s="16">
        <f t="shared" si="126"/>
        <v>0</v>
      </c>
      <c r="AE326" s="16">
        <v>13</v>
      </c>
      <c r="AF326" s="5">
        <f t="shared" si="127"/>
        <v>14813.731920000002</v>
      </c>
      <c r="AG326">
        <f t="shared" si="128"/>
        <v>8660.99</v>
      </c>
      <c r="AH326" s="5">
        <f t="shared" si="129"/>
        <v>6152.7419200000022</v>
      </c>
      <c r="AI326" s="5">
        <f t="shared" si="130"/>
        <v>0.41534043907553048</v>
      </c>
      <c r="AJ326" s="5">
        <f t="shared" si="133"/>
        <v>9050664.5914400034</v>
      </c>
      <c r="AK326" s="7">
        <f t="shared" si="131"/>
        <v>0.82686428795298139</v>
      </c>
      <c r="AL326" s="17">
        <f>MIN(AC326,'What-If Analysis'!$B$2)</f>
        <v>0.17599999999999999</v>
      </c>
      <c r="AM326">
        <f>AE326*(1+'What-If Analysis'!$B$3)</f>
        <v>16.900000000000002</v>
      </c>
      <c r="AN326">
        <f>Y326*(1+'What-If Analysis'!$B$4)</f>
        <v>732.85300000000007</v>
      </c>
      <c r="AO326">
        <f t="shared" si="132"/>
        <v>19257.851496000003</v>
      </c>
    </row>
    <row r="327" spans="1:41" x14ac:dyDescent="0.3">
      <c r="A327" t="s">
        <v>513</v>
      </c>
      <c r="B327" s="3">
        <v>45908</v>
      </c>
      <c r="C327" s="3">
        <f t="shared" si="113"/>
        <v>45908</v>
      </c>
      <c r="D327" s="3">
        <v>45935</v>
      </c>
      <c r="E327" s="3">
        <f t="shared" si="114"/>
        <v>45935</v>
      </c>
      <c r="F327" s="16">
        <f t="shared" si="115"/>
        <v>27</v>
      </c>
      <c r="G327" s="16">
        <f>IF(Data!F237&lt;=7,1,0)</f>
        <v>1</v>
      </c>
      <c r="H327" s="5" t="str">
        <f t="shared" si="116"/>
        <v>09-2025</v>
      </c>
      <c r="I327" s="5" t="str">
        <f t="shared" si="117"/>
        <v>Q3-2025</v>
      </c>
      <c r="J327" s="3">
        <f t="shared" si="118"/>
        <v>44955</v>
      </c>
      <c r="K327" s="5" t="str">
        <f t="shared" si="119"/>
        <v>01-2023</v>
      </c>
      <c r="L327" t="s">
        <v>648</v>
      </c>
      <c r="M327" t="s">
        <v>655</v>
      </c>
      <c r="N327" t="s">
        <v>692</v>
      </c>
      <c r="O327" t="str">
        <f t="shared" si="120"/>
        <v>Rio de Janeiro</v>
      </c>
      <c r="P327" t="s">
        <v>702</v>
      </c>
      <c r="Q327" t="s">
        <v>708</v>
      </c>
      <c r="R327" t="str">
        <f t="shared" si="121"/>
        <v>Online</v>
      </c>
      <c r="S327" t="s">
        <v>712</v>
      </c>
      <c r="T327" t="str">
        <f t="shared" si="112"/>
        <v>C. Otieno</v>
      </c>
      <c r="U327" t="s">
        <v>732</v>
      </c>
      <c r="V327" t="str">
        <f t="shared" si="122"/>
        <v>Medium</v>
      </c>
      <c r="W327" t="s">
        <v>1232</v>
      </c>
      <c r="X327" t="str">
        <f t="shared" si="123"/>
        <v>B</v>
      </c>
      <c r="Y327" s="5">
        <v>660.78</v>
      </c>
      <c r="Z327" s="5">
        <v>1630.39</v>
      </c>
      <c r="AA327" s="5">
        <f t="shared" si="124"/>
        <v>1630.39</v>
      </c>
      <c r="AB327" s="7">
        <v>0.218</v>
      </c>
      <c r="AC327" s="7">
        <f t="shared" si="125"/>
        <v>0.218</v>
      </c>
      <c r="AD327" s="16">
        <f t="shared" si="126"/>
        <v>1</v>
      </c>
      <c r="AE327" s="16">
        <v>13</v>
      </c>
      <c r="AF327" s="5">
        <f t="shared" si="127"/>
        <v>16574.544740000001</v>
      </c>
      <c r="AG327">
        <f t="shared" si="128"/>
        <v>8590.14</v>
      </c>
      <c r="AH327" s="5">
        <f t="shared" si="129"/>
        <v>7984.4047400000018</v>
      </c>
      <c r="AI327" s="5">
        <f t="shared" si="130"/>
        <v>0.48172694123724097</v>
      </c>
      <c r="AJ327" s="5">
        <f t="shared" si="133"/>
        <v>9067239.1361800041</v>
      </c>
      <c r="AK327" s="7">
        <f t="shared" si="131"/>
        <v>0.82837853024934793</v>
      </c>
      <c r="AL327" s="17">
        <f>MIN(AC327,'What-If Analysis'!$B$2)</f>
        <v>0.2</v>
      </c>
      <c r="AM327">
        <f>AE327*(1+'What-If Analysis'!$B$3)</f>
        <v>16.900000000000002</v>
      </c>
      <c r="AN327">
        <f>Y327*(1+'What-If Analysis'!$B$4)</f>
        <v>726.85800000000006</v>
      </c>
      <c r="AO327">
        <f t="shared" si="132"/>
        <v>22042.872800000005</v>
      </c>
    </row>
    <row r="328" spans="1:41" x14ac:dyDescent="0.3">
      <c r="A328" t="s">
        <v>471</v>
      </c>
      <c r="B328" s="3">
        <v>45048</v>
      </c>
      <c r="C328" s="3">
        <f t="shared" si="113"/>
        <v>45048</v>
      </c>
      <c r="D328" s="3">
        <v>45065</v>
      </c>
      <c r="E328" s="3">
        <f t="shared" si="114"/>
        <v>45065</v>
      </c>
      <c r="F328" s="16">
        <f t="shared" si="115"/>
        <v>17</v>
      </c>
      <c r="G328" s="16">
        <f>IF(Data!F415&lt;=7,1,0)</f>
        <v>0</v>
      </c>
      <c r="H328" s="5" t="str">
        <f t="shared" si="116"/>
        <v>05-2023</v>
      </c>
      <c r="I328" s="5" t="str">
        <f t="shared" si="117"/>
        <v>Q2-2023</v>
      </c>
      <c r="J328" s="3">
        <f t="shared" si="118"/>
        <v>44938</v>
      </c>
      <c r="K328" s="5" t="str">
        <f t="shared" si="119"/>
        <v>01-2023</v>
      </c>
      <c r="L328" t="s">
        <v>647</v>
      </c>
      <c r="M328" t="s">
        <v>659</v>
      </c>
      <c r="N328" t="s">
        <v>685</v>
      </c>
      <c r="O328" t="str">
        <f t="shared" si="120"/>
        <v>Shanghai</v>
      </c>
      <c r="P328" t="s">
        <v>703</v>
      </c>
      <c r="Q328" t="s">
        <v>711</v>
      </c>
      <c r="R328" t="str">
        <f t="shared" si="121"/>
        <v>Direct</v>
      </c>
      <c r="S328" t="s">
        <v>713</v>
      </c>
      <c r="T328" t="str">
        <f t="shared" si="112"/>
        <v>J. Njeri</v>
      </c>
      <c r="U328" t="s">
        <v>732</v>
      </c>
      <c r="V328" t="str">
        <f t="shared" si="122"/>
        <v>Low</v>
      </c>
      <c r="W328" t="s">
        <v>1190</v>
      </c>
      <c r="X328" t="str">
        <f t="shared" si="123"/>
        <v>B</v>
      </c>
      <c r="Y328" s="5">
        <v>714.28</v>
      </c>
      <c r="Z328" s="5">
        <v>757.59</v>
      </c>
      <c r="AA328" s="5">
        <f t="shared" si="124"/>
        <v>757.59</v>
      </c>
      <c r="AB328" s="7">
        <v>0.13600000000000001</v>
      </c>
      <c r="AC328" s="7">
        <f t="shared" si="125"/>
        <v>0.13600000000000001</v>
      </c>
      <c r="AD328" s="16">
        <f t="shared" si="126"/>
        <v>0</v>
      </c>
      <c r="AE328" s="16">
        <v>12</v>
      </c>
      <c r="AF328" s="5">
        <f t="shared" si="127"/>
        <v>7854.6931199999999</v>
      </c>
      <c r="AG328">
        <f t="shared" si="128"/>
        <v>8571.36</v>
      </c>
      <c r="AH328" s="5">
        <f t="shared" si="129"/>
        <v>716.66688000000067</v>
      </c>
      <c r="AI328" s="5">
        <f t="shared" si="130"/>
        <v>9.1240595787910383E-2</v>
      </c>
      <c r="AJ328" s="5">
        <f t="shared" si="133"/>
        <v>9075093.829300005</v>
      </c>
      <c r="AK328" s="7">
        <f t="shared" si="131"/>
        <v>0.82909613116894243</v>
      </c>
      <c r="AL328" s="17">
        <f>MIN(AC328,'What-If Analysis'!$B$2)</f>
        <v>0.13600000000000001</v>
      </c>
      <c r="AM328">
        <f>AE328*(1+'What-If Analysis'!$B$3)</f>
        <v>15.600000000000001</v>
      </c>
      <c r="AN328">
        <f>Y328*(1+'What-If Analysis'!$B$4)</f>
        <v>785.70800000000008</v>
      </c>
      <c r="AO328">
        <f t="shared" si="132"/>
        <v>10211.101056000001</v>
      </c>
    </row>
    <row r="329" spans="1:41" x14ac:dyDescent="0.3">
      <c r="A329" t="s">
        <v>191</v>
      </c>
      <c r="B329" s="3">
        <v>45165</v>
      </c>
      <c r="C329" s="3">
        <f t="shared" si="113"/>
        <v>45165</v>
      </c>
      <c r="D329" s="3">
        <v>45180</v>
      </c>
      <c r="E329" s="3">
        <f t="shared" si="114"/>
        <v>45180</v>
      </c>
      <c r="F329" s="16">
        <f t="shared" si="115"/>
        <v>15</v>
      </c>
      <c r="G329" s="16">
        <f>IF(Data!F251&lt;=7,1,0)</f>
        <v>0</v>
      </c>
      <c r="H329" s="5" t="str">
        <f t="shared" si="116"/>
        <v>08-2023</v>
      </c>
      <c r="I329" s="5" t="str">
        <f t="shared" si="117"/>
        <v>Q3-2023</v>
      </c>
      <c r="J329" s="3">
        <f t="shared" si="118"/>
        <v>44945</v>
      </c>
      <c r="K329" s="5" t="str">
        <f t="shared" si="119"/>
        <v>01-2023</v>
      </c>
      <c r="L329" t="s">
        <v>649</v>
      </c>
      <c r="M329" t="s">
        <v>658</v>
      </c>
      <c r="N329" t="s">
        <v>683</v>
      </c>
      <c r="O329" t="str">
        <f t="shared" si="120"/>
        <v>London</v>
      </c>
      <c r="P329" t="s">
        <v>704</v>
      </c>
      <c r="Q329" t="s">
        <v>709</v>
      </c>
      <c r="R329" t="str">
        <f t="shared" si="121"/>
        <v>Marketplace</v>
      </c>
      <c r="S329" t="s">
        <v>725</v>
      </c>
      <c r="T329" t="str">
        <f t="shared" si="112"/>
        <v>N. Brown</v>
      </c>
      <c r="U329" t="s">
        <v>728</v>
      </c>
      <c r="V329" t="str">
        <f t="shared" si="122"/>
        <v>High</v>
      </c>
      <c r="W329" t="s">
        <v>910</v>
      </c>
      <c r="X329" t="str">
        <f t="shared" si="123"/>
        <v>B</v>
      </c>
      <c r="Y329" s="5">
        <v>943.79</v>
      </c>
      <c r="Z329" s="5">
        <v>1913.76</v>
      </c>
      <c r="AA329" s="5">
        <f t="shared" si="124"/>
        <v>1913.76</v>
      </c>
      <c r="AB329" s="7">
        <v>9.0999999999999998E-2</v>
      </c>
      <c r="AC329" s="7">
        <f t="shared" si="125"/>
        <v>9.0999999999999998E-2</v>
      </c>
      <c r="AD329" s="16">
        <f t="shared" si="126"/>
        <v>0</v>
      </c>
      <c r="AE329" s="16">
        <v>9</v>
      </c>
      <c r="AF329" s="5">
        <f t="shared" si="127"/>
        <v>15656.47056</v>
      </c>
      <c r="AG329">
        <f t="shared" si="128"/>
        <v>8494.11</v>
      </c>
      <c r="AH329" s="5">
        <f t="shared" si="129"/>
        <v>7162.3605599999992</v>
      </c>
      <c r="AI329" s="5">
        <f t="shared" si="130"/>
        <v>0.45746967891338081</v>
      </c>
      <c r="AJ329" s="5">
        <f t="shared" si="133"/>
        <v>9090750.2998600043</v>
      </c>
      <c r="AK329" s="7">
        <f t="shared" si="131"/>
        <v>0.83052649865750172</v>
      </c>
      <c r="AL329" s="17">
        <f>MIN(AC329,'What-If Analysis'!$B$2)</f>
        <v>9.0999999999999998E-2</v>
      </c>
      <c r="AM329">
        <f>AE329*(1+'What-If Analysis'!$B$3)</f>
        <v>11.700000000000001</v>
      </c>
      <c r="AN329">
        <f>Y329*(1+'What-If Analysis'!$B$4)</f>
        <v>1038.1690000000001</v>
      </c>
      <c r="AO329">
        <f t="shared" si="132"/>
        <v>20353.411728000003</v>
      </c>
    </row>
    <row r="330" spans="1:41" x14ac:dyDescent="0.3">
      <c r="A330" t="s">
        <v>626</v>
      </c>
      <c r="B330" s="3">
        <v>45584</v>
      </c>
      <c r="C330" s="3">
        <f t="shared" si="113"/>
        <v>45584</v>
      </c>
      <c r="D330" s="3">
        <v>45602</v>
      </c>
      <c r="E330" s="3">
        <f t="shared" si="114"/>
        <v>45602</v>
      </c>
      <c r="F330" s="16">
        <f t="shared" si="115"/>
        <v>18</v>
      </c>
      <c r="G330" s="16">
        <f>IF(Data!F379&lt;=7,1,0)</f>
        <v>0</v>
      </c>
      <c r="H330" s="5" t="str">
        <f t="shared" si="116"/>
        <v>10-2024</v>
      </c>
      <c r="I330" s="5" t="str">
        <f t="shared" si="117"/>
        <v>Q4-2024</v>
      </c>
      <c r="J330" s="3">
        <f t="shared" si="118"/>
        <v>44939</v>
      </c>
      <c r="K330" s="5" t="str">
        <f t="shared" si="119"/>
        <v>01-2023</v>
      </c>
      <c r="L330" t="s">
        <v>648</v>
      </c>
      <c r="M330" t="s">
        <v>660</v>
      </c>
      <c r="N330" t="s">
        <v>677</v>
      </c>
      <c r="O330" t="str">
        <f t="shared" si="120"/>
        <v>Chicago</v>
      </c>
      <c r="P330" t="s">
        <v>702</v>
      </c>
      <c r="R330" t="str">
        <f t="shared" si="121"/>
        <v>Direct</v>
      </c>
      <c r="S330" t="s">
        <v>712</v>
      </c>
      <c r="T330" t="str">
        <f t="shared" si="112"/>
        <v>C. Otieno</v>
      </c>
      <c r="U330" t="s">
        <v>732</v>
      </c>
      <c r="V330" t="str">
        <f t="shared" si="122"/>
        <v>Medium</v>
      </c>
      <c r="W330" t="s">
        <v>1344</v>
      </c>
      <c r="X330" t="str">
        <f t="shared" si="123"/>
        <v>B</v>
      </c>
      <c r="Y330" s="5">
        <v>942.02</v>
      </c>
      <c r="Z330" s="5">
        <v>1028.46</v>
      </c>
      <c r="AA330" s="5">
        <f t="shared" si="124"/>
        <v>1028.46</v>
      </c>
      <c r="AB330" s="7">
        <v>0</v>
      </c>
      <c r="AC330" s="7">
        <f t="shared" si="125"/>
        <v>0</v>
      </c>
      <c r="AD330" s="16">
        <f t="shared" si="126"/>
        <v>0</v>
      </c>
      <c r="AE330" s="16">
        <v>9</v>
      </c>
      <c r="AF330" s="5">
        <f t="shared" si="127"/>
        <v>9256.14</v>
      </c>
      <c r="AG330">
        <f t="shared" si="128"/>
        <v>8478.18</v>
      </c>
      <c r="AH330" s="5">
        <f t="shared" si="129"/>
        <v>777.95999999999913</v>
      </c>
      <c r="AI330" s="5">
        <f t="shared" si="130"/>
        <v>8.4047994088248354E-2</v>
      </c>
      <c r="AJ330" s="5">
        <f t="shared" si="133"/>
        <v>9100006.4398600049</v>
      </c>
      <c r="AK330" s="7">
        <f t="shared" si="131"/>
        <v>0.83137213507822738</v>
      </c>
      <c r="AL330" s="17">
        <f>MIN(AC330,'What-If Analysis'!$B$2)</f>
        <v>0</v>
      </c>
      <c r="AM330">
        <f>AE330*(1+'What-If Analysis'!$B$3)</f>
        <v>11.700000000000001</v>
      </c>
      <c r="AN330">
        <f>Y330*(1+'What-If Analysis'!$B$4)</f>
        <v>1036.222</v>
      </c>
      <c r="AO330">
        <f t="shared" si="132"/>
        <v>12032.982000000002</v>
      </c>
    </row>
    <row r="331" spans="1:41" x14ac:dyDescent="0.3">
      <c r="A331" t="s">
        <v>151</v>
      </c>
      <c r="B331" s="3">
        <v>45640</v>
      </c>
      <c r="C331" s="3">
        <f t="shared" si="113"/>
        <v>45640</v>
      </c>
      <c r="D331" s="3">
        <v>45669</v>
      </c>
      <c r="E331" s="3">
        <f t="shared" si="114"/>
        <v>45669</v>
      </c>
      <c r="F331" s="16">
        <f t="shared" si="115"/>
        <v>29</v>
      </c>
      <c r="G331" s="16">
        <f>IF(Data!F371&lt;=7,1,0)</f>
        <v>0</v>
      </c>
      <c r="H331" s="5" t="str">
        <f t="shared" si="116"/>
        <v>12-2024</v>
      </c>
      <c r="I331" s="5" t="str">
        <f t="shared" si="117"/>
        <v>Q4-2024</v>
      </c>
      <c r="J331" s="3">
        <f t="shared" si="118"/>
        <v>44938</v>
      </c>
      <c r="K331" s="5" t="str">
        <f t="shared" si="119"/>
        <v>01-2023</v>
      </c>
      <c r="L331" t="s">
        <v>647</v>
      </c>
      <c r="M331" t="s">
        <v>659</v>
      </c>
      <c r="N331" t="s">
        <v>676</v>
      </c>
      <c r="O331" t="str">
        <f t="shared" si="120"/>
        <v>Shenzhen</v>
      </c>
      <c r="P331" t="s">
        <v>702</v>
      </c>
      <c r="Q331" t="s">
        <v>708</v>
      </c>
      <c r="R331" t="str">
        <f t="shared" si="121"/>
        <v>Online</v>
      </c>
      <c r="S331" t="s">
        <v>713</v>
      </c>
      <c r="T331" t="str">
        <f t="shared" si="112"/>
        <v>J. Njeri</v>
      </c>
      <c r="U331" t="s">
        <v>727</v>
      </c>
      <c r="V331" t="str">
        <f t="shared" si="122"/>
        <v>Medium</v>
      </c>
      <c r="W331" t="s">
        <v>870</v>
      </c>
      <c r="X331" t="str">
        <f t="shared" si="123"/>
        <v>B</v>
      </c>
      <c r="Y331" s="5">
        <v>1412.15</v>
      </c>
      <c r="Z331" s="5">
        <v>1631.04</v>
      </c>
      <c r="AA331" s="5">
        <f t="shared" si="124"/>
        <v>1631.04</v>
      </c>
      <c r="AB331" s="7">
        <v>8.9999999999999993E-3</v>
      </c>
      <c r="AC331" s="7">
        <f t="shared" si="125"/>
        <v>8.9999999999999993E-3</v>
      </c>
      <c r="AD331" s="16">
        <f t="shared" si="126"/>
        <v>0</v>
      </c>
      <c r="AE331" s="16">
        <v>6</v>
      </c>
      <c r="AF331" s="5">
        <f t="shared" si="127"/>
        <v>9698.1638399999993</v>
      </c>
      <c r="AG331">
        <f t="shared" si="128"/>
        <v>8472.9000000000015</v>
      </c>
      <c r="AH331" s="5">
        <f t="shared" si="129"/>
        <v>1225.2638399999978</v>
      </c>
      <c r="AI331" s="5">
        <f t="shared" si="130"/>
        <v>0.12633977526203535</v>
      </c>
      <c r="AJ331" s="5">
        <f t="shared" si="133"/>
        <v>9109704.6037000045</v>
      </c>
      <c r="AK331" s="7">
        <f t="shared" si="131"/>
        <v>0.83225815458066221</v>
      </c>
      <c r="AL331" s="17">
        <f>MIN(AC331,'What-If Analysis'!$B$2)</f>
        <v>8.9999999999999993E-3</v>
      </c>
      <c r="AM331">
        <f>AE331*(1+'What-If Analysis'!$B$3)</f>
        <v>7.8000000000000007</v>
      </c>
      <c r="AN331">
        <f>Y331*(1+'What-If Analysis'!$B$4)</f>
        <v>1553.3650000000002</v>
      </c>
      <c r="AO331">
        <f t="shared" si="132"/>
        <v>12607.612992</v>
      </c>
    </row>
    <row r="332" spans="1:41" x14ac:dyDescent="0.3">
      <c r="A332" t="s">
        <v>289</v>
      </c>
      <c r="B332" s="3">
        <v>45316</v>
      </c>
      <c r="C332" s="3">
        <f t="shared" si="113"/>
        <v>45316</v>
      </c>
      <c r="D332" s="3">
        <v>45318</v>
      </c>
      <c r="E332" s="3">
        <f t="shared" si="114"/>
        <v>45318</v>
      </c>
      <c r="F332" s="16">
        <f t="shared" si="115"/>
        <v>2</v>
      </c>
      <c r="G332" s="16">
        <f>IF(Data!F399&lt;=7,1,0)</f>
        <v>1</v>
      </c>
      <c r="H332" s="5" t="str">
        <f t="shared" si="116"/>
        <v>01-2024</v>
      </c>
      <c r="I332" s="5" t="str">
        <f t="shared" si="117"/>
        <v>Q1-2024</v>
      </c>
      <c r="J332" s="3">
        <f t="shared" si="118"/>
        <v>44955</v>
      </c>
      <c r="K332" s="5" t="str">
        <f t="shared" si="119"/>
        <v>01-2023</v>
      </c>
      <c r="L332" t="s">
        <v>648</v>
      </c>
      <c r="M332" t="s">
        <v>655</v>
      </c>
      <c r="N332" t="s">
        <v>670</v>
      </c>
      <c r="O332" t="str">
        <f t="shared" si="120"/>
        <v>São Paulo</v>
      </c>
      <c r="P332" t="s">
        <v>703</v>
      </c>
      <c r="Q332" t="s">
        <v>709</v>
      </c>
      <c r="R332" t="str">
        <f t="shared" si="121"/>
        <v>Marketplace</v>
      </c>
      <c r="S332" t="s">
        <v>725</v>
      </c>
      <c r="T332" t="str">
        <f t="shared" si="112"/>
        <v>N. Brown</v>
      </c>
      <c r="U332" t="s">
        <v>731</v>
      </c>
      <c r="V332" t="str">
        <f t="shared" si="122"/>
        <v>High</v>
      </c>
      <c r="W332" t="s">
        <v>1009</v>
      </c>
      <c r="X332" t="str">
        <f t="shared" si="123"/>
        <v>B</v>
      </c>
      <c r="Y332" s="5">
        <v>1410.97</v>
      </c>
      <c r="Z332" s="5">
        <v>1650.75</v>
      </c>
      <c r="AA332" s="5">
        <f t="shared" si="124"/>
        <v>1650.75</v>
      </c>
      <c r="AB332" s="7">
        <v>0.13500000000000001</v>
      </c>
      <c r="AC332" s="7">
        <f t="shared" si="125"/>
        <v>0.13500000000000001</v>
      </c>
      <c r="AD332" s="16">
        <f t="shared" si="126"/>
        <v>0</v>
      </c>
      <c r="AE332" s="16">
        <v>6</v>
      </c>
      <c r="AF332" s="5">
        <f t="shared" si="127"/>
        <v>8567.3924999999999</v>
      </c>
      <c r="AG332">
        <f t="shared" si="128"/>
        <v>8465.82</v>
      </c>
      <c r="AH332" s="5">
        <f t="shared" si="129"/>
        <v>101.57250000000022</v>
      </c>
      <c r="AI332" s="5">
        <f t="shared" si="130"/>
        <v>1.1855707556295596E-2</v>
      </c>
      <c r="AJ332" s="5">
        <f t="shared" si="133"/>
        <v>9118271.9962000046</v>
      </c>
      <c r="AK332" s="7">
        <f t="shared" si="131"/>
        <v>0.83304086736684002</v>
      </c>
      <c r="AL332" s="17">
        <f>MIN(AC332,'What-If Analysis'!$B$2)</f>
        <v>0.13500000000000001</v>
      </c>
      <c r="AM332">
        <f>AE332*(1+'What-If Analysis'!$B$3)</f>
        <v>7.8000000000000007</v>
      </c>
      <c r="AN332">
        <f>Y332*(1+'What-If Analysis'!$B$4)</f>
        <v>1552.0670000000002</v>
      </c>
      <c r="AO332">
        <f t="shared" si="132"/>
        <v>11137.61025</v>
      </c>
    </row>
    <row r="333" spans="1:41" x14ac:dyDescent="0.3">
      <c r="A333" t="s">
        <v>563</v>
      </c>
      <c r="B333" s="3">
        <v>45486</v>
      </c>
      <c r="C333" s="3">
        <f t="shared" si="113"/>
        <v>45486</v>
      </c>
      <c r="D333" s="3">
        <v>45507</v>
      </c>
      <c r="E333" s="3">
        <f t="shared" si="114"/>
        <v>45507</v>
      </c>
      <c r="F333" s="16">
        <f t="shared" si="115"/>
        <v>21</v>
      </c>
      <c r="G333" s="16">
        <f>IF(Data!F338&lt;=7,1,0)</f>
        <v>0</v>
      </c>
      <c r="H333" s="5" t="str">
        <f t="shared" si="116"/>
        <v>07-2024</v>
      </c>
      <c r="I333" s="5" t="str">
        <f t="shared" si="117"/>
        <v>Q3-2024</v>
      </c>
      <c r="J333" s="3">
        <f t="shared" si="118"/>
        <v>44955</v>
      </c>
      <c r="K333" s="5" t="str">
        <f t="shared" si="119"/>
        <v>01-2023</v>
      </c>
      <c r="L333" t="s">
        <v>648</v>
      </c>
      <c r="M333" t="s">
        <v>655</v>
      </c>
      <c r="N333" t="s">
        <v>692</v>
      </c>
      <c r="O333" t="str">
        <f t="shared" si="120"/>
        <v>Rio de Janeiro</v>
      </c>
      <c r="P333" t="s">
        <v>701</v>
      </c>
      <c r="Q333" t="s">
        <v>709</v>
      </c>
      <c r="R333" t="str">
        <f t="shared" si="121"/>
        <v>Marketplace</v>
      </c>
      <c r="S333" t="s">
        <v>724</v>
      </c>
      <c r="T333" t="str">
        <f t="shared" si="112"/>
        <v>M. Rossi</v>
      </c>
      <c r="U333" t="s">
        <v>732</v>
      </c>
      <c r="V333" t="str">
        <f t="shared" si="122"/>
        <v>Medium</v>
      </c>
      <c r="W333" t="s">
        <v>1281</v>
      </c>
      <c r="X333" t="str">
        <f t="shared" si="123"/>
        <v>B</v>
      </c>
      <c r="Y333" s="5">
        <v>702.98</v>
      </c>
      <c r="Z333" s="5">
        <v>1104.8</v>
      </c>
      <c r="AA333" s="5">
        <f t="shared" si="124"/>
        <v>1104.8</v>
      </c>
      <c r="AB333" s="7">
        <v>0.17499999999999999</v>
      </c>
      <c r="AC333" s="7">
        <f t="shared" si="125"/>
        <v>0.17499999999999999</v>
      </c>
      <c r="AD333" s="16">
        <f t="shared" si="126"/>
        <v>0</v>
      </c>
      <c r="AE333" s="16">
        <v>12</v>
      </c>
      <c r="AF333" s="5">
        <f t="shared" si="127"/>
        <v>10937.519999999999</v>
      </c>
      <c r="AG333">
        <f t="shared" si="128"/>
        <v>8435.76</v>
      </c>
      <c r="AH333" s="5">
        <f t="shared" si="129"/>
        <v>2501.7599999999984</v>
      </c>
      <c r="AI333" s="5">
        <f t="shared" si="130"/>
        <v>0.22873192460448061</v>
      </c>
      <c r="AJ333" s="5">
        <f t="shared" si="133"/>
        <v>9129209.5162000041</v>
      </c>
      <c r="AK333" s="7">
        <f t="shared" si="131"/>
        <v>0.83404011384154908</v>
      </c>
      <c r="AL333" s="17">
        <f>MIN(AC333,'What-If Analysis'!$B$2)</f>
        <v>0.17499999999999999</v>
      </c>
      <c r="AM333">
        <f>AE333*(1+'What-If Analysis'!$B$3)</f>
        <v>15.600000000000001</v>
      </c>
      <c r="AN333">
        <f>Y333*(1+'What-If Analysis'!$B$4)</f>
        <v>773.27800000000013</v>
      </c>
      <c r="AO333">
        <f t="shared" si="132"/>
        <v>14218.776</v>
      </c>
    </row>
    <row r="334" spans="1:41" x14ac:dyDescent="0.3">
      <c r="A334" t="s">
        <v>544</v>
      </c>
      <c r="B334" s="3">
        <v>45316</v>
      </c>
      <c r="C334" s="3">
        <f t="shared" si="113"/>
        <v>45316</v>
      </c>
      <c r="D334" s="3">
        <v>45330</v>
      </c>
      <c r="E334" s="3">
        <f t="shared" si="114"/>
        <v>45330</v>
      </c>
      <c r="F334" s="16">
        <f t="shared" si="115"/>
        <v>14</v>
      </c>
      <c r="G334" s="16">
        <f>IF(Data!F378&lt;=7,1,0)</f>
        <v>0</v>
      </c>
      <c r="H334" s="5" t="str">
        <f t="shared" si="116"/>
        <v>01-2024</v>
      </c>
      <c r="I334" s="5" t="str">
        <f t="shared" si="117"/>
        <v>Q1-2024</v>
      </c>
      <c r="J334" s="3">
        <f t="shared" si="118"/>
        <v>44988</v>
      </c>
      <c r="K334" s="5" t="str">
        <f t="shared" si="119"/>
        <v>03-2023</v>
      </c>
      <c r="L334" t="s">
        <v>647</v>
      </c>
      <c r="M334" t="s">
        <v>652</v>
      </c>
      <c r="N334" t="s">
        <v>666</v>
      </c>
      <c r="O334" t="str">
        <f t="shared" si="120"/>
        <v>Osaka</v>
      </c>
      <c r="P334" t="s">
        <v>704</v>
      </c>
      <c r="Q334" t="s">
        <v>709</v>
      </c>
      <c r="R334" t="str">
        <f t="shared" si="121"/>
        <v>Marketplace</v>
      </c>
      <c r="S334" t="s">
        <v>714</v>
      </c>
      <c r="T334" t="str">
        <f t="shared" si="112"/>
        <v>I. Johnson</v>
      </c>
      <c r="U334" t="s">
        <v>729</v>
      </c>
      <c r="V334" t="str">
        <f t="shared" si="122"/>
        <v>Medium</v>
      </c>
      <c r="W334" t="s">
        <v>1263</v>
      </c>
      <c r="X334" t="str">
        <f t="shared" si="123"/>
        <v>B</v>
      </c>
      <c r="Y334" s="5">
        <v>937.16</v>
      </c>
      <c r="Z334" s="5">
        <v>1069.77</v>
      </c>
      <c r="AA334" s="5">
        <f t="shared" si="124"/>
        <v>1069.77</v>
      </c>
      <c r="AB334" s="7">
        <v>3.7999999999999999E-2</v>
      </c>
      <c r="AC334" s="7">
        <f t="shared" si="125"/>
        <v>3.7999999999999999E-2</v>
      </c>
      <c r="AD334" s="16">
        <f t="shared" si="126"/>
        <v>0</v>
      </c>
      <c r="AE334" s="16">
        <v>9</v>
      </c>
      <c r="AF334" s="5">
        <f t="shared" si="127"/>
        <v>9262.0686600000008</v>
      </c>
      <c r="AG334">
        <f t="shared" si="128"/>
        <v>8434.44</v>
      </c>
      <c r="AH334" s="5">
        <f t="shared" si="129"/>
        <v>827.62866000000031</v>
      </c>
      <c r="AI334" s="5">
        <f t="shared" si="130"/>
        <v>8.9356783066645962E-2</v>
      </c>
      <c r="AJ334" s="5">
        <f t="shared" si="133"/>
        <v>9138471.5848600045</v>
      </c>
      <c r="AK334" s="7">
        <f t="shared" si="131"/>
        <v>0.83488629190175101</v>
      </c>
      <c r="AL334" s="17">
        <f>MIN(AC334,'What-If Analysis'!$B$2)</f>
        <v>3.7999999999999999E-2</v>
      </c>
      <c r="AM334">
        <f>AE334*(1+'What-If Analysis'!$B$3)</f>
        <v>11.700000000000001</v>
      </c>
      <c r="AN334">
        <f>Y334*(1+'What-If Analysis'!$B$4)</f>
        <v>1030.876</v>
      </c>
      <c r="AO334">
        <f t="shared" si="132"/>
        <v>12040.689258</v>
      </c>
    </row>
    <row r="335" spans="1:41" x14ac:dyDescent="0.3">
      <c r="A335" t="s">
        <v>45</v>
      </c>
      <c r="B335" s="3">
        <v>45653</v>
      </c>
      <c r="C335" s="3">
        <f t="shared" si="113"/>
        <v>45653</v>
      </c>
      <c r="D335" s="3">
        <v>45672</v>
      </c>
      <c r="E335" s="3">
        <f t="shared" si="114"/>
        <v>45672</v>
      </c>
      <c r="F335" s="16">
        <f t="shared" si="115"/>
        <v>19</v>
      </c>
      <c r="G335" s="16">
        <f>IF(Data!F368&lt;=7,1,0)</f>
        <v>1</v>
      </c>
      <c r="H335" s="5" t="str">
        <f t="shared" si="116"/>
        <v>12-2024</v>
      </c>
      <c r="I335" s="5" t="str">
        <f t="shared" si="117"/>
        <v>Q4-2024</v>
      </c>
      <c r="J335" s="3">
        <f t="shared" si="118"/>
        <v>44955</v>
      </c>
      <c r="K335" s="5" t="str">
        <f t="shared" si="119"/>
        <v>01-2023</v>
      </c>
      <c r="L335" t="s">
        <v>647</v>
      </c>
      <c r="M335" t="s">
        <v>654</v>
      </c>
      <c r="N335" t="s">
        <v>680</v>
      </c>
      <c r="O335" t="str">
        <f t="shared" si="120"/>
        <v>Delhi</v>
      </c>
      <c r="P335" t="s">
        <v>703</v>
      </c>
      <c r="Q335" t="s">
        <v>710</v>
      </c>
      <c r="R335" t="str">
        <f t="shared" si="121"/>
        <v>Distributor</v>
      </c>
      <c r="S335" t="s">
        <v>715</v>
      </c>
      <c r="T335" t="str">
        <f t="shared" si="112"/>
        <v>G. Dubois</v>
      </c>
      <c r="U335" t="s">
        <v>727</v>
      </c>
      <c r="V335" t="str">
        <f t="shared" si="122"/>
        <v>Low</v>
      </c>
      <c r="W335" t="s">
        <v>764</v>
      </c>
      <c r="X335" t="str">
        <f t="shared" si="123"/>
        <v>B</v>
      </c>
      <c r="Y335" s="5">
        <v>495.59</v>
      </c>
      <c r="Z335" s="5">
        <v>631.78</v>
      </c>
      <c r="AA335" s="5">
        <f t="shared" si="124"/>
        <v>631.78</v>
      </c>
      <c r="AB335" s="7">
        <v>8.6999999999999994E-2</v>
      </c>
      <c r="AC335" s="7">
        <f t="shared" si="125"/>
        <v>8.6999999999999994E-2</v>
      </c>
      <c r="AD335" s="16">
        <f t="shared" si="126"/>
        <v>0</v>
      </c>
      <c r="AE335" s="16">
        <v>17</v>
      </c>
      <c r="AF335" s="5">
        <f t="shared" si="127"/>
        <v>9805.8573800000013</v>
      </c>
      <c r="AG335">
        <f t="shared" si="128"/>
        <v>8425.0299999999988</v>
      </c>
      <c r="AH335" s="5">
        <f t="shared" si="129"/>
        <v>1380.8273800000024</v>
      </c>
      <c r="AI335" s="5">
        <f t="shared" si="130"/>
        <v>0.14081658813601899</v>
      </c>
      <c r="AJ335" s="5">
        <f t="shared" si="133"/>
        <v>9148277.4422400054</v>
      </c>
      <c r="AK335" s="7">
        <f t="shared" si="131"/>
        <v>0.83578215023329849</v>
      </c>
      <c r="AL335" s="17">
        <f>MIN(AC335,'What-If Analysis'!$B$2)</f>
        <v>8.6999999999999994E-2</v>
      </c>
      <c r="AM335">
        <f>AE335*(1+'What-If Analysis'!$B$3)</f>
        <v>22.1</v>
      </c>
      <c r="AN335">
        <f>Y335*(1+'What-If Analysis'!$B$4)</f>
        <v>545.149</v>
      </c>
      <c r="AO335">
        <f t="shared" si="132"/>
        <v>12747.614594000001</v>
      </c>
    </row>
    <row r="336" spans="1:41" x14ac:dyDescent="0.3">
      <c r="A336" t="s">
        <v>381</v>
      </c>
      <c r="B336" s="3">
        <v>45731</v>
      </c>
      <c r="C336" s="3">
        <f t="shared" si="113"/>
        <v>45731</v>
      </c>
      <c r="D336" s="3">
        <v>45745</v>
      </c>
      <c r="E336" s="3">
        <f t="shared" si="114"/>
        <v>45745</v>
      </c>
      <c r="F336" s="16">
        <f t="shared" si="115"/>
        <v>14</v>
      </c>
      <c r="G336" s="16">
        <f>IF(Data!F216&lt;=7,1,0)</f>
        <v>0</v>
      </c>
      <c r="H336" s="5" t="str">
        <f t="shared" si="116"/>
        <v>03-2025</v>
      </c>
      <c r="I336" s="5" t="str">
        <f t="shared" si="117"/>
        <v>Q1-2025</v>
      </c>
      <c r="J336" s="3">
        <f t="shared" si="118"/>
        <v>44955</v>
      </c>
      <c r="K336" s="5" t="str">
        <f t="shared" si="119"/>
        <v>01-2023</v>
      </c>
      <c r="L336" t="s">
        <v>647</v>
      </c>
      <c r="M336" t="s">
        <v>654</v>
      </c>
      <c r="N336" t="s">
        <v>691</v>
      </c>
      <c r="O336" t="str">
        <f t="shared" si="120"/>
        <v>Mumbai</v>
      </c>
      <c r="P336" t="s">
        <v>706</v>
      </c>
      <c r="Q336" t="s">
        <v>711</v>
      </c>
      <c r="R336" t="str">
        <f t="shared" si="121"/>
        <v>Direct</v>
      </c>
      <c r="S336" t="s">
        <v>712</v>
      </c>
      <c r="T336" t="str">
        <f t="shared" si="112"/>
        <v>C. Otieno</v>
      </c>
      <c r="U336" t="s">
        <v>727</v>
      </c>
      <c r="V336" t="str">
        <f t="shared" si="122"/>
        <v>High</v>
      </c>
      <c r="W336" t="s">
        <v>1101</v>
      </c>
      <c r="X336" t="str">
        <f t="shared" si="123"/>
        <v>B</v>
      </c>
      <c r="Y336" s="5">
        <v>935.83</v>
      </c>
      <c r="Z336" s="5">
        <v>2303.46</v>
      </c>
      <c r="AA336" s="5">
        <f t="shared" si="124"/>
        <v>2303.46</v>
      </c>
      <c r="AB336" s="7">
        <v>0.105</v>
      </c>
      <c r="AC336" s="7">
        <f t="shared" si="125"/>
        <v>0.105</v>
      </c>
      <c r="AD336" s="16">
        <f t="shared" si="126"/>
        <v>0</v>
      </c>
      <c r="AE336" s="16">
        <v>9</v>
      </c>
      <c r="AF336" s="5">
        <f t="shared" si="127"/>
        <v>18554.370299999999</v>
      </c>
      <c r="AG336">
        <f t="shared" si="128"/>
        <v>8422.4700000000012</v>
      </c>
      <c r="AH336" s="5">
        <f t="shared" si="129"/>
        <v>10131.900299999998</v>
      </c>
      <c r="AI336" s="5">
        <f t="shared" si="130"/>
        <v>0.54606543559174292</v>
      </c>
      <c r="AJ336" s="5">
        <f t="shared" si="133"/>
        <v>9166831.8125400059</v>
      </c>
      <c r="AK336" s="7">
        <f t="shared" si="131"/>
        <v>0.83747726842395998</v>
      </c>
      <c r="AL336" s="17">
        <f>MIN(AC336,'What-If Analysis'!$B$2)</f>
        <v>0.105</v>
      </c>
      <c r="AM336">
        <f>AE336*(1+'What-If Analysis'!$B$3)</f>
        <v>11.700000000000001</v>
      </c>
      <c r="AN336">
        <f>Y336*(1+'What-If Analysis'!$B$4)</f>
        <v>1029.4130000000002</v>
      </c>
      <c r="AO336">
        <f t="shared" si="132"/>
        <v>24120.681390000005</v>
      </c>
    </row>
    <row r="337" spans="1:41" x14ac:dyDescent="0.3">
      <c r="A337" t="s">
        <v>427</v>
      </c>
      <c r="B337" s="3">
        <v>45163</v>
      </c>
      <c r="C337" s="3">
        <f t="shared" si="113"/>
        <v>45163</v>
      </c>
      <c r="D337" s="3">
        <v>45185</v>
      </c>
      <c r="E337" s="3">
        <f t="shared" si="114"/>
        <v>45185</v>
      </c>
      <c r="F337" s="16">
        <f t="shared" si="115"/>
        <v>22</v>
      </c>
      <c r="G337" s="16">
        <f>IF(Data!F243&lt;=7,1,0)</f>
        <v>0</v>
      </c>
      <c r="H337" s="5" t="str">
        <f t="shared" si="116"/>
        <v>08-2023</v>
      </c>
      <c r="I337" s="5" t="str">
        <f t="shared" si="117"/>
        <v>Q3-2023</v>
      </c>
      <c r="J337" s="3">
        <f t="shared" si="118"/>
        <v>44939</v>
      </c>
      <c r="K337" s="5" t="str">
        <f t="shared" si="119"/>
        <v>01-2023</v>
      </c>
      <c r="L337" t="s">
        <v>646</v>
      </c>
      <c r="M337" t="s">
        <v>651</v>
      </c>
      <c r="N337" t="s">
        <v>669</v>
      </c>
      <c r="O337" t="str">
        <f t="shared" si="120"/>
        <v>Abuja</v>
      </c>
      <c r="P337" t="s">
        <v>701</v>
      </c>
      <c r="Q337" t="s">
        <v>709</v>
      </c>
      <c r="R337" t="str">
        <f t="shared" si="121"/>
        <v>Marketplace</v>
      </c>
      <c r="S337" t="s">
        <v>716</v>
      </c>
      <c r="T337" t="str">
        <f t="shared" ref="T337:T400" si="134">IF(S337="",_xlfn.XLOOKUP(L337,L:L,S:S),S337)</f>
        <v>L. Okafor</v>
      </c>
      <c r="U337" t="s">
        <v>730</v>
      </c>
      <c r="V337" t="str">
        <f t="shared" si="122"/>
        <v>High</v>
      </c>
      <c r="W337" t="s">
        <v>1146</v>
      </c>
      <c r="X337" t="str">
        <f t="shared" si="123"/>
        <v>B</v>
      </c>
      <c r="Y337" s="5">
        <v>1196.83</v>
      </c>
      <c r="Z337" s="5">
        <v>2513.5100000000002</v>
      </c>
      <c r="AA337" s="5">
        <f t="shared" si="124"/>
        <v>2513.5100000000002</v>
      </c>
      <c r="AB337" s="7">
        <v>8.3000000000000004E-2</v>
      </c>
      <c r="AC337" s="7">
        <f t="shared" si="125"/>
        <v>8.3000000000000004E-2</v>
      </c>
      <c r="AD337" s="16">
        <f t="shared" si="126"/>
        <v>0</v>
      </c>
      <c r="AE337" s="16">
        <v>7</v>
      </c>
      <c r="AF337" s="5">
        <f t="shared" si="127"/>
        <v>16134.22069</v>
      </c>
      <c r="AG337">
        <f t="shared" si="128"/>
        <v>8377.81</v>
      </c>
      <c r="AH337" s="5">
        <f t="shared" si="129"/>
        <v>7756.4106900000006</v>
      </c>
      <c r="AI337" s="5">
        <f t="shared" si="130"/>
        <v>0.48074281609445374</v>
      </c>
      <c r="AJ337" s="5">
        <f t="shared" si="133"/>
        <v>9182966.0332300067</v>
      </c>
      <c r="AK337" s="7">
        <f t="shared" si="131"/>
        <v>0.83895128293059973</v>
      </c>
      <c r="AL337" s="17">
        <f>MIN(AC337,'What-If Analysis'!$B$2)</f>
        <v>8.3000000000000004E-2</v>
      </c>
      <c r="AM337">
        <f>AE337*(1+'What-If Analysis'!$B$3)</f>
        <v>9.1</v>
      </c>
      <c r="AN337">
        <f>Y337*(1+'What-If Analysis'!$B$4)</f>
        <v>1316.5129999999999</v>
      </c>
      <c r="AO337">
        <f t="shared" si="132"/>
        <v>20974.486897000003</v>
      </c>
    </row>
    <row r="338" spans="1:41" x14ac:dyDescent="0.3">
      <c r="A338" t="s">
        <v>170</v>
      </c>
      <c r="B338" s="3">
        <v>45511</v>
      </c>
      <c r="C338" s="3">
        <f t="shared" si="113"/>
        <v>45511</v>
      </c>
      <c r="D338" s="3">
        <v>45521</v>
      </c>
      <c r="E338" s="3">
        <f t="shared" si="114"/>
        <v>45521</v>
      </c>
      <c r="F338" s="16">
        <f t="shared" si="115"/>
        <v>10</v>
      </c>
      <c r="G338" s="16">
        <f>IF(Data!F387&lt;=7,1,0)</f>
        <v>0</v>
      </c>
      <c r="H338" s="5" t="str">
        <f t="shared" si="116"/>
        <v>08-2024</v>
      </c>
      <c r="I338" s="5" t="str">
        <f t="shared" si="117"/>
        <v>Q3-2024</v>
      </c>
      <c r="J338" s="3">
        <f t="shared" si="118"/>
        <v>44988</v>
      </c>
      <c r="K338" s="5" t="str">
        <f t="shared" si="119"/>
        <v>03-2023</v>
      </c>
      <c r="L338" t="s">
        <v>647</v>
      </c>
      <c r="M338" t="s">
        <v>652</v>
      </c>
      <c r="N338" t="s">
        <v>666</v>
      </c>
      <c r="O338" t="str">
        <f t="shared" si="120"/>
        <v>Osaka</v>
      </c>
      <c r="P338" t="s">
        <v>704</v>
      </c>
      <c r="Q338" t="s">
        <v>708</v>
      </c>
      <c r="R338" t="str">
        <f t="shared" si="121"/>
        <v>Online</v>
      </c>
      <c r="S338" t="s">
        <v>723</v>
      </c>
      <c r="T338" t="str">
        <f t="shared" si="134"/>
        <v>K. Singh</v>
      </c>
      <c r="U338" t="s">
        <v>729</v>
      </c>
      <c r="V338" t="str">
        <f t="shared" si="122"/>
        <v>Low</v>
      </c>
      <c r="W338" t="s">
        <v>889</v>
      </c>
      <c r="X338" t="str">
        <f t="shared" si="123"/>
        <v>B</v>
      </c>
      <c r="Y338" s="5">
        <v>436.58</v>
      </c>
      <c r="Z338" s="5">
        <v>527.48</v>
      </c>
      <c r="AA338" s="5">
        <f t="shared" si="124"/>
        <v>527.48</v>
      </c>
      <c r="AB338" s="7">
        <v>0.111</v>
      </c>
      <c r="AC338" s="7">
        <f t="shared" si="125"/>
        <v>0.111</v>
      </c>
      <c r="AD338" s="16">
        <f t="shared" si="126"/>
        <v>0</v>
      </c>
      <c r="AE338" s="16">
        <v>19</v>
      </c>
      <c r="AF338" s="5">
        <f t="shared" si="127"/>
        <v>8909.6646800000017</v>
      </c>
      <c r="AG338">
        <f t="shared" si="128"/>
        <v>8295.02</v>
      </c>
      <c r="AH338" s="5">
        <f t="shared" si="129"/>
        <v>614.64468000000124</v>
      </c>
      <c r="AI338" s="5">
        <f t="shared" si="130"/>
        <v>6.8986286473802644E-2</v>
      </c>
      <c r="AJ338" s="5">
        <f t="shared" si="133"/>
        <v>9191875.6979100071</v>
      </c>
      <c r="AK338" s="7">
        <f t="shared" si="131"/>
        <v>0.83976526553564468</v>
      </c>
      <c r="AL338" s="17">
        <f>MIN(AC338,'What-If Analysis'!$B$2)</f>
        <v>0.111</v>
      </c>
      <c r="AM338">
        <f>AE338*(1+'What-If Analysis'!$B$3)</f>
        <v>24.7</v>
      </c>
      <c r="AN338">
        <f>Y338*(1+'What-If Analysis'!$B$4)</f>
        <v>480.238</v>
      </c>
      <c r="AO338">
        <f t="shared" si="132"/>
        <v>11582.564084</v>
      </c>
    </row>
    <row r="339" spans="1:41" x14ac:dyDescent="0.3">
      <c r="A339" t="s">
        <v>439</v>
      </c>
      <c r="B339" s="3">
        <v>45349</v>
      </c>
      <c r="C339" s="3">
        <f t="shared" si="113"/>
        <v>45349</v>
      </c>
      <c r="D339" s="3">
        <v>45377</v>
      </c>
      <c r="E339" s="3">
        <f t="shared" si="114"/>
        <v>45377</v>
      </c>
      <c r="F339" s="16">
        <f t="shared" si="115"/>
        <v>28</v>
      </c>
      <c r="G339" s="16">
        <f>IF(Data!F256&lt;=7,1,0)</f>
        <v>0</v>
      </c>
      <c r="H339" s="5" t="str">
        <f t="shared" si="116"/>
        <v>02-2024</v>
      </c>
      <c r="I339" s="5" t="str">
        <f t="shared" si="117"/>
        <v>Q1-2024</v>
      </c>
      <c r="J339" s="3">
        <f t="shared" si="118"/>
        <v>44955</v>
      </c>
      <c r="K339" s="5" t="str">
        <f t="shared" si="119"/>
        <v>01-2023</v>
      </c>
      <c r="L339" t="s">
        <v>647</v>
      </c>
      <c r="M339" t="s">
        <v>654</v>
      </c>
      <c r="N339" t="s">
        <v>691</v>
      </c>
      <c r="O339" t="str">
        <f t="shared" si="120"/>
        <v>Mumbai</v>
      </c>
      <c r="P339" t="s">
        <v>702</v>
      </c>
      <c r="Q339" t="s">
        <v>709</v>
      </c>
      <c r="R339" t="str">
        <f t="shared" si="121"/>
        <v>Marketplace</v>
      </c>
      <c r="S339" t="s">
        <v>715</v>
      </c>
      <c r="T339" t="str">
        <f t="shared" si="134"/>
        <v>G. Dubois</v>
      </c>
      <c r="U339" t="s">
        <v>731</v>
      </c>
      <c r="V339" t="str">
        <f t="shared" si="122"/>
        <v>High</v>
      </c>
      <c r="W339" t="s">
        <v>1158</v>
      </c>
      <c r="X339" t="str">
        <f t="shared" si="123"/>
        <v>B</v>
      </c>
      <c r="Y339" s="5">
        <v>1035.19</v>
      </c>
      <c r="Z339" s="5">
        <v>2322.6999999999998</v>
      </c>
      <c r="AA339" s="5">
        <f t="shared" si="124"/>
        <v>2322.6999999999998</v>
      </c>
      <c r="AB339" s="7">
        <v>0.17299999999999999</v>
      </c>
      <c r="AC339" s="7">
        <f t="shared" si="125"/>
        <v>0.17299999999999999</v>
      </c>
      <c r="AD339" s="16">
        <f t="shared" si="126"/>
        <v>0</v>
      </c>
      <c r="AE339" s="16">
        <v>8</v>
      </c>
      <c r="AF339" s="5">
        <f t="shared" si="127"/>
        <v>15366.983199999999</v>
      </c>
      <c r="AG339">
        <f t="shared" si="128"/>
        <v>8281.52</v>
      </c>
      <c r="AH339" s="5">
        <f t="shared" si="129"/>
        <v>7085.4631999999983</v>
      </c>
      <c r="AI339" s="5">
        <f t="shared" si="130"/>
        <v>0.46108355217047409</v>
      </c>
      <c r="AJ339" s="5">
        <f t="shared" si="133"/>
        <v>9207242.6811100077</v>
      </c>
      <c r="AK339" s="7">
        <f t="shared" si="131"/>
        <v>0.8411691856006609</v>
      </c>
      <c r="AL339" s="17">
        <f>MIN(AC339,'What-If Analysis'!$B$2)</f>
        <v>0.17299999999999999</v>
      </c>
      <c r="AM339">
        <f>AE339*(1+'What-If Analysis'!$B$3)</f>
        <v>10.4</v>
      </c>
      <c r="AN339">
        <f>Y339*(1+'What-If Analysis'!$B$4)</f>
        <v>1138.7090000000001</v>
      </c>
      <c r="AO339">
        <f t="shared" si="132"/>
        <v>19977.078159999997</v>
      </c>
    </row>
    <row r="340" spans="1:41" x14ac:dyDescent="0.3">
      <c r="A340" t="s">
        <v>85</v>
      </c>
      <c r="B340" s="3">
        <v>45369</v>
      </c>
      <c r="C340" s="3">
        <f t="shared" si="113"/>
        <v>45369</v>
      </c>
      <c r="D340" s="3">
        <v>45372</v>
      </c>
      <c r="E340" s="3">
        <f t="shared" si="114"/>
        <v>45372</v>
      </c>
      <c r="F340" s="16">
        <f t="shared" si="115"/>
        <v>3</v>
      </c>
      <c r="G340" s="16">
        <f>IF(Data!F348&lt;=7,1,0)</f>
        <v>0</v>
      </c>
      <c r="H340" s="5" t="str">
        <f t="shared" si="116"/>
        <v>03-2024</v>
      </c>
      <c r="I340" s="5" t="str">
        <f t="shared" si="117"/>
        <v>Q1-2024</v>
      </c>
      <c r="J340" s="3">
        <f t="shared" si="118"/>
        <v>44947</v>
      </c>
      <c r="K340" s="5" t="str">
        <f t="shared" si="119"/>
        <v>01-2023</v>
      </c>
      <c r="L340" t="s">
        <v>649</v>
      </c>
      <c r="M340" t="s">
        <v>656</v>
      </c>
      <c r="N340" t="s">
        <v>684</v>
      </c>
      <c r="O340" t="str">
        <f t="shared" si="120"/>
        <v>Munich</v>
      </c>
      <c r="P340" t="s">
        <v>705</v>
      </c>
      <c r="Q340" t="s">
        <v>708</v>
      </c>
      <c r="R340" t="str">
        <f t="shared" si="121"/>
        <v>Online</v>
      </c>
      <c r="S340" t="s">
        <v>724</v>
      </c>
      <c r="T340" t="str">
        <f t="shared" si="134"/>
        <v>M. Rossi</v>
      </c>
      <c r="U340" t="s">
        <v>733</v>
      </c>
      <c r="V340" t="str">
        <f t="shared" si="122"/>
        <v>Medium</v>
      </c>
      <c r="W340" t="s">
        <v>804</v>
      </c>
      <c r="X340" t="str">
        <f t="shared" si="123"/>
        <v>B</v>
      </c>
      <c r="Y340" s="5">
        <v>910.63</v>
      </c>
      <c r="Z340" s="5">
        <v>1269.4000000000001</v>
      </c>
      <c r="AA340" s="5">
        <f t="shared" si="124"/>
        <v>1269.4000000000001</v>
      </c>
      <c r="AB340" s="7">
        <v>6.8000000000000005E-2</v>
      </c>
      <c r="AC340" s="7">
        <f t="shared" si="125"/>
        <v>6.8000000000000005E-2</v>
      </c>
      <c r="AD340" s="16">
        <f t="shared" si="126"/>
        <v>0</v>
      </c>
      <c r="AE340" s="16">
        <v>9</v>
      </c>
      <c r="AF340" s="5">
        <f t="shared" si="127"/>
        <v>10647.727199999999</v>
      </c>
      <c r="AG340">
        <f t="shared" si="128"/>
        <v>8195.67</v>
      </c>
      <c r="AH340" s="5">
        <f t="shared" si="129"/>
        <v>2452.0571999999993</v>
      </c>
      <c r="AI340" s="5">
        <f t="shared" si="130"/>
        <v>0.23028925834989455</v>
      </c>
      <c r="AJ340" s="5">
        <f t="shared" si="133"/>
        <v>9217890.4083100073</v>
      </c>
      <c r="AK340" s="7">
        <f t="shared" si="131"/>
        <v>0.84214195674697778</v>
      </c>
      <c r="AL340" s="17">
        <f>MIN(AC340,'What-If Analysis'!$B$2)</f>
        <v>6.8000000000000005E-2</v>
      </c>
      <c r="AM340">
        <f>AE340*(1+'What-If Analysis'!$B$3)</f>
        <v>11.700000000000001</v>
      </c>
      <c r="AN340">
        <f>Y340*(1+'What-If Analysis'!$B$4)</f>
        <v>1001.6930000000001</v>
      </c>
      <c r="AO340">
        <f t="shared" si="132"/>
        <v>13842.045360000002</v>
      </c>
    </row>
    <row r="341" spans="1:41" x14ac:dyDescent="0.3">
      <c r="A341" t="s">
        <v>260</v>
      </c>
      <c r="B341" s="3">
        <v>45338</v>
      </c>
      <c r="C341" s="3">
        <f t="shared" si="113"/>
        <v>45338</v>
      </c>
      <c r="D341" s="3">
        <v>45355</v>
      </c>
      <c r="E341" s="3">
        <f t="shared" si="114"/>
        <v>45355</v>
      </c>
      <c r="F341" s="16">
        <f t="shared" si="115"/>
        <v>17</v>
      </c>
      <c r="G341" s="16">
        <f>IF(Data!F369&lt;=7,1,0)</f>
        <v>0</v>
      </c>
      <c r="H341" s="5" t="str">
        <f t="shared" si="116"/>
        <v>02-2024</v>
      </c>
      <c r="I341" s="5" t="str">
        <f t="shared" si="117"/>
        <v>Q1-2024</v>
      </c>
      <c r="J341" s="3">
        <f t="shared" si="118"/>
        <v>44928</v>
      </c>
      <c r="K341" s="5" t="str">
        <f t="shared" si="119"/>
        <v>01-2023</v>
      </c>
      <c r="L341" t="s">
        <v>648</v>
      </c>
      <c r="M341" t="s">
        <v>653</v>
      </c>
      <c r="N341" t="s">
        <v>681</v>
      </c>
      <c r="O341" t="str">
        <f t="shared" si="120"/>
        <v>Montreal</v>
      </c>
      <c r="P341" t="s">
        <v>703</v>
      </c>
      <c r="Q341" t="s">
        <v>707</v>
      </c>
      <c r="R341" t="str">
        <f t="shared" si="121"/>
        <v>Retail</v>
      </c>
      <c r="S341" t="s">
        <v>726</v>
      </c>
      <c r="T341" t="str">
        <f t="shared" si="134"/>
        <v>D. Smith</v>
      </c>
      <c r="U341" t="s">
        <v>731</v>
      </c>
      <c r="V341" t="str">
        <f t="shared" si="122"/>
        <v>High</v>
      </c>
      <c r="W341" t="s">
        <v>980</v>
      </c>
      <c r="X341" t="str">
        <f t="shared" si="123"/>
        <v>B</v>
      </c>
      <c r="Y341" s="5">
        <v>1350.98</v>
      </c>
      <c r="Z341" s="5">
        <v>2210.4</v>
      </c>
      <c r="AA341" s="5">
        <f t="shared" si="124"/>
        <v>2210.4</v>
      </c>
      <c r="AB341" s="7">
        <v>0.26300000000000001</v>
      </c>
      <c r="AC341" s="7">
        <f t="shared" si="125"/>
        <v>0.26300000000000001</v>
      </c>
      <c r="AD341" s="16">
        <f t="shared" si="126"/>
        <v>1</v>
      </c>
      <c r="AE341" s="16">
        <v>6</v>
      </c>
      <c r="AF341" s="5">
        <f t="shared" si="127"/>
        <v>9774.3888000000006</v>
      </c>
      <c r="AG341">
        <f t="shared" si="128"/>
        <v>8105.88</v>
      </c>
      <c r="AH341" s="5">
        <f t="shared" si="129"/>
        <v>1668.5088000000005</v>
      </c>
      <c r="AI341" s="5">
        <f t="shared" si="130"/>
        <v>0.17070211080615091</v>
      </c>
      <c r="AJ341" s="5">
        <f t="shared" si="133"/>
        <v>9227664.7971100081</v>
      </c>
      <c r="AK341" s="7">
        <f t="shared" si="131"/>
        <v>0.84303494012445623</v>
      </c>
      <c r="AL341" s="17">
        <f>MIN(AC341,'What-If Analysis'!$B$2)</f>
        <v>0.2</v>
      </c>
      <c r="AM341">
        <f>AE341*(1+'What-If Analysis'!$B$3)</f>
        <v>7.8000000000000007</v>
      </c>
      <c r="AN341">
        <f>Y341*(1+'What-If Analysis'!$B$4)</f>
        <v>1486.0780000000002</v>
      </c>
      <c r="AO341">
        <f t="shared" si="132"/>
        <v>13792.896000000002</v>
      </c>
    </row>
    <row r="342" spans="1:41" x14ac:dyDescent="0.3">
      <c r="A342" t="s">
        <v>212</v>
      </c>
      <c r="B342" s="3">
        <v>44956</v>
      </c>
      <c r="C342" s="3">
        <f t="shared" si="113"/>
        <v>44956</v>
      </c>
      <c r="D342" s="3">
        <v>44978</v>
      </c>
      <c r="E342" s="3">
        <f t="shared" si="114"/>
        <v>44978</v>
      </c>
      <c r="F342" s="16">
        <f t="shared" si="115"/>
        <v>22</v>
      </c>
      <c r="G342" s="16">
        <f>IF(Data!F402&lt;=7,1,0)</f>
        <v>0</v>
      </c>
      <c r="H342" s="5" t="str">
        <f t="shared" si="116"/>
        <v>01-2023</v>
      </c>
      <c r="I342" s="5" t="str">
        <f t="shared" si="117"/>
        <v>Q1-2023</v>
      </c>
      <c r="J342" s="3">
        <f t="shared" si="118"/>
        <v>44947</v>
      </c>
      <c r="K342" s="5" t="str">
        <f t="shared" si="119"/>
        <v>01-2023</v>
      </c>
      <c r="L342" t="s">
        <v>649</v>
      </c>
      <c r="M342" t="s">
        <v>656</v>
      </c>
      <c r="N342" t="s">
        <v>684</v>
      </c>
      <c r="O342" t="str">
        <f t="shared" si="120"/>
        <v>Munich</v>
      </c>
      <c r="P342" t="s">
        <v>705</v>
      </c>
      <c r="Q342" t="s">
        <v>709</v>
      </c>
      <c r="R342" t="str">
        <f t="shared" si="121"/>
        <v>Marketplace</v>
      </c>
      <c r="S342" t="s">
        <v>715</v>
      </c>
      <c r="T342" t="str">
        <f t="shared" si="134"/>
        <v>G. Dubois</v>
      </c>
      <c r="U342" t="s">
        <v>729</v>
      </c>
      <c r="V342" t="str">
        <f t="shared" si="122"/>
        <v>Medium</v>
      </c>
      <c r="W342" t="s">
        <v>932</v>
      </c>
      <c r="X342" t="str">
        <f t="shared" si="123"/>
        <v>B</v>
      </c>
      <c r="Y342" s="5">
        <v>1142.8800000000001</v>
      </c>
      <c r="Z342" s="5">
        <v>1465.29</v>
      </c>
      <c r="AA342" s="5">
        <f t="shared" si="124"/>
        <v>1465.29</v>
      </c>
      <c r="AB342" s="7">
        <v>0.186</v>
      </c>
      <c r="AC342" s="7">
        <f t="shared" si="125"/>
        <v>0.186</v>
      </c>
      <c r="AD342" s="16">
        <f t="shared" si="126"/>
        <v>0</v>
      </c>
      <c r="AE342" s="16">
        <v>7</v>
      </c>
      <c r="AF342" s="5">
        <f t="shared" si="127"/>
        <v>8349.2224200000001</v>
      </c>
      <c r="AG342">
        <f t="shared" si="128"/>
        <v>8000.1600000000008</v>
      </c>
      <c r="AH342" s="5">
        <f t="shared" si="129"/>
        <v>349.06241999999929</v>
      </c>
      <c r="AI342" s="5">
        <f t="shared" si="130"/>
        <v>4.1807775915017401E-2</v>
      </c>
      <c r="AJ342" s="5">
        <f t="shared" si="133"/>
        <v>9236014.0195300076</v>
      </c>
      <c r="AK342" s="7">
        <f t="shared" si="131"/>
        <v>0.84379772099889094</v>
      </c>
      <c r="AL342" s="17">
        <f>MIN(AC342,'What-If Analysis'!$B$2)</f>
        <v>0.186</v>
      </c>
      <c r="AM342">
        <f>AE342*(1+'What-If Analysis'!$B$3)</f>
        <v>9.1</v>
      </c>
      <c r="AN342">
        <f>Y342*(1+'What-If Analysis'!$B$4)</f>
        <v>1257.1680000000001</v>
      </c>
      <c r="AO342">
        <f t="shared" si="132"/>
        <v>10853.989146</v>
      </c>
    </row>
    <row r="343" spans="1:41" x14ac:dyDescent="0.3">
      <c r="A343" t="s">
        <v>67</v>
      </c>
      <c r="B343" s="3">
        <v>45016</v>
      </c>
      <c r="C343" s="3">
        <f t="shared" si="113"/>
        <v>45016</v>
      </c>
      <c r="D343" s="3">
        <v>45021</v>
      </c>
      <c r="E343" s="3">
        <f t="shared" si="114"/>
        <v>45021</v>
      </c>
      <c r="F343" s="16">
        <f t="shared" si="115"/>
        <v>5</v>
      </c>
      <c r="G343" s="16">
        <f>IF(Data!F470&lt;=7,1,0)</f>
        <v>0</v>
      </c>
      <c r="H343" s="5" t="str">
        <f t="shared" si="116"/>
        <v>03-2023</v>
      </c>
      <c r="I343" s="5" t="str">
        <f t="shared" si="117"/>
        <v>Q1-2023</v>
      </c>
      <c r="J343" s="3">
        <f t="shared" si="118"/>
        <v>44946</v>
      </c>
      <c r="K343" s="5" t="str">
        <f t="shared" si="119"/>
        <v>01-2023</v>
      </c>
      <c r="L343" t="s">
        <v>646</v>
      </c>
      <c r="M343" t="s">
        <v>650</v>
      </c>
      <c r="N343" t="s">
        <v>678</v>
      </c>
      <c r="O343" t="str">
        <f t="shared" si="120"/>
        <v>Nakuru</v>
      </c>
      <c r="P343" t="s">
        <v>702</v>
      </c>
      <c r="Q343" t="s">
        <v>709</v>
      </c>
      <c r="R343" t="str">
        <f t="shared" si="121"/>
        <v>Marketplace</v>
      </c>
      <c r="S343" t="s">
        <v>717</v>
      </c>
      <c r="T343" t="str">
        <f t="shared" si="134"/>
        <v>B. Chen</v>
      </c>
      <c r="U343" t="s">
        <v>731</v>
      </c>
      <c r="V343" t="str">
        <f t="shared" si="122"/>
        <v>Low</v>
      </c>
      <c r="W343" t="s">
        <v>786</v>
      </c>
      <c r="X343" t="str">
        <f t="shared" si="123"/>
        <v>B</v>
      </c>
      <c r="Y343" s="5">
        <v>533.26</v>
      </c>
      <c r="Z343" s="5">
        <v>385.72</v>
      </c>
      <c r="AA343" s="5">
        <f t="shared" si="124"/>
        <v>385.72</v>
      </c>
      <c r="AB343" s="7">
        <v>0</v>
      </c>
      <c r="AC343" s="7">
        <f t="shared" si="125"/>
        <v>0</v>
      </c>
      <c r="AD343" s="16">
        <f t="shared" si="126"/>
        <v>0</v>
      </c>
      <c r="AE343" s="16">
        <v>15</v>
      </c>
      <c r="AF343" s="5">
        <f t="shared" si="127"/>
        <v>5785.8</v>
      </c>
      <c r="AG343">
        <f t="shared" si="128"/>
        <v>7998.9</v>
      </c>
      <c r="AH343" s="5">
        <f t="shared" si="129"/>
        <v>2213.0999999999995</v>
      </c>
      <c r="AI343" s="5">
        <f t="shared" si="130"/>
        <v>0.38250544436378708</v>
      </c>
      <c r="AJ343" s="5">
        <f t="shared" si="133"/>
        <v>9241799.8195300084</v>
      </c>
      <c r="AK343" s="7">
        <f t="shared" si="131"/>
        <v>0.84432630885549587</v>
      </c>
      <c r="AL343" s="17">
        <f>MIN(AC343,'What-If Analysis'!$B$2)</f>
        <v>0</v>
      </c>
      <c r="AM343">
        <f>AE343*(1+'What-If Analysis'!$B$3)</f>
        <v>19.5</v>
      </c>
      <c r="AN343">
        <f>Y343*(1+'What-If Analysis'!$B$4)</f>
        <v>586.58600000000001</v>
      </c>
      <c r="AO343">
        <f t="shared" si="132"/>
        <v>7521.5400000000009</v>
      </c>
    </row>
    <row r="344" spans="1:41" x14ac:dyDescent="0.3">
      <c r="A344" t="s">
        <v>521</v>
      </c>
      <c r="B344" s="3">
        <v>45589</v>
      </c>
      <c r="C344" s="3">
        <f t="shared" si="113"/>
        <v>45589</v>
      </c>
      <c r="D344" s="3">
        <v>45593</v>
      </c>
      <c r="E344" s="3">
        <f t="shared" si="114"/>
        <v>45593</v>
      </c>
      <c r="F344" s="16">
        <f t="shared" si="115"/>
        <v>4</v>
      </c>
      <c r="G344" s="16">
        <f>IF(Data!F258&lt;=7,1,0)</f>
        <v>0</v>
      </c>
      <c r="H344" s="5" t="str">
        <f t="shared" si="116"/>
        <v>10-2024</v>
      </c>
      <c r="I344" s="5" t="str">
        <f t="shared" si="117"/>
        <v>Q4-2024</v>
      </c>
      <c r="J344" s="3">
        <f t="shared" si="118"/>
        <v>44938</v>
      </c>
      <c r="K344" s="5" t="str">
        <f t="shared" si="119"/>
        <v>01-2023</v>
      </c>
      <c r="L344" t="s">
        <v>647</v>
      </c>
      <c r="M344" t="s">
        <v>659</v>
      </c>
      <c r="N344" t="s">
        <v>685</v>
      </c>
      <c r="O344" t="str">
        <f t="shared" si="120"/>
        <v>Shanghai</v>
      </c>
      <c r="P344" t="s">
        <v>705</v>
      </c>
      <c r="Q344" t="s">
        <v>710</v>
      </c>
      <c r="R344" t="str">
        <f t="shared" si="121"/>
        <v>Distributor</v>
      </c>
      <c r="S344" t="s">
        <v>714</v>
      </c>
      <c r="T344" t="str">
        <f t="shared" si="134"/>
        <v>I. Johnson</v>
      </c>
      <c r="U344" t="s">
        <v>729</v>
      </c>
      <c r="V344" t="str">
        <f t="shared" si="122"/>
        <v>High</v>
      </c>
      <c r="W344" t="s">
        <v>1240</v>
      </c>
      <c r="X344" t="str">
        <f t="shared" si="123"/>
        <v>B</v>
      </c>
      <c r="Y344" s="5">
        <v>1331.77</v>
      </c>
      <c r="Z344" s="5">
        <v>2606.11</v>
      </c>
      <c r="AA344" s="5">
        <f t="shared" si="124"/>
        <v>2606.11</v>
      </c>
      <c r="AB344" s="7">
        <v>0.02</v>
      </c>
      <c r="AC344" s="7">
        <f t="shared" si="125"/>
        <v>0.02</v>
      </c>
      <c r="AD344" s="16">
        <f t="shared" si="126"/>
        <v>0</v>
      </c>
      <c r="AE344" s="16">
        <v>6</v>
      </c>
      <c r="AF344" s="5">
        <f t="shared" si="127"/>
        <v>15323.926799999999</v>
      </c>
      <c r="AG344">
        <f t="shared" si="128"/>
        <v>7990.62</v>
      </c>
      <c r="AH344" s="5">
        <f t="shared" si="129"/>
        <v>7333.3067999999994</v>
      </c>
      <c r="AI344" s="5">
        <f t="shared" si="130"/>
        <v>0.47855271665745619</v>
      </c>
      <c r="AJ344" s="5">
        <f t="shared" si="133"/>
        <v>9257123.7463300079</v>
      </c>
      <c r="AK344" s="7">
        <f t="shared" si="131"/>
        <v>0.84572629530887833</v>
      </c>
      <c r="AL344" s="17">
        <f>MIN(AC344,'What-If Analysis'!$B$2)</f>
        <v>0.02</v>
      </c>
      <c r="AM344">
        <f>AE344*(1+'What-If Analysis'!$B$3)</f>
        <v>7.8000000000000007</v>
      </c>
      <c r="AN344">
        <f>Y344*(1+'What-If Analysis'!$B$4)</f>
        <v>1464.9470000000001</v>
      </c>
      <c r="AO344">
        <f t="shared" si="132"/>
        <v>19921.104840000004</v>
      </c>
    </row>
    <row r="345" spans="1:41" x14ac:dyDescent="0.3">
      <c r="A345" t="s">
        <v>629</v>
      </c>
      <c r="B345" s="3">
        <v>45727</v>
      </c>
      <c r="C345" s="3">
        <f t="shared" si="113"/>
        <v>45727</v>
      </c>
      <c r="D345" s="3">
        <v>45743</v>
      </c>
      <c r="E345" s="3">
        <f t="shared" si="114"/>
        <v>45743</v>
      </c>
      <c r="F345" s="16">
        <f t="shared" si="115"/>
        <v>16</v>
      </c>
      <c r="G345" s="16">
        <f>IF(Data!F351&lt;=7,1,0)</f>
        <v>1</v>
      </c>
      <c r="H345" s="5" t="str">
        <f t="shared" si="116"/>
        <v>03-2025</v>
      </c>
      <c r="I345" s="5" t="str">
        <f t="shared" si="117"/>
        <v>Q1-2025</v>
      </c>
      <c r="J345" s="3">
        <f t="shared" si="118"/>
        <v>44988</v>
      </c>
      <c r="K345" s="5" t="str">
        <f t="shared" si="119"/>
        <v>03-2023</v>
      </c>
      <c r="L345" t="s">
        <v>647</v>
      </c>
      <c r="M345" t="s">
        <v>652</v>
      </c>
      <c r="N345" t="s">
        <v>689</v>
      </c>
      <c r="O345" t="str">
        <f t="shared" si="120"/>
        <v>Tokyo</v>
      </c>
      <c r="P345" t="s">
        <v>706</v>
      </c>
      <c r="Q345" t="s">
        <v>710</v>
      </c>
      <c r="R345" t="str">
        <f t="shared" si="121"/>
        <v>Distributor</v>
      </c>
      <c r="S345" t="s">
        <v>717</v>
      </c>
      <c r="T345" t="str">
        <f t="shared" si="134"/>
        <v>B. Chen</v>
      </c>
      <c r="U345" t="s">
        <v>728</v>
      </c>
      <c r="V345" t="str">
        <f t="shared" si="122"/>
        <v>High</v>
      </c>
      <c r="W345" t="s">
        <v>1347</v>
      </c>
      <c r="X345" t="str">
        <f t="shared" si="123"/>
        <v>B</v>
      </c>
      <c r="Y345" s="5">
        <v>1317.58</v>
      </c>
      <c r="Z345" s="5">
        <v>1897.74</v>
      </c>
      <c r="AA345" s="5">
        <f t="shared" si="124"/>
        <v>1897.74</v>
      </c>
      <c r="AB345" s="7">
        <v>8.1000000000000003E-2</v>
      </c>
      <c r="AC345" s="7">
        <f t="shared" si="125"/>
        <v>8.1000000000000003E-2</v>
      </c>
      <c r="AD345" s="16">
        <f t="shared" si="126"/>
        <v>0</v>
      </c>
      <c r="AE345" s="16">
        <v>6</v>
      </c>
      <c r="AF345" s="5">
        <f t="shared" si="127"/>
        <v>10464.138360000001</v>
      </c>
      <c r="AG345">
        <f t="shared" si="128"/>
        <v>7905.48</v>
      </c>
      <c r="AH345" s="5">
        <f t="shared" si="129"/>
        <v>2558.6583600000013</v>
      </c>
      <c r="AI345" s="5">
        <f t="shared" si="130"/>
        <v>0.24451687009230266</v>
      </c>
      <c r="AJ345" s="5">
        <f t="shared" si="133"/>
        <v>9267587.8846900072</v>
      </c>
      <c r="AK345" s="7">
        <f t="shared" si="131"/>
        <v>0.84668229386861571</v>
      </c>
      <c r="AL345" s="17">
        <f>MIN(AC345,'What-If Analysis'!$B$2)</f>
        <v>8.1000000000000003E-2</v>
      </c>
      <c r="AM345">
        <f>AE345*(1+'What-If Analysis'!$B$3)</f>
        <v>7.8000000000000007</v>
      </c>
      <c r="AN345">
        <f>Y345*(1+'What-If Analysis'!$B$4)</f>
        <v>1449.338</v>
      </c>
      <c r="AO345">
        <f t="shared" si="132"/>
        <v>13603.379868000002</v>
      </c>
    </row>
    <row r="346" spans="1:41" x14ac:dyDescent="0.3">
      <c r="A346" t="s">
        <v>419</v>
      </c>
      <c r="B346" s="3">
        <v>44991</v>
      </c>
      <c r="C346" s="3">
        <f t="shared" si="113"/>
        <v>44991</v>
      </c>
      <c r="D346" s="3">
        <v>45020</v>
      </c>
      <c r="E346" s="3">
        <f t="shared" si="114"/>
        <v>45020</v>
      </c>
      <c r="F346" s="16">
        <f t="shared" si="115"/>
        <v>29</v>
      </c>
      <c r="G346" s="16">
        <f>IF(Data!F289&lt;=7,1,0)</f>
        <v>0</v>
      </c>
      <c r="H346" s="5" t="str">
        <f t="shared" si="116"/>
        <v>03-2023</v>
      </c>
      <c r="I346" s="5" t="str">
        <f t="shared" si="117"/>
        <v>Q1-2023</v>
      </c>
      <c r="J346" s="3">
        <f t="shared" si="118"/>
        <v>44938</v>
      </c>
      <c r="K346" s="5" t="str">
        <f t="shared" si="119"/>
        <v>01-2023</v>
      </c>
      <c r="L346" t="s">
        <v>647</v>
      </c>
      <c r="M346" t="s">
        <v>659</v>
      </c>
      <c r="N346" t="s">
        <v>699</v>
      </c>
      <c r="O346" t="str">
        <f t="shared" si="120"/>
        <v>Beijing</v>
      </c>
      <c r="P346" t="s">
        <v>705</v>
      </c>
      <c r="Q346" t="s">
        <v>711</v>
      </c>
      <c r="R346" t="str">
        <f t="shared" si="121"/>
        <v>Direct</v>
      </c>
      <c r="S346" t="s">
        <v>712</v>
      </c>
      <c r="T346" t="str">
        <f t="shared" si="134"/>
        <v>C. Otieno</v>
      </c>
      <c r="U346" t="s">
        <v>732</v>
      </c>
      <c r="V346" t="str">
        <f t="shared" si="122"/>
        <v>High</v>
      </c>
      <c r="W346" t="s">
        <v>1138</v>
      </c>
      <c r="X346" t="str">
        <f t="shared" si="123"/>
        <v>B</v>
      </c>
      <c r="Y346" s="5">
        <v>1126.29</v>
      </c>
      <c r="Z346" s="5">
        <v>2050.87</v>
      </c>
      <c r="AA346" s="5">
        <f t="shared" si="124"/>
        <v>2050.87</v>
      </c>
      <c r="AB346" s="7">
        <v>6.4000000000000001E-2</v>
      </c>
      <c r="AC346" s="7">
        <f t="shared" si="125"/>
        <v>6.4000000000000001E-2</v>
      </c>
      <c r="AD346" s="16">
        <f t="shared" si="126"/>
        <v>0</v>
      </c>
      <c r="AE346" s="16">
        <v>7</v>
      </c>
      <c r="AF346" s="5">
        <f t="shared" si="127"/>
        <v>13437.300239999999</v>
      </c>
      <c r="AG346">
        <f t="shared" si="128"/>
        <v>7884.03</v>
      </c>
      <c r="AH346" s="5">
        <f t="shared" si="129"/>
        <v>5553.2702399999989</v>
      </c>
      <c r="AI346" s="5">
        <f t="shared" si="130"/>
        <v>0.41327276616690373</v>
      </c>
      <c r="AJ346" s="5">
        <f t="shared" si="133"/>
        <v>9281025.1849300079</v>
      </c>
      <c r="AK346" s="7">
        <f t="shared" si="131"/>
        <v>0.84790991904273461</v>
      </c>
      <c r="AL346" s="17">
        <f>MIN(AC346,'What-If Analysis'!$B$2)</f>
        <v>6.4000000000000001E-2</v>
      </c>
      <c r="AM346">
        <f>AE346*(1+'What-If Analysis'!$B$3)</f>
        <v>9.1</v>
      </c>
      <c r="AN346">
        <f>Y346*(1+'What-If Analysis'!$B$4)</f>
        <v>1238.9190000000001</v>
      </c>
      <c r="AO346">
        <f t="shared" si="132"/>
        <v>17468.490311999998</v>
      </c>
    </row>
    <row r="347" spans="1:41" x14ac:dyDescent="0.3">
      <c r="A347" t="s">
        <v>339</v>
      </c>
      <c r="B347" s="3">
        <v>45053</v>
      </c>
      <c r="C347" s="3">
        <f t="shared" si="113"/>
        <v>45053</v>
      </c>
      <c r="D347" s="3">
        <v>45075</v>
      </c>
      <c r="E347" s="3">
        <f t="shared" si="114"/>
        <v>45075</v>
      </c>
      <c r="F347" s="16">
        <f t="shared" si="115"/>
        <v>22</v>
      </c>
      <c r="G347" s="16">
        <f>IF(Data!F366&lt;=7,1,0)</f>
        <v>0</v>
      </c>
      <c r="H347" s="5" t="str">
        <f t="shared" si="116"/>
        <v>05-2023</v>
      </c>
      <c r="I347" s="5" t="str">
        <f t="shared" si="117"/>
        <v>Q2-2023</v>
      </c>
      <c r="J347" s="3">
        <f t="shared" si="118"/>
        <v>44933</v>
      </c>
      <c r="K347" s="5" t="str">
        <f t="shared" si="119"/>
        <v>01-2023</v>
      </c>
      <c r="L347" t="s">
        <v>646</v>
      </c>
      <c r="M347" t="s">
        <v>661</v>
      </c>
      <c r="N347" t="s">
        <v>687</v>
      </c>
      <c r="O347" t="str">
        <f t="shared" si="120"/>
        <v>Durban</v>
      </c>
      <c r="P347" t="s">
        <v>702</v>
      </c>
      <c r="Q347" t="s">
        <v>710</v>
      </c>
      <c r="R347" t="str">
        <f t="shared" si="121"/>
        <v>Distributor</v>
      </c>
      <c r="S347" t="s">
        <v>723</v>
      </c>
      <c r="T347" t="str">
        <f t="shared" si="134"/>
        <v>K. Singh</v>
      </c>
      <c r="U347" t="s">
        <v>733</v>
      </c>
      <c r="V347" t="str">
        <f t="shared" si="122"/>
        <v>Medium</v>
      </c>
      <c r="W347" t="s">
        <v>1059</v>
      </c>
      <c r="X347" t="str">
        <f t="shared" si="123"/>
        <v>B</v>
      </c>
      <c r="Y347" s="5">
        <v>653.86</v>
      </c>
      <c r="Z347" s="5">
        <v>931.84</v>
      </c>
      <c r="AA347" s="5">
        <f t="shared" si="124"/>
        <v>931.84</v>
      </c>
      <c r="AB347" s="7">
        <v>0.121</v>
      </c>
      <c r="AC347" s="7">
        <f t="shared" si="125"/>
        <v>0.121</v>
      </c>
      <c r="AD347" s="16">
        <f t="shared" si="126"/>
        <v>0</v>
      </c>
      <c r="AE347" s="16">
        <v>12</v>
      </c>
      <c r="AF347" s="5">
        <f t="shared" si="127"/>
        <v>9829.0483199999999</v>
      </c>
      <c r="AG347">
        <f t="shared" si="128"/>
        <v>7846.32</v>
      </c>
      <c r="AH347" s="5">
        <f t="shared" si="129"/>
        <v>1982.7283200000002</v>
      </c>
      <c r="AI347" s="5">
        <f t="shared" si="130"/>
        <v>0.20172129136506273</v>
      </c>
      <c r="AJ347" s="5">
        <f t="shared" si="133"/>
        <v>9290854.233250007</v>
      </c>
      <c r="AK347" s="7">
        <f t="shared" si="131"/>
        <v>0.84880789608721141</v>
      </c>
      <c r="AL347" s="17">
        <f>MIN(AC347,'What-If Analysis'!$B$2)</f>
        <v>0.121</v>
      </c>
      <c r="AM347">
        <f>AE347*(1+'What-If Analysis'!$B$3)</f>
        <v>15.600000000000001</v>
      </c>
      <c r="AN347">
        <f>Y347*(1+'What-If Analysis'!$B$4)</f>
        <v>719.24600000000009</v>
      </c>
      <c r="AO347">
        <f t="shared" si="132"/>
        <v>12777.762816000002</v>
      </c>
    </row>
    <row r="348" spans="1:41" x14ac:dyDescent="0.3">
      <c r="A348" t="s">
        <v>23</v>
      </c>
      <c r="B348" s="3">
        <v>45416</v>
      </c>
      <c r="C348" s="3">
        <f t="shared" si="113"/>
        <v>45416</v>
      </c>
      <c r="D348" s="3">
        <v>45441</v>
      </c>
      <c r="E348" s="3">
        <f t="shared" si="114"/>
        <v>45441</v>
      </c>
      <c r="F348" s="16">
        <f t="shared" si="115"/>
        <v>25</v>
      </c>
      <c r="G348" s="16">
        <f>IF(Data!F269&lt;=7,1,0)</f>
        <v>0</v>
      </c>
      <c r="H348" s="5" t="str">
        <f t="shared" si="116"/>
        <v>05-2024</v>
      </c>
      <c r="I348" s="5" t="str">
        <f t="shared" si="117"/>
        <v>Q2-2024</v>
      </c>
      <c r="J348" s="3">
        <f t="shared" si="118"/>
        <v>44939</v>
      </c>
      <c r="K348" s="5" t="str">
        <f t="shared" si="119"/>
        <v>01-2023</v>
      </c>
      <c r="L348" t="s">
        <v>646</v>
      </c>
      <c r="M348" t="s">
        <v>651</v>
      </c>
      <c r="N348" t="s">
        <v>669</v>
      </c>
      <c r="O348" t="str">
        <f t="shared" si="120"/>
        <v>Abuja</v>
      </c>
      <c r="P348" t="s">
        <v>703</v>
      </c>
      <c r="Q348" t="s">
        <v>709</v>
      </c>
      <c r="R348" t="str">
        <f t="shared" si="121"/>
        <v>Marketplace</v>
      </c>
      <c r="S348" t="s">
        <v>719</v>
      </c>
      <c r="T348" t="str">
        <f t="shared" si="134"/>
        <v>O. Wang</v>
      </c>
      <c r="U348" t="s">
        <v>732</v>
      </c>
      <c r="V348" t="str">
        <f t="shared" si="122"/>
        <v>High</v>
      </c>
      <c r="W348" t="s">
        <v>742</v>
      </c>
      <c r="X348" t="str">
        <f t="shared" si="123"/>
        <v>B</v>
      </c>
      <c r="Y348" s="5">
        <v>1295.3399999999999</v>
      </c>
      <c r="Z348" s="5">
        <v>2530.81</v>
      </c>
      <c r="AA348" s="5">
        <f t="shared" si="124"/>
        <v>2530.81</v>
      </c>
      <c r="AB348" s="7">
        <v>3.1E-2</v>
      </c>
      <c r="AC348" s="7">
        <f t="shared" si="125"/>
        <v>3.1E-2</v>
      </c>
      <c r="AD348" s="16">
        <f t="shared" si="126"/>
        <v>0</v>
      </c>
      <c r="AE348" s="16">
        <v>6</v>
      </c>
      <c r="AF348" s="5">
        <f t="shared" si="127"/>
        <v>14714.12934</v>
      </c>
      <c r="AG348">
        <f t="shared" si="128"/>
        <v>7772.0399999999991</v>
      </c>
      <c r="AH348" s="5">
        <f t="shared" si="129"/>
        <v>6942.0893400000004</v>
      </c>
      <c r="AI348" s="5">
        <f t="shared" si="130"/>
        <v>0.4717974933880798</v>
      </c>
      <c r="AJ348" s="5">
        <f t="shared" si="133"/>
        <v>9305568.3625900075</v>
      </c>
      <c r="AK348" s="7">
        <f t="shared" si="131"/>
        <v>0.85015217174306479</v>
      </c>
      <c r="AL348" s="17">
        <f>MIN(AC348,'What-If Analysis'!$B$2)</f>
        <v>3.1E-2</v>
      </c>
      <c r="AM348">
        <f>AE348*(1+'What-If Analysis'!$B$3)</f>
        <v>7.8000000000000007</v>
      </c>
      <c r="AN348">
        <f>Y348*(1+'What-If Analysis'!$B$4)</f>
        <v>1424.874</v>
      </c>
      <c r="AO348">
        <f t="shared" si="132"/>
        <v>19128.368142000003</v>
      </c>
    </row>
    <row r="349" spans="1:41" x14ac:dyDescent="0.3">
      <c r="A349" t="s">
        <v>486</v>
      </c>
      <c r="B349" s="3">
        <v>45841</v>
      </c>
      <c r="C349" s="3">
        <f t="shared" si="113"/>
        <v>45841</v>
      </c>
      <c r="D349" s="3">
        <v>45861</v>
      </c>
      <c r="E349" s="3">
        <f t="shared" si="114"/>
        <v>45861</v>
      </c>
      <c r="F349" s="16">
        <f t="shared" si="115"/>
        <v>20</v>
      </c>
      <c r="G349" s="16">
        <f>IF(Data!F255&lt;=7,1,0)</f>
        <v>0</v>
      </c>
      <c r="H349" s="5" t="str">
        <f t="shared" si="116"/>
        <v>07-2025</v>
      </c>
      <c r="I349" s="5" t="str">
        <f t="shared" si="117"/>
        <v>Q3-2025</v>
      </c>
      <c r="J349" s="3">
        <f t="shared" si="118"/>
        <v>44938</v>
      </c>
      <c r="K349" s="5" t="str">
        <f t="shared" si="119"/>
        <v>01-2023</v>
      </c>
      <c r="L349" t="s">
        <v>647</v>
      </c>
      <c r="M349" t="s">
        <v>659</v>
      </c>
      <c r="N349" t="s">
        <v>699</v>
      </c>
      <c r="O349" t="str">
        <f t="shared" si="120"/>
        <v>Beijing</v>
      </c>
      <c r="P349" t="s">
        <v>705</v>
      </c>
      <c r="Q349" t="s">
        <v>708</v>
      </c>
      <c r="R349" t="str">
        <f t="shared" si="121"/>
        <v>Online</v>
      </c>
      <c r="S349" t="s">
        <v>724</v>
      </c>
      <c r="T349" t="str">
        <f t="shared" si="134"/>
        <v>M. Rossi</v>
      </c>
      <c r="U349" t="s">
        <v>727</v>
      </c>
      <c r="V349" t="str">
        <f t="shared" si="122"/>
        <v>Medium</v>
      </c>
      <c r="W349" t="s">
        <v>1205</v>
      </c>
      <c r="X349" t="str">
        <f t="shared" si="123"/>
        <v>B</v>
      </c>
      <c r="Y349" s="5">
        <v>647.36</v>
      </c>
      <c r="Z349" s="5">
        <v>1383.6</v>
      </c>
      <c r="AA349" s="5">
        <f t="shared" si="124"/>
        <v>1383.6</v>
      </c>
      <c r="AB349" s="7">
        <v>7.3999999999999996E-2</v>
      </c>
      <c r="AC349" s="7">
        <f t="shared" si="125"/>
        <v>7.3999999999999996E-2</v>
      </c>
      <c r="AD349" s="16">
        <f t="shared" si="126"/>
        <v>0</v>
      </c>
      <c r="AE349" s="16">
        <v>12</v>
      </c>
      <c r="AF349" s="5">
        <f t="shared" si="127"/>
        <v>15374.563199999999</v>
      </c>
      <c r="AG349">
        <f t="shared" si="128"/>
        <v>7768.32</v>
      </c>
      <c r="AH349" s="5">
        <f t="shared" si="129"/>
        <v>7606.243199999999</v>
      </c>
      <c r="AI349" s="5">
        <f t="shared" si="130"/>
        <v>0.49472906000997802</v>
      </c>
      <c r="AJ349" s="5">
        <f t="shared" si="133"/>
        <v>9320942.9257900082</v>
      </c>
      <c r="AK349" s="7">
        <f t="shared" si="131"/>
        <v>0.85155678431317161</v>
      </c>
      <c r="AL349" s="17">
        <f>MIN(AC349,'What-If Analysis'!$B$2)</f>
        <v>7.3999999999999996E-2</v>
      </c>
      <c r="AM349">
        <f>AE349*(1+'What-If Analysis'!$B$3)</f>
        <v>15.600000000000001</v>
      </c>
      <c r="AN349">
        <f>Y349*(1+'What-If Analysis'!$B$4)</f>
        <v>712.09600000000012</v>
      </c>
      <c r="AO349">
        <f t="shared" si="132"/>
        <v>19986.93216</v>
      </c>
    </row>
    <row r="350" spans="1:41" x14ac:dyDescent="0.3">
      <c r="A350" t="s">
        <v>295</v>
      </c>
      <c r="B350" s="3">
        <v>45730</v>
      </c>
      <c r="C350" s="3">
        <f t="shared" si="113"/>
        <v>45730</v>
      </c>
      <c r="D350" s="3">
        <v>45745</v>
      </c>
      <c r="E350" s="3">
        <f t="shared" si="114"/>
        <v>45745</v>
      </c>
      <c r="F350" s="16">
        <f t="shared" si="115"/>
        <v>15</v>
      </c>
      <c r="G350" s="16">
        <f>IF(Data!F290&lt;=7,1,0)</f>
        <v>0</v>
      </c>
      <c r="H350" s="5" t="str">
        <f t="shared" si="116"/>
        <v>03-2025</v>
      </c>
      <c r="I350" s="5" t="str">
        <f t="shared" si="117"/>
        <v>Q1-2025</v>
      </c>
      <c r="J350" s="3">
        <f t="shared" si="118"/>
        <v>44988</v>
      </c>
      <c r="K350" s="5" t="str">
        <f t="shared" si="119"/>
        <v>03-2023</v>
      </c>
      <c r="L350" t="s">
        <v>647</v>
      </c>
      <c r="M350" t="s">
        <v>652</v>
      </c>
      <c r="N350" t="s">
        <v>689</v>
      </c>
      <c r="O350" t="str">
        <f t="shared" si="120"/>
        <v>Tokyo</v>
      </c>
      <c r="P350" t="s">
        <v>703</v>
      </c>
      <c r="Q350" t="s">
        <v>711</v>
      </c>
      <c r="R350" t="str">
        <f t="shared" si="121"/>
        <v>Direct</v>
      </c>
      <c r="S350" t="s">
        <v>722</v>
      </c>
      <c r="T350" t="str">
        <f t="shared" si="134"/>
        <v>H. Kim</v>
      </c>
      <c r="U350" t="s">
        <v>729</v>
      </c>
      <c r="V350" t="str">
        <f t="shared" si="122"/>
        <v>High</v>
      </c>
      <c r="W350" t="s">
        <v>1015</v>
      </c>
      <c r="X350" t="str">
        <f t="shared" si="123"/>
        <v>B</v>
      </c>
      <c r="Y350" s="5">
        <v>1106.96</v>
      </c>
      <c r="Z350" s="5">
        <v>2726.62</v>
      </c>
      <c r="AA350" s="5">
        <f t="shared" si="124"/>
        <v>2726.62</v>
      </c>
      <c r="AB350" s="7">
        <v>0.317</v>
      </c>
      <c r="AC350" s="7">
        <f t="shared" si="125"/>
        <v>0.3</v>
      </c>
      <c r="AD350" s="16">
        <f t="shared" si="126"/>
        <v>1</v>
      </c>
      <c r="AE350" s="16">
        <v>7</v>
      </c>
      <c r="AF350" s="5">
        <f t="shared" si="127"/>
        <v>13360.438</v>
      </c>
      <c r="AG350">
        <f t="shared" si="128"/>
        <v>7748.72</v>
      </c>
      <c r="AH350" s="5">
        <f t="shared" si="129"/>
        <v>5611.7179999999998</v>
      </c>
      <c r="AI350" s="5">
        <f t="shared" si="130"/>
        <v>0.42002500217432992</v>
      </c>
      <c r="AJ350" s="5">
        <f t="shared" si="133"/>
        <v>9334303.3637900073</v>
      </c>
      <c r="AK350" s="7">
        <f t="shared" si="131"/>
        <v>0.852777387390658</v>
      </c>
      <c r="AL350" s="17">
        <f>MIN(AC350,'What-If Analysis'!$B$2)</f>
        <v>0.2</v>
      </c>
      <c r="AM350">
        <f>AE350*(1+'What-If Analysis'!$B$3)</f>
        <v>9.1</v>
      </c>
      <c r="AN350">
        <f>Y350*(1+'What-If Analysis'!$B$4)</f>
        <v>1217.6560000000002</v>
      </c>
      <c r="AO350">
        <f t="shared" si="132"/>
        <v>19849.793600000001</v>
      </c>
    </row>
    <row r="351" spans="1:41" x14ac:dyDescent="0.3">
      <c r="A351" t="s">
        <v>573</v>
      </c>
      <c r="B351" s="3">
        <v>45430</v>
      </c>
      <c r="C351" s="3">
        <f t="shared" si="113"/>
        <v>45430</v>
      </c>
      <c r="D351" s="3">
        <v>45434</v>
      </c>
      <c r="E351" s="3">
        <f t="shared" si="114"/>
        <v>45434</v>
      </c>
      <c r="F351" s="16">
        <f t="shared" si="115"/>
        <v>4</v>
      </c>
      <c r="G351" s="16">
        <f>IF(Data!F296&lt;=7,1,0)</f>
        <v>0</v>
      </c>
      <c r="H351" s="5" t="str">
        <f t="shared" si="116"/>
        <v>05-2024</v>
      </c>
      <c r="I351" s="5" t="str">
        <f t="shared" si="117"/>
        <v>Q2-2024</v>
      </c>
      <c r="J351" s="3">
        <f t="shared" si="118"/>
        <v>44946</v>
      </c>
      <c r="K351" s="5" t="str">
        <f t="shared" si="119"/>
        <v>01-2023</v>
      </c>
      <c r="L351" t="s">
        <v>646</v>
      </c>
      <c r="M351" t="s">
        <v>650</v>
      </c>
      <c r="N351" t="s">
        <v>664</v>
      </c>
      <c r="O351" t="str">
        <f t="shared" si="120"/>
        <v>Nairobi</v>
      </c>
      <c r="P351" t="s">
        <v>701</v>
      </c>
      <c r="Q351" t="s">
        <v>711</v>
      </c>
      <c r="R351" t="str">
        <f t="shared" si="121"/>
        <v>Direct</v>
      </c>
      <c r="S351" t="s">
        <v>722</v>
      </c>
      <c r="T351" t="str">
        <f t="shared" si="134"/>
        <v>H. Kim</v>
      </c>
      <c r="U351" t="s">
        <v>733</v>
      </c>
      <c r="V351" t="str">
        <f t="shared" si="122"/>
        <v>High</v>
      </c>
      <c r="W351" t="s">
        <v>1291</v>
      </c>
      <c r="X351" t="str">
        <f t="shared" si="123"/>
        <v>B</v>
      </c>
      <c r="Y351" s="5">
        <v>857.42</v>
      </c>
      <c r="Z351" s="5">
        <v>1658.92</v>
      </c>
      <c r="AA351" s="5">
        <f t="shared" si="124"/>
        <v>1658.92</v>
      </c>
      <c r="AB351" s="7">
        <v>0.122</v>
      </c>
      <c r="AC351" s="7">
        <f t="shared" si="125"/>
        <v>0.122</v>
      </c>
      <c r="AD351" s="16">
        <f t="shared" si="126"/>
        <v>0</v>
      </c>
      <c r="AE351" s="16">
        <v>9</v>
      </c>
      <c r="AF351" s="5">
        <f t="shared" si="127"/>
        <v>13108.78584</v>
      </c>
      <c r="AG351">
        <f t="shared" si="128"/>
        <v>7716.78</v>
      </c>
      <c r="AH351" s="5">
        <f t="shared" si="129"/>
        <v>5392.0058400000007</v>
      </c>
      <c r="AI351" s="5">
        <f t="shared" si="130"/>
        <v>0.41132763215544305</v>
      </c>
      <c r="AJ351" s="5">
        <f t="shared" si="133"/>
        <v>9347412.1496300064</v>
      </c>
      <c r="AK351" s="7">
        <f t="shared" si="131"/>
        <v>0.85397499964995782</v>
      </c>
      <c r="AL351" s="17">
        <f>MIN(AC351,'What-If Analysis'!$B$2)</f>
        <v>0.122</v>
      </c>
      <c r="AM351">
        <f>AE351*(1+'What-If Analysis'!$B$3)</f>
        <v>11.700000000000001</v>
      </c>
      <c r="AN351">
        <f>Y351*(1+'What-If Analysis'!$B$4)</f>
        <v>943.16200000000003</v>
      </c>
      <c r="AO351">
        <f t="shared" si="132"/>
        <v>17041.421592000002</v>
      </c>
    </row>
    <row r="352" spans="1:41" x14ac:dyDescent="0.3">
      <c r="A352" t="s">
        <v>537</v>
      </c>
      <c r="B352" s="3">
        <v>45406</v>
      </c>
      <c r="C352" s="3">
        <f t="shared" si="113"/>
        <v>45406</v>
      </c>
      <c r="D352" s="3">
        <v>45422</v>
      </c>
      <c r="E352" s="3">
        <f t="shared" si="114"/>
        <v>45422</v>
      </c>
      <c r="F352" s="16">
        <f t="shared" si="115"/>
        <v>16</v>
      </c>
      <c r="G352" s="16">
        <f>IF(Data!F244&lt;=7,1,0)</f>
        <v>0</v>
      </c>
      <c r="H352" s="5" t="str">
        <f t="shared" si="116"/>
        <v>04-2024</v>
      </c>
      <c r="I352" s="5" t="str">
        <f t="shared" si="117"/>
        <v>Q2-2024</v>
      </c>
      <c r="J352" s="3">
        <f t="shared" si="118"/>
        <v>44946</v>
      </c>
      <c r="K352" s="5" t="str">
        <f t="shared" si="119"/>
        <v>01-2023</v>
      </c>
      <c r="L352" t="s">
        <v>646</v>
      </c>
      <c r="M352" t="s">
        <v>650</v>
      </c>
      <c r="N352" t="s">
        <v>662</v>
      </c>
      <c r="O352" t="str">
        <f t="shared" si="120"/>
        <v>Kisumu</v>
      </c>
      <c r="P352" t="s">
        <v>703</v>
      </c>
      <c r="Q352" t="s">
        <v>708</v>
      </c>
      <c r="R352" t="str">
        <f t="shared" si="121"/>
        <v>Online</v>
      </c>
      <c r="S352" t="s">
        <v>725</v>
      </c>
      <c r="T352" t="str">
        <f t="shared" si="134"/>
        <v>N. Brown</v>
      </c>
      <c r="U352" t="s">
        <v>732</v>
      </c>
      <c r="V352" t="str">
        <f t="shared" si="122"/>
        <v>Medium</v>
      </c>
      <c r="W352" t="s">
        <v>1256</v>
      </c>
      <c r="X352" t="str">
        <f t="shared" si="123"/>
        <v>B</v>
      </c>
      <c r="Y352" s="5">
        <v>513.30999999999995</v>
      </c>
      <c r="Z352" s="5">
        <v>1186.26</v>
      </c>
      <c r="AA352" s="5">
        <f t="shared" si="124"/>
        <v>1186.26</v>
      </c>
      <c r="AB352" s="7">
        <v>9.4E-2</v>
      </c>
      <c r="AC352" s="7">
        <f t="shared" si="125"/>
        <v>9.4E-2</v>
      </c>
      <c r="AD352" s="16">
        <f t="shared" si="126"/>
        <v>0</v>
      </c>
      <c r="AE352" s="16">
        <v>15</v>
      </c>
      <c r="AF352" s="5">
        <f t="shared" si="127"/>
        <v>16121.273400000002</v>
      </c>
      <c r="AG352">
        <f t="shared" si="128"/>
        <v>7699.65</v>
      </c>
      <c r="AH352" s="5">
        <f t="shared" si="129"/>
        <v>8421.6234000000022</v>
      </c>
      <c r="AI352" s="5">
        <f t="shared" si="130"/>
        <v>0.52239194702820446</v>
      </c>
      <c r="AJ352" s="5">
        <f t="shared" si="133"/>
        <v>9363533.4230300058</v>
      </c>
      <c r="AK352" s="7">
        <f t="shared" si="131"/>
        <v>0.85544783129851909</v>
      </c>
      <c r="AL352" s="17">
        <f>MIN(AC352,'What-If Analysis'!$B$2)</f>
        <v>9.4E-2</v>
      </c>
      <c r="AM352">
        <f>AE352*(1+'What-If Analysis'!$B$3)</f>
        <v>19.5</v>
      </c>
      <c r="AN352">
        <f>Y352*(1+'What-If Analysis'!$B$4)</f>
        <v>564.64099999999996</v>
      </c>
      <c r="AO352">
        <f t="shared" si="132"/>
        <v>20957.655419999999</v>
      </c>
    </row>
    <row r="353" spans="1:41" x14ac:dyDescent="0.3">
      <c r="A353" t="s">
        <v>113</v>
      </c>
      <c r="B353" s="3">
        <v>45860</v>
      </c>
      <c r="C353" s="3">
        <f t="shared" si="113"/>
        <v>45860</v>
      </c>
      <c r="D353" s="3">
        <v>45887</v>
      </c>
      <c r="E353" s="3">
        <f t="shared" si="114"/>
        <v>45887</v>
      </c>
      <c r="F353" s="16">
        <f t="shared" si="115"/>
        <v>27</v>
      </c>
      <c r="G353" s="16">
        <f>IF(Data!F482&lt;=7,1,0)</f>
        <v>0</v>
      </c>
      <c r="H353" s="5" t="str">
        <f t="shared" si="116"/>
        <v>07-2025</v>
      </c>
      <c r="I353" s="5" t="str">
        <f t="shared" si="117"/>
        <v>Q3-2025</v>
      </c>
      <c r="J353" s="3">
        <f t="shared" si="118"/>
        <v>44938</v>
      </c>
      <c r="K353" s="5" t="str">
        <f t="shared" si="119"/>
        <v>01-2023</v>
      </c>
      <c r="L353" t="s">
        <v>647</v>
      </c>
      <c r="M353" t="s">
        <v>659</v>
      </c>
      <c r="N353" t="s">
        <v>676</v>
      </c>
      <c r="O353" t="str">
        <f t="shared" si="120"/>
        <v>Shenzhen</v>
      </c>
      <c r="P353" t="s">
        <v>703</v>
      </c>
      <c r="Q353" t="s">
        <v>709</v>
      </c>
      <c r="R353" t="str">
        <f t="shared" si="121"/>
        <v>Marketplace</v>
      </c>
      <c r="S353" t="s">
        <v>724</v>
      </c>
      <c r="T353" t="str">
        <f t="shared" si="134"/>
        <v>M. Rossi</v>
      </c>
      <c r="U353" t="s">
        <v>729</v>
      </c>
      <c r="V353" t="str">
        <f t="shared" si="122"/>
        <v>Low</v>
      </c>
      <c r="W353" t="s">
        <v>832</v>
      </c>
      <c r="X353" t="str">
        <f t="shared" si="123"/>
        <v>B</v>
      </c>
      <c r="Y353" s="5">
        <v>547.32000000000005</v>
      </c>
      <c r="Z353" s="5">
        <v>419.17</v>
      </c>
      <c r="AA353" s="5">
        <f t="shared" si="124"/>
        <v>419.17</v>
      </c>
      <c r="AB353" s="7">
        <v>9.1999999999999998E-2</v>
      </c>
      <c r="AC353" s="7">
        <f t="shared" si="125"/>
        <v>9.1999999999999998E-2</v>
      </c>
      <c r="AD353" s="16">
        <f t="shared" si="126"/>
        <v>0</v>
      </c>
      <c r="AE353" s="16">
        <v>14</v>
      </c>
      <c r="AF353" s="5">
        <f t="shared" si="127"/>
        <v>5328.4890400000004</v>
      </c>
      <c r="AG353">
        <f t="shared" si="128"/>
        <v>7662.4800000000005</v>
      </c>
      <c r="AH353" s="5">
        <f t="shared" si="129"/>
        <v>2333.9909600000001</v>
      </c>
      <c r="AI353" s="5">
        <f t="shared" si="130"/>
        <v>0.43802116181137907</v>
      </c>
      <c r="AJ353" s="5">
        <f t="shared" si="133"/>
        <v>9368861.9120700061</v>
      </c>
      <c r="AK353" s="7">
        <f t="shared" si="131"/>
        <v>0.85593463944961246</v>
      </c>
      <c r="AL353" s="17">
        <f>MIN(AC353,'What-If Analysis'!$B$2)</f>
        <v>9.1999999999999998E-2</v>
      </c>
      <c r="AM353">
        <f>AE353*(1+'What-If Analysis'!$B$3)</f>
        <v>18.2</v>
      </c>
      <c r="AN353">
        <f>Y353*(1+'What-If Analysis'!$B$4)</f>
        <v>602.05200000000013</v>
      </c>
      <c r="AO353">
        <f t="shared" si="132"/>
        <v>6927.0357520000007</v>
      </c>
    </row>
    <row r="354" spans="1:41" x14ac:dyDescent="0.3">
      <c r="A354" t="s">
        <v>467</v>
      </c>
      <c r="B354" s="3">
        <v>45817</v>
      </c>
      <c r="C354" s="3">
        <f t="shared" si="113"/>
        <v>45817</v>
      </c>
      <c r="D354" s="3">
        <v>45832</v>
      </c>
      <c r="E354" s="3">
        <f t="shared" si="114"/>
        <v>45832</v>
      </c>
      <c r="F354" s="16">
        <f t="shared" si="115"/>
        <v>15</v>
      </c>
      <c r="G354" s="16">
        <f>IF(Data!F321&lt;=7,1,0)</f>
        <v>1</v>
      </c>
      <c r="H354" s="5" t="str">
        <f t="shared" si="116"/>
        <v>06-2025</v>
      </c>
      <c r="I354" s="5" t="str">
        <f t="shared" si="117"/>
        <v>Q2-2025</v>
      </c>
      <c r="J354" s="3">
        <f t="shared" si="118"/>
        <v>44988</v>
      </c>
      <c r="K354" s="5" t="str">
        <f t="shared" si="119"/>
        <v>03-2023</v>
      </c>
      <c r="L354" t="s">
        <v>647</v>
      </c>
      <c r="M354" t="s">
        <v>652</v>
      </c>
      <c r="N354" t="s">
        <v>694</v>
      </c>
      <c r="O354" t="str">
        <f t="shared" si="120"/>
        <v>Nagoya</v>
      </c>
      <c r="P354" t="s">
        <v>701</v>
      </c>
      <c r="Q354" t="s">
        <v>711</v>
      </c>
      <c r="R354" t="str">
        <f t="shared" si="121"/>
        <v>Direct</v>
      </c>
      <c r="S354" t="s">
        <v>717</v>
      </c>
      <c r="T354" t="str">
        <f t="shared" si="134"/>
        <v>B. Chen</v>
      </c>
      <c r="U354" t="s">
        <v>730</v>
      </c>
      <c r="V354" t="str">
        <f t="shared" si="122"/>
        <v>Low</v>
      </c>
      <c r="W354" t="s">
        <v>1186</v>
      </c>
      <c r="X354" t="str">
        <f t="shared" si="123"/>
        <v>B</v>
      </c>
      <c r="Y354" s="5">
        <v>400.39</v>
      </c>
      <c r="Z354" s="5">
        <v>712.75</v>
      </c>
      <c r="AA354" s="5">
        <f t="shared" si="124"/>
        <v>712.75</v>
      </c>
      <c r="AB354" s="7">
        <v>0.115</v>
      </c>
      <c r="AC354" s="7">
        <f t="shared" si="125"/>
        <v>0.115</v>
      </c>
      <c r="AD354" s="16">
        <f t="shared" si="126"/>
        <v>0</v>
      </c>
      <c r="AE354" s="16">
        <v>19</v>
      </c>
      <c r="AF354" s="5">
        <f t="shared" si="127"/>
        <v>11984.891250000001</v>
      </c>
      <c r="AG354">
        <f t="shared" si="128"/>
        <v>7607.41</v>
      </c>
      <c r="AH354" s="5">
        <f t="shared" si="129"/>
        <v>4377.4812500000007</v>
      </c>
      <c r="AI354" s="5">
        <f t="shared" si="130"/>
        <v>0.36524997671547504</v>
      </c>
      <c r="AJ354" s="5">
        <f t="shared" si="133"/>
        <v>9380846.8033200055</v>
      </c>
      <c r="AK354" s="7">
        <f t="shared" si="131"/>
        <v>0.85702957324916984</v>
      </c>
      <c r="AL354" s="17">
        <f>MIN(AC354,'What-If Analysis'!$B$2)</f>
        <v>0.115</v>
      </c>
      <c r="AM354">
        <f>AE354*(1+'What-If Analysis'!$B$3)</f>
        <v>24.7</v>
      </c>
      <c r="AN354">
        <f>Y354*(1+'What-If Analysis'!$B$4)</f>
        <v>440.42900000000003</v>
      </c>
      <c r="AO354">
        <f t="shared" si="132"/>
        <v>15580.358624999999</v>
      </c>
    </row>
    <row r="355" spans="1:41" x14ac:dyDescent="0.3">
      <c r="A355" t="s">
        <v>230</v>
      </c>
      <c r="B355" s="3">
        <v>45280</v>
      </c>
      <c r="C355" s="3">
        <f t="shared" si="113"/>
        <v>45280</v>
      </c>
      <c r="D355" s="3">
        <v>45305</v>
      </c>
      <c r="E355" s="3">
        <f t="shared" si="114"/>
        <v>45305</v>
      </c>
      <c r="F355" s="16">
        <f t="shared" si="115"/>
        <v>25</v>
      </c>
      <c r="G355" s="16">
        <f>IF(Data!F419&lt;=7,1,0)</f>
        <v>0</v>
      </c>
      <c r="H355" s="5" t="str">
        <f t="shared" si="116"/>
        <v>12-2023</v>
      </c>
      <c r="I355" s="5" t="str">
        <f t="shared" si="117"/>
        <v>Q4-2023</v>
      </c>
      <c r="J355" s="3">
        <f t="shared" si="118"/>
        <v>44955</v>
      </c>
      <c r="K355" s="5" t="str">
        <f t="shared" si="119"/>
        <v>01-2023</v>
      </c>
      <c r="L355" t="s">
        <v>647</v>
      </c>
      <c r="M355" t="s">
        <v>654</v>
      </c>
      <c r="N355" t="s">
        <v>691</v>
      </c>
      <c r="O355" t="str">
        <f t="shared" si="120"/>
        <v>Mumbai</v>
      </c>
      <c r="P355" t="s">
        <v>703</v>
      </c>
      <c r="Q355" t="s">
        <v>709</v>
      </c>
      <c r="R355" t="str">
        <f t="shared" si="121"/>
        <v>Marketplace</v>
      </c>
      <c r="S355" t="s">
        <v>716</v>
      </c>
      <c r="T355" t="str">
        <f t="shared" si="134"/>
        <v>L. Okafor</v>
      </c>
      <c r="U355" t="s">
        <v>732</v>
      </c>
      <c r="V355" t="str">
        <f t="shared" si="122"/>
        <v>Medium</v>
      </c>
      <c r="W355" t="s">
        <v>950</v>
      </c>
      <c r="X355" t="str">
        <f t="shared" si="123"/>
        <v>B</v>
      </c>
      <c r="Y355" s="5">
        <v>1085.6099999999999</v>
      </c>
      <c r="Z355" s="5">
        <v>1246.4100000000001</v>
      </c>
      <c r="AA355" s="5">
        <f t="shared" si="124"/>
        <v>1246.4100000000001</v>
      </c>
      <c r="AB355" s="7">
        <v>0.113</v>
      </c>
      <c r="AC355" s="7">
        <f t="shared" si="125"/>
        <v>0.113</v>
      </c>
      <c r="AD355" s="16">
        <f t="shared" si="126"/>
        <v>0</v>
      </c>
      <c r="AE355" s="16">
        <v>7</v>
      </c>
      <c r="AF355" s="5">
        <f t="shared" si="127"/>
        <v>7738.9596900000006</v>
      </c>
      <c r="AG355">
        <f t="shared" si="128"/>
        <v>7599.2699999999995</v>
      </c>
      <c r="AH355" s="5">
        <f t="shared" si="129"/>
        <v>139.68969000000106</v>
      </c>
      <c r="AI355" s="5">
        <f t="shared" si="130"/>
        <v>1.8050189637310417E-2</v>
      </c>
      <c r="AJ355" s="5">
        <f t="shared" si="133"/>
        <v>9388585.7630100064</v>
      </c>
      <c r="AK355" s="7">
        <f t="shared" si="131"/>
        <v>0.85773660081923597</v>
      </c>
      <c r="AL355" s="17">
        <f>MIN(AC355,'What-If Analysis'!$B$2)</f>
        <v>0.113</v>
      </c>
      <c r="AM355">
        <f>AE355*(1+'What-If Analysis'!$B$3)</f>
        <v>9.1</v>
      </c>
      <c r="AN355">
        <f>Y355*(1+'What-If Analysis'!$B$4)</f>
        <v>1194.171</v>
      </c>
      <c r="AO355">
        <f t="shared" si="132"/>
        <v>10060.647597000001</v>
      </c>
    </row>
    <row r="356" spans="1:41" x14ac:dyDescent="0.3">
      <c r="A356" t="s">
        <v>433</v>
      </c>
      <c r="B356" s="3">
        <v>45307</v>
      </c>
      <c r="C356" s="3">
        <f t="shared" si="113"/>
        <v>45307</v>
      </c>
      <c r="D356" s="3">
        <v>45333</v>
      </c>
      <c r="E356" s="3">
        <f t="shared" si="114"/>
        <v>45333</v>
      </c>
      <c r="F356" s="16">
        <f t="shared" si="115"/>
        <v>26</v>
      </c>
      <c r="G356" s="16">
        <f>IF(Data!F376&lt;=7,1,0)</f>
        <v>0</v>
      </c>
      <c r="H356" s="5" t="str">
        <f t="shared" si="116"/>
        <v>01-2024</v>
      </c>
      <c r="I356" s="5" t="str">
        <f t="shared" si="117"/>
        <v>Q1-2024</v>
      </c>
      <c r="J356" s="3">
        <f t="shared" si="118"/>
        <v>44947</v>
      </c>
      <c r="K356" s="5" t="str">
        <f t="shared" si="119"/>
        <v>01-2023</v>
      </c>
      <c r="L356" t="s">
        <v>649</v>
      </c>
      <c r="M356" t="s">
        <v>656</v>
      </c>
      <c r="N356" t="s">
        <v>698</v>
      </c>
      <c r="O356" t="str">
        <f t="shared" si="120"/>
        <v>Frankfurt</v>
      </c>
      <c r="P356" t="s">
        <v>703</v>
      </c>
      <c r="Q356" t="s">
        <v>710</v>
      </c>
      <c r="R356" t="str">
        <f t="shared" si="121"/>
        <v>Distributor</v>
      </c>
      <c r="S356" t="s">
        <v>718</v>
      </c>
      <c r="T356" t="str">
        <f t="shared" si="134"/>
        <v>E. Garcia</v>
      </c>
      <c r="U356" t="s">
        <v>732</v>
      </c>
      <c r="V356" t="str">
        <f t="shared" si="122"/>
        <v>Medium</v>
      </c>
      <c r="W356" t="s">
        <v>1152</v>
      </c>
      <c r="X356" t="str">
        <f t="shared" si="123"/>
        <v>B</v>
      </c>
      <c r="Y356" s="5">
        <v>504.93</v>
      </c>
      <c r="Z356" s="5">
        <v>819.06</v>
      </c>
      <c r="AA356" s="5">
        <f t="shared" si="124"/>
        <v>819.06</v>
      </c>
      <c r="AB356" s="7">
        <v>0.22600000000000001</v>
      </c>
      <c r="AC356" s="7">
        <f t="shared" si="125"/>
        <v>0.22600000000000001</v>
      </c>
      <c r="AD356" s="16">
        <f t="shared" si="126"/>
        <v>1</v>
      </c>
      <c r="AE356" s="16">
        <v>15</v>
      </c>
      <c r="AF356" s="5">
        <f t="shared" si="127"/>
        <v>9509.2865999999995</v>
      </c>
      <c r="AG356">
        <f t="shared" si="128"/>
        <v>7573.95</v>
      </c>
      <c r="AH356" s="5">
        <f t="shared" si="129"/>
        <v>1935.3365999999996</v>
      </c>
      <c r="AI356" s="5">
        <f t="shared" si="130"/>
        <v>0.20352069312959814</v>
      </c>
      <c r="AJ356" s="5">
        <f t="shared" si="133"/>
        <v>9398095.0496100057</v>
      </c>
      <c r="AK356" s="7">
        <f t="shared" si="131"/>
        <v>0.85860536458945513</v>
      </c>
      <c r="AL356" s="17">
        <f>MIN(AC356,'What-If Analysis'!$B$2)</f>
        <v>0.2</v>
      </c>
      <c r="AM356">
        <f>AE356*(1+'What-If Analysis'!$B$3)</f>
        <v>19.5</v>
      </c>
      <c r="AN356">
        <f>Y356*(1+'What-If Analysis'!$B$4)</f>
        <v>555.423</v>
      </c>
      <c r="AO356">
        <f t="shared" si="132"/>
        <v>12777.335999999999</v>
      </c>
    </row>
    <row r="357" spans="1:41" x14ac:dyDescent="0.3">
      <c r="A357" t="s">
        <v>591</v>
      </c>
      <c r="B357" s="3">
        <v>45140</v>
      </c>
      <c r="C357" s="3">
        <f t="shared" si="113"/>
        <v>45140</v>
      </c>
      <c r="D357" s="3">
        <v>45157</v>
      </c>
      <c r="E357" s="3">
        <f t="shared" si="114"/>
        <v>45157</v>
      </c>
      <c r="F357" s="16">
        <f t="shared" si="115"/>
        <v>17</v>
      </c>
      <c r="G357" s="16">
        <f>IF(Data!F282&lt;=7,1,0)</f>
        <v>1</v>
      </c>
      <c r="H357" s="5" t="str">
        <f t="shared" si="116"/>
        <v>08-2023</v>
      </c>
      <c r="I357" s="5" t="str">
        <f t="shared" si="117"/>
        <v>Q3-2023</v>
      </c>
      <c r="J357" s="3">
        <f t="shared" si="118"/>
        <v>44928</v>
      </c>
      <c r="K357" s="5" t="str">
        <f t="shared" si="119"/>
        <v>01-2023</v>
      </c>
      <c r="L357" t="s">
        <v>648</v>
      </c>
      <c r="M357" t="s">
        <v>653</v>
      </c>
      <c r="N357" t="s">
        <v>688</v>
      </c>
      <c r="O357" t="str">
        <f t="shared" si="120"/>
        <v>Vancouver</v>
      </c>
      <c r="P357" t="s">
        <v>701</v>
      </c>
      <c r="Q357" t="s">
        <v>708</v>
      </c>
      <c r="R357" t="str">
        <f t="shared" si="121"/>
        <v>Online</v>
      </c>
      <c r="S357" t="s">
        <v>721</v>
      </c>
      <c r="T357" t="str">
        <f t="shared" si="134"/>
        <v>F. Müller</v>
      </c>
      <c r="U357" t="s">
        <v>729</v>
      </c>
      <c r="V357" t="str">
        <f t="shared" si="122"/>
        <v>Low</v>
      </c>
      <c r="W357" t="s">
        <v>1309</v>
      </c>
      <c r="X357" t="str">
        <f t="shared" si="123"/>
        <v>B</v>
      </c>
      <c r="Y357" s="5">
        <v>175.38</v>
      </c>
      <c r="Z357" s="5">
        <v>347.9</v>
      </c>
      <c r="AA357" s="5">
        <f t="shared" si="124"/>
        <v>347.9</v>
      </c>
      <c r="AB357" s="7">
        <v>7.1999999999999995E-2</v>
      </c>
      <c r="AC357" s="7">
        <f t="shared" si="125"/>
        <v>7.1999999999999995E-2</v>
      </c>
      <c r="AD357" s="16">
        <f t="shared" si="126"/>
        <v>0</v>
      </c>
      <c r="AE357" s="16">
        <v>43</v>
      </c>
      <c r="AF357" s="5">
        <f t="shared" si="127"/>
        <v>13882.6016</v>
      </c>
      <c r="AG357">
        <f t="shared" si="128"/>
        <v>7541.34</v>
      </c>
      <c r="AH357" s="5">
        <f t="shared" si="129"/>
        <v>6341.2615999999998</v>
      </c>
      <c r="AI357" s="5">
        <f t="shared" si="130"/>
        <v>0.45677761148169804</v>
      </c>
      <c r="AJ357" s="5">
        <f t="shared" si="133"/>
        <v>9411977.6512100063</v>
      </c>
      <c r="AK357" s="7">
        <f t="shared" si="131"/>
        <v>0.85987367227790668</v>
      </c>
      <c r="AL357" s="17">
        <f>MIN(AC357,'What-If Analysis'!$B$2)</f>
        <v>7.1999999999999995E-2</v>
      </c>
      <c r="AM357">
        <f>AE357*(1+'What-If Analysis'!$B$3)</f>
        <v>55.9</v>
      </c>
      <c r="AN357">
        <f>Y357*(1+'What-If Analysis'!$B$4)</f>
        <v>192.91800000000001</v>
      </c>
      <c r="AO357">
        <f t="shared" si="132"/>
        <v>18047.382079999999</v>
      </c>
    </row>
    <row r="358" spans="1:41" x14ac:dyDescent="0.3">
      <c r="A358" t="s">
        <v>203</v>
      </c>
      <c r="B358" s="3">
        <v>45431</v>
      </c>
      <c r="C358" s="3">
        <f t="shared" si="113"/>
        <v>45431</v>
      </c>
      <c r="D358" s="3">
        <v>45451</v>
      </c>
      <c r="E358" s="3">
        <f t="shared" si="114"/>
        <v>45451</v>
      </c>
      <c r="F358" s="16">
        <f t="shared" si="115"/>
        <v>20</v>
      </c>
      <c r="G358" s="16">
        <f>IF(Data!F398&lt;=7,1,0)</f>
        <v>0</v>
      </c>
      <c r="H358" s="5" t="str">
        <f t="shared" si="116"/>
        <v>05-2024</v>
      </c>
      <c r="I358" s="5" t="str">
        <f t="shared" si="117"/>
        <v>Q2-2024</v>
      </c>
      <c r="J358" s="3">
        <f t="shared" si="118"/>
        <v>44955</v>
      </c>
      <c r="K358" s="5" t="str">
        <f t="shared" si="119"/>
        <v>01-2023</v>
      </c>
      <c r="L358" t="s">
        <v>648</v>
      </c>
      <c r="M358" t="s">
        <v>655</v>
      </c>
      <c r="N358" t="s">
        <v>672</v>
      </c>
      <c r="O358" t="str">
        <f t="shared" si="120"/>
        <v>Brasília</v>
      </c>
      <c r="P358" t="s">
        <v>705</v>
      </c>
      <c r="Q358" t="s">
        <v>707</v>
      </c>
      <c r="R358" t="str">
        <f t="shared" si="121"/>
        <v>Retail</v>
      </c>
      <c r="S358" t="s">
        <v>718</v>
      </c>
      <c r="T358" t="str">
        <f t="shared" si="134"/>
        <v>E. Garcia</v>
      </c>
      <c r="U358" t="s">
        <v>732</v>
      </c>
      <c r="V358" t="str">
        <f t="shared" si="122"/>
        <v>Medium</v>
      </c>
      <c r="W358" t="s">
        <v>923</v>
      </c>
      <c r="X358" t="str">
        <f t="shared" si="123"/>
        <v>B</v>
      </c>
      <c r="Y358" s="5">
        <v>1075.9000000000001</v>
      </c>
      <c r="Z358" s="5">
        <v>1242.1500000000001</v>
      </c>
      <c r="AA358" s="5">
        <f t="shared" si="124"/>
        <v>1242.1500000000001</v>
      </c>
      <c r="AB358" s="7">
        <v>1.2E-2</v>
      </c>
      <c r="AC358" s="7">
        <f t="shared" si="125"/>
        <v>1.2E-2</v>
      </c>
      <c r="AD358" s="16">
        <f t="shared" si="126"/>
        <v>0</v>
      </c>
      <c r="AE358" s="16">
        <v>7</v>
      </c>
      <c r="AF358" s="5">
        <f t="shared" si="127"/>
        <v>8590.7094000000016</v>
      </c>
      <c r="AG358">
        <f t="shared" si="128"/>
        <v>7531.3000000000011</v>
      </c>
      <c r="AH358" s="5">
        <f t="shared" si="129"/>
        <v>1059.4094000000005</v>
      </c>
      <c r="AI358" s="5">
        <f t="shared" si="130"/>
        <v>0.12332036280961853</v>
      </c>
      <c r="AJ358" s="5">
        <f t="shared" si="133"/>
        <v>9420568.3606100064</v>
      </c>
      <c r="AK358" s="7">
        <f t="shared" si="131"/>
        <v>0.86065851528465787</v>
      </c>
      <c r="AL358" s="17">
        <f>MIN(AC358,'What-If Analysis'!$B$2)</f>
        <v>1.2E-2</v>
      </c>
      <c r="AM358">
        <f>AE358*(1+'What-If Analysis'!$B$3)</f>
        <v>9.1</v>
      </c>
      <c r="AN358">
        <f>Y358*(1+'What-If Analysis'!$B$4)</f>
        <v>1183.4900000000002</v>
      </c>
      <c r="AO358">
        <f t="shared" si="132"/>
        <v>11167.92222</v>
      </c>
    </row>
    <row r="359" spans="1:41" x14ac:dyDescent="0.3">
      <c r="A359" t="s">
        <v>297</v>
      </c>
      <c r="B359" s="3">
        <v>45794</v>
      </c>
      <c r="C359" s="3">
        <f t="shared" si="113"/>
        <v>45794</v>
      </c>
      <c r="D359" s="3">
        <v>45805</v>
      </c>
      <c r="E359" s="3">
        <f t="shared" si="114"/>
        <v>45805</v>
      </c>
      <c r="F359" s="16">
        <f t="shared" si="115"/>
        <v>11</v>
      </c>
      <c r="G359" s="16">
        <f>IF(Data!F328&lt;=7,1,0)</f>
        <v>0</v>
      </c>
      <c r="H359" s="5" t="str">
        <f t="shared" si="116"/>
        <v>05-2025</v>
      </c>
      <c r="I359" s="5" t="str">
        <f t="shared" si="117"/>
        <v>Q2-2025</v>
      </c>
      <c r="J359" s="3">
        <f t="shared" si="118"/>
        <v>44955</v>
      </c>
      <c r="K359" s="5" t="str">
        <f t="shared" si="119"/>
        <v>01-2023</v>
      </c>
      <c r="L359" t="s">
        <v>647</v>
      </c>
      <c r="M359" t="s">
        <v>654</v>
      </c>
      <c r="N359" t="s">
        <v>668</v>
      </c>
      <c r="O359" t="str">
        <f t="shared" si="120"/>
        <v>Bengaluru</v>
      </c>
      <c r="P359" t="s">
        <v>701</v>
      </c>
      <c r="Q359" t="s">
        <v>710</v>
      </c>
      <c r="R359" t="str">
        <f t="shared" si="121"/>
        <v>Distributor</v>
      </c>
      <c r="S359" t="s">
        <v>717</v>
      </c>
      <c r="T359" t="str">
        <f t="shared" si="134"/>
        <v>B. Chen</v>
      </c>
      <c r="U359" t="s">
        <v>731</v>
      </c>
      <c r="V359" t="str">
        <f t="shared" si="122"/>
        <v>Medium</v>
      </c>
      <c r="W359" t="s">
        <v>1017</v>
      </c>
      <c r="X359" t="str">
        <f t="shared" si="123"/>
        <v>B</v>
      </c>
      <c r="Y359" s="5">
        <v>623.4</v>
      </c>
      <c r="Z359" s="5">
        <v>1100.0899999999999</v>
      </c>
      <c r="AA359" s="5">
        <f t="shared" si="124"/>
        <v>1100.0899999999999</v>
      </c>
      <c r="AB359" s="7">
        <v>0.114</v>
      </c>
      <c r="AC359" s="7">
        <f t="shared" si="125"/>
        <v>0.114</v>
      </c>
      <c r="AD359" s="16">
        <f t="shared" si="126"/>
        <v>0</v>
      </c>
      <c r="AE359" s="16">
        <v>12</v>
      </c>
      <c r="AF359" s="5">
        <f t="shared" si="127"/>
        <v>11696.156879999999</v>
      </c>
      <c r="AG359">
        <f t="shared" si="128"/>
        <v>7480.7999999999993</v>
      </c>
      <c r="AH359" s="5">
        <f t="shared" si="129"/>
        <v>4215.3568799999994</v>
      </c>
      <c r="AI359" s="5">
        <f t="shared" si="130"/>
        <v>0.36040529579490388</v>
      </c>
      <c r="AJ359" s="5">
        <f t="shared" si="133"/>
        <v>9432264.517490007</v>
      </c>
      <c r="AK359" s="7">
        <f t="shared" si="131"/>
        <v>0.86172707045346997</v>
      </c>
      <c r="AL359" s="17">
        <f>MIN(AC359,'What-If Analysis'!$B$2)</f>
        <v>0.114</v>
      </c>
      <c r="AM359">
        <f>AE359*(1+'What-If Analysis'!$B$3)</f>
        <v>15.600000000000001</v>
      </c>
      <c r="AN359">
        <f>Y359*(1+'What-If Analysis'!$B$4)</f>
        <v>685.74</v>
      </c>
      <c r="AO359">
        <f t="shared" si="132"/>
        <v>15205.003943999998</v>
      </c>
    </row>
    <row r="360" spans="1:41" x14ac:dyDescent="0.3">
      <c r="A360" t="s">
        <v>359</v>
      </c>
      <c r="B360" s="3">
        <v>45261</v>
      </c>
      <c r="C360" s="3">
        <f t="shared" si="113"/>
        <v>45261</v>
      </c>
      <c r="D360" s="3">
        <v>45278</v>
      </c>
      <c r="E360" s="3">
        <f t="shared" si="114"/>
        <v>45278</v>
      </c>
      <c r="F360" s="16">
        <f t="shared" si="115"/>
        <v>17</v>
      </c>
      <c r="G360" s="16">
        <f>IF(Data!F286&lt;=7,1,0)</f>
        <v>0</v>
      </c>
      <c r="H360" s="5" t="str">
        <f t="shared" si="116"/>
        <v>12-2023</v>
      </c>
      <c r="I360" s="5" t="str">
        <f t="shared" si="117"/>
        <v>Q4-2023</v>
      </c>
      <c r="J360" s="3">
        <f t="shared" si="118"/>
        <v>44988</v>
      </c>
      <c r="K360" s="5" t="str">
        <f t="shared" si="119"/>
        <v>03-2023</v>
      </c>
      <c r="L360" t="s">
        <v>647</v>
      </c>
      <c r="M360" t="s">
        <v>652</v>
      </c>
      <c r="N360" t="s">
        <v>694</v>
      </c>
      <c r="O360" t="str">
        <f t="shared" si="120"/>
        <v>Nagoya</v>
      </c>
      <c r="P360" t="s">
        <v>705</v>
      </c>
      <c r="Q360" t="s">
        <v>711</v>
      </c>
      <c r="R360" t="str">
        <f t="shared" si="121"/>
        <v>Direct</v>
      </c>
      <c r="S360" t="s">
        <v>725</v>
      </c>
      <c r="T360" t="str">
        <f t="shared" si="134"/>
        <v>N. Brown</v>
      </c>
      <c r="U360" t="s">
        <v>731</v>
      </c>
      <c r="V360" t="str">
        <f t="shared" si="122"/>
        <v>High</v>
      </c>
      <c r="W360" t="s">
        <v>1079</v>
      </c>
      <c r="X360" t="str">
        <f t="shared" si="123"/>
        <v>B</v>
      </c>
      <c r="Y360" s="5">
        <v>1495.79</v>
      </c>
      <c r="Z360" s="5">
        <v>2783.12</v>
      </c>
      <c r="AA360" s="5">
        <f t="shared" si="124"/>
        <v>2783.12</v>
      </c>
      <c r="AB360" s="7">
        <v>0.02</v>
      </c>
      <c r="AC360" s="7">
        <f t="shared" si="125"/>
        <v>0.02</v>
      </c>
      <c r="AD360" s="16">
        <f t="shared" si="126"/>
        <v>0</v>
      </c>
      <c r="AE360" s="16">
        <v>5</v>
      </c>
      <c r="AF360" s="5">
        <f t="shared" si="127"/>
        <v>13637.287999999999</v>
      </c>
      <c r="AG360">
        <f t="shared" si="128"/>
        <v>7478.95</v>
      </c>
      <c r="AH360" s="5">
        <f t="shared" si="129"/>
        <v>6158.3379999999988</v>
      </c>
      <c r="AI360" s="5">
        <f t="shared" si="130"/>
        <v>0.45158084217331185</v>
      </c>
      <c r="AJ360" s="5">
        <f t="shared" si="133"/>
        <v>9445901.8054900076</v>
      </c>
      <c r="AK360" s="7">
        <f t="shared" si="131"/>
        <v>0.86297296641147458</v>
      </c>
      <c r="AL360" s="17">
        <f>MIN(AC360,'What-If Analysis'!$B$2)</f>
        <v>0.02</v>
      </c>
      <c r="AM360">
        <f>AE360*(1+'What-If Analysis'!$B$3)</f>
        <v>6.5</v>
      </c>
      <c r="AN360">
        <f>Y360*(1+'What-If Analysis'!$B$4)</f>
        <v>1645.3690000000001</v>
      </c>
      <c r="AO360">
        <f t="shared" si="132"/>
        <v>17728.474399999999</v>
      </c>
    </row>
    <row r="361" spans="1:41" x14ac:dyDescent="0.3">
      <c r="A361" t="s">
        <v>144</v>
      </c>
      <c r="B361" s="3">
        <v>44948</v>
      </c>
      <c r="C361" s="3">
        <f t="shared" si="113"/>
        <v>44948</v>
      </c>
      <c r="D361" s="3">
        <v>44956</v>
      </c>
      <c r="E361" s="3">
        <f t="shared" si="114"/>
        <v>44956</v>
      </c>
      <c r="F361" s="16">
        <f t="shared" si="115"/>
        <v>8</v>
      </c>
      <c r="G361" s="16">
        <f>IF(Data!F245&lt;=7,1,0)</f>
        <v>0</v>
      </c>
      <c r="H361" s="5" t="str">
        <f t="shared" si="116"/>
        <v>01-2023</v>
      </c>
      <c r="I361" s="5" t="str">
        <f t="shared" si="117"/>
        <v>Q1-2023</v>
      </c>
      <c r="J361" s="3">
        <f t="shared" si="118"/>
        <v>44939</v>
      </c>
      <c r="K361" s="5" t="str">
        <f t="shared" si="119"/>
        <v>01-2023</v>
      </c>
      <c r="L361" t="s">
        <v>648</v>
      </c>
      <c r="M361" t="s">
        <v>660</v>
      </c>
      <c r="N361" t="s">
        <v>686</v>
      </c>
      <c r="O361" t="str">
        <f t="shared" si="120"/>
        <v>San Francisco</v>
      </c>
      <c r="P361" t="s">
        <v>705</v>
      </c>
      <c r="Q361" t="s">
        <v>708</v>
      </c>
      <c r="R361" t="str">
        <f t="shared" si="121"/>
        <v>Online</v>
      </c>
      <c r="S361" t="s">
        <v>720</v>
      </c>
      <c r="T361" t="str">
        <f t="shared" si="134"/>
        <v>A. Patel</v>
      </c>
      <c r="U361" t="s">
        <v>729</v>
      </c>
      <c r="V361" t="str">
        <f t="shared" si="122"/>
        <v>Medium</v>
      </c>
      <c r="W361" t="s">
        <v>863</v>
      </c>
      <c r="X361" t="str">
        <f t="shared" si="123"/>
        <v>B</v>
      </c>
      <c r="Y361" s="5">
        <v>413.52</v>
      </c>
      <c r="Z361" s="5">
        <v>1004.34</v>
      </c>
      <c r="AA361" s="5">
        <f t="shared" si="124"/>
        <v>1004.34</v>
      </c>
      <c r="AB361" s="7">
        <v>0.111</v>
      </c>
      <c r="AC361" s="7">
        <f t="shared" si="125"/>
        <v>0.111</v>
      </c>
      <c r="AD361" s="16">
        <f t="shared" si="126"/>
        <v>0</v>
      </c>
      <c r="AE361" s="16">
        <v>18</v>
      </c>
      <c r="AF361" s="5">
        <f t="shared" si="127"/>
        <v>16071.44868</v>
      </c>
      <c r="AG361">
        <f t="shared" si="128"/>
        <v>7443.36</v>
      </c>
      <c r="AH361" s="5">
        <f t="shared" si="129"/>
        <v>8628.0886800000007</v>
      </c>
      <c r="AI361" s="5">
        <f t="shared" si="130"/>
        <v>0.53685817948304593</v>
      </c>
      <c r="AJ361" s="5">
        <f t="shared" si="133"/>
        <v>9461973.254170008</v>
      </c>
      <c r="AK361" s="7">
        <f t="shared" si="131"/>
        <v>0.86444124609799944</v>
      </c>
      <c r="AL361" s="17">
        <f>MIN(AC361,'What-If Analysis'!$B$2)</f>
        <v>0.111</v>
      </c>
      <c r="AM361">
        <f>AE361*(1+'What-If Analysis'!$B$3)</f>
        <v>23.400000000000002</v>
      </c>
      <c r="AN361">
        <f>Y361*(1+'What-If Analysis'!$B$4)</f>
        <v>454.87200000000001</v>
      </c>
      <c r="AO361">
        <f t="shared" si="132"/>
        <v>20892.883284000003</v>
      </c>
    </row>
    <row r="362" spans="1:41" x14ac:dyDescent="0.3">
      <c r="A362" t="s">
        <v>357</v>
      </c>
      <c r="B362" s="3">
        <v>45339</v>
      </c>
      <c r="C362" s="3">
        <f t="shared" si="113"/>
        <v>45339</v>
      </c>
      <c r="D362" s="3">
        <v>45355</v>
      </c>
      <c r="E362" s="3">
        <f t="shared" si="114"/>
        <v>45355</v>
      </c>
      <c r="F362" s="16">
        <f t="shared" si="115"/>
        <v>16</v>
      </c>
      <c r="G362" s="16">
        <f>IF(Data!F383&lt;=7,1,0)</f>
        <v>0</v>
      </c>
      <c r="H362" s="5" t="str">
        <f t="shared" si="116"/>
        <v>02-2024</v>
      </c>
      <c r="I362" s="5" t="str">
        <f t="shared" si="117"/>
        <v>Q1-2024</v>
      </c>
      <c r="J362" s="3">
        <f t="shared" si="118"/>
        <v>44955</v>
      </c>
      <c r="K362" s="5" t="str">
        <f t="shared" si="119"/>
        <v>01-2023</v>
      </c>
      <c r="L362" t="s">
        <v>647</v>
      </c>
      <c r="M362" t="s">
        <v>654</v>
      </c>
      <c r="N362" t="s">
        <v>680</v>
      </c>
      <c r="O362" t="str">
        <f t="shared" si="120"/>
        <v>Delhi</v>
      </c>
      <c r="P362" t="s">
        <v>705</v>
      </c>
      <c r="Q362" t="s">
        <v>709</v>
      </c>
      <c r="R362" t="str">
        <f t="shared" si="121"/>
        <v>Marketplace</v>
      </c>
      <c r="S362" t="s">
        <v>721</v>
      </c>
      <c r="T362" t="str">
        <f t="shared" si="134"/>
        <v>F. Müller</v>
      </c>
      <c r="U362" t="s">
        <v>730</v>
      </c>
      <c r="V362" t="str">
        <f t="shared" si="122"/>
        <v>High</v>
      </c>
      <c r="W362" t="s">
        <v>1077</v>
      </c>
      <c r="X362" t="str">
        <f t="shared" si="123"/>
        <v>B</v>
      </c>
      <c r="Y362" s="5">
        <v>1231.8</v>
      </c>
      <c r="Z362" s="5">
        <v>2015.99</v>
      </c>
      <c r="AA362" s="5">
        <f t="shared" si="124"/>
        <v>2015.99</v>
      </c>
      <c r="AB362" s="7">
        <v>0.26100000000000001</v>
      </c>
      <c r="AC362" s="7">
        <f t="shared" si="125"/>
        <v>0.26100000000000001</v>
      </c>
      <c r="AD362" s="16">
        <f t="shared" si="126"/>
        <v>1</v>
      </c>
      <c r="AE362" s="16">
        <v>6</v>
      </c>
      <c r="AF362" s="5">
        <f t="shared" si="127"/>
        <v>8938.8996600000009</v>
      </c>
      <c r="AG362">
        <f t="shared" si="128"/>
        <v>7390.7999999999993</v>
      </c>
      <c r="AH362" s="5">
        <f t="shared" si="129"/>
        <v>1548.0996600000017</v>
      </c>
      <c r="AI362" s="5">
        <f t="shared" si="130"/>
        <v>0.17318682599464391</v>
      </c>
      <c r="AJ362" s="5">
        <f t="shared" si="133"/>
        <v>9470912.1538300086</v>
      </c>
      <c r="AK362" s="7">
        <f t="shared" si="131"/>
        <v>0.86525789959651056</v>
      </c>
      <c r="AL362" s="17">
        <f>MIN(AC362,'What-If Analysis'!$B$2)</f>
        <v>0.2</v>
      </c>
      <c r="AM362">
        <f>AE362*(1+'What-If Analysis'!$B$3)</f>
        <v>7.8000000000000007</v>
      </c>
      <c r="AN362">
        <f>Y362*(1+'What-If Analysis'!$B$4)</f>
        <v>1354.98</v>
      </c>
      <c r="AO362">
        <f t="shared" si="132"/>
        <v>12579.777600000001</v>
      </c>
    </row>
    <row r="363" spans="1:41" x14ac:dyDescent="0.3">
      <c r="A363" t="s">
        <v>282</v>
      </c>
      <c r="B363" s="3">
        <v>45284</v>
      </c>
      <c r="C363" s="3">
        <f t="shared" si="113"/>
        <v>45284</v>
      </c>
      <c r="D363" s="3">
        <v>45292</v>
      </c>
      <c r="E363" s="3">
        <f t="shared" si="114"/>
        <v>45292</v>
      </c>
      <c r="F363" s="16">
        <f t="shared" si="115"/>
        <v>8</v>
      </c>
      <c r="G363" s="16">
        <f>IF(Data!F445&lt;=7,1,0)</f>
        <v>0</v>
      </c>
      <c r="H363" s="5" t="str">
        <f t="shared" si="116"/>
        <v>12-2023</v>
      </c>
      <c r="I363" s="5" t="str">
        <f t="shared" si="117"/>
        <v>Q4-2023</v>
      </c>
      <c r="J363" s="3">
        <f t="shared" si="118"/>
        <v>44955</v>
      </c>
      <c r="K363" s="5" t="str">
        <f t="shared" si="119"/>
        <v>01-2023</v>
      </c>
      <c r="L363" t="s">
        <v>648</v>
      </c>
      <c r="M363" t="s">
        <v>655</v>
      </c>
      <c r="N363" t="s">
        <v>670</v>
      </c>
      <c r="O363" t="str">
        <f t="shared" si="120"/>
        <v>São Paulo</v>
      </c>
      <c r="P363" t="s">
        <v>702</v>
      </c>
      <c r="Q363" t="s">
        <v>711</v>
      </c>
      <c r="R363" t="str">
        <f t="shared" si="121"/>
        <v>Direct</v>
      </c>
      <c r="S363" t="s">
        <v>712</v>
      </c>
      <c r="T363" t="str">
        <f t="shared" si="134"/>
        <v>C. Otieno</v>
      </c>
      <c r="U363" t="s">
        <v>730</v>
      </c>
      <c r="V363" t="str">
        <f t="shared" si="122"/>
        <v>Low</v>
      </c>
      <c r="W363" t="s">
        <v>1002</v>
      </c>
      <c r="X363" t="str">
        <f t="shared" si="123"/>
        <v>B</v>
      </c>
      <c r="Y363" s="5">
        <v>526.49</v>
      </c>
      <c r="Z363" s="5">
        <v>496.2</v>
      </c>
      <c r="AA363" s="5">
        <f t="shared" si="124"/>
        <v>496.2</v>
      </c>
      <c r="AB363" s="7">
        <v>0</v>
      </c>
      <c r="AC363" s="7">
        <f t="shared" si="125"/>
        <v>0</v>
      </c>
      <c r="AD363" s="16">
        <f t="shared" si="126"/>
        <v>0</v>
      </c>
      <c r="AE363" s="16">
        <v>14</v>
      </c>
      <c r="AF363" s="5">
        <f t="shared" si="127"/>
        <v>6946.8</v>
      </c>
      <c r="AG363">
        <f t="shared" si="128"/>
        <v>7370.8600000000006</v>
      </c>
      <c r="AH363" s="5">
        <f t="shared" si="129"/>
        <v>424.0600000000004</v>
      </c>
      <c r="AI363" s="5">
        <f t="shared" si="130"/>
        <v>6.1043933897621985E-2</v>
      </c>
      <c r="AJ363" s="5">
        <f t="shared" si="133"/>
        <v>9477858.9538300093</v>
      </c>
      <c r="AK363" s="7">
        <f t="shared" si="131"/>
        <v>0.86589255584495717</v>
      </c>
      <c r="AL363" s="17">
        <f>MIN(AC363,'What-If Analysis'!$B$2)</f>
        <v>0</v>
      </c>
      <c r="AM363">
        <f>AE363*(1+'What-If Analysis'!$B$3)</f>
        <v>18.2</v>
      </c>
      <c r="AN363">
        <f>Y363*(1+'What-If Analysis'!$B$4)</f>
        <v>579.13900000000001</v>
      </c>
      <c r="AO363">
        <f t="shared" si="132"/>
        <v>9030.84</v>
      </c>
    </row>
    <row r="364" spans="1:41" x14ac:dyDescent="0.3">
      <c r="A364" t="s">
        <v>158</v>
      </c>
      <c r="B364" s="3">
        <v>45458</v>
      </c>
      <c r="C364" s="3">
        <f t="shared" si="113"/>
        <v>45458</v>
      </c>
      <c r="D364" s="3">
        <v>45479</v>
      </c>
      <c r="E364" s="3">
        <f t="shared" si="114"/>
        <v>45479</v>
      </c>
      <c r="F364" s="16">
        <f t="shared" si="115"/>
        <v>21</v>
      </c>
      <c r="G364" s="16">
        <f>IF(Data!F363&lt;=7,1,0)</f>
        <v>0</v>
      </c>
      <c r="H364" s="5" t="str">
        <f t="shared" si="116"/>
        <v>06-2024</v>
      </c>
      <c r="I364" s="5" t="str">
        <f t="shared" si="117"/>
        <v>Q2-2024</v>
      </c>
      <c r="J364" s="3">
        <f t="shared" si="118"/>
        <v>44928</v>
      </c>
      <c r="K364" s="5" t="str">
        <f t="shared" si="119"/>
        <v>01-2023</v>
      </c>
      <c r="L364" t="s">
        <v>648</v>
      </c>
      <c r="M364" t="s">
        <v>653</v>
      </c>
      <c r="N364" t="s">
        <v>667</v>
      </c>
      <c r="O364" t="str">
        <f t="shared" si="120"/>
        <v>Toronto</v>
      </c>
      <c r="P364" t="s">
        <v>706</v>
      </c>
      <c r="Q364" t="s">
        <v>710</v>
      </c>
      <c r="R364" t="str">
        <f t="shared" si="121"/>
        <v>Distributor</v>
      </c>
      <c r="S364" t="s">
        <v>716</v>
      </c>
      <c r="T364" t="str">
        <f t="shared" si="134"/>
        <v>L. Okafor</v>
      </c>
      <c r="U364" t="s">
        <v>728</v>
      </c>
      <c r="V364" t="str">
        <f t="shared" si="122"/>
        <v>Medium</v>
      </c>
      <c r="W364" t="s">
        <v>877</v>
      </c>
      <c r="X364" t="str">
        <f t="shared" si="123"/>
        <v>B</v>
      </c>
      <c r="Y364" s="5">
        <v>817.23</v>
      </c>
      <c r="Z364" s="5">
        <v>1467.17</v>
      </c>
      <c r="AA364" s="5">
        <f t="shared" si="124"/>
        <v>1467.17</v>
      </c>
      <c r="AB364" s="7">
        <v>0.245</v>
      </c>
      <c r="AC364" s="7">
        <f t="shared" si="125"/>
        <v>0.245</v>
      </c>
      <c r="AD364" s="16">
        <f t="shared" si="126"/>
        <v>1</v>
      </c>
      <c r="AE364" s="16">
        <v>9</v>
      </c>
      <c r="AF364" s="5">
        <f t="shared" si="127"/>
        <v>9969.4201499999999</v>
      </c>
      <c r="AG364">
        <f t="shared" si="128"/>
        <v>7355.07</v>
      </c>
      <c r="AH364" s="5">
        <f t="shared" si="129"/>
        <v>2614.3501500000002</v>
      </c>
      <c r="AI364" s="5">
        <f t="shared" si="130"/>
        <v>0.26223693160328893</v>
      </c>
      <c r="AJ364" s="5">
        <f t="shared" si="133"/>
        <v>9487828.3739800099</v>
      </c>
      <c r="AK364" s="7">
        <f t="shared" si="131"/>
        <v>0.86680335719112911</v>
      </c>
      <c r="AL364" s="17">
        <f>MIN(AC364,'What-If Analysis'!$B$2)</f>
        <v>0.2</v>
      </c>
      <c r="AM364">
        <f>AE364*(1+'What-If Analysis'!$B$3)</f>
        <v>11.700000000000001</v>
      </c>
      <c r="AN364">
        <f>Y364*(1+'What-If Analysis'!$B$4)</f>
        <v>898.95300000000009</v>
      </c>
      <c r="AO364">
        <f t="shared" si="132"/>
        <v>13732.711200000003</v>
      </c>
    </row>
    <row r="365" spans="1:41" x14ac:dyDescent="0.3">
      <c r="A365" t="s">
        <v>179</v>
      </c>
      <c r="B365" s="3">
        <v>45447</v>
      </c>
      <c r="C365" s="3">
        <f t="shared" si="113"/>
        <v>45447</v>
      </c>
      <c r="D365" s="3">
        <v>45459</v>
      </c>
      <c r="E365" s="3">
        <f t="shared" si="114"/>
        <v>45459</v>
      </c>
      <c r="F365" s="16">
        <f t="shared" si="115"/>
        <v>12</v>
      </c>
      <c r="G365" s="16">
        <f>IF(Data!F324&lt;=7,1,0)</f>
        <v>0</v>
      </c>
      <c r="H365" s="5" t="str">
        <f t="shared" si="116"/>
        <v>06-2024</v>
      </c>
      <c r="I365" s="5" t="str">
        <f t="shared" si="117"/>
        <v>Q2-2024</v>
      </c>
      <c r="J365" s="3">
        <f t="shared" si="118"/>
        <v>44938</v>
      </c>
      <c r="K365" s="5" t="str">
        <f t="shared" si="119"/>
        <v>01-2023</v>
      </c>
      <c r="L365" t="s">
        <v>647</v>
      </c>
      <c r="M365" t="s">
        <v>659</v>
      </c>
      <c r="N365" t="s">
        <v>685</v>
      </c>
      <c r="O365" t="str">
        <f t="shared" si="120"/>
        <v>Shanghai</v>
      </c>
      <c r="P365" t="s">
        <v>701</v>
      </c>
      <c r="Q365" t="s">
        <v>707</v>
      </c>
      <c r="R365" t="str">
        <f t="shared" si="121"/>
        <v>Retail</v>
      </c>
      <c r="S365" t="s">
        <v>713</v>
      </c>
      <c r="T365" t="str">
        <f t="shared" si="134"/>
        <v>J. Njeri</v>
      </c>
      <c r="U365" t="s">
        <v>728</v>
      </c>
      <c r="V365" t="str">
        <f t="shared" si="122"/>
        <v>Medium</v>
      </c>
      <c r="W365" t="s">
        <v>898</v>
      </c>
      <c r="X365" t="str">
        <f t="shared" si="123"/>
        <v>B</v>
      </c>
      <c r="Y365" s="5">
        <v>918.42</v>
      </c>
      <c r="Z365" s="5">
        <v>1511.71</v>
      </c>
      <c r="AA365" s="5">
        <f t="shared" si="124"/>
        <v>1511.71</v>
      </c>
      <c r="AB365" s="7">
        <v>0.02</v>
      </c>
      <c r="AC365" s="7">
        <f t="shared" si="125"/>
        <v>0.02</v>
      </c>
      <c r="AD365" s="16">
        <f t="shared" si="126"/>
        <v>0</v>
      </c>
      <c r="AE365" s="16">
        <v>8</v>
      </c>
      <c r="AF365" s="5">
        <f t="shared" si="127"/>
        <v>11851.806399999999</v>
      </c>
      <c r="AG365">
        <f t="shared" si="128"/>
        <v>7347.36</v>
      </c>
      <c r="AH365" s="5">
        <f t="shared" si="129"/>
        <v>4504.4463999999998</v>
      </c>
      <c r="AI365" s="5">
        <f t="shared" si="130"/>
        <v>0.38006412254590999</v>
      </c>
      <c r="AJ365" s="5">
        <f t="shared" si="133"/>
        <v>9499680.1803800091</v>
      </c>
      <c r="AK365" s="7">
        <f t="shared" si="131"/>
        <v>0.86788613242391821</v>
      </c>
      <c r="AL365" s="17">
        <f>MIN(AC365,'What-If Analysis'!$B$2)</f>
        <v>0.02</v>
      </c>
      <c r="AM365">
        <f>AE365*(1+'What-If Analysis'!$B$3)</f>
        <v>10.4</v>
      </c>
      <c r="AN365">
        <f>Y365*(1+'What-If Analysis'!$B$4)</f>
        <v>1010.2620000000001</v>
      </c>
      <c r="AO365">
        <f t="shared" si="132"/>
        <v>15407.348320000001</v>
      </c>
    </row>
    <row r="366" spans="1:41" x14ac:dyDescent="0.3">
      <c r="A366" t="s">
        <v>255</v>
      </c>
      <c r="B366" s="3">
        <v>45793</v>
      </c>
      <c r="C366" s="3">
        <f t="shared" si="113"/>
        <v>45793</v>
      </c>
      <c r="D366" s="3">
        <v>45804</v>
      </c>
      <c r="E366" s="3">
        <f t="shared" si="114"/>
        <v>45804</v>
      </c>
      <c r="F366" s="16">
        <f t="shared" si="115"/>
        <v>11</v>
      </c>
      <c r="G366" s="16">
        <f>IF(Data!F372&lt;=7,1,0)</f>
        <v>0</v>
      </c>
      <c r="H366" s="5" t="str">
        <f t="shared" si="116"/>
        <v>05-2025</v>
      </c>
      <c r="I366" s="5" t="str">
        <f t="shared" si="117"/>
        <v>Q2-2025</v>
      </c>
      <c r="J366" s="3">
        <f t="shared" si="118"/>
        <v>44938</v>
      </c>
      <c r="K366" s="5" t="str">
        <f t="shared" si="119"/>
        <v>01-2023</v>
      </c>
      <c r="L366" t="s">
        <v>647</v>
      </c>
      <c r="M366" t="s">
        <v>659</v>
      </c>
      <c r="N366" t="s">
        <v>699</v>
      </c>
      <c r="O366" t="str">
        <f t="shared" si="120"/>
        <v>Beijing</v>
      </c>
      <c r="P366" t="s">
        <v>706</v>
      </c>
      <c r="Q366" t="s">
        <v>708</v>
      </c>
      <c r="R366" t="str">
        <f t="shared" si="121"/>
        <v>Online</v>
      </c>
      <c r="S366" t="s">
        <v>721</v>
      </c>
      <c r="T366" t="str">
        <f t="shared" si="134"/>
        <v>F. Müller</v>
      </c>
      <c r="U366" t="s">
        <v>730</v>
      </c>
      <c r="V366" t="str">
        <f t="shared" si="122"/>
        <v>Medium</v>
      </c>
      <c r="W366" t="s">
        <v>975</v>
      </c>
      <c r="X366" t="str">
        <f t="shared" si="123"/>
        <v>B</v>
      </c>
      <c r="Y366" s="5">
        <v>918.12</v>
      </c>
      <c r="Z366" s="5">
        <v>1337.69</v>
      </c>
      <c r="AA366" s="5">
        <f t="shared" si="124"/>
        <v>1337.69</v>
      </c>
      <c r="AB366" s="7">
        <v>9.5000000000000001E-2</v>
      </c>
      <c r="AC366" s="7">
        <f t="shared" si="125"/>
        <v>9.5000000000000001E-2</v>
      </c>
      <c r="AD366" s="16">
        <f t="shared" si="126"/>
        <v>0</v>
      </c>
      <c r="AE366" s="16">
        <v>8</v>
      </c>
      <c r="AF366" s="5">
        <f t="shared" si="127"/>
        <v>9684.8756000000012</v>
      </c>
      <c r="AG366">
        <f t="shared" si="128"/>
        <v>7344.96</v>
      </c>
      <c r="AH366" s="5">
        <f t="shared" si="129"/>
        <v>2339.9156000000012</v>
      </c>
      <c r="AI366" s="5">
        <f t="shared" si="130"/>
        <v>0.24160512707050164</v>
      </c>
      <c r="AJ366" s="5">
        <f t="shared" si="133"/>
        <v>9509365.05598001</v>
      </c>
      <c r="AK366" s="7">
        <f t="shared" si="131"/>
        <v>0.86877093791924964</v>
      </c>
      <c r="AL366" s="17">
        <f>MIN(AC366,'What-If Analysis'!$B$2)</f>
        <v>9.5000000000000001E-2</v>
      </c>
      <c r="AM366">
        <f>AE366*(1+'What-If Analysis'!$B$3)</f>
        <v>10.4</v>
      </c>
      <c r="AN366">
        <f>Y366*(1+'What-If Analysis'!$B$4)</f>
        <v>1009.9320000000001</v>
      </c>
      <c r="AO366">
        <f t="shared" si="132"/>
        <v>12590.338280000002</v>
      </c>
    </row>
    <row r="367" spans="1:41" x14ac:dyDescent="0.3">
      <c r="A367" t="s">
        <v>37</v>
      </c>
      <c r="B367" s="3">
        <v>45822</v>
      </c>
      <c r="C367" s="3">
        <f t="shared" si="113"/>
        <v>45822</v>
      </c>
      <c r="D367" s="3">
        <v>45837</v>
      </c>
      <c r="E367" s="3">
        <f t="shared" si="114"/>
        <v>45837</v>
      </c>
      <c r="F367" s="16">
        <f t="shared" si="115"/>
        <v>15</v>
      </c>
      <c r="G367" s="16">
        <f>IF(Data!F339&lt;=7,1,0)</f>
        <v>0</v>
      </c>
      <c r="H367" s="5" t="str">
        <f t="shared" si="116"/>
        <v>06-2025</v>
      </c>
      <c r="I367" s="5" t="str">
        <f t="shared" si="117"/>
        <v>Q2-2025</v>
      </c>
      <c r="J367" s="3">
        <f t="shared" si="118"/>
        <v>44939</v>
      </c>
      <c r="K367" s="5" t="str">
        <f t="shared" si="119"/>
        <v>01-2023</v>
      </c>
      <c r="L367" t="s">
        <v>646</v>
      </c>
      <c r="M367" t="s">
        <v>651</v>
      </c>
      <c r="N367" t="s">
        <v>663</v>
      </c>
      <c r="O367" t="str">
        <f t="shared" si="120"/>
        <v>Port Harcourt</v>
      </c>
      <c r="P367" t="s">
        <v>704</v>
      </c>
      <c r="Q367" t="s">
        <v>709</v>
      </c>
      <c r="R367" t="str">
        <f t="shared" si="121"/>
        <v>Marketplace</v>
      </c>
      <c r="S367" t="s">
        <v>724</v>
      </c>
      <c r="T367" t="str">
        <f t="shared" si="134"/>
        <v>M. Rossi</v>
      </c>
      <c r="U367" t="s">
        <v>733</v>
      </c>
      <c r="V367" t="str">
        <f t="shared" si="122"/>
        <v>Medium</v>
      </c>
      <c r="W367" t="s">
        <v>756</v>
      </c>
      <c r="X367" t="str">
        <f t="shared" si="123"/>
        <v>B</v>
      </c>
      <c r="Y367" s="5">
        <v>730.99</v>
      </c>
      <c r="Z367" s="5">
        <v>1242.8399999999999</v>
      </c>
      <c r="AA367" s="5">
        <f t="shared" si="124"/>
        <v>1242.8399999999999</v>
      </c>
      <c r="AB367" s="7">
        <v>0.12</v>
      </c>
      <c r="AC367" s="7">
        <f t="shared" si="125"/>
        <v>0.12</v>
      </c>
      <c r="AD367" s="16">
        <f t="shared" si="126"/>
        <v>0</v>
      </c>
      <c r="AE367" s="16">
        <v>10</v>
      </c>
      <c r="AF367" s="5">
        <f t="shared" si="127"/>
        <v>10936.992</v>
      </c>
      <c r="AG367">
        <f t="shared" si="128"/>
        <v>7309.9</v>
      </c>
      <c r="AH367" s="5">
        <f t="shared" si="129"/>
        <v>3627.0920000000006</v>
      </c>
      <c r="AI367" s="5">
        <f t="shared" si="130"/>
        <v>0.33163524303574515</v>
      </c>
      <c r="AJ367" s="5">
        <f t="shared" si="133"/>
        <v>9520302.0479800105</v>
      </c>
      <c r="AK367" s="7">
        <f t="shared" si="131"/>
        <v>0.86977013615613719</v>
      </c>
      <c r="AL367" s="17">
        <f>MIN(AC367,'What-If Analysis'!$B$2)</f>
        <v>0.12</v>
      </c>
      <c r="AM367">
        <f>AE367*(1+'What-If Analysis'!$B$3)</f>
        <v>13</v>
      </c>
      <c r="AN367">
        <f>Y367*(1+'What-If Analysis'!$B$4)</f>
        <v>804.08900000000006</v>
      </c>
      <c r="AO367">
        <f t="shared" si="132"/>
        <v>14218.089599999999</v>
      </c>
    </row>
    <row r="368" spans="1:41" x14ac:dyDescent="0.3">
      <c r="A368" t="s">
        <v>425</v>
      </c>
      <c r="B368" s="3">
        <v>45430</v>
      </c>
      <c r="C368" s="3">
        <f t="shared" si="113"/>
        <v>45430</v>
      </c>
      <c r="D368" s="3">
        <v>45433</v>
      </c>
      <c r="E368" s="3">
        <f t="shared" si="114"/>
        <v>45433</v>
      </c>
      <c r="F368" s="16">
        <f t="shared" si="115"/>
        <v>3</v>
      </c>
      <c r="G368" s="16">
        <f>IF(Data!F446&lt;=7,1,0)</f>
        <v>0</v>
      </c>
      <c r="H368" s="5" t="str">
        <f t="shared" si="116"/>
        <v>05-2024</v>
      </c>
      <c r="I368" s="5" t="str">
        <f t="shared" si="117"/>
        <v>Q2-2024</v>
      </c>
      <c r="J368" s="3">
        <f t="shared" si="118"/>
        <v>44936</v>
      </c>
      <c r="K368" s="5" t="str">
        <f t="shared" si="119"/>
        <v>01-2023</v>
      </c>
      <c r="L368" t="s">
        <v>649</v>
      </c>
      <c r="M368" t="s">
        <v>657</v>
      </c>
      <c r="N368" t="s">
        <v>673</v>
      </c>
      <c r="O368" t="str">
        <f t="shared" si="120"/>
        <v>Marseille</v>
      </c>
      <c r="P368" t="s">
        <v>703</v>
      </c>
      <c r="Q368" t="s">
        <v>709</v>
      </c>
      <c r="R368" t="str">
        <f t="shared" si="121"/>
        <v>Marketplace</v>
      </c>
      <c r="S368" t="s">
        <v>726</v>
      </c>
      <c r="T368" t="str">
        <f t="shared" si="134"/>
        <v>D. Smith</v>
      </c>
      <c r="U368" t="s">
        <v>728</v>
      </c>
      <c r="V368" t="str">
        <f t="shared" si="122"/>
        <v>Medium</v>
      </c>
      <c r="W368" t="s">
        <v>1144</v>
      </c>
      <c r="X368" t="str">
        <f t="shared" si="123"/>
        <v>B</v>
      </c>
      <c r="Y368" s="5">
        <v>663.66</v>
      </c>
      <c r="Z368" s="5">
        <v>824.26</v>
      </c>
      <c r="AA368" s="5">
        <f t="shared" si="124"/>
        <v>824.26</v>
      </c>
      <c r="AB368" s="7">
        <v>0.23899999999999999</v>
      </c>
      <c r="AC368" s="7">
        <f t="shared" si="125"/>
        <v>0.23899999999999999</v>
      </c>
      <c r="AD368" s="16">
        <f t="shared" si="126"/>
        <v>1</v>
      </c>
      <c r="AE368" s="16">
        <v>11</v>
      </c>
      <c r="AF368" s="5">
        <f t="shared" si="127"/>
        <v>6899.8804600000003</v>
      </c>
      <c r="AG368">
        <f t="shared" si="128"/>
        <v>7300.2599999999993</v>
      </c>
      <c r="AH368" s="5">
        <f t="shared" si="129"/>
        <v>400.379539999999</v>
      </c>
      <c r="AI368" s="5">
        <f t="shared" si="130"/>
        <v>5.8027025587048933E-2</v>
      </c>
      <c r="AJ368" s="5">
        <f t="shared" si="133"/>
        <v>9527201.9284400102</v>
      </c>
      <c r="AK368" s="7">
        <f t="shared" si="131"/>
        <v>0.87040050585837037</v>
      </c>
      <c r="AL368" s="17">
        <f>MIN(AC368,'What-If Analysis'!$B$2)</f>
        <v>0.2</v>
      </c>
      <c r="AM368">
        <f>AE368*(1+'What-If Analysis'!$B$3)</f>
        <v>14.3</v>
      </c>
      <c r="AN368">
        <f>Y368*(1+'What-If Analysis'!$B$4)</f>
        <v>730.02600000000007</v>
      </c>
      <c r="AO368">
        <f t="shared" si="132"/>
        <v>9429.5344000000005</v>
      </c>
    </row>
    <row r="369" spans="1:41" x14ac:dyDescent="0.3">
      <c r="A369" t="s">
        <v>56</v>
      </c>
      <c r="B369" s="3">
        <v>45302</v>
      </c>
      <c r="C369" s="3">
        <f t="shared" si="113"/>
        <v>45302</v>
      </c>
      <c r="D369" s="3">
        <v>45324</v>
      </c>
      <c r="E369" s="3">
        <f t="shared" si="114"/>
        <v>45324</v>
      </c>
      <c r="F369" s="16">
        <f t="shared" si="115"/>
        <v>22</v>
      </c>
      <c r="G369" s="16">
        <f>IF(Data!F349&lt;=7,1,0)</f>
        <v>0</v>
      </c>
      <c r="H369" s="5" t="str">
        <f t="shared" si="116"/>
        <v>01-2024</v>
      </c>
      <c r="I369" s="5" t="str">
        <f t="shared" si="117"/>
        <v>Q1-2024</v>
      </c>
      <c r="J369" s="3">
        <f t="shared" si="118"/>
        <v>44933</v>
      </c>
      <c r="K369" s="5" t="str">
        <f t="shared" si="119"/>
        <v>01-2023</v>
      </c>
      <c r="L369" t="s">
        <v>646</v>
      </c>
      <c r="M369" t="s">
        <v>661</v>
      </c>
      <c r="N369" t="s">
        <v>687</v>
      </c>
      <c r="O369" t="str">
        <f t="shared" si="120"/>
        <v>Durban</v>
      </c>
      <c r="P369" t="s">
        <v>704</v>
      </c>
      <c r="Q369" t="s">
        <v>708</v>
      </c>
      <c r="R369" t="str">
        <f t="shared" si="121"/>
        <v>Online</v>
      </c>
      <c r="S369" t="s">
        <v>723</v>
      </c>
      <c r="T369" t="str">
        <f t="shared" si="134"/>
        <v>K. Singh</v>
      </c>
      <c r="U369" t="s">
        <v>729</v>
      </c>
      <c r="V369" t="str">
        <f t="shared" si="122"/>
        <v>High</v>
      </c>
      <c r="W369" t="s">
        <v>775</v>
      </c>
      <c r="X369" t="str">
        <f t="shared" si="123"/>
        <v>B</v>
      </c>
      <c r="Y369" s="5">
        <v>1206.2</v>
      </c>
      <c r="Z369" s="5">
        <v>1759.79</v>
      </c>
      <c r="AA369" s="5">
        <f t="shared" si="124"/>
        <v>1759.79</v>
      </c>
      <c r="AB369" s="7">
        <v>0</v>
      </c>
      <c r="AC369" s="7">
        <f t="shared" si="125"/>
        <v>0</v>
      </c>
      <c r="AD369" s="16">
        <f t="shared" si="126"/>
        <v>0</v>
      </c>
      <c r="AE369" s="16">
        <v>6</v>
      </c>
      <c r="AF369" s="5">
        <f t="shared" si="127"/>
        <v>10558.74</v>
      </c>
      <c r="AG369">
        <f t="shared" si="128"/>
        <v>7237.2000000000007</v>
      </c>
      <c r="AH369" s="5">
        <f t="shared" si="129"/>
        <v>3321.5399999999991</v>
      </c>
      <c r="AI369" s="5">
        <f t="shared" si="130"/>
        <v>0.31457730751964713</v>
      </c>
      <c r="AJ369" s="5">
        <f t="shared" si="133"/>
        <v>9537760.6684400104</v>
      </c>
      <c r="AK369" s="7">
        <f t="shared" si="131"/>
        <v>0.87136514717764302</v>
      </c>
      <c r="AL369" s="17">
        <f>MIN(AC369,'What-If Analysis'!$B$2)</f>
        <v>0</v>
      </c>
      <c r="AM369">
        <f>AE369*(1+'What-If Analysis'!$B$3)</f>
        <v>7.8000000000000007</v>
      </c>
      <c r="AN369">
        <f>Y369*(1+'What-If Analysis'!$B$4)</f>
        <v>1326.8200000000002</v>
      </c>
      <c r="AO369">
        <f t="shared" si="132"/>
        <v>13726.362000000001</v>
      </c>
    </row>
    <row r="370" spans="1:41" x14ac:dyDescent="0.3">
      <c r="A370" t="s">
        <v>211</v>
      </c>
      <c r="B370" s="3">
        <v>45333</v>
      </c>
      <c r="C370" s="3">
        <f t="shared" si="113"/>
        <v>45333</v>
      </c>
      <c r="D370" s="3">
        <v>45354</v>
      </c>
      <c r="E370" s="3">
        <f t="shared" si="114"/>
        <v>45354</v>
      </c>
      <c r="F370" s="16">
        <f t="shared" si="115"/>
        <v>21</v>
      </c>
      <c r="G370" s="16">
        <f>IF(Data!F332&lt;=7,1,0)</f>
        <v>1</v>
      </c>
      <c r="H370" s="5" t="str">
        <f t="shared" si="116"/>
        <v>02-2024</v>
      </c>
      <c r="I370" s="5" t="str">
        <f t="shared" si="117"/>
        <v>Q1-2024</v>
      </c>
      <c r="J370" s="3">
        <f t="shared" si="118"/>
        <v>44946</v>
      </c>
      <c r="K370" s="5" t="str">
        <f t="shared" si="119"/>
        <v>01-2023</v>
      </c>
      <c r="L370" t="s">
        <v>646</v>
      </c>
      <c r="M370" t="s">
        <v>650</v>
      </c>
      <c r="N370" t="s">
        <v>662</v>
      </c>
      <c r="O370" t="str">
        <f t="shared" si="120"/>
        <v>Kisumu</v>
      </c>
      <c r="P370" t="s">
        <v>706</v>
      </c>
      <c r="Q370" t="s">
        <v>708</v>
      </c>
      <c r="R370" t="str">
        <f t="shared" si="121"/>
        <v>Online</v>
      </c>
      <c r="S370" t="s">
        <v>717</v>
      </c>
      <c r="T370" t="str">
        <f t="shared" si="134"/>
        <v>B. Chen</v>
      </c>
      <c r="U370" t="s">
        <v>730</v>
      </c>
      <c r="V370" t="str">
        <f t="shared" si="122"/>
        <v>Medium</v>
      </c>
      <c r="W370" t="s">
        <v>931</v>
      </c>
      <c r="X370" t="str">
        <f t="shared" si="123"/>
        <v>B</v>
      </c>
      <c r="Y370" s="5">
        <v>516.86</v>
      </c>
      <c r="Z370" s="5">
        <v>852.54</v>
      </c>
      <c r="AA370" s="5">
        <f t="shared" si="124"/>
        <v>852.54</v>
      </c>
      <c r="AB370" s="7">
        <v>5.0999999999999997E-2</v>
      </c>
      <c r="AC370" s="7">
        <f t="shared" si="125"/>
        <v>5.0999999999999997E-2</v>
      </c>
      <c r="AD370" s="16">
        <f t="shared" si="126"/>
        <v>0</v>
      </c>
      <c r="AE370" s="16">
        <v>14</v>
      </c>
      <c r="AF370" s="5">
        <f t="shared" si="127"/>
        <v>11326.846439999999</v>
      </c>
      <c r="AG370">
        <f t="shared" si="128"/>
        <v>7236.04</v>
      </c>
      <c r="AH370" s="5">
        <f t="shared" si="129"/>
        <v>4090.8064399999994</v>
      </c>
      <c r="AI370" s="5">
        <f t="shared" si="130"/>
        <v>0.36116022775355994</v>
      </c>
      <c r="AJ370" s="5">
        <f t="shared" si="133"/>
        <v>9549087.5148800109</v>
      </c>
      <c r="AK370" s="7">
        <f t="shared" si="131"/>
        <v>0.87239996232538608</v>
      </c>
      <c r="AL370" s="17">
        <f>MIN(AC370,'What-If Analysis'!$B$2)</f>
        <v>5.0999999999999997E-2</v>
      </c>
      <c r="AM370">
        <f>AE370*(1+'What-If Analysis'!$B$3)</f>
        <v>18.2</v>
      </c>
      <c r="AN370">
        <f>Y370*(1+'What-If Analysis'!$B$4)</f>
        <v>568.54600000000005</v>
      </c>
      <c r="AO370">
        <f t="shared" si="132"/>
        <v>14724.900371999998</v>
      </c>
    </row>
    <row r="371" spans="1:41" x14ac:dyDescent="0.3">
      <c r="A371" t="s">
        <v>435</v>
      </c>
      <c r="B371" s="3">
        <v>45713</v>
      </c>
      <c r="C371" s="3">
        <f t="shared" si="113"/>
        <v>45713</v>
      </c>
      <c r="D371" s="3">
        <v>45733</v>
      </c>
      <c r="E371" s="3">
        <f t="shared" si="114"/>
        <v>45733</v>
      </c>
      <c r="F371" s="16">
        <f t="shared" si="115"/>
        <v>20</v>
      </c>
      <c r="G371" s="16">
        <f>IF(Data!F362&lt;=7,1,0)</f>
        <v>0</v>
      </c>
      <c r="H371" s="5" t="str">
        <f t="shared" si="116"/>
        <v>02-2025</v>
      </c>
      <c r="I371" s="5" t="str">
        <f t="shared" si="117"/>
        <v>Q1-2025</v>
      </c>
      <c r="J371" s="3">
        <f t="shared" si="118"/>
        <v>44939</v>
      </c>
      <c r="K371" s="5" t="str">
        <f t="shared" si="119"/>
        <v>01-2023</v>
      </c>
      <c r="L371" t="s">
        <v>648</v>
      </c>
      <c r="M371" t="s">
        <v>660</v>
      </c>
      <c r="N371" t="s">
        <v>686</v>
      </c>
      <c r="O371" t="str">
        <f t="shared" si="120"/>
        <v>San Francisco</v>
      </c>
      <c r="P371" t="s">
        <v>703</v>
      </c>
      <c r="Q371" t="s">
        <v>709</v>
      </c>
      <c r="R371" t="str">
        <f t="shared" si="121"/>
        <v>Marketplace</v>
      </c>
      <c r="S371" t="s">
        <v>722</v>
      </c>
      <c r="T371" t="str">
        <f t="shared" si="134"/>
        <v>H. Kim</v>
      </c>
      <c r="U371" t="s">
        <v>730</v>
      </c>
      <c r="V371" t="str">
        <f t="shared" si="122"/>
        <v>High</v>
      </c>
      <c r="W371" t="s">
        <v>1154</v>
      </c>
      <c r="X371" t="str">
        <f t="shared" si="123"/>
        <v>B</v>
      </c>
      <c r="Y371" s="5">
        <v>1205.26</v>
      </c>
      <c r="Z371" s="5">
        <v>1696.35</v>
      </c>
      <c r="AA371" s="5">
        <f t="shared" si="124"/>
        <v>1696.35</v>
      </c>
      <c r="AB371" s="7">
        <v>1.9E-2</v>
      </c>
      <c r="AC371" s="7">
        <f t="shared" si="125"/>
        <v>1.9E-2</v>
      </c>
      <c r="AD371" s="16">
        <f t="shared" si="126"/>
        <v>0</v>
      </c>
      <c r="AE371" s="16">
        <v>6</v>
      </c>
      <c r="AF371" s="5">
        <f t="shared" si="127"/>
        <v>9984.7160999999978</v>
      </c>
      <c r="AG371">
        <f t="shared" si="128"/>
        <v>7231.5599999999995</v>
      </c>
      <c r="AH371" s="5">
        <f t="shared" si="129"/>
        <v>2753.1560999999983</v>
      </c>
      <c r="AI371" s="5">
        <f t="shared" si="130"/>
        <v>0.27573704374028213</v>
      </c>
      <c r="AJ371" s="5">
        <f t="shared" si="133"/>
        <v>9559072.2309800107</v>
      </c>
      <c r="AK371" s="7">
        <f t="shared" si="131"/>
        <v>0.87331216110206455</v>
      </c>
      <c r="AL371" s="17">
        <f>MIN(AC371,'What-If Analysis'!$B$2)</f>
        <v>1.9E-2</v>
      </c>
      <c r="AM371">
        <f>AE371*(1+'What-If Analysis'!$B$3)</f>
        <v>7.8000000000000007</v>
      </c>
      <c r="AN371">
        <f>Y371*(1+'What-If Analysis'!$B$4)</f>
        <v>1325.7860000000001</v>
      </c>
      <c r="AO371">
        <f t="shared" si="132"/>
        <v>12980.130930000001</v>
      </c>
    </row>
    <row r="372" spans="1:41" x14ac:dyDescent="0.3">
      <c r="A372" t="s">
        <v>283</v>
      </c>
      <c r="B372" s="3">
        <v>45301</v>
      </c>
      <c r="C372" s="3">
        <f t="shared" si="113"/>
        <v>45301</v>
      </c>
      <c r="D372" s="3">
        <v>45314</v>
      </c>
      <c r="E372" s="3">
        <f t="shared" si="114"/>
        <v>45314</v>
      </c>
      <c r="F372" s="16">
        <f t="shared" si="115"/>
        <v>13</v>
      </c>
      <c r="G372" s="16">
        <f>IF(Data!F422&lt;=7,1,0)</f>
        <v>0</v>
      </c>
      <c r="H372" s="5" t="str">
        <f t="shared" si="116"/>
        <v>01-2024</v>
      </c>
      <c r="I372" s="5" t="str">
        <f t="shared" si="117"/>
        <v>Q1-2024</v>
      </c>
      <c r="J372" s="3">
        <f t="shared" si="118"/>
        <v>44936</v>
      </c>
      <c r="K372" s="5" t="str">
        <f t="shared" si="119"/>
        <v>01-2023</v>
      </c>
      <c r="L372" t="s">
        <v>649</v>
      </c>
      <c r="M372" t="s">
        <v>657</v>
      </c>
      <c r="N372" t="s">
        <v>673</v>
      </c>
      <c r="O372" t="str">
        <f t="shared" si="120"/>
        <v>Marseille</v>
      </c>
      <c r="P372" t="s">
        <v>701</v>
      </c>
      <c r="Q372" t="s">
        <v>711</v>
      </c>
      <c r="R372" t="str">
        <f t="shared" si="121"/>
        <v>Direct</v>
      </c>
      <c r="S372" t="s">
        <v>720</v>
      </c>
      <c r="T372" t="str">
        <f t="shared" si="134"/>
        <v>A. Patel</v>
      </c>
      <c r="U372" t="s">
        <v>728</v>
      </c>
      <c r="V372" t="str">
        <f t="shared" si="122"/>
        <v>Medium</v>
      </c>
      <c r="W372" t="s">
        <v>1003</v>
      </c>
      <c r="X372" t="str">
        <f t="shared" si="123"/>
        <v>B</v>
      </c>
      <c r="Y372" s="5">
        <v>720</v>
      </c>
      <c r="Z372" s="5">
        <v>907.59</v>
      </c>
      <c r="AA372" s="5">
        <f t="shared" si="124"/>
        <v>907.59</v>
      </c>
      <c r="AB372" s="7">
        <v>0.154</v>
      </c>
      <c r="AC372" s="7">
        <f t="shared" si="125"/>
        <v>0.154</v>
      </c>
      <c r="AD372" s="16">
        <f t="shared" si="126"/>
        <v>0</v>
      </c>
      <c r="AE372" s="16">
        <v>10</v>
      </c>
      <c r="AF372" s="5">
        <f t="shared" si="127"/>
        <v>7678.2113999999992</v>
      </c>
      <c r="AG372">
        <f t="shared" si="128"/>
        <v>7200</v>
      </c>
      <c r="AH372" s="5">
        <f t="shared" si="129"/>
        <v>478.21139999999923</v>
      </c>
      <c r="AI372" s="5">
        <f t="shared" si="130"/>
        <v>6.2281614179052078E-2</v>
      </c>
      <c r="AJ372" s="5">
        <f t="shared" si="133"/>
        <v>9566750.4423800111</v>
      </c>
      <c r="AK372" s="7">
        <f t="shared" si="131"/>
        <v>0.87401363873808458</v>
      </c>
      <c r="AL372" s="17">
        <f>MIN(AC372,'What-If Analysis'!$B$2)</f>
        <v>0.154</v>
      </c>
      <c r="AM372">
        <f>AE372*(1+'What-If Analysis'!$B$3)</f>
        <v>13</v>
      </c>
      <c r="AN372">
        <f>Y372*(1+'What-If Analysis'!$B$4)</f>
        <v>792.00000000000011</v>
      </c>
      <c r="AO372">
        <f t="shared" si="132"/>
        <v>9981.6748200000002</v>
      </c>
    </row>
    <row r="373" spans="1:41" x14ac:dyDescent="0.3">
      <c r="A373" t="s">
        <v>177</v>
      </c>
      <c r="B373" s="3">
        <v>45385</v>
      </c>
      <c r="C373" s="3">
        <f t="shared" si="113"/>
        <v>45385</v>
      </c>
      <c r="D373" s="3">
        <v>45389</v>
      </c>
      <c r="E373" s="3">
        <f t="shared" si="114"/>
        <v>45389</v>
      </c>
      <c r="F373" s="16">
        <f t="shared" si="115"/>
        <v>4</v>
      </c>
      <c r="G373" s="16">
        <f>IF(Data!F410&lt;=7,1,0)</f>
        <v>1</v>
      </c>
      <c r="H373" s="5" t="str">
        <f t="shared" si="116"/>
        <v>04-2024</v>
      </c>
      <c r="I373" s="5" t="str">
        <f t="shared" si="117"/>
        <v>Q2-2024</v>
      </c>
      <c r="J373" s="3">
        <f t="shared" si="118"/>
        <v>44955</v>
      </c>
      <c r="K373" s="5" t="str">
        <f t="shared" si="119"/>
        <v>01-2023</v>
      </c>
      <c r="L373" t="s">
        <v>648</v>
      </c>
      <c r="M373" t="s">
        <v>655</v>
      </c>
      <c r="N373" t="s">
        <v>672</v>
      </c>
      <c r="O373" t="str">
        <f t="shared" si="120"/>
        <v>Brasília</v>
      </c>
      <c r="P373" t="s">
        <v>703</v>
      </c>
      <c r="Q373" t="s">
        <v>711</v>
      </c>
      <c r="R373" t="str">
        <f t="shared" si="121"/>
        <v>Direct</v>
      </c>
      <c r="S373" t="s">
        <v>725</v>
      </c>
      <c r="T373" t="str">
        <f t="shared" si="134"/>
        <v>N. Brown</v>
      </c>
      <c r="U373" t="s">
        <v>730</v>
      </c>
      <c r="V373" t="str">
        <f t="shared" si="122"/>
        <v>Medium</v>
      </c>
      <c r="W373" t="s">
        <v>896</v>
      </c>
      <c r="X373" t="str">
        <f t="shared" si="123"/>
        <v>B</v>
      </c>
      <c r="Y373" s="5">
        <v>1023.27</v>
      </c>
      <c r="Z373" s="5">
        <v>1343.64</v>
      </c>
      <c r="AA373" s="5">
        <f t="shared" si="124"/>
        <v>1343.64</v>
      </c>
      <c r="AB373" s="7">
        <v>0.13300000000000001</v>
      </c>
      <c r="AC373" s="7">
        <f t="shared" si="125"/>
        <v>0.13300000000000001</v>
      </c>
      <c r="AD373" s="16">
        <f t="shared" si="126"/>
        <v>0</v>
      </c>
      <c r="AE373" s="16">
        <v>7</v>
      </c>
      <c r="AF373" s="5">
        <f t="shared" si="127"/>
        <v>8154.5511600000009</v>
      </c>
      <c r="AG373">
        <f t="shared" si="128"/>
        <v>7162.8899999999994</v>
      </c>
      <c r="AH373" s="5">
        <f t="shared" si="129"/>
        <v>991.66116000000147</v>
      </c>
      <c r="AI373" s="5">
        <f t="shared" si="130"/>
        <v>0.12160830688810116</v>
      </c>
      <c r="AJ373" s="5">
        <f t="shared" si="133"/>
        <v>9574904.9935400113</v>
      </c>
      <c r="AK373" s="7">
        <f t="shared" si="131"/>
        <v>0.87475863454147207</v>
      </c>
      <c r="AL373" s="17">
        <f>MIN(AC373,'What-If Analysis'!$B$2)</f>
        <v>0.13300000000000001</v>
      </c>
      <c r="AM373">
        <f>AE373*(1+'What-If Analysis'!$B$3)</f>
        <v>9.1</v>
      </c>
      <c r="AN373">
        <f>Y373*(1+'What-If Analysis'!$B$4)</f>
        <v>1125.597</v>
      </c>
      <c r="AO373">
        <f t="shared" si="132"/>
        <v>10600.916508</v>
      </c>
    </row>
    <row r="374" spans="1:41" x14ac:dyDescent="0.3">
      <c r="A374" t="s">
        <v>93</v>
      </c>
      <c r="B374" s="3">
        <v>45091</v>
      </c>
      <c r="C374" s="3">
        <f t="shared" si="113"/>
        <v>45091</v>
      </c>
      <c r="D374" s="3">
        <v>45093</v>
      </c>
      <c r="E374" s="3">
        <f t="shared" si="114"/>
        <v>45093</v>
      </c>
      <c r="F374" s="16">
        <f t="shared" si="115"/>
        <v>2</v>
      </c>
      <c r="G374" s="16">
        <f>IF(Data!F353&lt;=7,1,0)</f>
        <v>0</v>
      </c>
      <c r="H374" s="5" t="str">
        <f t="shared" si="116"/>
        <v>06-2023</v>
      </c>
      <c r="I374" s="5" t="str">
        <f t="shared" si="117"/>
        <v>Q2-2023</v>
      </c>
      <c r="J374" s="3">
        <f t="shared" si="118"/>
        <v>44945</v>
      </c>
      <c r="K374" s="5" t="str">
        <f t="shared" si="119"/>
        <v>01-2023</v>
      </c>
      <c r="L374" t="s">
        <v>649</v>
      </c>
      <c r="M374" t="s">
        <v>658</v>
      </c>
      <c r="N374" t="s">
        <v>693</v>
      </c>
      <c r="O374" t="str">
        <f t="shared" si="120"/>
        <v>Manchester</v>
      </c>
      <c r="P374" t="s">
        <v>703</v>
      </c>
      <c r="Q374" t="s">
        <v>711</v>
      </c>
      <c r="R374" t="str">
        <f t="shared" si="121"/>
        <v>Direct</v>
      </c>
      <c r="S374" t="s">
        <v>723</v>
      </c>
      <c r="T374" t="str">
        <f t="shared" si="134"/>
        <v>K. Singh</v>
      </c>
      <c r="U374" t="s">
        <v>727</v>
      </c>
      <c r="V374" t="str">
        <f t="shared" si="122"/>
        <v>Low</v>
      </c>
      <c r="W374" t="s">
        <v>812</v>
      </c>
      <c r="X374" t="str">
        <f t="shared" si="123"/>
        <v>B</v>
      </c>
      <c r="Y374" s="5">
        <v>357.36</v>
      </c>
      <c r="Z374" s="5">
        <v>703.62</v>
      </c>
      <c r="AA374" s="5">
        <f t="shared" si="124"/>
        <v>703.62</v>
      </c>
      <c r="AB374" s="7">
        <v>0.25700000000000001</v>
      </c>
      <c r="AC374" s="7">
        <f t="shared" si="125"/>
        <v>0.25700000000000001</v>
      </c>
      <c r="AD374" s="16">
        <f t="shared" si="126"/>
        <v>1</v>
      </c>
      <c r="AE374" s="16">
        <v>20</v>
      </c>
      <c r="AF374" s="5">
        <f t="shared" si="127"/>
        <v>10455.7932</v>
      </c>
      <c r="AG374">
        <f t="shared" si="128"/>
        <v>7147.2000000000007</v>
      </c>
      <c r="AH374" s="5">
        <f t="shared" si="129"/>
        <v>3308.5931999999993</v>
      </c>
      <c r="AI374" s="5">
        <f t="shared" si="130"/>
        <v>0.31643636563125593</v>
      </c>
      <c r="AJ374" s="5">
        <f t="shared" si="133"/>
        <v>9585360.7867400106</v>
      </c>
      <c r="AK374" s="7">
        <f t="shared" si="131"/>
        <v>0.87571387069147566</v>
      </c>
      <c r="AL374" s="17">
        <f>MIN(AC374,'What-If Analysis'!$B$2)</f>
        <v>0.2</v>
      </c>
      <c r="AM374">
        <f>AE374*(1+'What-If Analysis'!$B$3)</f>
        <v>26</v>
      </c>
      <c r="AN374">
        <f>Y374*(1+'What-If Analysis'!$B$4)</f>
        <v>393.09600000000006</v>
      </c>
      <c r="AO374">
        <f t="shared" si="132"/>
        <v>14635.296</v>
      </c>
    </row>
    <row r="375" spans="1:41" x14ac:dyDescent="0.3">
      <c r="A375" t="s">
        <v>375</v>
      </c>
      <c r="B375" s="3">
        <v>45833</v>
      </c>
      <c r="C375" s="3">
        <f t="shared" si="113"/>
        <v>45833</v>
      </c>
      <c r="D375" s="3">
        <v>45848</v>
      </c>
      <c r="E375" s="3">
        <f t="shared" si="114"/>
        <v>45848</v>
      </c>
      <c r="F375" s="16">
        <f t="shared" si="115"/>
        <v>15</v>
      </c>
      <c r="G375" s="16">
        <f>IF(Data!F498&lt;=7,1,0)</f>
        <v>0</v>
      </c>
      <c r="H375" s="5" t="str">
        <f t="shared" si="116"/>
        <v>06-2025</v>
      </c>
      <c r="I375" s="5" t="str">
        <f t="shared" si="117"/>
        <v>Q2-2025</v>
      </c>
      <c r="J375" s="3">
        <f t="shared" si="118"/>
        <v>44945</v>
      </c>
      <c r="K375" s="5" t="str">
        <f t="shared" si="119"/>
        <v>01-2023</v>
      </c>
      <c r="L375" t="s">
        <v>649</v>
      </c>
      <c r="M375" t="s">
        <v>658</v>
      </c>
      <c r="N375" t="s">
        <v>674</v>
      </c>
      <c r="O375" t="str">
        <f t="shared" si="120"/>
        <v>Birmingham</v>
      </c>
      <c r="P375" t="s">
        <v>703</v>
      </c>
      <c r="Q375" t="s">
        <v>709</v>
      </c>
      <c r="R375" t="str">
        <f t="shared" si="121"/>
        <v>Marketplace</v>
      </c>
      <c r="S375" t="s">
        <v>726</v>
      </c>
      <c r="T375" t="str">
        <f t="shared" si="134"/>
        <v>D. Smith</v>
      </c>
      <c r="U375" t="s">
        <v>730</v>
      </c>
      <c r="V375" t="str">
        <f t="shared" si="122"/>
        <v>Low</v>
      </c>
      <c r="W375" t="s">
        <v>1095</v>
      </c>
      <c r="X375" t="str">
        <f t="shared" si="123"/>
        <v>B</v>
      </c>
      <c r="Y375" s="5">
        <v>546.83000000000004</v>
      </c>
      <c r="Z375" s="5">
        <v>400.84</v>
      </c>
      <c r="AA375" s="5">
        <f t="shared" si="124"/>
        <v>400.84</v>
      </c>
      <c r="AB375" s="7">
        <v>7.8E-2</v>
      </c>
      <c r="AC375" s="7">
        <f t="shared" si="125"/>
        <v>7.8E-2</v>
      </c>
      <c r="AD375" s="16">
        <f t="shared" si="126"/>
        <v>0</v>
      </c>
      <c r="AE375" s="16">
        <v>13</v>
      </c>
      <c r="AF375" s="5">
        <f t="shared" si="127"/>
        <v>4804.4682400000002</v>
      </c>
      <c r="AG375">
        <f t="shared" si="128"/>
        <v>7108.7900000000009</v>
      </c>
      <c r="AH375" s="5">
        <f t="shared" si="129"/>
        <v>2304.3217600000007</v>
      </c>
      <c r="AI375" s="5">
        <f t="shared" si="130"/>
        <v>0.47962056254533608</v>
      </c>
      <c r="AJ375" s="5">
        <f t="shared" si="133"/>
        <v>9590165.2549800109</v>
      </c>
      <c r="AK375" s="7">
        <f t="shared" si="131"/>
        <v>0.87615280455872091</v>
      </c>
      <c r="AL375" s="17">
        <f>MIN(AC375,'What-If Analysis'!$B$2)</f>
        <v>7.8E-2</v>
      </c>
      <c r="AM375">
        <f>AE375*(1+'What-If Analysis'!$B$3)</f>
        <v>16.900000000000002</v>
      </c>
      <c r="AN375">
        <f>Y375*(1+'What-If Analysis'!$B$4)</f>
        <v>601.51300000000015</v>
      </c>
      <c r="AO375">
        <f t="shared" si="132"/>
        <v>6245.8087120000009</v>
      </c>
    </row>
    <row r="376" spans="1:41" x14ac:dyDescent="0.3">
      <c r="A376" t="s">
        <v>308</v>
      </c>
      <c r="B376" s="3">
        <v>45758</v>
      </c>
      <c r="C376" s="3">
        <f t="shared" si="113"/>
        <v>45758</v>
      </c>
      <c r="D376" s="3">
        <v>45781</v>
      </c>
      <c r="E376" s="3">
        <f t="shared" si="114"/>
        <v>45781</v>
      </c>
      <c r="F376" s="16">
        <f t="shared" si="115"/>
        <v>23</v>
      </c>
      <c r="G376" s="16">
        <f>IF(Data!F389&lt;=7,1,0)</f>
        <v>0</v>
      </c>
      <c r="H376" s="5" t="str">
        <f t="shared" si="116"/>
        <v>04-2025</v>
      </c>
      <c r="I376" s="5" t="str">
        <f t="shared" si="117"/>
        <v>Q2-2025</v>
      </c>
      <c r="J376" s="3">
        <f t="shared" si="118"/>
        <v>44988</v>
      </c>
      <c r="K376" s="5" t="str">
        <f t="shared" si="119"/>
        <v>03-2023</v>
      </c>
      <c r="L376" t="s">
        <v>647</v>
      </c>
      <c r="M376" t="s">
        <v>652</v>
      </c>
      <c r="N376" t="s">
        <v>666</v>
      </c>
      <c r="O376" t="str">
        <f t="shared" si="120"/>
        <v>Osaka</v>
      </c>
      <c r="P376" t="s">
        <v>705</v>
      </c>
      <c r="Q376" t="s">
        <v>708</v>
      </c>
      <c r="R376" t="str">
        <f t="shared" si="121"/>
        <v>Online</v>
      </c>
      <c r="S376" t="s">
        <v>724</v>
      </c>
      <c r="T376" t="str">
        <f t="shared" si="134"/>
        <v>M. Rossi</v>
      </c>
      <c r="U376" t="s">
        <v>727</v>
      </c>
      <c r="V376" t="str">
        <f t="shared" si="122"/>
        <v>Medium</v>
      </c>
      <c r="W376" t="s">
        <v>1028</v>
      </c>
      <c r="X376" t="str">
        <f t="shared" si="123"/>
        <v>B</v>
      </c>
      <c r="Y376" s="5">
        <v>786.2</v>
      </c>
      <c r="Z376" s="5">
        <v>1075.3</v>
      </c>
      <c r="AA376" s="5">
        <f t="shared" si="124"/>
        <v>1075.3</v>
      </c>
      <c r="AB376" s="7">
        <v>0.08</v>
      </c>
      <c r="AC376" s="7">
        <f t="shared" si="125"/>
        <v>0.08</v>
      </c>
      <c r="AD376" s="16">
        <f t="shared" si="126"/>
        <v>0</v>
      </c>
      <c r="AE376" s="16">
        <v>9</v>
      </c>
      <c r="AF376" s="5">
        <f t="shared" si="127"/>
        <v>8903.4839999999986</v>
      </c>
      <c r="AG376">
        <f t="shared" si="128"/>
        <v>7075.8</v>
      </c>
      <c r="AH376" s="5">
        <f t="shared" si="129"/>
        <v>1827.6839999999984</v>
      </c>
      <c r="AI376" s="5">
        <f t="shared" si="130"/>
        <v>0.20527739478163815</v>
      </c>
      <c r="AJ376" s="5">
        <f t="shared" si="133"/>
        <v>9599068.7389800102</v>
      </c>
      <c r="AK376" s="7">
        <f t="shared" si="131"/>
        <v>0.87696622249986556</v>
      </c>
      <c r="AL376" s="17">
        <f>MIN(AC376,'What-If Analysis'!$B$2)</f>
        <v>0.08</v>
      </c>
      <c r="AM376">
        <f>AE376*(1+'What-If Analysis'!$B$3)</f>
        <v>11.700000000000001</v>
      </c>
      <c r="AN376">
        <f>Y376*(1+'What-If Analysis'!$B$4)</f>
        <v>864.82000000000016</v>
      </c>
      <c r="AO376">
        <f t="shared" si="132"/>
        <v>11574.529200000001</v>
      </c>
    </row>
    <row r="377" spans="1:41" x14ac:dyDescent="0.3">
      <c r="A377" t="s">
        <v>326</v>
      </c>
      <c r="B377" s="3">
        <v>45101</v>
      </c>
      <c r="C377" s="3">
        <f t="shared" si="113"/>
        <v>45099</v>
      </c>
      <c r="D377" s="3">
        <v>45099</v>
      </c>
      <c r="E377" s="3">
        <f t="shared" si="114"/>
        <v>45101</v>
      </c>
      <c r="F377" s="16">
        <f t="shared" si="115"/>
        <v>2</v>
      </c>
      <c r="G377" s="16">
        <f>IF(Data!F334&lt;=7,1,0)</f>
        <v>0</v>
      </c>
      <c r="H377" s="5" t="str">
        <f t="shared" si="116"/>
        <v>06-2023</v>
      </c>
      <c r="I377" s="5" t="str">
        <f t="shared" si="117"/>
        <v>Q2-2023</v>
      </c>
      <c r="J377" s="3">
        <f t="shared" si="118"/>
        <v>44928</v>
      </c>
      <c r="K377" s="5" t="str">
        <f t="shared" si="119"/>
        <v>01-2023</v>
      </c>
      <c r="L377" t="s">
        <v>648</v>
      </c>
      <c r="M377" t="s">
        <v>653</v>
      </c>
      <c r="N377" t="s">
        <v>667</v>
      </c>
      <c r="O377" t="str">
        <f t="shared" si="120"/>
        <v>Toronto</v>
      </c>
      <c r="P377" t="s">
        <v>703</v>
      </c>
      <c r="Q377" t="s">
        <v>707</v>
      </c>
      <c r="R377" t="str">
        <f t="shared" si="121"/>
        <v>Retail</v>
      </c>
      <c r="S377" t="s">
        <v>724</v>
      </c>
      <c r="T377" t="str">
        <f t="shared" si="134"/>
        <v>M. Rossi</v>
      </c>
      <c r="U377" t="s">
        <v>733</v>
      </c>
      <c r="V377" t="str">
        <f t="shared" si="122"/>
        <v>Medium</v>
      </c>
      <c r="W377" t="s">
        <v>1046</v>
      </c>
      <c r="X377" t="str">
        <f t="shared" si="123"/>
        <v>B</v>
      </c>
      <c r="Y377" s="5">
        <v>471.42</v>
      </c>
      <c r="Z377" s="5">
        <v>824.81</v>
      </c>
      <c r="AA377" s="5">
        <f t="shared" si="124"/>
        <v>824.81</v>
      </c>
      <c r="AB377" s="7">
        <v>8.7999999999999995E-2</v>
      </c>
      <c r="AC377" s="7">
        <f t="shared" si="125"/>
        <v>8.7999999999999995E-2</v>
      </c>
      <c r="AD377" s="16">
        <f t="shared" si="126"/>
        <v>0</v>
      </c>
      <c r="AE377" s="16">
        <v>15</v>
      </c>
      <c r="AF377" s="5">
        <f t="shared" si="127"/>
        <v>11283.400799999999</v>
      </c>
      <c r="AG377">
        <f t="shared" si="128"/>
        <v>7071.3</v>
      </c>
      <c r="AH377" s="5">
        <f t="shared" si="129"/>
        <v>4212.1007999999993</v>
      </c>
      <c r="AI377" s="5">
        <f t="shared" si="130"/>
        <v>0.37330064531608231</v>
      </c>
      <c r="AJ377" s="5">
        <f t="shared" si="133"/>
        <v>9610352.139780011</v>
      </c>
      <c r="AK377" s="7">
        <f t="shared" si="131"/>
        <v>0.8779970684751992</v>
      </c>
      <c r="AL377" s="17">
        <f>MIN(AC377,'What-If Analysis'!$B$2)</f>
        <v>8.7999999999999995E-2</v>
      </c>
      <c r="AM377">
        <f>AE377*(1+'What-If Analysis'!$B$3)</f>
        <v>19.5</v>
      </c>
      <c r="AN377">
        <f>Y377*(1+'What-If Analysis'!$B$4)</f>
        <v>518.56200000000001</v>
      </c>
      <c r="AO377">
        <f t="shared" si="132"/>
        <v>14668.421039999999</v>
      </c>
    </row>
    <row r="378" spans="1:41" x14ac:dyDescent="0.3">
      <c r="A378" t="s">
        <v>119</v>
      </c>
      <c r="B378" s="3">
        <v>45549</v>
      </c>
      <c r="C378" s="3">
        <f t="shared" si="113"/>
        <v>45549</v>
      </c>
      <c r="D378" s="3">
        <v>45570</v>
      </c>
      <c r="E378" s="3">
        <f t="shared" si="114"/>
        <v>45570</v>
      </c>
      <c r="F378" s="16">
        <f t="shared" si="115"/>
        <v>21</v>
      </c>
      <c r="G378" s="16">
        <f>IF(Data!F309&lt;=7,1,0)</f>
        <v>0</v>
      </c>
      <c r="H378" s="5" t="str">
        <f t="shared" si="116"/>
        <v>09-2024</v>
      </c>
      <c r="I378" s="5" t="str">
        <f t="shared" si="117"/>
        <v>Q3-2024</v>
      </c>
      <c r="J378" s="3">
        <f t="shared" si="118"/>
        <v>44938</v>
      </c>
      <c r="K378" s="5" t="str">
        <f t="shared" si="119"/>
        <v>01-2023</v>
      </c>
      <c r="L378" t="s">
        <v>647</v>
      </c>
      <c r="M378" t="s">
        <v>659</v>
      </c>
      <c r="N378" t="s">
        <v>685</v>
      </c>
      <c r="O378" t="str">
        <f t="shared" si="120"/>
        <v>Shanghai</v>
      </c>
      <c r="P378" t="s">
        <v>705</v>
      </c>
      <c r="Q378" t="s">
        <v>708</v>
      </c>
      <c r="R378" t="str">
        <f t="shared" si="121"/>
        <v>Online</v>
      </c>
      <c r="S378" t="s">
        <v>722</v>
      </c>
      <c r="T378" t="str">
        <f t="shared" si="134"/>
        <v>H. Kim</v>
      </c>
      <c r="U378" t="s">
        <v>731</v>
      </c>
      <c r="V378" t="str">
        <f t="shared" si="122"/>
        <v>High</v>
      </c>
      <c r="W378" t="s">
        <v>838</v>
      </c>
      <c r="X378" t="str">
        <f t="shared" si="123"/>
        <v>B</v>
      </c>
      <c r="Y378" s="5">
        <v>1405.56</v>
      </c>
      <c r="Z378" s="5">
        <v>2968.87</v>
      </c>
      <c r="AA378" s="5">
        <f t="shared" si="124"/>
        <v>2968.87</v>
      </c>
      <c r="AB378" s="7">
        <v>0.16900000000000001</v>
      </c>
      <c r="AC378" s="7">
        <f t="shared" si="125"/>
        <v>0.16900000000000001</v>
      </c>
      <c r="AD378" s="16">
        <f t="shared" si="126"/>
        <v>0</v>
      </c>
      <c r="AE378" s="16">
        <v>5</v>
      </c>
      <c r="AF378" s="5">
        <f t="shared" si="127"/>
        <v>12335.654849999999</v>
      </c>
      <c r="AG378">
        <f t="shared" si="128"/>
        <v>7027.7999999999993</v>
      </c>
      <c r="AH378" s="5">
        <f t="shared" si="129"/>
        <v>5307.8548499999997</v>
      </c>
      <c r="AI378" s="5">
        <f t="shared" si="130"/>
        <v>0.4302856163327235</v>
      </c>
      <c r="AJ378" s="5">
        <f t="shared" si="133"/>
        <v>9622687.7946300115</v>
      </c>
      <c r="AK378" s="7">
        <f t="shared" si="131"/>
        <v>0.87912404786559961</v>
      </c>
      <c r="AL378" s="17">
        <f>MIN(AC378,'What-If Analysis'!$B$2)</f>
        <v>0.16900000000000001</v>
      </c>
      <c r="AM378">
        <f>AE378*(1+'What-If Analysis'!$B$3)</f>
        <v>6.5</v>
      </c>
      <c r="AN378">
        <f>Y378*(1+'What-If Analysis'!$B$4)</f>
        <v>1546.116</v>
      </c>
      <c r="AO378">
        <f t="shared" si="132"/>
        <v>16036.351304999998</v>
      </c>
    </row>
    <row r="379" spans="1:41" x14ac:dyDescent="0.3">
      <c r="A379" t="s">
        <v>529</v>
      </c>
      <c r="B379" s="3">
        <v>45874</v>
      </c>
      <c r="C379" s="3">
        <f t="shared" si="113"/>
        <v>45874</v>
      </c>
      <c r="D379" s="3">
        <v>45897</v>
      </c>
      <c r="E379" s="3">
        <f t="shared" si="114"/>
        <v>45897</v>
      </c>
      <c r="F379" s="16">
        <f t="shared" si="115"/>
        <v>23</v>
      </c>
      <c r="G379" s="16">
        <f>IF(Data!F342&lt;=7,1,0)</f>
        <v>0</v>
      </c>
      <c r="H379" s="5" t="str">
        <f t="shared" si="116"/>
        <v>08-2025</v>
      </c>
      <c r="I379" s="5" t="str">
        <f t="shared" si="117"/>
        <v>Q3-2025</v>
      </c>
      <c r="J379" s="3">
        <f t="shared" si="118"/>
        <v>44955</v>
      </c>
      <c r="K379" s="5" t="str">
        <f t="shared" si="119"/>
        <v>01-2023</v>
      </c>
      <c r="L379" t="s">
        <v>647</v>
      </c>
      <c r="M379" t="s">
        <v>654</v>
      </c>
      <c r="N379" t="s">
        <v>691</v>
      </c>
      <c r="O379" t="str">
        <f t="shared" si="120"/>
        <v>Mumbai</v>
      </c>
      <c r="P379" t="s">
        <v>703</v>
      </c>
      <c r="Q379" t="s">
        <v>710</v>
      </c>
      <c r="R379" t="str">
        <f t="shared" si="121"/>
        <v>Distributor</v>
      </c>
      <c r="S379" t="s">
        <v>725</v>
      </c>
      <c r="T379" t="str">
        <f t="shared" si="134"/>
        <v>N. Brown</v>
      </c>
      <c r="U379" t="s">
        <v>731</v>
      </c>
      <c r="V379" t="str">
        <f t="shared" si="122"/>
        <v>Medium</v>
      </c>
      <c r="W379" t="s">
        <v>1248</v>
      </c>
      <c r="X379" t="str">
        <f t="shared" si="123"/>
        <v>B</v>
      </c>
      <c r="Y379" s="5">
        <v>638.54</v>
      </c>
      <c r="Z379" s="5">
        <v>987.24</v>
      </c>
      <c r="AA379" s="5">
        <f t="shared" si="124"/>
        <v>987.24</v>
      </c>
      <c r="AB379" s="7">
        <v>0</v>
      </c>
      <c r="AC379" s="7">
        <f t="shared" si="125"/>
        <v>0</v>
      </c>
      <c r="AD379" s="16">
        <f t="shared" si="126"/>
        <v>0</v>
      </c>
      <c r="AE379" s="16">
        <v>11</v>
      </c>
      <c r="AF379" s="5">
        <f t="shared" si="127"/>
        <v>10859.64</v>
      </c>
      <c r="AG379">
        <f t="shared" si="128"/>
        <v>7023.94</v>
      </c>
      <c r="AH379" s="5">
        <f t="shared" si="129"/>
        <v>3835.7</v>
      </c>
      <c r="AI379" s="5">
        <f t="shared" si="130"/>
        <v>0.35320692030306716</v>
      </c>
      <c r="AJ379" s="5">
        <f t="shared" si="133"/>
        <v>9633547.4346300121</v>
      </c>
      <c r="AK379" s="7">
        <f t="shared" si="131"/>
        <v>0.880116179261621</v>
      </c>
      <c r="AL379" s="17">
        <f>MIN(AC379,'What-If Analysis'!$B$2)</f>
        <v>0</v>
      </c>
      <c r="AM379">
        <f>AE379*(1+'What-If Analysis'!$B$3)</f>
        <v>14.3</v>
      </c>
      <c r="AN379">
        <f>Y379*(1+'What-If Analysis'!$B$4)</f>
        <v>702.39400000000001</v>
      </c>
      <c r="AO379">
        <f t="shared" si="132"/>
        <v>14117.532000000001</v>
      </c>
    </row>
    <row r="380" spans="1:41" x14ac:dyDescent="0.3">
      <c r="A380" t="s">
        <v>226</v>
      </c>
      <c r="B380" s="3">
        <v>45544</v>
      </c>
      <c r="C380" s="3">
        <f t="shared" si="113"/>
        <v>45544</v>
      </c>
      <c r="D380" s="3">
        <v>45566</v>
      </c>
      <c r="E380" s="3">
        <f t="shared" si="114"/>
        <v>45566</v>
      </c>
      <c r="F380" s="16">
        <f t="shared" si="115"/>
        <v>22</v>
      </c>
      <c r="G380" s="16">
        <f>IF(Data!F444&lt;=7,1,0)</f>
        <v>0</v>
      </c>
      <c r="H380" s="5" t="str">
        <f t="shared" si="116"/>
        <v>09-2024</v>
      </c>
      <c r="I380" s="5" t="str">
        <f t="shared" si="117"/>
        <v>Q3-2024</v>
      </c>
      <c r="J380" s="3">
        <f t="shared" si="118"/>
        <v>44938</v>
      </c>
      <c r="K380" s="5" t="str">
        <f t="shared" si="119"/>
        <v>01-2023</v>
      </c>
      <c r="L380" t="s">
        <v>647</v>
      </c>
      <c r="M380" t="s">
        <v>659</v>
      </c>
      <c r="N380" t="s">
        <v>676</v>
      </c>
      <c r="O380" t="str">
        <f t="shared" si="120"/>
        <v>Shenzhen</v>
      </c>
      <c r="P380" t="s">
        <v>704</v>
      </c>
      <c r="Q380" t="s">
        <v>711</v>
      </c>
      <c r="R380" t="str">
        <f t="shared" si="121"/>
        <v>Direct</v>
      </c>
      <c r="S380" t="s">
        <v>716</v>
      </c>
      <c r="T380" t="str">
        <f t="shared" si="134"/>
        <v>L. Okafor</v>
      </c>
      <c r="U380" t="s">
        <v>728</v>
      </c>
      <c r="V380" t="str">
        <f t="shared" si="122"/>
        <v>Medium</v>
      </c>
      <c r="W380" t="s">
        <v>946</v>
      </c>
      <c r="X380" t="str">
        <f t="shared" si="123"/>
        <v>B</v>
      </c>
      <c r="Y380" s="5">
        <v>1166.18</v>
      </c>
      <c r="Z380" s="5">
        <v>1335.02</v>
      </c>
      <c r="AA380" s="5">
        <f t="shared" si="124"/>
        <v>1335.02</v>
      </c>
      <c r="AB380" s="7">
        <v>0.128</v>
      </c>
      <c r="AC380" s="7">
        <f t="shared" si="125"/>
        <v>0.128</v>
      </c>
      <c r="AD380" s="16">
        <f t="shared" si="126"/>
        <v>0</v>
      </c>
      <c r="AE380" s="16">
        <v>6</v>
      </c>
      <c r="AF380" s="5">
        <f t="shared" si="127"/>
        <v>6984.8246399999998</v>
      </c>
      <c r="AG380">
        <f t="shared" si="128"/>
        <v>6997.08</v>
      </c>
      <c r="AH380" s="5">
        <f t="shared" si="129"/>
        <v>12.25536000000011</v>
      </c>
      <c r="AI380" s="5">
        <f t="shared" si="130"/>
        <v>1.7545694604582242E-3</v>
      </c>
      <c r="AJ380" s="5">
        <f t="shared" si="133"/>
        <v>9640532.2592700124</v>
      </c>
      <c r="AK380" s="7">
        <f t="shared" si="131"/>
        <v>0.88075430942256983</v>
      </c>
      <c r="AL380" s="17">
        <f>MIN(AC380,'What-If Analysis'!$B$2)</f>
        <v>0.128</v>
      </c>
      <c r="AM380">
        <f>AE380*(1+'What-If Analysis'!$B$3)</f>
        <v>7.8000000000000007</v>
      </c>
      <c r="AN380">
        <f>Y380*(1+'What-If Analysis'!$B$4)</f>
        <v>1282.7980000000002</v>
      </c>
      <c r="AO380">
        <f t="shared" si="132"/>
        <v>9080.2720320000008</v>
      </c>
    </row>
    <row r="381" spans="1:41" x14ac:dyDescent="0.3">
      <c r="A381" t="s">
        <v>252</v>
      </c>
      <c r="B381" s="3">
        <v>45258</v>
      </c>
      <c r="C381" s="3">
        <f t="shared" si="113"/>
        <v>45258</v>
      </c>
      <c r="D381" s="3">
        <v>45267</v>
      </c>
      <c r="E381" s="3">
        <f t="shared" si="114"/>
        <v>45267</v>
      </c>
      <c r="F381" s="16">
        <f t="shared" si="115"/>
        <v>9</v>
      </c>
      <c r="G381" s="16">
        <f>IF(Data!F452&lt;=7,1,0)</f>
        <v>0</v>
      </c>
      <c r="H381" s="5" t="str">
        <f t="shared" si="116"/>
        <v>11-2023</v>
      </c>
      <c r="I381" s="5" t="str">
        <f t="shared" si="117"/>
        <v>Q4-2023</v>
      </c>
      <c r="J381" s="3">
        <f t="shared" si="118"/>
        <v>44955</v>
      </c>
      <c r="K381" s="5" t="str">
        <f t="shared" si="119"/>
        <v>01-2023</v>
      </c>
      <c r="L381" t="s">
        <v>647</v>
      </c>
      <c r="M381" t="s">
        <v>654</v>
      </c>
      <c r="N381" t="s">
        <v>680</v>
      </c>
      <c r="O381" t="str">
        <f t="shared" si="120"/>
        <v>Delhi</v>
      </c>
      <c r="P381" t="s">
        <v>706</v>
      </c>
      <c r="Q381" t="s">
        <v>709</v>
      </c>
      <c r="R381" t="str">
        <f t="shared" si="121"/>
        <v>Marketplace</v>
      </c>
      <c r="S381" t="s">
        <v>716</v>
      </c>
      <c r="T381" t="str">
        <f t="shared" si="134"/>
        <v>L. Okafor</v>
      </c>
      <c r="U381" t="s">
        <v>730</v>
      </c>
      <c r="V381" t="str">
        <f t="shared" si="122"/>
        <v>Medium</v>
      </c>
      <c r="W381" t="s">
        <v>972</v>
      </c>
      <c r="X381" t="str">
        <f t="shared" si="123"/>
        <v>B</v>
      </c>
      <c r="Y381" s="5">
        <v>699.33</v>
      </c>
      <c r="Z381" s="5">
        <v>873.75</v>
      </c>
      <c r="AA381" s="5">
        <f t="shared" si="124"/>
        <v>873.75</v>
      </c>
      <c r="AB381" s="7">
        <v>0.23499999999999999</v>
      </c>
      <c r="AC381" s="7">
        <f t="shared" si="125"/>
        <v>0.23499999999999999</v>
      </c>
      <c r="AD381" s="16">
        <f t="shared" si="126"/>
        <v>1</v>
      </c>
      <c r="AE381" s="16">
        <v>10</v>
      </c>
      <c r="AF381" s="5">
        <f t="shared" si="127"/>
        <v>6684.1875</v>
      </c>
      <c r="AG381">
        <f t="shared" si="128"/>
        <v>6993.3</v>
      </c>
      <c r="AH381" s="5">
        <f t="shared" si="129"/>
        <v>309.11250000000018</v>
      </c>
      <c r="AI381" s="5">
        <f t="shared" si="130"/>
        <v>4.6245336475076469E-2</v>
      </c>
      <c r="AJ381" s="5">
        <f t="shared" si="133"/>
        <v>9647216.4467700124</v>
      </c>
      <c r="AK381" s="7">
        <f t="shared" si="131"/>
        <v>0.88136497352153109</v>
      </c>
      <c r="AL381" s="17">
        <f>MIN(AC381,'What-If Analysis'!$B$2)</f>
        <v>0.2</v>
      </c>
      <c r="AM381">
        <f>AE381*(1+'What-If Analysis'!$B$3)</f>
        <v>13</v>
      </c>
      <c r="AN381">
        <f>Y381*(1+'What-If Analysis'!$B$4)</f>
        <v>769.26300000000015</v>
      </c>
      <c r="AO381">
        <f t="shared" si="132"/>
        <v>9087</v>
      </c>
    </row>
    <row r="382" spans="1:41" x14ac:dyDescent="0.3">
      <c r="A382" t="s">
        <v>116</v>
      </c>
      <c r="B382" s="3">
        <v>45304</v>
      </c>
      <c r="C382" s="3">
        <f t="shared" si="113"/>
        <v>45304</v>
      </c>
      <c r="D382" s="3">
        <v>45313</v>
      </c>
      <c r="E382" s="3">
        <f t="shared" si="114"/>
        <v>45313</v>
      </c>
      <c r="F382" s="16">
        <f t="shared" si="115"/>
        <v>9</v>
      </c>
      <c r="G382" s="16">
        <f>IF(Data!F461&lt;=7,1,0)</f>
        <v>1</v>
      </c>
      <c r="H382" s="5" t="str">
        <f t="shared" si="116"/>
        <v>01-2024</v>
      </c>
      <c r="I382" s="5" t="str">
        <f t="shared" si="117"/>
        <v>Q1-2024</v>
      </c>
      <c r="J382" s="3">
        <f t="shared" si="118"/>
        <v>44955</v>
      </c>
      <c r="K382" s="5" t="str">
        <f t="shared" si="119"/>
        <v>01-2023</v>
      </c>
      <c r="L382" t="s">
        <v>647</v>
      </c>
      <c r="M382" t="s">
        <v>654</v>
      </c>
      <c r="N382" t="s">
        <v>691</v>
      </c>
      <c r="O382" t="str">
        <f t="shared" si="120"/>
        <v>Mumbai</v>
      </c>
      <c r="P382" t="s">
        <v>706</v>
      </c>
      <c r="Q382" t="s">
        <v>709</v>
      </c>
      <c r="R382" t="str">
        <f t="shared" si="121"/>
        <v>Marketplace</v>
      </c>
      <c r="S382" t="s">
        <v>713</v>
      </c>
      <c r="T382" t="str">
        <f t="shared" si="134"/>
        <v>J. Njeri</v>
      </c>
      <c r="U382" t="s">
        <v>727</v>
      </c>
      <c r="V382" t="str">
        <f t="shared" si="122"/>
        <v>Low</v>
      </c>
      <c r="W382" t="s">
        <v>835</v>
      </c>
      <c r="X382" t="str">
        <f t="shared" si="123"/>
        <v>B</v>
      </c>
      <c r="Y382" s="5">
        <v>313.60000000000002</v>
      </c>
      <c r="Z382" s="5">
        <v>334.28</v>
      </c>
      <c r="AA382" s="5">
        <f t="shared" si="124"/>
        <v>334.28</v>
      </c>
      <c r="AB382" s="7">
        <v>0.14000000000000001</v>
      </c>
      <c r="AC382" s="7">
        <f t="shared" si="125"/>
        <v>0.14000000000000001</v>
      </c>
      <c r="AD382" s="16">
        <f t="shared" si="126"/>
        <v>0</v>
      </c>
      <c r="AE382" s="16">
        <v>22</v>
      </c>
      <c r="AF382" s="5">
        <f t="shared" si="127"/>
        <v>6324.5775999999996</v>
      </c>
      <c r="AG382">
        <f t="shared" si="128"/>
        <v>6899.2000000000007</v>
      </c>
      <c r="AH382" s="5">
        <f t="shared" si="129"/>
        <v>574.62240000000111</v>
      </c>
      <c r="AI382" s="5">
        <f t="shared" si="130"/>
        <v>9.0855458868905517E-2</v>
      </c>
      <c r="AJ382" s="5">
        <f t="shared" si="133"/>
        <v>9653541.0243700128</v>
      </c>
      <c r="AK382" s="7">
        <f t="shared" si="131"/>
        <v>0.88194278383601044</v>
      </c>
      <c r="AL382" s="17">
        <f>MIN(AC382,'What-If Analysis'!$B$2)</f>
        <v>0.14000000000000001</v>
      </c>
      <c r="AM382">
        <f>AE382*(1+'What-If Analysis'!$B$3)</f>
        <v>28.6</v>
      </c>
      <c r="AN382">
        <f>Y382*(1+'What-If Analysis'!$B$4)</f>
        <v>344.96000000000004</v>
      </c>
      <c r="AO382">
        <f t="shared" si="132"/>
        <v>8221.9508799999985</v>
      </c>
    </row>
    <row r="383" spans="1:41" x14ac:dyDescent="0.3">
      <c r="A383" t="s">
        <v>447</v>
      </c>
      <c r="B383" s="3">
        <v>45636</v>
      </c>
      <c r="C383" s="3">
        <f t="shared" si="113"/>
        <v>45636</v>
      </c>
      <c r="D383" s="3">
        <v>45645</v>
      </c>
      <c r="E383" s="3">
        <f t="shared" si="114"/>
        <v>45645</v>
      </c>
      <c r="F383" s="16">
        <f t="shared" si="115"/>
        <v>9</v>
      </c>
      <c r="G383" s="16">
        <f>IF(Data!F298&lt;=7,1,0)</f>
        <v>0</v>
      </c>
      <c r="H383" s="5" t="str">
        <f t="shared" si="116"/>
        <v>12-2024</v>
      </c>
      <c r="I383" s="5" t="str">
        <f t="shared" si="117"/>
        <v>Q4-2024</v>
      </c>
      <c r="J383" s="3">
        <f t="shared" si="118"/>
        <v>44939</v>
      </c>
      <c r="K383" s="5" t="str">
        <f t="shared" si="119"/>
        <v>01-2023</v>
      </c>
      <c r="L383" t="s">
        <v>646</v>
      </c>
      <c r="M383" t="s">
        <v>651</v>
      </c>
      <c r="N383" t="s">
        <v>665</v>
      </c>
      <c r="O383" t="str">
        <f t="shared" si="120"/>
        <v>Lagos</v>
      </c>
      <c r="P383" t="s">
        <v>701</v>
      </c>
      <c r="Q383" t="s">
        <v>707</v>
      </c>
      <c r="R383" t="str">
        <f t="shared" si="121"/>
        <v>Retail</v>
      </c>
      <c r="S383" t="s">
        <v>719</v>
      </c>
      <c r="T383" t="str">
        <f t="shared" si="134"/>
        <v>O. Wang</v>
      </c>
      <c r="U383" t="s">
        <v>732</v>
      </c>
      <c r="V383" t="str">
        <f t="shared" si="122"/>
        <v>Medium</v>
      </c>
      <c r="W383" t="s">
        <v>1166</v>
      </c>
      <c r="X383" t="str">
        <f t="shared" si="123"/>
        <v>B</v>
      </c>
      <c r="Y383" s="5">
        <v>488.68</v>
      </c>
      <c r="Z383" s="5">
        <v>984.36</v>
      </c>
      <c r="AA383" s="5">
        <f t="shared" si="124"/>
        <v>984.36</v>
      </c>
      <c r="AB383" s="7">
        <v>5.8999999999999997E-2</v>
      </c>
      <c r="AC383" s="7">
        <f t="shared" si="125"/>
        <v>5.8999999999999997E-2</v>
      </c>
      <c r="AD383" s="16">
        <f t="shared" si="126"/>
        <v>0</v>
      </c>
      <c r="AE383" s="16">
        <v>14</v>
      </c>
      <c r="AF383" s="5">
        <f t="shared" si="127"/>
        <v>12967.958640000001</v>
      </c>
      <c r="AG383">
        <f t="shared" si="128"/>
        <v>6841.52</v>
      </c>
      <c r="AH383" s="5">
        <f t="shared" si="129"/>
        <v>6126.4386400000003</v>
      </c>
      <c r="AI383" s="5">
        <f t="shared" si="130"/>
        <v>0.47242891576649876</v>
      </c>
      <c r="AJ383" s="5">
        <f t="shared" si="133"/>
        <v>9666508.9830100127</v>
      </c>
      <c r="AK383" s="7">
        <f t="shared" si="131"/>
        <v>0.88312753019123491</v>
      </c>
      <c r="AL383" s="17">
        <f>MIN(AC383,'What-If Analysis'!$B$2)</f>
        <v>5.8999999999999997E-2</v>
      </c>
      <c r="AM383">
        <f>AE383*(1+'What-If Analysis'!$B$3)</f>
        <v>18.2</v>
      </c>
      <c r="AN383">
        <f>Y383*(1+'What-If Analysis'!$B$4)</f>
        <v>537.548</v>
      </c>
      <c r="AO383">
        <f t="shared" si="132"/>
        <v>16858.346232</v>
      </c>
    </row>
    <row r="384" spans="1:41" x14ac:dyDescent="0.3">
      <c r="A384" t="s">
        <v>30</v>
      </c>
      <c r="B384" s="3">
        <v>45039</v>
      </c>
      <c r="C384" s="3">
        <f t="shared" si="113"/>
        <v>45038</v>
      </c>
      <c r="D384" s="3">
        <v>45038</v>
      </c>
      <c r="E384" s="3">
        <f t="shared" si="114"/>
        <v>45039</v>
      </c>
      <c r="F384" s="16">
        <f t="shared" si="115"/>
        <v>1</v>
      </c>
      <c r="G384" s="16">
        <f>IF(Data!F442&lt;=7,1,0)</f>
        <v>0</v>
      </c>
      <c r="H384" s="5" t="str">
        <f t="shared" si="116"/>
        <v>04-2023</v>
      </c>
      <c r="I384" s="5" t="str">
        <f t="shared" si="117"/>
        <v>Q2-2023</v>
      </c>
      <c r="J384" s="3">
        <f t="shared" si="118"/>
        <v>44946</v>
      </c>
      <c r="K384" s="5" t="str">
        <f t="shared" si="119"/>
        <v>01-2023</v>
      </c>
      <c r="L384" t="s">
        <v>646</v>
      </c>
      <c r="M384" t="s">
        <v>650</v>
      </c>
      <c r="N384" t="s">
        <v>664</v>
      </c>
      <c r="O384" t="str">
        <f t="shared" si="120"/>
        <v>Nairobi</v>
      </c>
      <c r="P384" t="s">
        <v>705</v>
      </c>
      <c r="Q384" t="s">
        <v>711</v>
      </c>
      <c r="R384" t="str">
        <f t="shared" si="121"/>
        <v>Direct</v>
      </c>
      <c r="S384" t="s">
        <v>718</v>
      </c>
      <c r="T384" t="str">
        <f t="shared" si="134"/>
        <v>E. Garcia</v>
      </c>
      <c r="U384" t="s">
        <v>731</v>
      </c>
      <c r="V384" t="str">
        <f t="shared" si="122"/>
        <v>Medium</v>
      </c>
      <c r="W384" t="s">
        <v>749</v>
      </c>
      <c r="X384" t="str">
        <f t="shared" si="123"/>
        <v>B</v>
      </c>
      <c r="Y384" s="5">
        <v>756.51</v>
      </c>
      <c r="Z384" s="5">
        <v>850.8</v>
      </c>
      <c r="AA384" s="5">
        <f t="shared" si="124"/>
        <v>850.8</v>
      </c>
      <c r="AB384" s="7">
        <v>7.3999999999999996E-2</v>
      </c>
      <c r="AC384" s="7">
        <f t="shared" si="125"/>
        <v>7.3999999999999996E-2</v>
      </c>
      <c r="AD384" s="16">
        <f t="shared" si="126"/>
        <v>0</v>
      </c>
      <c r="AE384" s="16">
        <v>9</v>
      </c>
      <c r="AF384" s="5">
        <f t="shared" si="127"/>
        <v>7090.5672000000004</v>
      </c>
      <c r="AG384">
        <f t="shared" si="128"/>
        <v>6808.59</v>
      </c>
      <c r="AH384" s="5">
        <f t="shared" si="129"/>
        <v>281.97720000000027</v>
      </c>
      <c r="AI384" s="5">
        <f t="shared" si="130"/>
        <v>3.9767932810791252E-2</v>
      </c>
      <c r="AJ384" s="5">
        <f t="shared" si="133"/>
        <v>9673599.5502100121</v>
      </c>
      <c r="AK384" s="7">
        <f t="shared" si="131"/>
        <v>0.88377532094071809</v>
      </c>
      <c r="AL384" s="17">
        <f>MIN(AC384,'What-If Analysis'!$B$2)</f>
        <v>7.3999999999999996E-2</v>
      </c>
      <c r="AM384">
        <f>AE384*(1+'What-If Analysis'!$B$3)</f>
        <v>11.700000000000001</v>
      </c>
      <c r="AN384">
        <f>Y384*(1+'What-If Analysis'!$B$4)</f>
        <v>832.16100000000006</v>
      </c>
      <c r="AO384">
        <f t="shared" si="132"/>
        <v>9217.737360000001</v>
      </c>
    </row>
    <row r="385" spans="1:41" x14ac:dyDescent="0.3">
      <c r="A385" t="s">
        <v>431</v>
      </c>
      <c r="B385" s="3">
        <v>45813</v>
      </c>
      <c r="C385" s="3">
        <f t="shared" si="113"/>
        <v>45813</v>
      </c>
      <c r="D385" s="3">
        <v>45822</v>
      </c>
      <c r="E385" s="3">
        <f t="shared" si="114"/>
        <v>45822</v>
      </c>
      <c r="F385" s="16">
        <f t="shared" si="115"/>
        <v>9</v>
      </c>
      <c r="G385" s="16">
        <f>IF(Data!F413&lt;=7,1,0)</f>
        <v>0</v>
      </c>
      <c r="H385" s="5" t="str">
        <f t="shared" si="116"/>
        <v>06-2025</v>
      </c>
      <c r="I385" s="5" t="str">
        <f t="shared" si="117"/>
        <v>Q2-2025</v>
      </c>
      <c r="J385" s="3">
        <f t="shared" si="118"/>
        <v>44955</v>
      </c>
      <c r="K385" s="5" t="str">
        <f t="shared" si="119"/>
        <v>01-2023</v>
      </c>
      <c r="L385" t="s">
        <v>647</v>
      </c>
      <c r="M385" t="s">
        <v>654</v>
      </c>
      <c r="N385" t="s">
        <v>680</v>
      </c>
      <c r="O385" t="str">
        <f t="shared" si="120"/>
        <v>Delhi</v>
      </c>
      <c r="P385" t="s">
        <v>703</v>
      </c>
      <c r="Q385" t="s">
        <v>707</v>
      </c>
      <c r="R385" t="str">
        <f t="shared" si="121"/>
        <v>Retail</v>
      </c>
      <c r="S385" t="s">
        <v>720</v>
      </c>
      <c r="T385" t="str">
        <f t="shared" si="134"/>
        <v>A. Patel</v>
      </c>
      <c r="U385" t="s">
        <v>733</v>
      </c>
      <c r="V385" t="str">
        <f t="shared" si="122"/>
        <v>Low</v>
      </c>
      <c r="W385" t="s">
        <v>1150</v>
      </c>
      <c r="X385" t="str">
        <f t="shared" si="123"/>
        <v>B</v>
      </c>
      <c r="Y385" s="5">
        <v>618.69000000000005</v>
      </c>
      <c r="Z385" s="5">
        <v>796.15</v>
      </c>
      <c r="AA385" s="5">
        <f t="shared" si="124"/>
        <v>796.15</v>
      </c>
      <c r="AB385" s="7">
        <v>0.09</v>
      </c>
      <c r="AC385" s="7">
        <f t="shared" si="125"/>
        <v>0.09</v>
      </c>
      <c r="AD385" s="16">
        <f t="shared" si="126"/>
        <v>0</v>
      </c>
      <c r="AE385" s="16">
        <v>11</v>
      </c>
      <c r="AF385" s="5">
        <f t="shared" si="127"/>
        <v>7969.4615000000003</v>
      </c>
      <c r="AG385">
        <f t="shared" si="128"/>
        <v>6805.59</v>
      </c>
      <c r="AH385" s="5">
        <f t="shared" si="129"/>
        <v>1163.8715000000002</v>
      </c>
      <c r="AI385" s="5">
        <f t="shared" si="130"/>
        <v>0.14604142325049191</v>
      </c>
      <c r="AJ385" s="5">
        <f t="shared" si="133"/>
        <v>9681569.0117100123</v>
      </c>
      <c r="AK385" s="7">
        <f t="shared" si="131"/>
        <v>0.88450340704334518</v>
      </c>
      <c r="AL385" s="17">
        <f>MIN(AC385,'What-If Analysis'!$B$2)</f>
        <v>0.09</v>
      </c>
      <c r="AM385">
        <f>AE385*(1+'What-If Analysis'!$B$3)</f>
        <v>14.3</v>
      </c>
      <c r="AN385">
        <f>Y385*(1+'What-If Analysis'!$B$4)</f>
        <v>680.55900000000008</v>
      </c>
      <c r="AO385">
        <f t="shared" si="132"/>
        <v>10360.299950000001</v>
      </c>
    </row>
    <row r="386" spans="1:41" x14ac:dyDescent="0.3">
      <c r="A386" t="s">
        <v>609</v>
      </c>
      <c r="B386" s="3">
        <v>45473</v>
      </c>
      <c r="C386" s="3">
        <f t="shared" ref="C386:C449" si="135">IF(D386&lt;B386,D386,B386)</f>
        <v>45473</v>
      </c>
      <c r="D386" s="3">
        <v>45494</v>
      </c>
      <c r="E386" s="3">
        <f t="shared" ref="E386:E449" si="136">IF(D386&lt;B386,B386,D386)</f>
        <v>45494</v>
      </c>
      <c r="F386" s="16">
        <f t="shared" ref="F386:F449" si="137">E386-C386</f>
        <v>21</v>
      </c>
      <c r="G386" s="16">
        <f>IF(Data!F264&lt;=7,1,0)</f>
        <v>1</v>
      </c>
      <c r="H386" s="5" t="str">
        <f t="shared" ref="H386:H449" si="138">TEXT(C386,"MM-YYYY")</f>
        <v>06-2024</v>
      </c>
      <c r="I386" s="5" t="str">
        <f t="shared" ref="I386:I449" si="139">"Q"&amp;ROUNDUP(MONTH(H386)/3,0)&amp;"-"&amp;YEAR(H386)</f>
        <v>Q2-2024</v>
      </c>
      <c r="J386" s="3">
        <f t="shared" ref="J386:J449" si="140">_xlfn.MINIFS(C:C,M:M,M386)</f>
        <v>44946</v>
      </c>
      <c r="K386" s="5" t="str">
        <f t="shared" ref="K386:K449" si="141">TEXT(J386,"MM-YYYY")</f>
        <v>01-2023</v>
      </c>
      <c r="L386" t="s">
        <v>646</v>
      </c>
      <c r="M386" t="s">
        <v>650</v>
      </c>
      <c r="N386" t="s">
        <v>662</v>
      </c>
      <c r="O386" t="str">
        <f t="shared" ref="O386:O449" si="142">IF(N386="",_xlfn.XLOOKUP(M386,M:M,N:N),N386)</f>
        <v>Kisumu</v>
      </c>
      <c r="P386" t="s">
        <v>705</v>
      </c>
      <c r="Q386" t="s">
        <v>707</v>
      </c>
      <c r="R386" t="str">
        <f t="shared" ref="R386:R449" si="143">IF(Q386="",_xlfn.XLOOKUP(M386,M:M,Q:Q),Q386)</f>
        <v>Retail</v>
      </c>
      <c r="S386" t="s">
        <v>723</v>
      </c>
      <c r="T386" t="str">
        <f t="shared" si="134"/>
        <v>K. Singh</v>
      </c>
      <c r="U386" t="s">
        <v>731</v>
      </c>
      <c r="V386" t="str">
        <f t="shared" ref="V386:V449" si="144">IF(AA386&lt;815.0987,"Low",IF(AA386&lt;1640.058,"Medium","High"))</f>
        <v>High</v>
      </c>
      <c r="W386" t="s">
        <v>1327</v>
      </c>
      <c r="X386" t="str">
        <f t="shared" ref="X386:X449" si="145">IF(AK386&lt;=80%,"A",IF(AK386&lt;=95%,"B","C"))</f>
        <v>B</v>
      </c>
      <c r="Y386" s="5">
        <v>753.43</v>
      </c>
      <c r="Z386" s="5">
        <v>1787.2</v>
      </c>
      <c r="AA386" s="5">
        <f t="shared" ref="AA386:AA449" si="146">ABS(Z386)</f>
        <v>1787.2</v>
      </c>
      <c r="AB386" s="7">
        <v>7.2999999999999995E-2</v>
      </c>
      <c r="AC386" s="7">
        <f t="shared" ref="AC386:AC449" si="147">MIN(AB386,30%)</f>
        <v>7.2999999999999995E-2</v>
      </c>
      <c r="AD386" s="16">
        <f t="shared" ref="AD386:AD449" si="148">IF(AC386&gt;20%,1,0)</f>
        <v>0</v>
      </c>
      <c r="AE386" s="16">
        <v>9</v>
      </c>
      <c r="AF386" s="5">
        <f t="shared" ref="AF386:AF449" si="149">AA386*AE386*(1-AC386)</f>
        <v>14910.609600000002</v>
      </c>
      <c r="AG386">
        <f t="shared" ref="AG386:AG449" si="150">Y386*AE386</f>
        <v>6780.87</v>
      </c>
      <c r="AH386" s="5">
        <f t="shared" ref="AH386:AH449" si="151">ABS(AF386-AG386)</f>
        <v>8129.7396000000017</v>
      </c>
      <c r="AI386" s="5">
        <f t="shared" ref="AI386:AI449" si="152">IF(AF386=0,0,AH386/AF386)</f>
        <v>0.54523187301476939</v>
      </c>
      <c r="AJ386" s="5">
        <f t="shared" si="133"/>
        <v>9696479.6213100124</v>
      </c>
      <c r="AK386" s="7">
        <f t="shared" ref="AK386:AK449" si="153">AJ386/SUM(AF:AF)</f>
        <v>0.88586563303960075</v>
      </c>
      <c r="AL386" s="17">
        <f>MIN(AC386,'What-If Analysis'!$B$2)</f>
        <v>7.2999999999999995E-2</v>
      </c>
      <c r="AM386">
        <f>AE386*(1+'What-If Analysis'!$B$3)</f>
        <v>11.700000000000001</v>
      </c>
      <c r="AN386">
        <f>Y386*(1+'What-If Analysis'!$B$4)</f>
        <v>828.77300000000002</v>
      </c>
      <c r="AO386">
        <f t="shared" ref="AO386:AO449" si="154">AA386*AM386*(1-AL386)</f>
        <v>19383.792480000004</v>
      </c>
    </row>
    <row r="387" spans="1:41" x14ac:dyDescent="0.3">
      <c r="A387" t="s">
        <v>547</v>
      </c>
      <c r="B387" s="3">
        <v>45155</v>
      </c>
      <c r="C387" s="3">
        <f t="shared" si="135"/>
        <v>45155</v>
      </c>
      <c r="D387" s="3">
        <v>45172</v>
      </c>
      <c r="E387" s="3">
        <f t="shared" si="136"/>
        <v>45172</v>
      </c>
      <c r="F387" s="16">
        <f t="shared" si="137"/>
        <v>17</v>
      </c>
      <c r="G387" s="16">
        <f>IF(Data!F322&lt;=7,1,0)</f>
        <v>0</v>
      </c>
      <c r="H387" s="5" t="str">
        <f t="shared" si="138"/>
        <v>08-2023</v>
      </c>
      <c r="I387" s="5" t="str">
        <f t="shared" si="139"/>
        <v>Q3-2023</v>
      </c>
      <c r="J387" s="3">
        <f t="shared" si="140"/>
        <v>44933</v>
      </c>
      <c r="K387" s="5" t="str">
        <f t="shared" si="141"/>
        <v>01-2023</v>
      </c>
      <c r="L387" t="s">
        <v>646</v>
      </c>
      <c r="M387" t="s">
        <v>661</v>
      </c>
      <c r="N387" t="s">
        <v>687</v>
      </c>
      <c r="O387" t="str">
        <f t="shared" si="142"/>
        <v>Durban</v>
      </c>
      <c r="P387" t="s">
        <v>706</v>
      </c>
      <c r="Q387" t="s">
        <v>707</v>
      </c>
      <c r="R387" t="str">
        <f t="shared" si="143"/>
        <v>Retail</v>
      </c>
      <c r="S387" t="s">
        <v>720</v>
      </c>
      <c r="T387" t="str">
        <f t="shared" si="134"/>
        <v>A. Patel</v>
      </c>
      <c r="U387" t="s">
        <v>730</v>
      </c>
      <c r="V387" t="str">
        <f t="shared" si="144"/>
        <v>Medium</v>
      </c>
      <c r="W387" t="s">
        <v>1266</v>
      </c>
      <c r="X387" t="str">
        <f t="shared" si="145"/>
        <v>B</v>
      </c>
      <c r="Y387" s="5">
        <v>676.37</v>
      </c>
      <c r="Z387" s="5">
        <v>1276.67</v>
      </c>
      <c r="AA387" s="5">
        <f t="shared" si="146"/>
        <v>1276.67</v>
      </c>
      <c r="AB387" s="7">
        <v>6.6000000000000003E-2</v>
      </c>
      <c r="AC387" s="7">
        <f t="shared" si="147"/>
        <v>6.6000000000000003E-2</v>
      </c>
      <c r="AD387" s="16">
        <f t="shared" si="148"/>
        <v>0</v>
      </c>
      <c r="AE387" s="16">
        <v>10</v>
      </c>
      <c r="AF387" s="5">
        <f t="shared" si="149"/>
        <v>11924.0978</v>
      </c>
      <c r="AG387">
        <f t="shared" si="150"/>
        <v>6763.7</v>
      </c>
      <c r="AH387" s="5">
        <f t="shared" si="151"/>
        <v>5160.3977999999997</v>
      </c>
      <c r="AI387" s="5">
        <f t="shared" si="152"/>
        <v>0.4327705027712872</v>
      </c>
      <c r="AJ387" s="5">
        <f t="shared" ref="AJ387:AJ450" si="155">AJ386+AF387</f>
        <v>9708403.7191100121</v>
      </c>
      <c r="AK387" s="7">
        <f t="shared" si="153"/>
        <v>0.88695501277931654</v>
      </c>
      <c r="AL387" s="17">
        <f>MIN(AC387,'What-If Analysis'!$B$2)</f>
        <v>6.6000000000000003E-2</v>
      </c>
      <c r="AM387">
        <f>AE387*(1+'What-If Analysis'!$B$3)</f>
        <v>13</v>
      </c>
      <c r="AN387">
        <f>Y387*(1+'What-If Analysis'!$B$4)</f>
        <v>744.00700000000006</v>
      </c>
      <c r="AO387">
        <f t="shared" si="154"/>
        <v>15501.327139999998</v>
      </c>
    </row>
    <row r="388" spans="1:41" x14ac:dyDescent="0.3">
      <c r="A388" t="s">
        <v>550</v>
      </c>
      <c r="B388" s="3">
        <v>45108</v>
      </c>
      <c r="C388" s="3">
        <f t="shared" si="135"/>
        <v>45108</v>
      </c>
      <c r="D388" s="3">
        <v>45118</v>
      </c>
      <c r="E388" s="3">
        <f t="shared" si="136"/>
        <v>45118</v>
      </c>
      <c r="F388" s="16">
        <f t="shared" si="137"/>
        <v>10</v>
      </c>
      <c r="G388" s="16">
        <f>IF(Data!F418&lt;=7,1,0)</f>
        <v>0</v>
      </c>
      <c r="H388" s="5" t="str">
        <f t="shared" si="138"/>
        <v>07-2023</v>
      </c>
      <c r="I388" s="5" t="str">
        <f t="shared" si="139"/>
        <v>Q3-2023</v>
      </c>
      <c r="J388" s="3">
        <f t="shared" si="140"/>
        <v>44936</v>
      </c>
      <c r="K388" s="5" t="str">
        <f t="shared" si="141"/>
        <v>01-2023</v>
      </c>
      <c r="L388" t="s">
        <v>649</v>
      </c>
      <c r="M388" t="s">
        <v>657</v>
      </c>
      <c r="N388" t="s">
        <v>690</v>
      </c>
      <c r="O388" t="str">
        <f t="shared" si="142"/>
        <v>Paris</v>
      </c>
      <c r="P388" t="s">
        <v>701</v>
      </c>
      <c r="Q388" t="s">
        <v>711</v>
      </c>
      <c r="R388" t="str">
        <f t="shared" si="143"/>
        <v>Direct</v>
      </c>
      <c r="S388" t="s">
        <v>721</v>
      </c>
      <c r="T388" t="str">
        <f t="shared" si="134"/>
        <v>F. Müller</v>
      </c>
      <c r="U388" t="s">
        <v>729</v>
      </c>
      <c r="V388" t="str">
        <f t="shared" si="144"/>
        <v>Low</v>
      </c>
      <c r="W388" t="s">
        <v>1269</v>
      </c>
      <c r="X388" t="str">
        <f t="shared" si="145"/>
        <v>B</v>
      </c>
      <c r="Y388" s="5">
        <v>479.5</v>
      </c>
      <c r="Z388" s="5">
        <v>656.66</v>
      </c>
      <c r="AA388" s="5">
        <f t="shared" si="146"/>
        <v>656.66</v>
      </c>
      <c r="AB388" s="7">
        <v>0.14899999999999999</v>
      </c>
      <c r="AC388" s="7">
        <f t="shared" si="147"/>
        <v>0.14899999999999999</v>
      </c>
      <c r="AD388" s="16">
        <f t="shared" si="148"/>
        <v>0</v>
      </c>
      <c r="AE388" s="16">
        <v>14</v>
      </c>
      <c r="AF388" s="5">
        <f t="shared" si="149"/>
        <v>7823.4472399999995</v>
      </c>
      <c r="AG388">
        <f t="shared" si="150"/>
        <v>6713</v>
      </c>
      <c r="AH388" s="5">
        <f t="shared" si="151"/>
        <v>1110.4472399999995</v>
      </c>
      <c r="AI388" s="5">
        <f t="shared" si="152"/>
        <v>0.14193835606412289</v>
      </c>
      <c r="AJ388" s="5">
        <f t="shared" si="155"/>
        <v>9716227.1663500126</v>
      </c>
      <c r="AK388" s="7">
        <f t="shared" si="153"/>
        <v>0.88766975909060508</v>
      </c>
      <c r="AL388" s="17">
        <f>MIN(AC388,'What-If Analysis'!$B$2)</f>
        <v>0.14899999999999999</v>
      </c>
      <c r="AM388">
        <f>AE388*(1+'What-If Analysis'!$B$3)</f>
        <v>18.2</v>
      </c>
      <c r="AN388">
        <f>Y388*(1+'What-If Analysis'!$B$4)</f>
        <v>527.45000000000005</v>
      </c>
      <c r="AO388">
        <f t="shared" si="154"/>
        <v>10170.481411999999</v>
      </c>
    </row>
    <row r="389" spans="1:41" x14ac:dyDescent="0.3">
      <c r="A389" t="s">
        <v>575</v>
      </c>
      <c r="B389" s="3">
        <v>45590</v>
      </c>
      <c r="C389" s="3">
        <f t="shared" si="135"/>
        <v>45590</v>
      </c>
      <c r="D389" s="3">
        <v>45601</v>
      </c>
      <c r="E389" s="3">
        <f t="shared" si="136"/>
        <v>45601</v>
      </c>
      <c r="F389" s="16">
        <f t="shared" si="137"/>
        <v>11</v>
      </c>
      <c r="G389" s="16">
        <f>IF(Data!F449&lt;=7,1,0)</f>
        <v>0</v>
      </c>
      <c r="H389" s="5" t="str">
        <f t="shared" si="138"/>
        <v>10-2024</v>
      </c>
      <c r="I389" s="5" t="str">
        <f t="shared" si="139"/>
        <v>Q4-2024</v>
      </c>
      <c r="J389" s="3">
        <f t="shared" si="140"/>
        <v>44939</v>
      </c>
      <c r="K389" s="5" t="str">
        <f t="shared" si="141"/>
        <v>01-2023</v>
      </c>
      <c r="L389" t="s">
        <v>648</v>
      </c>
      <c r="M389" t="s">
        <v>660</v>
      </c>
      <c r="N389" t="s">
        <v>700</v>
      </c>
      <c r="O389" t="str">
        <f t="shared" si="142"/>
        <v>New York</v>
      </c>
      <c r="P389" t="s">
        <v>701</v>
      </c>
      <c r="Q389" t="s">
        <v>710</v>
      </c>
      <c r="R389" t="str">
        <f t="shared" si="143"/>
        <v>Distributor</v>
      </c>
      <c r="S389" t="s">
        <v>725</v>
      </c>
      <c r="T389" t="str">
        <f t="shared" si="134"/>
        <v>N. Brown</v>
      </c>
      <c r="U389" t="s">
        <v>727</v>
      </c>
      <c r="V389" t="str">
        <f t="shared" si="144"/>
        <v>Low</v>
      </c>
      <c r="W389" t="s">
        <v>1293</v>
      </c>
      <c r="X389" t="str">
        <f t="shared" si="145"/>
        <v>B</v>
      </c>
      <c r="Y389" s="5">
        <v>446.66</v>
      </c>
      <c r="Z389" s="5">
        <v>527.64</v>
      </c>
      <c r="AA389" s="5">
        <f t="shared" si="146"/>
        <v>527.64</v>
      </c>
      <c r="AB389" s="7">
        <v>0.14499999999999999</v>
      </c>
      <c r="AC389" s="7">
        <f t="shared" si="147"/>
        <v>0.14499999999999999</v>
      </c>
      <c r="AD389" s="16">
        <f t="shared" si="148"/>
        <v>0</v>
      </c>
      <c r="AE389" s="16">
        <v>15</v>
      </c>
      <c r="AF389" s="5">
        <f t="shared" si="149"/>
        <v>6766.9829999999993</v>
      </c>
      <c r="AG389">
        <f t="shared" si="150"/>
        <v>6699.9000000000005</v>
      </c>
      <c r="AH389" s="5">
        <f t="shared" si="151"/>
        <v>67.082999999998719</v>
      </c>
      <c r="AI389" s="5">
        <f t="shared" si="152"/>
        <v>9.9132804087137105E-3</v>
      </c>
      <c r="AJ389" s="5">
        <f t="shared" si="155"/>
        <v>9722994.1493500117</v>
      </c>
      <c r="AK389" s="7">
        <f t="shared" si="153"/>
        <v>0.88828798734592851</v>
      </c>
      <c r="AL389" s="17">
        <f>MIN(AC389,'What-If Analysis'!$B$2)</f>
        <v>0.14499999999999999</v>
      </c>
      <c r="AM389">
        <f>AE389*(1+'What-If Analysis'!$B$3)</f>
        <v>19.5</v>
      </c>
      <c r="AN389">
        <f>Y389*(1+'What-If Analysis'!$B$4)</f>
        <v>491.32600000000008</v>
      </c>
      <c r="AO389">
        <f t="shared" si="154"/>
        <v>8797.0779000000002</v>
      </c>
    </row>
    <row r="390" spans="1:41" x14ac:dyDescent="0.3">
      <c r="A390" t="s">
        <v>77</v>
      </c>
      <c r="B390" s="3">
        <v>45774</v>
      </c>
      <c r="C390" s="3">
        <f t="shared" si="135"/>
        <v>45774</v>
      </c>
      <c r="D390" s="3">
        <v>45802</v>
      </c>
      <c r="E390" s="3">
        <f t="shared" si="136"/>
        <v>45802</v>
      </c>
      <c r="F390" s="16">
        <f t="shared" si="137"/>
        <v>28</v>
      </c>
      <c r="G390" s="16">
        <f>IF(Data!F337&lt;=7,1,0)</f>
        <v>0</v>
      </c>
      <c r="H390" s="5" t="str">
        <f t="shared" si="138"/>
        <v>04-2025</v>
      </c>
      <c r="I390" s="5" t="str">
        <f t="shared" si="139"/>
        <v>Q2-2025</v>
      </c>
      <c r="J390" s="3">
        <f t="shared" si="140"/>
        <v>44936</v>
      </c>
      <c r="K390" s="5" t="str">
        <f t="shared" si="141"/>
        <v>01-2023</v>
      </c>
      <c r="L390" t="s">
        <v>649</v>
      </c>
      <c r="M390" t="s">
        <v>657</v>
      </c>
      <c r="N390" t="s">
        <v>690</v>
      </c>
      <c r="O390" t="str">
        <f t="shared" si="142"/>
        <v>Paris</v>
      </c>
      <c r="P390" t="s">
        <v>705</v>
      </c>
      <c r="Q390" t="s">
        <v>709</v>
      </c>
      <c r="R390" t="str">
        <f t="shared" si="143"/>
        <v>Marketplace</v>
      </c>
      <c r="S390" t="s">
        <v>714</v>
      </c>
      <c r="T390" t="str">
        <f t="shared" si="134"/>
        <v>I. Johnson</v>
      </c>
      <c r="U390" t="s">
        <v>730</v>
      </c>
      <c r="V390" t="str">
        <f t="shared" si="144"/>
        <v>Medium</v>
      </c>
      <c r="W390" t="s">
        <v>796</v>
      </c>
      <c r="X390" t="str">
        <f t="shared" si="145"/>
        <v>B</v>
      </c>
      <c r="Y390" s="5">
        <v>603.45000000000005</v>
      </c>
      <c r="Z390" s="5">
        <v>1244.08</v>
      </c>
      <c r="AA390" s="5">
        <f t="shared" si="146"/>
        <v>1244.08</v>
      </c>
      <c r="AB390" s="7">
        <v>0.2</v>
      </c>
      <c r="AC390" s="7">
        <f t="shared" si="147"/>
        <v>0.2</v>
      </c>
      <c r="AD390" s="16">
        <f t="shared" si="148"/>
        <v>0</v>
      </c>
      <c r="AE390" s="16">
        <v>11</v>
      </c>
      <c r="AF390" s="5">
        <f t="shared" si="149"/>
        <v>10947.904</v>
      </c>
      <c r="AG390">
        <f t="shared" si="150"/>
        <v>6637.9500000000007</v>
      </c>
      <c r="AH390" s="5">
        <f t="shared" si="151"/>
        <v>4309.9539999999997</v>
      </c>
      <c r="AI390" s="5">
        <f t="shared" si="152"/>
        <v>0.39367846119220623</v>
      </c>
      <c r="AJ390" s="5">
        <f t="shared" si="155"/>
        <v>9733942.0533500109</v>
      </c>
      <c r="AK390" s="7">
        <f t="shared" si="153"/>
        <v>0.88928818249779606</v>
      </c>
      <c r="AL390" s="17">
        <f>MIN(AC390,'What-If Analysis'!$B$2)</f>
        <v>0.2</v>
      </c>
      <c r="AM390">
        <f>AE390*(1+'What-If Analysis'!$B$3)</f>
        <v>14.3</v>
      </c>
      <c r="AN390">
        <f>Y390*(1+'What-If Analysis'!$B$4)</f>
        <v>663.79500000000007</v>
      </c>
      <c r="AO390">
        <f t="shared" si="154"/>
        <v>14232.275200000002</v>
      </c>
    </row>
    <row r="391" spans="1:41" x14ac:dyDescent="0.3">
      <c r="A391" t="s">
        <v>464</v>
      </c>
      <c r="B391" s="3">
        <v>45129</v>
      </c>
      <c r="C391" s="3">
        <f t="shared" si="135"/>
        <v>45128</v>
      </c>
      <c r="D391" s="3">
        <v>45128</v>
      </c>
      <c r="E391" s="3">
        <f t="shared" si="136"/>
        <v>45129</v>
      </c>
      <c r="F391" s="16">
        <f t="shared" si="137"/>
        <v>1</v>
      </c>
      <c r="G391" s="16">
        <f>IF(Data!F307&lt;=7,1,0)</f>
        <v>0</v>
      </c>
      <c r="H391" s="5" t="str">
        <f t="shared" si="138"/>
        <v>07-2023</v>
      </c>
      <c r="I391" s="5" t="str">
        <f t="shared" si="139"/>
        <v>Q3-2023</v>
      </c>
      <c r="J391" s="3">
        <f t="shared" si="140"/>
        <v>44955</v>
      </c>
      <c r="K391" s="5" t="str">
        <f t="shared" si="141"/>
        <v>01-2023</v>
      </c>
      <c r="L391" t="s">
        <v>647</v>
      </c>
      <c r="M391" t="s">
        <v>654</v>
      </c>
      <c r="N391" t="s">
        <v>680</v>
      </c>
      <c r="O391" t="str">
        <f t="shared" si="142"/>
        <v>Delhi</v>
      </c>
      <c r="P391" t="s">
        <v>705</v>
      </c>
      <c r="Q391" t="s">
        <v>710</v>
      </c>
      <c r="R391" t="str">
        <f t="shared" si="143"/>
        <v>Distributor</v>
      </c>
      <c r="S391" t="s">
        <v>718</v>
      </c>
      <c r="T391" t="str">
        <f t="shared" si="134"/>
        <v>E. Garcia</v>
      </c>
      <c r="U391" t="s">
        <v>728</v>
      </c>
      <c r="V391" t="str">
        <f t="shared" si="144"/>
        <v>High</v>
      </c>
      <c r="W391" t="s">
        <v>1183</v>
      </c>
      <c r="X391" t="str">
        <f t="shared" si="145"/>
        <v>B</v>
      </c>
      <c r="Y391" s="5">
        <v>946.99</v>
      </c>
      <c r="Z391" s="5">
        <v>2132.19</v>
      </c>
      <c r="AA391" s="5">
        <f t="shared" si="146"/>
        <v>2132.19</v>
      </c>
      <c r="AB391" s="7">
        <v>0.16500000000000001</v>
      </c>
      <c r="AC391" s="7">
        <f t="shared" si="147"/>
        <v>0.16500000000000001</v>
      </c>
      <c r="AD391" s="16">
        <f t="shared" si="148"/>
        <v>0</v>
      </c>
      <c r="AE391" s="16">
        <v>7</v>
      </c>
      <c r="AF391" s="5">
        <f t="shared" si="149"/>
        <v>12462.65055</v>
      </c>
      <c r="AG391">
        <f t="shared" si="150"/>
        <v>6628.93</v>
      </c>
      <c r="AH391" s="5">
        <f t="shared" si="151"/>
        <v>5833.72055</v>
      </c>
      <c r="AI391" s="5">
        <f t="shared" si="152"/>
        <v>0.46809629513362228</v>
      </c>
      <c r="AJ391" s="5">
        <f t="shared" si="155"/>
        <v>9746404.7039000113</v>
      </c>
      <c r="AK391" s="7">
        <f t="shared" si="153"/>
        <v>0.89042676415320055</v>
      </c>
      <c r="AL391" s="17">
        <f>MIN(AC391,'What-If Analysis'!$B$2)</f>
        <v>0.16500000000000001</v>
      </c>
      <c r="AM391">
        <f>AE391*(1+'What-If Analysis'!$B$3)</f>
        <v>9.1</v>
      </c>
      <c r="AN391">
        <f>Y391*(1+'What-If Analysis'!$B$4)</f>
        <v>1041.6890000000001</v>
      </c>
      <c r="AO391">
        <f t="shared" si="154"/>
        <v>16201.445715</v>
      </c>
    </row>
    <row r="392" spans="1:41" x14ac:dyDescent="0.3">
      <c r="A392" t="s">
        <v>594</v>
      </c>
      <c r="B392" s="3">
        <v>45849</v>
      </c>
      <c r="C392" s="3">
        <f t="shared" si="135"/>
        <v>45849</v>
      </c>
      <c r="D392" s="3">
        <v>45872</v>
      </c>
      <c r="E392" s="3">
        <f t="shared" si="136"/>
        <v>45872</v>
      </c>
      <c r="F392" s="16">
        <f t="shared" si="137"/>
        <v>23</v>
      </c>
      <c r="G392" s="16">
        <f>IF(Data!F437&lt;=7,1,0)</f>
        <v>0</v>
      </c>
      <c r="H392" s="5" t="str">
        <f t="shared" si="138"/>
        <v>07-2025</v>
      </c>
      <c r="I392" s="5" t="str">
        <f t="shared" si="139"/>
        <v>Q3-2025</v>
      </c>
      <c r="J392" s="3">
        <f t="shared" si="140"/>
        <v>44946</v>
      </c>
      <c r="K392" s="5" t="str">
        <f t="shared" si="141"/>
        <v>01-2023</v>
      </c>
      <c r="L392" t="s">
        <v>646</v>
      </c>
      <c r="M392" t="s">
        <v>650</v>
      </c>
      <c r="N392" t="s">
        <v>678</v>
      </c>
      <c r="O392" t="str">
        <f t="shared" si="142"/>
        <v>Nakuru</v>
      </c>
      <c r="P392" t="s">
        <v>705</v>
      </c>
      <c r="Q392" t="s">
        <v>707</v>
      </c>
      <c r="R392" t="str">
        <f t="shared" si="143"/>
        <v>Retail</v>
      </c>
      <c r="S392" t="s">
        <v>712</v>
      </c>
      <c r="T392" t="str">
        <f t="shared" si="134"/>
        <v>C. Otieno</v>
      </c>
      <c r="U392" t="s">
        <v>730</v>
      </c>
      <c r="V392" t="str">
        <f t="shared" si="144"/>
        <v>Low</v>
      </c>
      <c r="W392" t="s">
        <v>1312</v>
      </c>
      <c r="X392" t="str">
        <f t="shared" si="145"/>
        <v>B</v>
      </c>
      <c r="Y392" s="5">
        <v>389.93</v>
      </c>
      <c r="Z392" s="5">
        <v>486.13</v>
      </c>
      <c r="AA392" s="5">
        <f t="shared" si="146"/>
        <v>486.13</v>
      </c>
      <c r="AB392" s="7">
        <v>0.13200000000000001</v>
      </c>
      <c r="AC392" s="7">
        <f t="shared" si="147"/>
        <v>0.13200000000000001</v>
      </c>
      <c r="AD392" s="16">
        <f t="shared" si="148"/>
        <v>0</v>
      </c>
      <c r="AE392" s="16">
        <v>17</v>
      </c>
      <c r="AF392" s="5">
        <f t="shared" si="149"/>
        <v>7173.3342799999991</v>
      </c>
      <c r="AG392">
        <f t="shared" si="150"/>
        <v>6628.81</v>
      </c>
      <c r="AH392" s="5">
        <f t="shared" si="151"/>
        <v>544.52427999999873</v>
      </c>
      <c r="AI392" s="5">
        <f t="shared" si="152"/>
        <v>7.5909508569562828E-2</v>
      </c>
      <c r="AJ392" s="5">
        <f t="shared" si="155"/>
        <v>9753578.0381800104</v>
      </c>
      <c r="AK392" s="7">
        <f t="shared" si="153"/>
        <v>0.89108211646260882</v>
      </c>
      <c r="AL392" s="17">
        <f>MIN(AC392,'What-If Analysis'!$B$2)</f>
        <v>0.13200000000000001</v>
      </c>
      <c r="AM392">
        <f>AE392*(1+'What-If Analysis'!$B$3)</f>
        <v>22.1</v>
      </c>
      <c r="AN392">
        <f>Y392*(1+'What-If Analysis'!$B$4)</f>
        <v>428.92300000000006</v>
      </c>
      <c r="AO392">
        <f t="shared" si="154"/>
        <v>9325.3345640000007</v>
      </c>
    </row>
    <row r="393" spans="1:41" x14ac:dyDescent="0.3">
      <c r="A393" t="s">
        <v>491</v>
      </c>
      <c r="B393" s="3">
        <v>44999</v>
      </c>
      <c r="C393" s="3">
        <f t="shared" si="135"/>
        <v>44999</v>
      </c>
      <c r="D393" s="3">
        <v>45003</v>
      </c>
      <c r="E393" s="3">
        <f t="shared" si="136"/>
        <v>45003</v>
      </c>
      <c r="F393" s="16">
        <f t="shared" si="137"/>
        <v>4</v>
      </c>
      <c r="G393" s="16">
        <f>IF(Data!F520&lt;=7,1,0)</f>
        <v>0</v>
      </c>
      <c r="H393" s="5" t="str">
        <f t="shared" si="138"/>
        <v>03-2023</v>
      </c>
      <c r="I393" s="5" t="str">
        <f t="shared" si="139"/>
        <v>Q1-2023</v>
      </c>
      <c r="J393" s="3">
        <f t="shared" si="140"/>
        <v>44947</v>
      </c>
      <c r="K393" s="5" t="str">
        <f t="shared" si="141"/>
        <v>01-2023</v>
      </c>
      <c r="L393" t="s">
        <v>649</v>
      </c>
      <c r="M393" t="s">
        <v>656</v>
      </c>
      <c r="N393" t="s">
        <v>698</v>
      </c>
      <c r="O393" t="str">
        <f t="shared" si="142"/>
        <v>Frankfurt</v>
      </c>
      <c r="P393" t="s">
        <v>706</v>
      </c>
      <c r="Q393" t="s">
        <v>711</v>
      </c>
      <c r="R393" t="str">
        <f t="shared" si="143"/>
        <v>Direct</v>
      </c>
      <c r="S393" t="s">
        <v>720</v>
      </c>
      <c r="T393" t="str">
        <f t="shared" si="134"/>
        <v>A. Patel</v>
      </c>
      <c r="U393" t="s">
        <v>727</v>
      </c>
      <c r="V393" t="str">
        <f t="shared" si="144"/>
        <v>Low</v>
      </c>
      <c r="W393" t="s">
        <v>1210</v>
      </c>
      <c r="X393" t="str">
        <f t="shared" si="145"/>
        <v>B</v>
      </c>
      <c r="Y393" s="5">
        <v>472.33</v>
      </c>
      <c r="Z393" s="5">
        <v>360.34</v>
      </c>
      <c r="AA393" s="5">
        <f t="shared" si="146"/>
        <v>360.34</v>
      </c>
      <c r="AB393" s="7">
        <v>0.16500000000000001</v>
      </c>
      <c r="AC393" s="7">
        <f t="shared" si="147"/>
        <v>0.16500000000000001</v>
      </c>
      <c r="AD393" s="16">
        <f t="shared" si="148"/>
        <v>0</v>
      </c>
      <c r="AE393" s="16">
        <v>14</v>
      </c>
      <c r="AF393" s="5">
        <f t="shared" si="149"/>
        <v>4212.3745999999992</v>
      </c>
      <c r="AG393">
        <f t="shared" si="150"/>
        <v>6612.62</v>
      </c>
      <c r="AH393" s="5">
        <f t="shared" si="151"/>
        <v>2400.2454000000007</v>
      </c>
      <c r="AI393" s="5">
        <f t="shared" si="152"/>
        <v>0.56980815523861561</v>
      </c>
      <c r="AJ393" s="5">
        <f t="shared" si="155"/>
        <v>9757790.4127800111</v>
      </c>
      <c r="AK393" s="7">
        <f t="shared" si="153"/>
        <v>0.89146695694465639</v>
      </c>
      <c r="AL393" s="17">
        <f>MIN(AC393,'What-If Analysis'!$B$2)</f>
        <v>0.16500000000000001</v>
      </c>
      <c r="AM393">
        <f>AE393*(1+'What-If Analysis'!$B$3)</f>
        <v>18.2</v>
      </c>
      <c r="AN393">
        <f>Y393*(1+'What-If Analysis'!$B$4)</f>
        <v>519.56299999999999</v>
      </c>
      <c r="AO393">
        <f t="shared" si="154"/>
        <v>5476.0869799999991</v>
      </c>
    </row>
    <row r="394" spans="1:41" x14ac:dyDescent="0.3">
      <c r="A394" t="s">
        <v>50</v>
      </c>
      <c r="B394" s="3">
        <v>45012</v>
      </c>
      <c r="C394" s="3">
        <f t="shared" si="135"/>
        <v>45012</v>
      </c>
      <c r="D394" s="3">
        <v>45038</v>
      </c>
      <c r="E394" s="3">
        <f t="shared" si="136"/>
        <v>45038</v>
      </c>
      <c r="F394" s="16">
        <f t="shared" si="137"/>
        <v>26</v>
      </c>
      <c r="G394" s="16">
        <f>IF(Data!F455&lt;=7,1,0)</f>
        <v>1</v>
      </c>
      <c r="H394" s="5" t="str">
        <f t="shared" si="138"/>
        <v>03-2023</v>
      </c>
      <c r="I394" s="5" t="str">
        <f t="shared" si="139"/>
        <v>Q1-2023</v>
      </c>
      <c r="J394" s="3">
        <f t="shared" si="140"/>
        <v>44955</v>
      </c>
      <c r="K394" s="5" t="str">
        <f t="shared" si="141"/>
        <v>01-2023</v>
      </c>
      <c r="L394" t="s">
        <v>647</v>
      </c>
      <c r="M394" t="s">
        <v>654</v>
      </c>
      <c r="N394" t="s">
        <v>680</v>
      </c>
      <c r="O394" t="str">
        <f t="shared" si="142"/>
        <v>Delhi</v>
      </c>
      <c r="P394" t="s">
        <v>703</v>
      </c>
      <c r="Q394" t="s">
        <v>709</v>
      </c>
      <c r="R394" t="str">
        <f t="shared" si="143"/>
        <v>Marketplace</v>
      </c>
      <c r="S394" t="s">
        <v>713</v>
      </c>
      <c r="T394" t="str">
        <f t="shared" si="134"/>
        <v>J. Njeri</v>
      </c>
      <c r="U394" t="s">
        <v>728</v>
      </c>
      <c r="V394" t="str">
        <f t="shared" si="144"/>
        <v>Low</v>
      </c>
      <c r="W394" t="s">
        <v>769</v>
      </c>
      <c r="X394" t="str">
        <f t="shared" si="145"/>
        <v>B</v>
      </c>
      <c r="Y394" s="5">
        <v>178.53</v>
      </c>
      <c r="Z394" s="5">
        <v>199.37</v>
      </c>
      <c r="AA394" s="5">
        <f t="shared" si="146"/>
        <v>199.37</v>
      </c>
      <c r="AB394" s="7">
        <v>0.10100000000000001</v>
      </c>
      <c r="AC394" s="7">
        <f t="shared" si="147"/>
        <v>0.10100000000000001</v>
      </c>
      <c r="AD394" s="16">
        <f t="shared" si="148"/>
        <v>0</v>
      </c>
      <c r="AE394" s="16">
        <v>37</v>
      </c>
      <c r="AF394" s="5">
        <f t="shared" si="149"/>
        <v>6631.6443100000006</v>
      </c>
      <c r="AG394">
        <f t="shared" si="150"/>
        <v>6605.61</v>
      </c>
      <c r="AH394" s="5">
        <f t="shared" si="151"/>
        <v>26.034310000000914</v>
      </c>
      <c r="AI394" s="5">
        <f t="shared" si="152"/>
        <v>3.9257699573457538E-3</v>
      </c>
      <c r="AJ394" s="5">
        <f t="shared" si="155"/>
        <v>9764422.0570900105</v>
      </c>
      <c r="AK394" s="7">
        <f t="shared" si="153"/>
        <v>0.89207282072349225</v>
      </c>
      <c r="AL394" s="17">
        <f>MIN(AC394,'What-If Analysis'!$B$2)</f>
        <v>0.10100000000000001</v>
      </c>
      <c r="AM394">
        <f>AE394*(1+'What-If Analysis'!$B$3)</f>
        <v>48.1</v>
      </c>
      <c r="AN394">
        <f>Y394*(1+'What-If Analysis'!$B$4)</f>
        <v>196.38300000000001</v>
      </c>
      <c r="AO394">
        <f t="shared" si="154"/>
        <v>8621.137603000001</v>
      </c>
    </row>
    <row r="395" spans="1:41" x14ac:dyDescent="0.3">
      <c r="A395" t="s">
        <v>444</v>
      </c>
      <c r="B395" s="3">
        <v>45597</v>
      </c>
      <c r="C395" s="3">
        <f t="shared" si="135"/>
        <v>45597</v>
      </c>
      <c r="D395" s="3">
        <v>45608</v>
      </c>
      <c r="E395" s="3">
        <f t="shared" si="136"/>
        <v>45608</v>
      </c>
      <c r="F395" s="16">
        <f t="shared" si="137"/>
        <v>11</v>
      </c>
      <c r="G395" s="16">
        <f>IF(Data!F299&lt;=7,1,0)</f>
        <v>1</v>
      </c>
      <c r="H395" s="5" t="str">
        <f t="shared" si="138"/>
        <v>11-2024</v>
      </c>
      <c r="I395" s="5" t="str">
        <f t="shared" si="139"/>
        <v>Q4-2024</v>
      </c>
      <c r="J395" s="3">
        <f t="shared" si="140"/>
        <v>44947</v>
      </c>
      <c r="K395" s="5" t="str">
        <f t="shared" si="141"/>
        <v>01-2023</v>
      </c>
      <c r="L395" t="s">
        <v>649</v>
      </c>
      <c r="M395" t="s">
        <v>656</v>
      </c>
      <c r="N395" t="s">
        <v>698</v>
      </c>
      <c r="O395" t="str">
        <f t="shared" si="142"/>
        <v>Frankfurt</v>
      </c>
      <c r="P395" t="s">
        <v>704</v>
      </c>
      <c r="Q395" t="s">
        <v>708</v>
      </c>
      <c r="R395" t="str">
        <f t="shared" si="143"/>
        <v>Online</v>
      </c>
      <c r="S395" t="s">
        <v>717</v>
      </c>
      <c r="T395" t="str">
        <f t="shared" si="134"/>
        <v>B. Chen</v>
      </c>
      <c r="U395" t="s">
        <v>728</v>
      </c>
      <c r="V395" t="str">
        <f t="shared" si="144"/>
        <v>Medium</v>
      </c>
      <c r="W395" t="s">
        <v>1163</v>
      </c>
      <c r="X395" t="str">
        <f t="shared" si="145"/>
        <v>B</v>
      </c>
      <c r="Y395" s="5">
        <v>599.84</v>
      </c>
      <c r="Z395" s="5">
        <v>1330.85</v>
      </c>
      <c r="AA395" s="5">
        <f t="shared" si="146"/>
        <v>1330.85</v>
      </c>
      <c r="AB395" s="7">
        <v>0.115</v>
      </c>
      <c r="AC395" s="7">
        <f t="shared" si="147"/>
        <v>0.115</v>
      </c>
      <c r="AD395" s="16">
        <f t="shared" si="148"/>
        <v>0</v>
      </c>
      <c r="AE395" s="16">
        <v>11</v>
      </c>
      <c r="AF395" s="5">
        <f t="shared" si="149"/>
        <v>12955.824749999998</v>
      </c>
      <c r="AG395">
        <f t="shared" si="150"/>
        <v>6598.2400000000007</v>
      </c>
      <c r="AH395" s="5">
        <f t="shared" si="151"/>
        <v>6357.5847499999973</v>
      </c>
      <c r="AI395" s="5">
        <f t="shared" si="152"/>
        <v>0.49071246892252063</v>
      </c>
      <c r="AJ395" s="5">
        <f t="shared" si="155"/>
        <v>9777377.8818400111</v>
      </c>
      <c r="AK395" s="7">
        <f t="shared" si="153"/>
        <v>0.89325645853246427</v>
      </c>
      <c r="AL395" s="17">
        <f>MIN(AC395,'What-If Analysis'!$B$2)</f>
        <v>0.115</v>
      </c>
      <c r="AM395">
        <f>AE395*(1+'What-If Analysis'!$B$3)</f>
        <v>14.3</v>
      </c>
      <c r="AN395">
        <f>Y395*(1+'What-If Analysis'!$B$4)</f>
        <v>659.82400000000007</v>
      </c>
      <c r="AO395">
        <f t="shared" si="154"/>
        <v>16842.572174999998</v>
      </c>
    </row>
    <row r="396" spans="1:41" x14ac:dyDescent="0.3">
      <c r="A396" t="s">
        <v>167</v>
      </c>
      <c r="B396" s="3">
        <v>45267</v>
      </c>
      <c r="C396" s="3">
        <f t="shared" si="135"/>
        <v>45265</v>
      </c>
      <c r="D396" s="3">
        <v>45265</v>
      </c>
      <c r="E396" s="3">
        <f t="shared" si="136"/>
        <v>45267</v>
      </c>
      <c r="F396" s="16">
        <f t="shared" si="137"/>
        <v>2</v>
      </c>
      <c r="G396" s="16">
        <f>IF(Data!F522&lt;=7,1,0)</f>
        <v>1</v>
      </c>
      <c r="H396" s="5" t="str">
        <f t="shared" si="138"/>
        <v>12-2023</v>
      </c>
      <c r="I396" s="5" t="str">
        <f t="shared" si="139"/>
        <v>Q4-2023</v>
      </c>
      <c r="J396" s="3">
        <f t="shared" si="140"/>
        <v>44988</v>
      </c>
      <c r="K396" s="5" t="str">
        <f t="shared" si="141"/>
        <v>03-2023</v>
      </c>
      <c r="L396" t="s">
        <v>647</v>
      </c>
      <c r="M396" t="s">
        <v>652</v>
      </c>
      <c r="N396" t="s">
        <v>689</v>
      </c>
      <c r="O396" t="str">
        <f t="shared" si="142"/>
        <v>Tokyo</v>
      </c>
      <c r="P396" t="s">
        <v>703</v>
      </c>
      <c r="Q396" t="s">
        <v>709</v>
      </c>
      <c r="R396" t="str">
        <f t="shared" si="143"/>
        <v>Marketplace</v>
      </c>
      <c r="S396" t="s">
        <v>722</v>
      </c>
      <c r="T396" t="str">
        <f t="shared" si="134"/>
        <v>H. Kim</v>
      </c>
      <c r="U396" t="s">
        <v>728</v>
      </c>
      <c r="V396" t="str">
        <f t="shared" si="144"/>
        <v>Medium</v>
      </c>
      <c r="W396" t="s">
        <v>886</v>
      </c>
      <c r="X396" t="str">
        <f t="shared" si="145"/>
        <v>B</v>
      </c>
      <c r="Y396" s="5">
        <v>1097.5899999999999</v>
      </c>
      <c r="Z396" s="5">
        <v>845.55</v>
      </c>
      <c r="AA396" s="5">
        <f t="shared" si="146"/>
        <v>845.55</v>
      </c>
      <c r="AB396" s="7">
        <v>0.184</v>
      </c>
      <c r="AC396" s="7">
        <f t="shared" si="147"/>
        <v>0.184</v>
      </c>
      <c r="AD396" s="16">
        <f t="shared" si="148"/>
        <v>0</v>
      </c>
      <c r="AE396" s="16">
        <v>6</v>
      </c>
      <c r="AF396" s="5">
        <f t="shared" si="149"/>
        <v>4139.8127999999997</v>
      </c>
      <c r="AG396">
        <f t="shared" si="150"/>
        <v>6585.5399999999991</v>
      </c>
      <c r="AH396" s="5">
        <f t="shared" si="151"/>
        <v>2445.7271999999994</v>
      </c>
      <c r="AI396" s="5">
        <f t="shared" si="152"/>
        <v>0.59078207594314402</v>
      </c>
      <c r="AJ396" s="5">
        <f t="shared" si="155"/>
        <v>9781517.6946400106</v>
      </c>
      <c r="AK396" s="7">
        <f t="shared" si="153"/>
        <v>0.89363466980397332</v>
      </c>
      <c r="AL396" s="17">
        <f>MIN(AC396,'What-If Analysis'!$B$2)</f>
        <v>0.184</v>
      </c>
      <c r="AM396">
        <f>AE396*(1+'What-If Analysis'!$B$3)</f>
        <v>7.8000000000000007</v>
      </c>
      <c r="AN396">
        <f>Y396*(1+'What-If Analysis'!$B$4)</f>
        <v>1207.3489999999999</v>
      </c>
      <c r="AO396">
        <f t="shared" si="154"/>
        <v>5381.7566400000005</v>
      </c>
    </row>
    <row r="397" spans="1:41" x14ac:dyDescent="0.3">
      <c r="A397" t="s">
        <v>412</v>
      </c>
      <c r="B397" s="3">
        <v>45914</v>
      </c>
      <c r="C397" s="3">
        <f t="shared" si="135"/>
        <v>45914</v>
      </c>
      <c r="D397" s="3">
        <v>45923</v>
      </c>
      <c r="E397" s="3">
        <f t="shared" si="136"/>
        <v>45923</v>
      </c>
      <c r="F397" s="16">
        <f t="shared" si="137"/>
        <v>9</v>
      </c>
      <c r="G397" s="16">
        <f>IF(Data!F294&lt;=7,1,0)</f>
        <v>1</v>
      </c>
      <c r="H397" s="5" t="str">
        <f t="shared" si="138"/>
        <v>09-2025</v>
      </c>
      <c r="I397" s="5" t="str">
        <f t="shared" si="139"/>
        <v>Q3-2025</v>
      </c>
      <c r="J397" s="3">
        <f t="shared" si="140"/>
        <v>44933</v>
      </c>
      <c r="K397" s="5" t="str">
        <f t="shared" si="141"/>
        <v>01-2023</v>
      </c>
      <c r="L397" t="s">
        <v>646</v>
      </c>
      <c r="M397" t="s">
        <v>661</v>
      </c>
      <c r="N397" t="s">
        <v>687</v>
      </c>
      <c r="O397" t="str">
        <f t="shared" si="142"/>
        <v>Durban</v>
      </c>
      <c r="P397" t="s">
        <v>703</v>
      </c>
      <c r="Q397" t="s">
        <v>708</v>
      </c>
      <c r="R397" t="str">
        <f t="shared" si="143"/>
        <v>Online</v>
      </c>
      <c r="S397" t="s">
        <v>726</v>
      </c>
      <c r="T397" t="str">
        <f t="shared" si="134"/>
        <v>D. Smith</v>
      </c>
      <c r="U397" t="s">
        <v>727</v>
      </c>
      <c r="V397" t="str">
        <f t="shared" si="144"/>
        <v>High</v>
      </c>
      <c r="W397" t="s">
        <v>1131</v>
      </c>
      <c r="X397" t="str">
        <f t="shared" si="145"/>
        <v>B</v>
      </c>
      <c r="Y397" s="5">
        <v>1310.3</v>
      </c>
      <c r="Z397" s="5">
        <v>2875.8</v>
      </c>
      <c r="AA397" s="5">
        <f t="shared" si="146"/>
        <v>2875.8</v>
      </c>
      <c r="AB397" s="7">
        <v>8.3000000000000004E-2</v>
      </c>
      <c r="AC397" s="7">
        <f t="shared" si="147"/>
        <v>8.3000000000000004E-2</v>
      </c>
      <c r="AD397" s="16">
        <f t="shared" si="148"/>
        <v>0</v>
      </c>
      <c r="AE397" s="16">
        <v>5</v>
      </c>
      <c r="AF397" s="5">
        <f t="shared" si="149"/>
        <v>13185.543</v>
      </c>
      <c r="AG397">
        <f t="shared" si="150"/>
        <v>6551.5</v>
      </c>
      <c r="AH397" s="5">
        <f t="shared" si="151"/>
        <v>6634.0429999999997</v>
      </c>
      <c r="AI397" s="5">
        <f t="shared" si="152"/>
        <v>0.50313005691157353</v>
      </c>
      <c r="AJ397" s="5">
        <f t="shared" si="155"/>
        <v>9794703.2376400102</v>
      </c>
      <c r="AK397" s="7">
        <f t="shared" si="153"/>
        <v>0.89483929455984812</v>
      </c>
      <c r="AL397" s="17">
        <f>MIN(AC397,'What-If Analysis'!$B$2)</f>
        <v>8.3000000000000004E-2</v>
      </c>
      <c r="AM397">
        <f>AE397*(1+'What-If Analysis'!$B$3)</f>
        <v>6.5</v>
      </c>
      <c r="AN397">
        <f>Y397*(1+'What-If Analysis'!$B$4)</f>
        <v>1441.3300000000002</v>
      </c>
      <c r="AO397">
        <f t="shared" si="154"/>
        <v>17141.205900000001</v>
      </c>
    </row>
    <row r="398" spans="1:41" x14ac:dyDescent="0.3">
      <c r="A398" t="s">
        <v>532</v>
      </c>
      <c r="B398" s="3">
        <v>45413</v>
      </c>
      <c r="C398" s="3">
        <f t="shared" si="135"/>
        <v>45413</v>
      </c>
      <c r="D398" s="3">
        <v>45438</v>
      </c>
      <c r="E398" s="3">
        <f t="shared" si="136"/>
        <v>45438</v>
      </c>
      <c r="F398" s="16">
        <f t="shared" si="137"/>
        <v>25</v>
      </c>
      <c r="G398" s="16">
        <f>IF(Data!F367&lt;=7,1,0)</f>
        <v>0</v>
      </c>
      <c r="H398" s="5" t="str">
        <f t="shared" si="138"/>
        <v>05-2024</v>
      </c>
      <c r="I398" s="5" t="str">
        <f t="shared" si="139"/>
        <v>Q2-2024</v>
      </c>
      <c r="J398" s="3">
        <f t="shared" si="140"/>
        <v>44947</v>
      </c>
      <c r="K398" s="5" t="str">
        <f t="shared" si="141"/>
        <v>01-2023</v>
      </c>
      <c r="L398" t="s">
        <v>649</v>
      </c>
      <c r="M398" t="s">
        <v>656</v>
      </c>
      <c r="N398" t="s">
        <v>671</v>
      </c>
      <c r="O398" t="str">
        <f t="shared" si="142"/>
        <v>Berlin</v>
      </c>
      <c r="P398" t="s">
        <v>703</v>
      </c>
      <c r="Q398" t="s">
        <v>707</v>
      </c>
      <c r="R398" t="str">
        <f t="shared" si="143"/>
        <v>Retail</v>
      </c>
      <c r="S398" t="s">
        <v>717</v>
      </c>
      <c r="T398" t="str">
        <f t="shared" si="134"/>
        <v>B. Chen</v>
      </c>
      <c r="U398" t="s">
        <v>729</v>
      </c>
      <c r="V398" t="str">
        <f t="shared" si="144"/>
        <v>Medium</v>
      </c>
      <c r="W398" t="s">
        <v>1251</v>
      </c>
      <c r="X398" t="str">
        <f t="shared" si="145"/>
        <v>B</v>
      </c>
      <c r="Y398" s="5">
        <v>930.71</v>
      </c>
      <c r="Z398" s="5">
        <v>1625.42</v>
      </c>
      <c r="AA398" s="5">
        <f t="shared" si="146"/>
        <v>1625.42</v>
      </c>
      <c r="AB398" s="7">
        <v>0.13800000000000001</v>
      </c>
      <c r="AC398" s="7">
        <f t="shared" si="147"/>
        <v>0.13800000000000001</v>
      </c>
      <c r="AD398" s="16">
        <f t="shared" si="148"/>
        <v>0</v>
      </c>
      <c r="AE398" s="16">
        <v>7</v>
      </c>
      <c r="AF398" s="5">
        <f t="shared" si="149"/>
        <v>9807.7842799999999</v>
      </c>
      <c r="AG398">
        <f t="shared" si="150"/>
        <v>6514.97</v>
      </c>
      <c r="AH398" s="5">
        <f t="shared" si="151"/>
        <v>3292.8142799999996</v>
      </c>
      <c r="AI398" s="5">
        <f t="shared" si="152"/>
        <v>0.33573477821231196</v>
      </c>
      <c r="AJ398" s="5">
        <f t="shared" si="155"/>
        <v>9804511.0219200104</v>
      </c>
      <c r="AK398" s="7">
        <f t="shared" si="153"/>
        <v>0.89573532893203656</v>
      </c>
      <c r="AL398" s="17">
        <f>MIN(AC398,'What-If Analysis'!$B$2)</f>
        <v>0.13800000000000001</v>
      </c>
      <c r="AM398">
        <f>AE398*(1+'What-If Analysis'!$B$3)</f>
        <v>9.1</v>
      </c>
      <c r="AN398">
        <f>Y398*(1+'What-If Analysis'!$B$4)</f>
        <v>1023.7810000000002</v>
      </c>
      <c r="AO398">
        <f t="shared" si="154"/>
        <v>12750.119564000001</v>
      </c>
    </row>
    <row r="399" spans="1:41" x14ac:dyDescent="0.3">
      <c r="A399" t="s">
        <v>264</v>
      </c>
      <c r="B399" s="3">
        <v>45537</v>
      </c>
      <c r="C399" s="3">
        <f t="shared" si="135"/>
        <v>45537</v>
      </c>
      <c r="D399" s="3">
        <v>45543</v>
      </c>
      <c r="E399" s="3">
        <f t="shared" si="136"/>
        <v>45543</v>
      </c>
      <c r="F399" s="16">
        <f t="shared" si="137"/>
        <v>6</v>
      </c>
      <c r="G399" s="16">
        <f>IF(Data!F314&lt;=7,1,0)</f>
        <v>0</v>
      </c>
      <c r="H399" s="5" t="str">
        <f t="shared" si="138"/>
        <v>09-2024</v>
      </c>
      <c r="I399" s="5" t="str">
        <f t="shared" si="139"/>
        <v>Q3-2024</v>
      </c>
      <c r="J399" s="3">
        <f t="shared" si="140"/>
        <v>44939</v>
      </c>
      <c r="K399" s="5" t="str">
        <f t="shared" si="141"/>
        <v>01-2023</v>
      </c>
      <c r="L399" t="s">
        <v>648</v>
      </c>
      <c r="M399" t="s">
        <v>660</v>
      </c>
      <c r="N399" t="s">
        <v>697</v>
      </c>
      <c r="O399" t="str">
        <f t="shared" si="142"/>
        <v>Austin</v>
      </c>
      <c r="P399" t="s">
        <v>704</v>
      </c>
      <c r="Q399" t="s">
        <v>711</v>
      </c>
      <c r="R399" t="str">
        <f t="shared" si="143"/>
        <v>Direct</v>
      </c>
      <c r="S399" t="s">
        <v>722</v>
      </c>
      <c r="T399" t="str">
        <f t="shared" si="134"/>
        <v>H. Kim</v>
      </c>
      <c r="U399" t="s">
        <v>727</v>
      </c>
      <c r="V399" t="str">
        <f t="shared" si="144"/>
        <v>Medium</v>
      </c>
      <c r="W399" t="s">
        <v>984</v>
      </c>
      <c r="X399" t="str">
        <f t="shared" si="145"/>
        <v>B</v>
      </c>
      <c r="Y399" s="5">
        <v>462.94</v>
      </c>
      <c r="Z399" s="5">
        <v>1015.7</v>
      </c>
      <c r="AA399" s="5">
        <f t="shared" si="146"/>
        <v>1015.7</v>
      </c>
      <c r="AB399" s="7">
        <v>0.14299999999999999</v>
      </c>
      <c r="AC399" s="7">
        <f t="shared" si="147"/>
        <v>0.14299999999999999</v>
      </c>
      <c r="AD399" s="16">
        <f t="shared" si="148"/>
        <v>0</v>
      </c>
      <c r="AE399" s="16">
        <v>14</v>
      </c>
      <c r="AF399" s="5">
        <f t="shared" si="149"/>
        <v>12186.368600000002</v>
      </c>
      <c r="AG399">
        <f t="shared" si="150"/>
        <v>6481.16</v>
      </c>
      <c r="AH399" s="5">
        <f t="shared" si="151"/>
        <v>5705.2086000000018</v>
      </c>
      <c r="AI399" s="5">
        <f t="shared" si="152"/>
        <v>0.46816314090483041</v>
      </c>
      <c r="AJ399" s="5">
        <f t="shared" si="155"/>
        <v>9816697.3905200101</v>
      </c>
      <c r="AK399" s="7">
        <f t="shared" si="153"/>
        <v>0.89684866960369303</v>
      </c>
      <c r="AL399" s="17">
        <f>MIN(AC399,'What-If Analysis'!$B$2)</f>
        <v>0.14299999999999999</v>
      </c>
      <c r="AM399">
        <f>AE399*(1+'What-If Analysis'!$B$3)</f>
        <v>18.2</v>
      </c>
      <c r="AN399">
        <f>Y399*(1+'What-If Analysis'!$B$4)</f>
        <v>509.23400000000004</v>
      </c>
      <c r="AO399">
        <f t="shared" si="154"/>
        <v>15842.279180000001</v>
      </c>
    </row>
    <row r="400" spans="1:41" x14ac:dyDescent="0.3">
      <c r="A400" t="s">
        <v>234</v>
      </c>
      <c r="B400" s="3">
        <v>45894</v>
      </c>
      <c r="C400" s="3">
        <f t="shared" si="135"/>
        <v>45894</v>
      </c>
      <c r="D400" s="3">
        <v>45924</v>
      </c>
      <c r="E400" s="3">
        <f t="shared" si="136"/>
        <v>45924</v>
      </c>
      <c r="F400" s="16">
        <f t="shared" si="137"/>
        <v>30</v>
      </c>
      <c r="G400" s="16">
        <f>IF(Data!F287&lt;=7,1,0)</f>
        <v>0</v>
      </c>
      <c r="H400" s="5" t="str">
        <f t="shared" si="138"/>
        <v>08-2025</v>
      </c>
      <c r="I400" s="5" t="str">
        <f t="shared" si="139"/>
        <v>Q3-2025</v>
      </c>
      <c r="J400" s="3">
        <f t="shared" si="140"/>
        <v>44946</v>
      </c>
      <c r="K400" s="5" t="str">
        <f t="shared" si="141"/>
        <v>01-2023</v>
      </c>
      <c r="L400" t="s">
        <v>646</v>
      </c>
      <c r="M400" t="s">
        <v>650</v>
      </c>
      <c r="N400" t="s">
        <v>664</v>
      </c>
      <c r="O400" t="str">
        <f t="shared" si="142"/>
        <v>Nairobi</v>
      </c>
      <c r="P400" t="s">
        <v>704</v>
      </c>
      <c r="Q400" t="s">
        <v>711</v>
      </c>
      <c r="R400" t="str">
        <f t="shared" si="143"/>
        <v>Direct</v>
      </c>
      <c r="S400" t="s">
        <v>717</v>
      </c>
      <c r="T400" t="str">
        <f t="shared" si="134"/>
        <v>B. Chen</v>
      </c>
      <c r="U400" t="s">
        <v>727</v>
      </c>
      <c r="V400" t="str">
        <f t="shared" si="144"/>
        <v>Medium</v>
      </c>
      <c r="W400" t="s">
        <v>954</v>
      </c>
      <c r="X400" t="str">
        <f t="shared" si="145"/>
        <v>B</v>
      </c>
      <c r="Y400" s="5">
        <v>589.14</v>
      </c>
      <c r="Z400" s="5">
        <v>1300.58</v>
      </c>
      <c r="AA400" s="5">
        <f t="shared" si="146"/>
        <v>1300.58</v>
      </c>
      <c r="AB400" s="7">
        <v>5.5E-2</v>
      </c>
      <c r="AC400" s="7">
        <f t="shared" si="147"/>
        <v>5.5E-2</v>
      </c>
      <c r="AD400" s="16">
        <f t="shared" si="148"/>
        <v>0</v>
      </c>
      <c r="AE400" s="16">
        <v>11</v>
      </c>
      <c r="AF400" s="5">
        <f t="shared" si="149"/>
        <v>13519.529099999998</v>
      </c>
      <c r="AG400">
        <f t="shared" si="150"/>
        <v>6480.54</v>
      </c>
      <c r="AH400" s="5">
        <f t="shared" si="151"/>
        <v>7038.989099999998</v>
      </c>
      <c r="AI400" s="5">
        <f t="shared" si="152"/>
        <v>0.52065342275863724</v>
      </c>
      <c r="AJ400" s="5">
        <f t="shared" si="155"/>
        <v>9830216.919620011</v>
      </c>
      <c r="AK400" s="7">
        <f t="shared" si="153"/>
        <v>0.89808380716622127</v>
      </c>
      <c r="AL400" s="17">
        <f>MIN(AC400,'What-If Analysis'!$B$2)</f>
        <v>5.5E-2</v>
      </c>
      <c r="AM400">
        <f>AE400*(1+'What-If Analysis'!$B$3)</f>
        <v>14.3</v>
      </c>
      <c r="AN400">
        <f>Y400*(1+'What-If Analysis'!$B$4)</f>
        <v>648.05400000000009</v>
      </c>
      <c r="AO400">
        <f t="shared" si="154"/>
        <v>17575.38783</v>
      </c>
    </row>
    <row r="401" spans="1:41" x14ac:dyDescent="0.3">
      <c r="A401" t="s">
        <v>644</v>
      </c>
      <c r="B401" s="3">
        <v>45249</v>
      </c>
      <c r="C401" s="3">
        <f t="shared" si="135"/>
        <v>45249</v>
      </c>
      <c r="D401" s="3">
        <v>45279</v>
      </c>
      <c r="E401" s="3">
        <f t="shared" si="136"/>
        <v>45279</v>
      </c>
      <c r="F401" s="16">
        <f t="shared" si="137"/>
        <v>30</v>
      </c>
      <c r="G401" s="16">
        <f>IF(Data!F302&lt;=7,1,0)</f>
        <v>0</v>
      </c>
      <c r="H401" s="5" t="str">
        <f t="shared" si="138"/>
        <v>11-2023</v>
      </c>
      <c r="I401" s="5" t="str">
        <f t="shared" si="139"/>
        <v>Q4-2023</v>
      </c>
      <c r="J401" s="3">
        <f t="shared" si="140"/>
        <v>44988</v>
      </c>
      <c r="K401" s="5" t="str">
        <f t="shared" si="141"/>
        <v>03-2023</v>
      </c>
      <c r="L401" t="s">
        <v>647</v>
      </c>
      <c r="M401" t="s">
        <v>652</v>
      </c>
      <c r="N401" t="s">
        <v>694</v>
      </c>
      <c r="O401" t="str">
        <f t="shared" si="142"/>
        <v>Nagoya</v>
      </c>
      <c r="P401" t="s">
        <v>704</v>
      </c>
      <c r="Q401" t="s">
        <v>707</v>
      </c>
      <c r="R401" t="str">
        <f t="shared" si="143"/>
        <v>Retail</v>
      </c>
      <c r="T401" t="str">
        <f t="shared" ref="T401:T464" si="156">IF(S401="",_xlfn.XLOOKUP(L401,L:L,S:S),S401)</f>
        <v>K. Singh</v>
      </c>
      <c r="U401" t="s">
        <v>730</v>
      </c>
      <c r="V401" t="str">
        <f t="shared" si="144"/>
        <v>High</v>
      </c>
      <c r="W401" t="s">
        <v>1362</v>
      </c>
      <c r="X401" t="str">
        <f t="shared" si="145"/>
        <v>B</v>
      </c>
      <c r="Y401" s="5">
        <v>807.11</v>
      </c>
      <c r="Z401" s="5">
        <v>1853.86</v>
      </c>
      <c r="AA401" s="5">
        <f t="shared" si="146"/>
        <v>1853.86</v>
      </c>
      <c r="AB401" s="7">
        <v>0.13900000000000001</v>
      </c>
      <c r="AC401" s="7">
        <f t="shared" si="147"/>
        <v>0.13900000000000001</v>
      </c>
      <c r="AD401" s="16">
        <f t="shared" si="148"/>
        <v>0</v>
      </c>
      <c r="AE401" s="16">
        <v>8</v>
      </c>
      <c r="AF401" s="5">
        <f t="shared" si="149"/>
        <v>12769.38768</v>
      </c>
      <c r="AG401">
        <f t="shared" si="150"/>
        <v>6456.88</v>
      </c>
      <c r="AH401" s="5">
        <f t="shared" si="151"/>
        <v>6312.5076799999997</v>
      </c>
      <c r="AI401" s="5">
        <f t="shared" si="152"/>
        <v>0.49434693645388639</v>
      </c>
      <c r="AJ401" s="5">
        <f t="shared" si="155"/>
        <v>9842986.3073000107</v>
      </c>
      <c r="AK401" s="7">
        <f t="shared" si="153"/>
        <v>0.89925041217571466</v>
      </c>
      <c r="AL401" s="17">
        <f>MIN(AC401,'What-If Analysis'!$B$2)</f>
        <v>0.13900000000000001</v>
      </c>
      <c r="AM401">
        <f>AE401*(1+'What-If Analysis'!$B$3)</f>
        <v>10.4</v>
      </c>
      <c r="AN401">
        <f>Y401*(1+'What-If Analysis'!$B$4)</f>
        <v>887.82100000000014</v>
      </c>
      <c r="AO401">
        <f t="shared" si="154"/>
        <v>16600.203984</v>
      </c>
    </row>
    <row r="402" spans="1:41" x14ac:dyDescent="0.3">
      <c r="A402" t="s">
        <v>48</v>
      </c>
      <c r="B402" s="3">
        <v>45400</v>
      </c>
      <c r="C402" s="3">
        <f t="shared" si="135"/>
        <v>45400</v>
      </c>
      <c r="D402" s="3">
        <v>45420</v>
      </c>
      <c r="E402" s="3">
        <f t="shared" si="136"/>
        <v>45420</v>
      </c>
      <c r="F402" s="16">
        <f t="shared" si="137"/>
        <v>20</v>
      </c>
      <c r="G402" s="16">
        <f>IF(Data!F293&lt;=7,1,0)</f>
        <v>0</v>
      </c>
      <c r="H402" s="5" t="str">
        <f t="shared" si="138"/>
        <v>04-2024</v>
      </c>
      <c r="I402" s="5" t="str">
        <f t="shared" si="139"/>
        <v>Q2-2024</v>
      </c>
      <c r="J402" s="3">
        <f t="shared" si="140"/>
        <v>44945</v>
      </c>
      <c r="K402" s="5" t="str">
        <f t="shared" si="141"/>
        <v>01-2023</v>
      </c>
      <c r="L402" t="s">
        <v>649</v>
      </c>
      <c r="M402" t="s">
        <v>658</v>
      </c>
      <c r="N402" t="s">
        <v>683</v>
      </c>
      <c r="O402" t="str">
        <f t="shared" si="142"/>
        <v>London</v>
      </c>
      <c r="P402" t="s">
        <v>703</v>
      </c>
      <c r="R402" t="str">
        <f t="shared" si="143"/>
        <v>Marketplace</v>
      </c>
      <c r="S402" t="s">
        <v>726</v>
      </c>
      <c r="T402" t="str">
        <f t="shared" si="156"/>
        <v>D. Smith</v>
      </c>
      <c r="U402" t="s">
        <v>731</v>
      </c>
      <c r="V402" t="str">
        <f t="shared" si="144"/>
        <v>Medium</v>
      </c>
      <c r="W402" t="s">
        <v>767</v>
      </c>
      <c r="X402" t="str">
        <f t="shared" si="145"/>
        <v>B</v>
      </c>
      <c r="Y402" s="5">
        <v>645.33000000000004</v>
      </c>
      <c r="Z402" s="5">
        <v>1321.85</v>
      </c>
      <c r="AA402" s="5">
        <f t="shared" si="146"/>
        <v>1321.85</v>
      </c>
      <c r="AB402" s="7">
        <v>0</v>
      </c>
      <c r="AC402" s="7">
        <f t="shared" si="147"/>
        <v>0</v>
      </c>
      <c r="AD402" s="16">
        <f t="shared" si="148"/>
        <v>0</v>
      </c>
      <c r="AE402" s="16">
        <v>10</v>
      </c>
      <c r="AF402" s="5">
        <f t="shared" si="149"/>
        <v>13218.5</v>
      </c>
      <c r="AG402">
        <f t="shared" si="150"/>
        <v>6453.3</v>
      </c>
      <c r="AH402" s="5">
        <f t="shared" si="151"/>
        <v>6765.2</v>
      </c>
      <c r="AI402" s="5">
        <f t="shared" si="152"/>
        <v>0.51179785906116426</v>
      </c>
      <c r="AJ402" s="5">
        <f t="shared" si="155"/>
        <v>9856204.8073000107</v>
      </c>
      <c r="AK402" s="7">
        <f t="shared" si="153"/>
        <v>0.90045804786698125</v>
      </c>
      <c r="AL402" s="17">
        <f>MIN(AC402,'What-If Analysis'!$B$2)</f>
        <v>0</v>
      </c>
      <c r="AM402">
        <f>AE402*(1+'What-If Analysis'!$B$3)</f>
        <v>13</v>
      </c>
      <c r="AN402">
        <f>Y402*(1+'What-If Analysis'!$B$4)</f>
        <v>709.86300000000006</v>
      </c>
      <c r="AO402">
        <f t="shared" si="154"/>
        <v>17184.05</v>
      </c>
    </row>
    <row r="403" spans="1:41" x14ac:dyDescent="0.3">
      <c r="A403" t="s">
        <v>558</v>
      </c>
      <c r="B403" s="3">
        <v>45108</v>
      </c>
      <c r="C403" s="3">
        <f t="shared" si="135"/>
        <v>45108</v>
      </c>
      <c r="D403" s="3">
        <v>45115</v>
      </c>
      <c r="E403" s="3">
        <f t="shared" si="136"/>
        <v>45115</v>
      </c>
      <c r="F403" s="16">
        <f t="shared" si="137"/>
        <v>7</v>
      </c>
      <c r="G403" s="16">
        <f>IF(Data!F279&lt;=7,1,0)</f>
        <v>1</v>
      </c>
      <c r="H403" s="5" t="str">
        <f t="shared" si="138"/>
        <v>07-2023</v>
      </c>
      <c r="I403" s="5" t="str">
        <f t="shared" si="139"/>
        <v>Q3-2023</v>
      </c>
      <c r="J403" s="3">
        <f t="shared" si="140"/>
        <v>44947</v>
      </c>
      <c r="K403" s="5" t="str">
        <f t="shared" si="141"/>
        <v>01-2023</v>
      </c>
      <c r="L403" t="s">
        <v>649</v>
      </c>
      <c r="M403" t="s">
        <v>656</v>
      </c>
      <c r="N403" t="s">
        <v>698</v>
      </c>
      <c r="O403" t="str">
        <f t="shared" si="142"/>
        <v>Frankfurt</v>
      </c>
      <c r="P403" t="s">
        <v>705</v>
      </c>
      <c r="Q403" t="s">
        <v>710</v>
      </c>
      <c r="R403" t="str">
        <f t="shared" si="143"/>
        <v>Distributor</v>
      </c>
      <c r="S403" t="s">
        <v>725</v>
      </c>
      <c r="T403" t="str">
        <f t="shared" si="156"/>
        <v>N. Brown</v>
      </c>
      <c r="U403" t="s">
        <v>731</v>
      </c>
      <c r="V403" t="str">
        <f t="shared" si="144"/>
        <v>Medium</v>
      </c>
      <c r="W403" t="s">
        <v>1276</v>
      </c>
      <c r="X403" t="str">
        <f t="shared" si="145"/>
        <v>B</v>
      </c>
      <c r="Y403" s="5">
        <v>460.21</v>
      </c>
      <c r="Z403" s="5">
        <v>1139.1500000000001</v>
      </c>
      <c r="AA403" s="5">
        <f t="shared" si="146"/>
        <v>1139.1500000000001</v>
      </c>
      <c r="AB403" s="7">
        <v>0.115</v>
      </c>
      <c r="AC403" s="7">
        <f t="shared" si="147"/>
        <v>0.115</v>
      </c>
      <c r="AD403" s="16">
        <f t="shared" si="148"/>
        <v>0</v>
      </c>
      <c r="AE403" s="16">
        <v>14</v>
      </c>
      <c r="AF403" s="5">
        <f t="shared" si="149"/>
        <v>14114.068500000001</v>
      </c>
      <c r="AG403">
        <f t="shared" si="150"/>
        <v>6442.94</v>
      </c>
      <c r="AH403" s="5">
        <f t="shared" si="151"/>
        <v>7671.1285000000016</v>
      </c>
      <c r="AI403" s="5">
        <f t="shared" si="152"/>
        <v>0.54350937151821255</v>
      </c>
      <c r="AJ403" s="5">
        <f t="shared" si="155"/>
        <v>9870318.8758000098</v>
      </c>
      <c r="AK403" s="7">
        <f t="shared" si="153"/>
        <v>0.90174750225814382</v>
      </c>
      <c r="AL403" s="17">
        <f>MIN(AC403,'What-If Analysis'!$B$2)</f>
        <v>0.115</v>
      </c>
      <c r="AM403">
        <f>AE403*(1+'What-If Analysis'!$B$3)</f>
        <v>18.2</v>
      </c>
      <c r="AN403">
        <f>Y403*(1+'What-If Analysis'!$B$4)</f>
        <v>506.23099999999999</v>
      </c>
      <c r="AO403">
        <f t="shared" si="154"/>
        <v>18348.289050000003</v>
      </c>
    </row>
    <row r="404" spans="1:41" x14ac:dyDescent="0.3">
      <c r="A404" t="s">
        <v>107</v>
      </c>
      <c r="B404" s="3">
        <v>45101</v>
      </c>
      <c r="C404" s="3">
        <f t="shared" si="135"/>
        <v>45100</v>
      </c>
      <c r="D404" s="3">
        <v>45100</v>
      </c>
      <c r="E404" s="3">
        <f t="shared" si="136"/>
        <v>45101</v>
      </c>
      <c r="F404" s="16">
        <f t="shared" si="137"/>
        <v>1</v>
      </c>
      <c r="G404" s="16">
        <f>IF(Data!F361&lt;=7,1,0)</f>
        <v>0</v>
      </c>
      <c r="H404" s="5" t="str">
        <f t="shared" si="138"/>
        <v>06-2023</v>
      </c>
      <c r="I404" s="5" t="str">
        <f t="shared" si="139"/>
        <v>Q2-2023</v>
      </c>
      <c r="J404" s="3">
        <f t="shared" si="140"/>
        <v>44955</v>
      </c>
      <c r="K404" s="5" t="str">
        <f t="shared" si="141"/>
        <v>01-2023</v>
      </c>
      <c r="L404" t="s">
        <v>648</v>
      </c>
      <c r="M404" t="s">
        <v>655</v>
      </c>
      <c r="N404" t="s">
        <v>692</v>
      </c>
      <c r="O404" t="str">
        <f t="shared" si="142"/>
        <v>Rio de Janeiro</v>
      </c>
      <c r="P404" t="s">
        <v>703</v>
      </c>
      <c r="Q404" t="s">
        <v>707</v>
      </c>
      <c r="R404" t="str">
        <f t="shared" si="143"/>
        <v>Retail</v>
      </c>
      <c r="S404" t="s">
        <v>718</v>
      </c>
      <c r="T404" t="str">
        <f t="shared" si="156"/>
        <v>E. Garcia</v>
      </c>
      <c r="U404" t="s">
        <v>728</v>
      </c>
      <c r="V404" t="str">
        <f t="shared" si="144"/>
        <v>Medium</v>
      </c>
      <c r="W404" t="s">
        <v>826</v>
      </c>
      <c r="X404" t="str">
        <f t="shared" si="145"/>
        <v>B</v>
      </c>
      <c r="Y404" s="5">
        <v>804.01</v>
      </c>
      <c r="Z404" s="5">
        <v>1405.07</v>
      </c>
      <c r="AA404" s="5">
        <f t="shared" si="146"/>
        <v>1405.07</v>
      </c>
      <c r="AB404" s="7">
        <v>9.6000000000000002E-2</v>
      </c>
      <c r="AC404" s="7">
        <f t="shared" si="147"/>
        <v>9.6000000000000002E-2</v>
      </c>
      <c r="AD404" s="16">
        <f t="shared" si="148"/>
        <v>0</v>
      </c>
      <c r="AE404" s="16">
        <v>8</v>
      </c>
      <c r="AF404" s="5">
        <f t="shared" si="149"/>
        <v>10161.46624</v>
      </c>
      <c r="AG404">
        <f t="shared" si="150"/>
        <v>6432.08</v>
      </c>
      <c r="AH404" s="5">
        <f t="shared" si="151"/>
        <v>3729.3862399999998</v>
      </c>
      <c r="AI404" s="5">
        <f t="shared" si="152"/>
        <v>0.36701260939287439</v>
      </c>
      <c r="AJ404" s="5">
        <f t="shared" si="155"/>
        <v>9880480.3420400098</v>
      </c>
      <c r="AK404" s="7">
        <f t="shared" si="153"/>
        <v>0.90267584884111662</v>
      </c>
      <c r="AL404" s="17">
        <f>MIN(AC404,'What-If Analysis'!$B$2)</f>
        <v>9.6000000000000002E-2</v>
      </c>
      <c r="AM404">
        <f>AE404*(1+'What-If Analysis'!$B$3)</f>
        <v>10.4</v>
      </c>
      <c r="AN404">
        <f>Y404*(1+'What-If Analysis'!$B$4)</f>
        <v>884.41100000000006</v>
      </c>
      <c r="AO404">
        <f t="shared" si="154"/>
        <v>13209.906111999999</v>
      </c>
    </row>
    <row r="405" spans="1:41" x14ac:dyDescent="0.3">
      <c r="A405" t="s">
        <v>330</v>
      </c>
      <c r="B405" s="3">
        <v>45052</v>
      </c>
      <c r="C405" s="3">
        <f t="shared" si="135"/>
        <v>45052</v>
      </c>
      <c r="D405" s="3">
        <v>45060</v>
      </c>
      <c r="E405" s="3">
        <f t="shared" si="136"/>
        <v>45060</v>
      </c>
      <c r="F405" s="16">
        <f t="shared" si="137"/>
        <v>8</v>
      </c>
      <c r="G405" s="16">
        <f>IF(Data!F381&lt;=7,1,0)</f>
        <v>0</v>
      </c>
      <c r="H405" s="5" t="str">
        <f t="shared" si="138"/>
        <v>05-2023</v>
      </c>
      <c r="I405" s="5" t="str">
        <f t="shared" si="139"/>
        <v>Q2-2023</v>
      </c>
      <c r="J405" s="3">
        <f t="shared" si="140"/>
        <v>44988</v>
      </c>
      <c r="K405" s="5" t="str">
        <f t="shared" si="141"/>
        <v>03-2023</v>
      </c>
      <c r="L405" t="s">
        <v>647</v>
      </c>
      <c r="M405" t="s">
        <v>652</v>
      </c>
      <c r="N405" t="s">
        <v>666</v>
      </c>
      <c r="O405" t="str">
        <f t="shared" si="142"/>
        <v>Osaka</v>
      </c>
      <c r="P405" t="s">
        <v>706</v>
      </c>
      <c r="Q405" t="s">
        <v>709</v>
      </c>
      <c r="R405" t="str">
        <f t="shared" si="143"/>
        <v>Marketplace</v>
      </c>
      <c r="S405" t="s">
        <v>717</v>
      </c>
      <c r="T405" t="str">
        <f t="shared" si="156"/>
        <v>B. Chen</v>
      </c>
      <c r="U405" t="s">
        <v>730</v>
      </c>
      <c r="V405" t="str">
        <f t="shared" si="144"/>
        <v>Low</v>
      </c>
      <c r="W405" t="s">
        <v>1050</v>
      </c>
      <c r="X405" t="str">
        <f t="shared" si="145"/>
        <v>B</v>
      </c>
      <c r="Y405" s="5">
        <v>291.18</v>
      </c>
      <c r="Z405" s="5">
        <v>479.54</v>
      </c>
      <c r="AA405" s="5">
        <f t="shared" si="146"/>
        <v>479.54</v>
      </c>
      <c r="AB405" s="7">
        <v>0.14099999999999999</v>
      </c>
      <c r="AC405" s="7">
        <f t="shared" si="147"/>
        <v>0.14099999999999999</v>
      </c>
      <c r="AD405" s="16">
        <f t="shared" si="148"/>
        <v>0</v>
      </c>
      <c r="AE405" s="16">
        <v>22</v>
      </c>
      <c r="AF405" s="5">
        <f t="shared" si="149"/>
        <v>9062.34692</v>
      </c>
      <c r="AG405">
        <f t="shared" si="150"/>
        <v>6405.96</v>
      </c>
      <c r="AH405" s="5">
        <f t="shared" si="151"/>
        <v>2656.3869199999999</v>
      </c>
      <c r="AI405" s="5">
        <f t="shared" si="152"/>
        <v>0.29312350801066001</v>
      </c>
      <c r="AJ405" s="5">
        <f t="shared" si="155"/>
        <v>9889542.6889600102</v>
      </c>
      <c r="AK405" s="7">
        <f t="shared" si="153"/>
        <v>0.90350378042088986</v>
      </c>
      <c r="AL405" s="17">
        <f>MIN(AC405,'What-If Analysis'!$B$2)</f>
        <v>0.14099999999999999</v>
      </c>
      <c r="AM405">
        <f>AE405*(1+'What-If Analysis'!$B$3)</f>
        <v>28.6</v>
      </c>
      <c r="AN405">
        <f>Y405*(1+'What-If Analysis'!$B$4)</f>
        <v>320.29800000000006</v>
      </c>
      <c r="AO405">
        <f t="shared" si="154"/>
        <v>11781.050996</v>
      </c>
    </row>
    <row r="406" spans="1:41" x14ac:dyDescent="0.3">
      <c r="A406" t="s">
        <v>572</v>
      </c>
      <c r="B406" s="3">
        <v>45362</v>
      </c>
      <c r="C406" s="3">
        <f t="shared" si="135"/>
        <v>45362</v>
      </c>
      <c r="D406" s="3">
        <v>45380</v>
      </c>
      <c r="E406" s="3">
        <f t="shared" si="136"/>
        <v>45380</v>
      </c>
      <c r="F406" s="16">
        <f t="shared" si="137"/>
        <v>18</v>
      </c>
      <c r="G406" s="16">
        <f>IF(Data!F350&lt;=7,1,0)</f>
        <v>0</v>
      </c>
      <c r="H406" s="5" t="str">
        <f t="shared" si="138"/>
        <v>03-2024</v>
      </c>
      <c r="I406" s="5" t="str">
        <f t="shared" si="139"/>
        <v>Q1-2024</v>
      </c>
      <c r="J406" s="3">
        <f t="shared" si="140"/>
        <v>44939</v>
      </c>
      <c r="K406" s="5" t="str">
        <f t="shared" si="141"/>
        <v>01-2023</v>
      </c>
      <c r="L406" t="s">
        <v>648</v>
      </c>
      <c r="M406" t="s">
        <v>660</v>
      </c>
      <c r="N406" t="s">
        <v>700</v>
      </c>
      <c r="O406" t="str">
        <f t="shared" si="142"/>
        <v>New York</v>
      </c>
      <c r="P406" t="s">
        <v>701</v>
      </c>
      <c r="Q406" t="s">
        <v>707</v>
      </c>
      <c r="R406" t="str">
        <f t="shared" si="143"/>
        <v>Retail</v>
      </c>
      <c r="S406" t="s">
        <v>724</v>
      </c>
      <c r="T406" t="str">
        <f t="shared" si="156"/>
        <v>M. Rossi</v>
      </c>
      <c r="U406" t="s">
        <v>732</v>
      </c>
      <c r="V406" t="str">
        <f t="shared" si="144"/>
        <v>Medium</v>
      </c>
      <c r="W406" t="s">
        <v>1290</v>
      </c>
      <c r="X406" t="str">
        <f t="shared" si="145"/>
        <v>B</v>
      </c>
      <c r="Y406" s="5">
        <v>710.98</v>
      </c>
      <c r="Z406" s="5">
        <v>1481.45</v>
      </c>
      <c r="AA406" s="5">
        <f t="shared" si="146"/>
        <v>1481.45</v>
      </c>
      <c r="AB406" s="7">
        <v>0.21099999999999999</v>
      </c>
      <c r="AC406" s="7">
        <f t="shared" si="147"/>
        <v>0.21099999999999999</v>
      </c>
      <c r="AD406" s="16">
        <f t="shared" si="148"/>
        <v>1</v>
      </c>
      <c r="AE406" s="16">
        <v>9</v>
      </c>
      <c r="AF406" s="5">
        <f t="shared" si="149"/>
        <v>10519.776450000001</v>
      </c>
      <c r="AG406">
        <f t="shared" si="150"/>
        <v>6398.82</v>
      </c>
      <c r="AH406" s="5">
        <f t="shared" si="151"/>
        <v>4120.9564500000015</v>
      </c>
      <c r="AI406" s="5">
        <f t="shared" si="152"/>
        <v>0.39173422264120461</v>
      </c>
      <c r="AJ406" s="5">
        <f t="shared" si="155"/>
        <v>9900062.4654100109</v>
      </c>
      <c r="AK406" s="7">
        <f t="shared" si="153"/>
        <v>0.9044648620493021</v>
      </c>
      <c r="AL406" s="17">
        <f>MIN(AC406,'What-If Analysis'!$B$2)</f>
        <v>0.2</v>
      </c>
      <c r="AM406">
        <f>AE406*(1+'What-If Analysis'!$B$3)</f>
        <v>11.700000000000001</v>
      </c>
      <c r="AN406">
        <f>Y406*(1+'What-If Analysis'!$B$4)</f>
        <v>782.07800000000009</v>
      </c>
      <c r="AO406">
        <f t="shared" si="154"/>
        <v>13866.372000000003</v>
      </c>
    </row>
    <row r="407" spans="1:41" x14ac:dyDescent="0.3">
      <c r="A407" t="s">
        <v>382</v>
      </c>
      <c r="B407" s="3">
        <v>45194</v>
      </c>
      <c r="C407" s="3">
        <f t="shared" si="135"/>
        <v>45194</v>
      </c>
      <c r="D407" s="3">
        <v>45208</v>
      </c>
      <c r="E407" s="3">
        <f t="shared" si="136"/>
        <v>45208</v>
      </c>
      <c r="F407" s="16">
        <f t="shared" si="137"/>
        <v>14</v>
      </c>
      <c r="G407" s="16">
        <f>IF(Data!F284&lt;=7,1,0)</f>
        <v>0</v>
      </c>
      <c r="H407" s="5" t="str">
        <f t="shared" si="138"/>
        <v>09-2023</v>
      </c>
      <c r="I407" s="5" t="str">
        <f t="shared" si="139"/>
        <v>Q3-2023</v>
      </c>
      <c r="J407" s="3">
        <f t="shared" si="140"/>
        <v>44939</v>
      </c>
      <c r="K407" s="5" t="str">
        <f t="shared" si="141"/>
        <v>01-2023</v>
      </c>
      <c r="L407" t="s">
        <v>648</v>
      </c>
      <c r="M407" t="s">
        <v>660</v>
      </c>
      <c r="N407" t="s">
        <v>700</v>
      </c>
      <c r="O407" t="str">
        <f t="shared" si="142"/>
        <v>New York</v>
      </c>
      <c r="P407" t="s">
        <v>705</v>
      </c>
      <c r="Q407" t="s">
        <v>709</v>
      </c>
      <c r="R407" t="str">
        <f t="shared" si="143"/>
        <v>Marketplace</v>
      </c>
      <c r="S407" t="s">
        <v>713</v>
      </c>
      <c r="T407" t="str">
        <f t="shared" si="156"/>
        <v>J. Njeri</v>
      </c>
      <c r="U407" t="s">
        <v>731</v>
      </c>
      <c r="V407" t="str">
        <f t="shared" si="144"/>
        <v>High</v>
      </c>
      <c r="W407" t="s">
        <v>1102</v>
      </c>
      <c r="X407" t="str">
        <f t="shared" si="145"/>
        <v>B</v>
      </c>
      <c r="Y407" s="5">
        <v>1279.56</v>
      </c>
      <c r="Z407" s="5">
        <v>3083.8</v>
      </c>
      <c r="AA407" s="5">
        <f t="shared" si="146"/>
        <v>3083.8</v>
      </c>
      <c r="AB407" s="7">
        <v>0.106</v>
      </c>
      <c r="AC407" s="7">
        <f t="shared" si="147"/>
        <v>0.106</v>
      </c>
      <c r="AD407" s="16">
        <f t="shared" si="148"/>
        <v>0</v>
      </c>
      <c r="AE407" s="16">
        <v>5</v>
      </c>
      <c r="AF407" s="5">
        <f t="shared" si="149"/>
        <v>13784.586000000001</v>
      </c>
      <c r="AG407">
        <f t="shared" si="150"/>
        <v>6397.7999999999993</v>
      </c>
      <c r="AH407" s="5">
        <f t="shared" si="151"/>
        <v>7386.7860000000019</v>
      </c>
      <c r="AI407" s="5">
        <f t="shared" si="152"/>
        <v>0.53587289455047848</v>
      </c>
      <c r="AJ407" s="5">
        <f t="shared" si="155"/>
        <v>9913847.0514100101</v>
      </c>
      <c r="AK407" s="7">
        <f t="shared" si="153"/>
        <v>0.90572421508050338</v>
      </c>
      <c r="AL407" s="17">
        <f>MIN(AC407,'What-If Analysis'!$B$2)</f>
        <v>0.106</v>
      </c>
      <c r="AM407">
        <f>AE407*(1+'What-If Analysis'!$B$3)</f>
        <v>6.5</v>
      </c>
      <c r="AN407">
        <f>Y407*(1+'What-If Analysis'!$B$4)</f>
        <v>1407.5160000000001</v>
      </c>
      <c r="AO407">
        <f t="shared" si="154"/>
        <v>17919.961800000001</v>
      </c>
    </row>
    <row r="408" spans="1:41" x14ac:dyDescent="0.3">
      <c r="A408" t="s">
        <v>534</v>
      </c>
      <c r="B408" s="3">
        <v>45482</v>
      </c>
      <c r="C408" s="3">
        <f t="shared" si="135"/>
        <v>45482</v>
      </c>
      <c r="D408" s="3">
        <v>45512</v>
      </c>
      <c r="E408" s="3">
        <f t="shared" si="136"/>
        <v>45512</v>
      </c>
      <c r="F408" s="16">
        <f t="shared" si="137"/>
        <v>30</v>
      </c>
      <c r="G408" s="16">
        <f>IF(Data!F431&lt;=7,1,0)</f>
        <v>1</v>
      </c>
      <c r="H408" s="5" t="str">
        <f t="shared" si="138"/>
        <v>07-2024</v>
      </c>
      <c r="I408" s="5" t="str">
        <f t="shared" si="139"/>
        <v>Q3-2024</v>
      </c>
      <c r="J408" s="3">
        <f t="shared" si="140"/>
        <v>44936</v>
      </c>
      <c r="K408" s="5" t="str">
        <f t="shared" si="141"/>
        <v>01-2023</v>
      </c>
      <c r="L408" t="s">
        <v>649</v>
      </c>
      <c r="M408" t="s">
        <v>657</v>
      </c>
      <c r="N408" t="s">
        <v>673</v>
      </c>
      <c r="O408" t="str">
        <f t="shared" si="142"/>
        <v>Marseille</v>
      </c>
      <c r="P408" t="s">
        <v>701</v>
      </c>
      <c r="Q408" t="s">
        <v>711</v>
      </c>
      <c r="R408" t="str">
        <f t="shared" si="143"/>
        <v>Direct</v>
      </c>
      <c r="S408" t="s">
        <v>713</v>
      </c>
      <c r="T408" t="str">
        <f t="shared" si="156"/>
        <v>J. Njeri</v>
      </c>
      <c r="U408" t="s">
        <v>727</v>
      </c>
      <c r="V408" t="str">
        <f t="shared" si="144"/>
        <v>Medium</v>
      </c>
      <c r="W408" t="s">
        <v>1253</v>
      </c>
      <c r="X408" t="str">
        <f t="shared" si="145"/>
        <v>B</v>
      </c>
      <c r="Y408" s="5">
        <v>1062.3800000000001</v>
      </c>
      <c r="Z408" s="5">
        <v>1503.96</v>
      </c>
      <c r="AA408" s="5">
        <f t="shared" si="146"/>
        <v>1503.96</v>
      </c>
      <c r="AB408" s="7">
        <v>0.18</v>
      </c>
      <c r="AC408" s="7">
        <f t="shared" si="147"/>
        <v>0.18</v>
      </c>
      <c r="AD408" s="16">
        <f t="shared" si="148"/>
        <v>0</v>
      </c>
      <c r="AE408" s="16">
        <v>6</v>
      </c>
      <c r="AF408" s="5">
        <f t="shared" si="149"/>
        <v>7399.4832000000006</v>
      </c>
      <c r="AG408">
        <f t="shared" si="150"/>
        <v>6374.2800000000007</v>
      </c>
      <c r="AH408" s="5">
        <f t="shared" si="151"/>
        <v>1025.2031999999999</v>
      </c>
      <c r="AI408" s="5">
        <f t="shared" si="152"/>
        <v>0.13855064905073369</v>
      </c>
      <c r="AJ408" s="5">
        <f t="shared" si="155"/>
        <v>9921246.5346100107</v>
      </c>
      <c r="AK408" s="7">
        <f t="shared" si="153"/>
        <v>0.90640022824457256</v>
      </c>
      <c r="AL408" s="17">
        <f>MIN(AC408,'What-If Analysis'!$B$2)</f>
        <v>0.18</v>
      </c>
      <c r="AM408">
        <f>AE408*(1+'What-If Analysis'!$B$3)</f>
        <v>7.8000000000000007</v>
      </c>
      <c r="AN408">
        <f>Y408*(1+'What-If Analysis'!$B$4)</f>
        <v>1168.6180000000002</v>
      </c>
      <c r="AO408">
        <f t="shared" si="154"/>
        <v>9619.3281600000009</v>
      </c>
    </row>
    <row r="409" spans="1:41" x14ac:dyDescent="0.3">
      <c r="A409" t="s">
        <v>178</v>
      </c>
      <c r="B409" s="3">
        <v>45010</v>
      </c>
      <c r="C409" s="3">
        <f t="shared" si="135"/>
        <v>45010</v>
      </c>
      <c r="D409" s="3">
        <v>45011</v>
      </c>
      <c r="E409" s="3">
        <f t="shared" si="136"/>
        <v>45011</v>
      </c>
      <c r="F409" s="16">
        <f t="shared" si="137"/>
        <v>1</v>
      </c>
      <c r="G409" s="16">
        <f>IF(Data!F313&lt;=7,1,0)</f>
        <v>1</v>
      </c>
      <c r="H409" s="5" t="str">
        <f t="shared" si="138"/>
        <v>03-2023</v>
      </c>
      <c r="I409" s="5" t="str">
        <f t="shared" si="139"/>
        <v>Q1-2023</v>
      </c>
      <c r="J409" s="3">
        <f t="shared" si="140"/>
        <v>44988</v>
      </c>
      <c r="K409" s="5" t="str">
        <f t="shared" si="141"/>
        <v>03-2023</v>
      </c>
      <c r="L409" t="s">
        <v>647</v>
      </c>
      <c r="M409" t="s">
        <v>652</v>
      </c>
      <c r="N409" t="s">
        <v>666</v>
      </c>
      <c r="O409" t="str">
        <f t="shared" si="142"/>
        <v>Osaka</v>
      </c>
      <c r="P409" t="s">
        <v>705</v>
      </c>
      <c r="Q409" t="s">
        <v>710</v>
      </c>
      <c r="R409" t="str">
        <f t="shared" si="143"/>
        <v>Distributor</v>
      </c>
      <c r="S409" t="s">
        <v>714</v>
      </c>
      <c r="T409" t="str">
        <f t="shared" si="156"/>
        <v>I. Johnson</v>
      </c>
      <c r="U409" t="s">
        <v>732</v>
      </c>
      <c r="V409" t="str">
        <f t="shared" si="144"/>
        <v>Low</v>
      </c>
      <c r="W409" t="s">
        <v>897</v>
      </c>
      <c r="X409" t="str">
        <f t="shared" si="145"/>
        <v>B</v>
      </c>
      <c r="Y409" s="5">
        <v>135.12</v>
      </c>
      <c r="Z409" s="5">
        <v>301.7</v>
      </c>
      <c r="AA409" s="5">
        <f t="shared" si="146"/>
        <v>301.7</v>
      </c>
      <c r="AB409" s="7">
        <v>0.14000000000000001</v>
      </c>
      <c r="AC409" s="7">
        <f t="shared" si="147"/>
        <v>0.14000000000000001</v>
      </c>
      <c r="AD409" s="16">
        <f t="shared" si="148"/>
        <v>0</v>
      </c>
      <c r="AE409" s="16">
        <v>47</v>
      </c>
      <c r="AF409" s="5">
        <f t="shared" si="149"/>
        <v>12194.714</v>
      </c>
      <c r="AG409">
        <f t="shared" si="150"/>
        <v>6350.64</v>
      </c>
      <c r="AH409" s="5">
        <f t="shared" si="151"/>
        <v>5844.0739999999996</v>
      </c>
      <c r="AI409" s="5">
        <f t="shared" si="152"/>
        <v>0.47923009920527859</v>
      </c>
      <c r="AJ409" s="5">
        <f t="shared" si="155"/>
        <v>9933441.2486100104</v>
      </c>
      <c r="AK409" s="7">
        <f t="shared" si="153"/>
        <v>0.90751433134788906</v>
      </c>
      <c r="AL409" s="17">
        <f>MIN(AC409,'What-If Analysis'!$B$2)</f>
        <v>0.14000000000000001</v>
      </c>
      <c r="AM409">
        <f>AE409*(1+'What-If Analysis'!$B$3)</f>
        <v>61.1</v>
      </c>
      <c r="AN409">
        <f>Y409*(1+'What-If Analysis'!$B$4)</f>
        <v>148.63200000000001</v>
      </c>
      <c r="AO409">
        <f t="shared" si="154"/>
        <v>15853.128199999999</v>
      </c>
    </row>
    <row r="410" spans="1:41" x14ac:dyDescent="0.3">
      <c r="A410" t="s">
        <v>160</v>
      </c>
      <c r="B410" s="3">
        <v>45260</v>
      </c>
      <c r="C410" s="3">
        <f t="shared" si="135"/>
        <v>45259</v>
      </c>
      <c r="D410" s="3">
        <v>45259</v>
      </c>
      <c r="E410" s="3">
        <f t="shared" si="136"/>
        <v>45260</v>
      </c>
      <c r="F410" s="16">
        <f t="shared" si="137"/>
        <v>1</v>
      </c>
      <c r="G410" s="16">
        <f>IF(Data!F300&lt;=7,1,0)</f>
        <v>1</v>
      </c>
      <c r="H410" s="5" t="str">
        <f t="shared" si="138"/>
        <v>11-2023</v>
      </c>
      <c r="I410" s="5" t="str">
        <f t="shared" si="139"/>
        <v>Q4-2023</v>
      </c>
      <c r="J410" s="3">
        <f t="shared" si="140"/>
        <v>44933</v>
      </c>
      <c r="K410" s="5" t="str">
        <f t="shared" si="141"/>
        <v>01-2023</v>
      </c>
      <c r="L410" t="s">
        <v>646</v>
      </c>
      <c r="M410" t="s">
        <v>661</v>
      </c>
      <c r="N410" t="s">
        <v>687</v>
      </c>
      <c r="O410" t="str">
        <f t="shared" si="142"/>
        <v>Durban</v>
      </c>
      <c r="P410" t="s">
        <v>705</v>
      </c>
      <c r="Q410" t="s">
        <v>709</v>
      </c>
      <c r="R410" t="str">
        <f t="shared" si="143"/>
        <v>Marketplace</v>
      </c>
      <c r="S410" t="s">
        <v>718</v>
      </c>
      <c r="T410" t="str">
        <f t="shared" si="156"/>
        <v>E. Garcia</v>
      </c>
      <c r="U410" t="s">
        <v>731</v>
      </c>
      <c r="V410" t="str">
        <f t="shared" si="144"/>
        <v>Low</v>
      </c>
      <c r="W410" t="s">
        <v>879</v>
      </c>
      <c r="X410" t="str">
        <f t="shared" si="145"/>
        <v>B</v>
      </c>
      <c r="Y410" s="5">
        <v>275.56</v>
      </c>
      <c r="Z410" s="5">
        <v>630.72</v>
      </c>
      <c r="AA410" s="5">
        <f t="shared" si="146"/>
        <v>630.72</v>
      </c>
      <c r="AB410" s="7">
        <v>0.107</v>
      </c>
      <c r="AC410" s="7">
        <f t="shared" si="147"/>
        <v>0.107</v>
      </c>
      <c r="AD410" s="16">
        <f t="shared" si="148"/>
        <v>0</v>
      </c>
      <c r="AE410" s="16">
        <v>23</v>
      </c>
      <c r="AF410" s="5">
        <f t="shared" si="149"/>
        <v>12954.358080000002</v>
      </c>
      <c r="AG410">
        <f t="shared" si="150"/>
        <v>6337.88</v>
      </c>
      <c r="AH410" s="5">
        <f t="shared" si="151"/>
        <v>6616.4780800000017</v>
      </c>
      <c r="AI410" s="5">
        <f t="shared" si="152"/>
        <v>0.5107530638831933</v>
      </c>
      <c r="AJ410" s="5">
        <f t="shared" si="155"/>
        <v>9946395.6066900101</v>
      </c>
      <c r="AK410" s="7">
        <f t="shared" si="153"/>
        <v>0.9086978351626076</v>
      </c>
      <c r="AL410" s="17">
        <f>MIN(AC410,'What-If Analysis'!$B$2)</f>
        <v>0.107</v>
      </c>
      <c r="AM410">
        <f>AE410*(1+'What-If Analysis'!$B$3)</f>
        <v>29.900000000000002</v>
      </c>
      <c r="AN410">
        <f>Y410*(1+'What-If Analysis'!$B$4)</f>
        <v>303.11600000000004</v>
      </c>
      <c r="AO410">
        <f t="shared" si="154"/>
        <v>16840.665504000001</v>
      </c>
    </row>
    <row r="411" spans="1:41" x14ac:dyDescent="0.3">
      <c r="A411" t="s">
        <v>607</v>
      </c>
      <c r="B411" s="3">
        <v>45504</v>
      </c>
      <c r="C411" s="3">
        <f t="shared" si="135"/>
        <v>45504</v>
      </c>
      <c r="D411" s="3">
        <v>45519</v>
      </c>
      <c r="E411" s="3">
        <f t="shared" si="136"/>
        <v>45519</v>
      </c>
      <c r="F411" s="16">
        <f t="shared" si="137"/>
        <v>15</v>
      </c>
      <c r="G411" s="16">
        <f>IF(Data!F472&lt;=7,1,0)</f>
        <v>1</v>
      </c>
      <c r="H411" s="5" t="str">
        <f t="shared" si="138"/>
        <v>07-2024</v>
      </c>
      <c r="I411" s="5" t="str">
        <f t="shared" si="139"/>
        <v>Q3-2024</v>
      </c>
      <c r="J411" s="3">
        <f t="shared" si="140"/>
        <v>44988</v>
      </c>
      <c r="K411" s="5" t="str">
        <f t="shared" si="141"/>
        <v>03-2023</v>
      </c>
      <c r="L411" t="s">
        <v>647</v>
      </c>
      <c r="M411" t="s">
        <v>652</v>
      </c>
      <c r="N411" t="s">
        <v>689</v>
      </c>
      <c r="O411" t="str">
        <f t="shared" si="142"/>
        <v>Tokyo</v>
      </c>
      <c r="P411" t="s">
        <v>701</v>
      </c>
      <c r="Q411" t="s">
        <v>709</v>
      </c>
      <c r="R411" t="str">
        <f t="shared" si="143"/>
        <v>Marketplace</v>
      </c>
      <c r="S411" t="s">
        <v>721</v>
      </c>
      <c r="T411" t="str">
        <f t="shared" si="156"/>
        <v>F. Müller</v>
      </c>
      <c r="U411" t="s">
        <v>732</v>
      </c>
      <c r="V411" t="str">
        <f t="shared" si="144"/>
        <v>Medium</v>
      </c>
      <c r="W411" t="s">
        <v>1325</v>
      </c>
      <c r="X411" t="str">
        <f t="shared" si="145"/>
        <v>B</v>
      </c>
      <c r="Y411" s="5">
        <v>1252.52</v>
      </c>
      <c r="Z411" s="5">
        <v>1417.24</v>
      </c>
      <c r="AA411" s="5">
        <f t="shared" si="146"/>
        <v>1417.24</v>
      </c>
      <c r="AB411" s="7">
        <v>0.192</v>
      </c>
      <c r="AC411" s="7">
        <f t="shared" si="147"/>
        <v>0.192</v>
      </c>
      <c r="AD411" s="16">
        <f t="shared" si="148"/>
        <v>0</v>
      </c>
      <c r="AE411" s="16">
        <v>5</v>
      </c>
      <c r="AF411" s="5">
        <f t="shared" si="149"/>
        <v>5725.6496000000006</v>
      </c>
      <c r="AG411">
        <f t="shared" si="150"/>
        <v>6262.6</v>
      </c>
      <c r="AH411" s="5">
        <f t="shared" si="151"/>
        <v>536.95039999999972</v>
      </c>
      <c r="AI411" s="5">
        <f t="shared" si="152"/>
        <v>9.3779821943696953E-2</v>
      </c>
      <c r="AJ411" s="5">
        <f t="shared" si="155"/>
        <v>9952121.2562900092</v>
      </c>
      <c r="AK411" s="7">
        <f t="shared" si="153"/>
        <v>0.90922092770810414</v>
      </c>
      <c r="AL411" s="17">
        <f>MIN(AC411,'What-If Analysis'!$B$2)</f>
        <v>0.192</v>
      </c>
      <c r="AM411">
        <f>AE411*(1+'What-If Analysis'!$B$3)</f>
        <v>6.5</v>
      </c>
      <c r="AN411">
        <f>Y411*(1+'What-If Analysis'!$B$4)</f>
        <v>1377.7720000000002</v>
      </c>
      <c r="AO411">
        <f t="shared" si="154"/>
        <v>7443.3444799999997</v>
      </c>
    </row>
    <row r="412" spans="1:41" x14ac:dyDescent="0.3">
      <c r="A412" t="s">
        <v>603</v>
      </c>
      <c r="B412" s="3">
        <v>45703</v>
      </c>
      <c r="C412" s="3">
        <f t="shared" si="135"/>
        <v>45703</v>
      </c>
      <c r="D412" s="3">
        <v>45715</v>
      </c>
      <c r="E412" s="3">
        <f t="shared" si="136"/>
        <v>45715</v>
      </c>
      <c r="F412" s="16">
        <f t="shared" si="137"/>
        <v>12</v>
      </c>
      <c r="G412" s="16">
        <f>IF(Data!F318&lt;=7,1,0)</f>
        <v>1</v>
      </c>
      <c r="H412" s="5" t="str">
        <f t="shared" si="138"/>
        <v>02-2025</v>
      </c>
      <c r="I412" s="5" t="str">
        <f t="shared" si="139"/>
        <v>Q1-2025</v>
      </c>
      <c r="J412" s="3">
        <f t="shared" si="140"/>
        <v>44936</v>
      </c>
      <c r="K412" s="5" t="str">
        <f t="shared" si="141"/>
        <v>01-2023</v>
      </c>
      <c r="L412" t="s">
        <v>649</v>
      </c>
      <c r="M412" t="s">
        <v>657</v>
      </c>
      <c r="N412" t="s">
        <v>679</v>
      </c>
      <c r="O412" t="str">
        <f t="shared" si="142"/>
        <v>Lyon</v>
      </c>
      <c r="P412" t="s">
        <v>703</v>
      </c>
      <c r="Q412" t="s">
        <v>711</v>
      </c>
      <c r="R412" t="str">
        <f t="shared" si="143"/>
        <v>Direct</v>
      </c>
      <c r="S412" t="s">
        <v>723</v>
      </c>
      <c r="T412" t="str">
        <f t="shared" si="156"/>
        <v>K. Singh</v>
      </c>
      <c r="U412" t="s">
        <v>733</v>
      </c>
      <c r="V412" t="str">
        <f t="shared" si="144"/>
        <v>High</v>
      </c>
      <c r="W412" t="s">
        <v>1321</v>
      </c>
      <c r="X412" t="str">
        <f t="shared" si="145"/>
        <v>B</v>
      </c>
      <c r="Y412" s="5">
        <v>1027.26</v>
      </c>
      <c r="Z412" s="5">
        <v>2200.41</v>
      </c>
      <c r="AA412" s="5">
        <f t="shared" si="146"/>
        <v>2200.41</v>
      </c>
      <c r="AB412" s="7">
        <v>8.7999999999999995E-2</v>
      </c>
      <c r="AC412" s="7">
        <f t="shared" si="147"/>
        <v>8.7999999999999995E-2</v>
      </c>
      <c r="AD412" s="16">
        <f t="shared" si="148"/>
        <v>0</v>
      </c>
      <c r="AE412" s="16">
        <v>6</v>
      </c>
      <c r="AF412" s="5">
        <f t="shared" si="149"/>
        <v>12040.64352</v>
      </c>
      <c r="AG412">
        <f t="shared" si="150"/>
        <v>6163.5599999999995</v>
      </c>
      <c r="AH412" s="5">
        <f t="shared" si="151"/>
        <v>5877.0835200000001</v>
      </c>
      <c r="AI412" s="5">
        <f t="shared" si="152"/>
        <v>0.48810377204822358</v>
      </c>
      <c r="AJ412" s="5">
        <f t="shared" si="155"/>
        <v>9964161.8998100087</v>
      </c>
      <c r="AK412" s="7">
        <f t="shared" si="153"/>
        <v>0.91032095500776522</v>
      </c>
      <c r="AL412" s="17">
        <f>MIN(AC412,'What-If Analysis'!$B$2)</f>
        <v>8.7999999999999995E-2</v>
      </c>
      <c r="AM412">
        <f>AE412*(1+'What-If Analysis'!$B$3)</f>
        <v>7.8000000000000007</v>
      </c>
      <c r="AN412">
        <f>Y412*(1+'What-If Analysis'!$B$4)</f>
        <v>1129.9860000000001</v>
      </c>
      <c r="AO412">
        <f t="shared" si="154"/>
        <v>15652.836576000002</v>
      </c>
    </row>
    <row r="413" spans="1:41" x14ac:dyDescent="0.3">
      <c r="A413" t="s">
        <v>146</v>
      </c>
      <c r="B413" s="3">
        <v>45719</v>
      </c>
      <c r="C413" s="3">
        <f t="shared" si="135"/>
        <v>45719</v>
      </c>
      <c r="D413" s="3">
        <v>45740</v>
      </c>
      <c r="E413" s="3">
        <f t="shared" si="136"/>
        <v>45740</v>
      </c>
      <c r="F413" s="16">
        <f t="shared" si="137"/>
        <v>21</v>
      </c>
      <c r="G413" s="16">
        <f>IF(Data!F512&lt;=7,1,0)</f>
        <v>0</v>
      </c>
      <c r="H413" s="5" t="str">
        <f t="shared" si="138"/>
        <v>03-2025</v>
      </c>
      <c r="I413" s="5" t="str">
        <f t="shared" si="139"/>
        <v>Q1-2025</v>
      </c>
      <c r="J413" s="3">
        <f t="shared" si="140"/>
        <v>44939</v>
      </c>
      <c r="K413" s="5" t="str">
        <f t="shared" si="141"/>
        <v>01-2023</v>
      </c>
      <c r="L413" t="s">
        <v>646</v>
      </c>
      <c r="M413" t="s">
        <v>651</v>
      </c>
      <c r="N413" t="s">
        <v>669</v>
      </c>
      <c r="O413" t="str">
        <f t="shared" si="142"/>
        <v>Abuja</v>
      </c>
      <c r="P413" t="s">
        <v>706</v>
      </c>
      <c r="Q413" t="s">
        <v>711</v>
      </c>
      <c r="R413" t="str">
        <f t="shared" si="143"/>
        <v>Direct</v>
      </c>
      <c r="S413" t="s">
        <v>722</v>
      </c>
      <c r="T413" t="str">
        <f t="shared" si="156"/>
        <v>H. Kim</v>
      </c>
      <c r="U413" t="s">
        <v>733</v>
      </c>
      <c r="V413" t="str">
        <f t="shared" si="144"/>
        <v>Low</v>
      </c>
      <c r="W413" t="s">
        <v>865</v>
      </c>
      <c r="X413" t="str">
        <f t="shared" si="145"/>
        <v>B</v>
      </c>
      <c r="Y413" s="5">
        <v>555.95000000000005</v>
      </c>
      <c r="Z413" s="5">
        <v>468.09</v>
      </c>
      <c r="AA413" s="5">
        <f t="shared" si="146"/>
        <v>468.09</v>
      </c>
      <c r="AB413" s="7">
        <v>0.14199999999999999</v>
      </c>
      <c r="AC413" s="7">
        <f t="shared" si="147"/>
        <v>0.14199999999999999</v>
      </c>
      <c r="AD413" s="16">
        <f t="shared" si="148"/>
        <v>0</v>
      </c>
      <c r="AE413" s="16">
        <v>11</v>
      </c>
      <c r="AF413" s="5">
        <f t="shared" si="149"/>
        <v>4417.8334199999999</v>
      </c>
      <c r="AG413">
        <f t="shared" si="150"/>
        <v>6115.4500000000007</v>
      </c>
      <c r="AH413" s="5">
        <f t="shared" si="151"/>
        <v>1697.6165800000008</v>
      </c>
      <c r="AI413" s="5">
        <f t="shared" si="152"/>
        <v>0.38426450674095375</v>
      </c>
      <c r="AJ413" s="5">
        <f t="shared" si="155"/>
        <v>9968579.7332300078</v>
      </c>
      <c r="AK413" s="7">
        <f t="shared" si="153"/>
        <v>0.91072456610706254</v>
      </c>
      <c r="AL413" s="17">
        <f>MIN(AC413,'What-If Analysis'!$B$2)</f>
        <v>0.14199999999999999</v>
      </c>
      <c r="AM413">
        <f>AE413*(1+'What-If Analysis'!$B$3)</f>
        <v>14.3</v>
      </c>
      <c r="AN413">
        <f>Y413*(1+'What-If Analysis'!$B$4)</f>
        <v>611.54500000000007</v>
      </c>
      <c r="AO413">
        <f t="shared" si="154"/>
        <v>5743.183446</v>
      </c>
    </row>
    <row r="414" spans="1:41" x14ac:dyDescent="0.3">
      <c r="A414" t="s">
        <v>52</v>
      </c>
      <c r="B414" s="3">
        <v>45832</v>
      </c>
      <c r="C414" s="3">
        <f t="shared" si="135"/>
        <v>45832</v>
      </c>
      <c r="D414" s="3">
        <v>45848</v>
      </c>
      <c r="E414" s="3">
        <f t="shared" si="136"/>
        <v>45848</v>
      </c>
      <c r="F414" s="16">
        <f t="shared" si="137"/>
        <v>16</v>
      </c>
      <c r="G414" s="16">
        <f>IF(Data!F320&lt;=7,1,0)</f>
        <v>0</v>
      </c>
      <c r="H414" s="5" t="str">
        <f t="shared" si="138"/>
        <v>06-2025</v>
      </c>
      <c r="I414" s="5" t="str">
        <f t="shared" si="139"/>
        <v>Q2-2025</v>
      </c>
      <c r="J414" s="3">
        <f t="shared" si="140"/>
        <v>44938</v>
      </c>
      <c r="K414" s="5" t="str">
        <f t="shared" si="141"/>
        <v>01-2023</v>
      </c>
      <c r="L414" t="s">
        <v>647</v>
      </c>
      <c r="M414" t="s">
        <v>659</v>
      </c>
      <c r="N414" t="s">
        <v>685</v>
      </c>
      <c r="O414" t="str">
        <f t="shared" si="142"/>
        <v>Shanghai</v>
      </c>
      <c r="P414" t="s">
        <v>706</v>
      </c>
      <c r="Q414" t="s">
        <v>711</v>
      </c>
      <c r="R414" t="str">
        <f t="shared" si="143"/>
        <v>Direct</v>
      </c>
      <c r="S414" t="s">
        <v>725</v>
      </c>
      <c r="T414" t="str">
        <f t="shared" si="156"/>
        <v>N. Brown</v>
      </c>
      <c r="U414" t="s">
        <v>727</v>
      </c>
      <c r="V414" t="str">
        <f t="shared" si="144"/>
        <v>High</v>
      </c>
      <c r="W414" t="s">
        <v>771</v>
      </c>
      <c r="X414" t="str">
        <f t="shared" si="145"/>
        <v>B</v>
      </c>
      <c r="Y414" s="5">
        <v>757.19</v>
      </c>
      <c r="Z414" s="5">
        <v>1735.41</v>
      </c>
      <c r="AA414" s="5">
        <f t="shared" si="146"/>
        <v>1735.41</v>
      </c>
      <c r="AB414" s="7">
        <v>0.13600000000000001</v>
      </c>
      <c r="AC414" s="7">
        <f t="shared" si="147"/>
        <v>0.13600000000000001</v>
      </c>
      <c r="AD414" s="16">
        <f t="shared" si="148"/>
        <v>0</v>
      </c>
      <c r="AE414" s="16">
        <v>8</v>
      </c>
      <c r="AF414" s="5">
        <f t="shared" si="149"/>
        <v>11995.153920000001</v>
      </c>
      <c r="AG414">
        <f t="shared" si="150"/>
        <v>6057.52</v>
      </c>
      <c r="AH414" s="5">
        <f t="shared" si="151"/>
        <v>5937.6339200000002</v>
      </c>
      <c r="AI414" s="5">
        <f t="shared" si="152"/>
        <v>0.4950027285685718</v>
      </c>
      <c r="AJ414" s="5">
        <f t="shared" si="155"/>
        <v>9980574.8871500082</v>
      </c>
      <c r="AK414" s="7">
        <f t="shared" si="153"/>
        <v>0.91182043749912889</v>
      </c>
      <c r="AL414" s="17">
        <f>MIN(AC414,'What-If Analysis'!$B$2)</f>
        <v>0.13600000000000001</v>
      </c>
      <c r="AM414">
        <f>AE414*(1+'What-If Analysis'!$B$3)</f>
        <v>10.4</v>
      </c>
      <c r="AN414">
        <f>Y414*(1+'What-If Analysis'!$B$4)</f>
        <v>832.90900000000011</v>
      </c>
      <c r="AO414">
        <f t="shared" si="154"/>
        <v>15593.700096000002</v>
      </c>
    </row>
    <row r="415" spans="1:41" x14ac:dyDescent="0.3">
      <c r="A415" t="s">
        <v>109</v>
      </c>
      <c r="B415" s="3">
        <v>45910</v>
      </c>
      <c r="C415" s="3">
        <f t="shared" si="135"/>
        <v>45910</v>
      </c>
      <c r="D415" s="3">
        <v>45930</v>
      </c>
      <c r="E415" s="3">
        <f t="shared" si="136"/>
        <v>45930</v>
      </c>
      <c r="F415" s="16">
        <f t="shared" si="137"/>
        <v>20</v>
      </c>
      <c r="G415" s="16">
        <f>IF(Data!F478&lt;=7,1,0)</f>
        <v>0</v>
      </c>
      <c r="H415" s="5" t="str">
        <f t="shared" si="138"/>
        <v>09-2025</v>
      </c>
      <c r="I415" s="5" t="str">
        <f t="shared" si="139"/>
        <v>Q3-2025</v>
      </c>
      <c r="J415" s="3">
        <f t="shared" si="140"/>
        <v>44946</v>
      </c>
      <c r="K415" s="5" t="str">
        <f t="shared" si="141"/>
        <v>01-2023</v>
      </c>
      <c r="L415" t="s">
        <v>646</v>
      </c>
      <c r="M415" t="s">
        <v>650</v>
      </c>
      <c r="N415" t="s">
        <v>675</v>
      </c>
      <c r="O415" t="str">
        <f t="shared" si="142"/>
        <v>Mombasa</v>
      </c>
      <c r="P415" t="s">
        <v>701</v>
      </c>
      <c r="Q415" t="s">
        <v>711</v>
      </c>
      <c r="R415" t="str">
        <f t="shared" si="143"/>
        <v>Direct</v>
      </c>
      <c r="S415" t="s">
        <v>716</v>
      </c>
      <c r="T415" t="str">
        <f t="shared" si="156"/>
        <v>L. Okafor</v>
      </c>
      <c r="U415" t="s">
        <v>730</v>
      </c>
      <c r="V415" t="str">
        <f t="shared" si="144"/>
        <v>Medium</v>
      </c>
      <c r="W415" t="s">
        <v>828</v>
      </c>
      <c r="X415" t="str">
        <f t="shared" si="145"/>
        <v>B</v>
      </c>
      <c r="Y415" s="5">
        <v>1009.48</v>
      </c>
      <c r="Z415" s="5">
        <v>1088.81</v>
      </c>
      <c r="AA415" s="5">
        <f t="shared" si="146"/>
        <v>1088.81</v>
      </c>
      <c r="AB415" s="7">
        <v>0.16</v>
      </c>
      <c r="AC415" s="7">
        <f t="shared" si="147"/>
        <v>0.16</v>
      </c>
      <c r="AD415" s="16">
        <f t="shared" si="148"/>
        <v>0</v>
      </c>
      <c r="AE415" s="16">
        <v>6</v>
      </c>
      <c r="AF415" s="5">
        <f t="shared" si="149"/>
        <v>5487.6023999999998</v>
      </c>
      <c r="AG415">
        <f t="shared" si="150"/>
        <v>6056.88</v>
      </c>
      <c r="AH415" s="5">
        <f t="shared" si="151"/>
        <v>569.27760000000035</v>
      </c>
      <c r="AI415" s="5">
        <f t="shared" si="152"/>
        <v>0.10373885688219693</v>
      </c>
      <c r="AJ415" s="5">
        <f t="shared" si="155"/>
        <v>9986062.4895500075</v>
      </c>
      <c r="AK415" s="7">
        <f t="shared" si="153"/>
        <v>0.91232178216892656</v>
      </c>
      <c r="AL415" s="17">
        <f>MIN(AC415,'What-If Analysis'!$B$2)</f>
        <v>0.16</v>
      </c>
      <c r="AM415">
        <f>AE415*(1+'What-If Analysis'!$B$3)</f>
        <v>7.8000000000000007</v>
      </c>
      <c r="AN415">
        <f>Y415*(1+'What-If Analysis'!$B$4)</f>
        <v>1110.4280000000001</v>
      </c>
      <c r="AO415">
        <f t="shared" si="154"/>
        <v>7133.8831200000004</v>
      </c>
    </row>
    <row r="416" spans="1:41" x14ac:dyDescent="0.3">
      <c r="A416" t="s">
        <v>288</v>
      </c>
      <c r="B416" s="3">
        <v>45367</v>
      </c>
      <c r="C416" s="3">
        <f t="shared" si="135"/>
        <v>45367</v>
      </c>
      <c r="D416" s="3">
        <v>45395</v>
      </c>
      <c r="E416" s="3">
        <f t="shared" si="136"/>
        <v>45395</v>
      </c>
      <c r="F416" s="16">
        <f t="shared" si="137"/>
        <v>28</v>
      </c>
      <c r="G416" s="16">
        <f>IF(Data!F329&lt;=7,1,0)</f>
        <v>0</v>
      </c>
      <c r="H416" s="5" t="str">
        <f t="shared" si="138"/>
        <v>03-2024</v>
      </c>
      <c r="I416" s="5" t="str">
        <f t="shared" si="139"/>
        <v>Q1-2024</v>
      </c>
      <c r="J416" s="3">
        <f t="shared" si="140"/>
        <v>44936</v>
      </c>
      <c r="K416" s="5" t="str">
        <f t="shared" si="141"/>
        <v>01-2023</v>
      </c>
      <c r="L416" t="s">
        <v>649</v>
      </c>
      <c r="M416" t="s">
        <v>657</v>
      </c>
      <c r="N416" t="s">
        <v>690</v>
      </c>
      <c r="O416" t="str">
        <f t="shared" si="142"/>
        <v>Paris</v>
      </c>
      <c r="P416" t="s">
        <v>705</v>
      </c>
      <c r="Q416" t="s">
        <v>708</v>
      </c>
      <c r="R416" t="str">
        <f t="shared" si="143"/>
        <v>Online</v>
      </c>
      <c r="S416" t="s">
        <v>723</v>
      </c>
      <c r="T416" t="str">
        <f t="shared" si="156"/>
        <v>K. Singh</v>
      </c>
      <c r="U416" t="s">
        <v>728</v>
      </c>
      <c r="V416" t="str">
        <f t="shared" si="144"/>
        <v>Low</v>
      </c>
      <c r="W416" t="s">
        <v>1008</v>
      </c>
      <c r="X416" t="str">
        <f t="shared" si="145"/>
        <v>B</v>
      </c>
      <c r="Y416" s="5">
        <v>287.61</v>
      </c>
      <c r="Z416" s="5">
        <v>628.54</v>
      </c>
      <c r="AA416" s="5">
        <f t="shared" si="146"/>
        <v>628.54</v>
      </c>
      <c r="AB416" s="7">
        <v>0.13500000000000001</v>
      </c>
      <c r="AC416" s="7">
        <f t="shared" si="147"/>
        <v>0.13500000000000001</v>
      </c>
      <c r="AD416" s="16">
        <f t="shared" si="148"/>
        <v>0</v>
      </c>
      <c r="AE416" s="16">
        <v>21</v>
      </c>
      <c r="AF416" s="5">
        <f t="shared" si="149"/>
        <v>11417.429099999999</v>
      </c>
      <c r="AG416">
        <f t="shared" si="150"/>
        <v>6039.81</v>
      </c>
      <c r="AH416" s="5">
        <f t="shared" si="151"/>
        <v>5377.619099999999</v>
      </c>
      <c r="AI416" s="5">
        <f t="shared" si="152"/>
        <v>0.47100087531964613</v>
      </c>
      <c r="AJ416" s="5">
        <f t="shared" si="155"/>
        <v>9997479.9186500069</v>
      </c>
      <c r="AK416" s="7">
        <f t="shared" si="153"/>
        <v>0.91336487290415869</v>
      </c>
      <c r="AL416" s="17">
        <f>MIN(AC416,'What-If Analysis'!$B$2)</f>
        <v>0.13500000000000001</v>
      </c>
      <c r="AM416">
        <f>AE416*(1+'What-If Analysis'!$B$3)</f>
        <v>27.3</v>
      </c>
      <c r="AN416">
        <f>Y416*(1+'What-If Analysis'!$B$4)</f>
        <v>316.37100000000004</v>
      </c>
      <c r="AO416">
        <f t="shared" si="154"/>
        <v>14842.65783</v>
      </c>
    </row>
    <row r="417" spans="1:41" x14ac:dyDescent="0.3">
      <c r="A417" t="s">
        <v>117</v>
      </c>
      <c r="B417" s="3">
        <v>45747</v>
      </c>
      <c r="C417" s="3">
        <f t="shared" si="135"/>
        <v>45747</v>
      </c>
      <c r="D417" s="3">
        <v>45751</v>
      </c>
      <c r="E417" s="3">
        <f t="shared" si="136"/>
        <v>45751</v>
      </c>
      <c r="F417" s="16">
        <f t="shared" si="137"/>
        <v>4</v>
      </c>
      <c r="G417" s="16">
        <f>IF(Data!F285&lt;=7,1,0)</f>
        <v>1</v>
      </c>
      <c r="H417" s="5" t="str">
        <f t="shared" si="138"/>
        <v>03-2025</v>
      </c>
      <c r="I417" s="5" t="str">
        <f t="shared" si="139"/>
        <v>Q1-2025</v>
      </c>
      <c r="J417" s="3">
        <f t="shared" si="140"/>
        <v>44946</v>
      </c>
      <c r="K417" s="5" t="str">
        <f t="shared" si="141"/>
        <v>01-2023</v>
      </c>
      <c r="L417" t="s">
        <v>646</v>
      </c>
      <c r="M417" t="s">
        <v>650</v>
      </c>
      <c r="N417" t="s">
        <v>678</v>
      </c>
      <c r="O417" t="str">
        <f t="shared" si="142"/>
        <v>Nakuru</v>
      </c>
      <c r="P417" t="s">
        <v>701</v>
      </c>
      <c r="Q417" t="s">
        <v>711</v>
      </c>
      <c r="R417" t="str">
        <f t="shared" si="143"/>
        <v>Direct</v>
      </c>
      <c r="S417" t="s">
        <v>712</v>
      </c>
      <c r="T417" t="str">
        <f t="shared" si="156"/>
        <v>C. Otieno</v>
      </c>
      <c r="U417" t="s">
        <v>731</v>
      </c>
      <c r="V417" t="str">
        <f t="shared" si="144"/>
        <v>High</v>
      </c>
      <c r="W417" t="s">
        <v>836</v>
      </c>
      <c r="X417" t="str">
        <f t="shared" si="145"/>
        <v>B</v>
      </c>
      <c r="Y417" s="5">
        <v>862.08</v>
      </c>
      <c r="Z417" s="5">
        <v>1952.83</v>
      </c>
      <c r="AA417" s="5">
        <f t="shared" si="146"/>
        <v>1952.83</v>
      </c>
      <c r="AB417" s="7">
        <v>0</v>
      </c>
      <c r="AC417" s="7">
        <f t="shared" si="147"/>
        <v>0</v>
      </c>
      <c r="AD417" s="16">
        <f t="shared" si="148"/>
        <v>0</v>
      </c>
      <c r="AE417" s="16">
        <v>7</v>
      </c>
      <c r="AF417" s="5">
        <f t="shared" si="149"/>
        <v>13669.81</v>
      </c>
      <c r="AG417">
        <f t="shared" si="150"/>
        <v>6034.56</v>
      </c>
      <c r="AH417" s="5">
        <f t="shared" si="151"/>
        <v>7635.2499999999991</v>
      </c>
      <c r="AI417" s="5">
        <f t="shared" si="152"/>
        <v>0.5585483631447693</v>
      </c>
      <c r="AJ417" s="5">
        <f t="shared" si="155"/>
        <v>10011149.728650007</v>
      </c>
      <c r="AK417" s="7">
        <f t="shared" si="153"/>
        <v>0.91461374005616802</v>
      </c>
      <c r="AL417" s="17">
        <f>MIN(AC417,'What-If Analysis'!$B$2)</f>
        <v>0</v>
      </c>
      <c r="AM417">
        <f>AE417*(1+'What-If Analysis'!$B$3)</f>
        <v>9.1</v>
      </c>
      <c r="AN417">
        <f>Y417*(1+'What-If Analysis'!$B$4)</f>
        <v>948.28800000000012</v>
      </c>
      <c r="AO417">
        <f t="shared" si="154"/>
        <v>17770.752999999997</v>
      </c>
    </row>
    <row r="418" spans="1:41" x14ac:dyDescent="0.3">
      <c r="A418" t="s">
        <v>40</v>
      </c>
      <c r="B418" s="3">
        <v>45473</v>
      </c>
      <c r="C418" s="3">
        <f t="shared" si="135"/>
        <v>45473</v>
      </c>
      <c r="D418" s="3">
        <v>45487</v>
      </c>
      <c r="E418" s="3">
        <f t="shared" si="136"/>
        <v>45487</v>
      </c>
      <c r="F418" s="16">
        <f t="shared" si="137"/>
        <v>14</v>
      </c>
      <c r="G418" s="16">
        <f>IF(Data!F397&lt;=7,1,0)</f>
        <v>0</v>
      </c>
      <c r="H418" s="5" t="str">
        <f t="shared" si="138"/>
        <v>06-2024</v>
      </c>
      <c r="I418" s="5" t="str">
        <f t="shared" si="139"/>
        <v>Q2-2024</v>
      </c>
      <c r="J418" s="3">
        <f t="shared" si="140"/>
        <v>44955</v>
      </c>
      <c r="K418" s="5" t="str">
        <f t="shared" si="141"/>
        <v>01-2023</v>
      </c>
      <c r="L418" t="s">
        <v>648</v>
      </c>
      <c r="M418" t="s">
        <v>655</v>
      </c>
      <c r="N418" t="s">
        <v>672</v>
      </c>
      <c r="O418" t="str">
        <f t="shared" si="142"/>
        <v>Brasília</v>
      </c>
      <c r="P418" t="s">
        <v>702</v>
      </c>
      <c r="Q418" t="s">
        <v>707</v>
      </c>
      <c r="R418" t="str">
        <f t="shared" si="143"/>
        <v>Retail</v>
      </c>
      <c r="S418" t="s">
        <v>712</v>
      </c>
      <c r="T418" t="str">
        <f t="shared" si="156"/>
        <v>C. Otieno</v>
      </c>
      <c r="U418" t="s">
        <v>733</v>
      </c>
      <c r="V418" t="str">
        <f t="shared" si="144"/>
        <v>High</v>
      </c>
      <c r="W418" t="s">
        <v>759</v>
      </c>
      <c r="X418" t="str">
        <f t="shared" si="145"/>
        <v>B</v>
      </c>
      <c r="Y418" s="5">
        <v>1491.85</v>
      </c>
      <c r="Z418" s="5">
        <v>2583.02</v>
      </c>
      <c r="AA418" s="5">
        <f t="shared" si="146"/>
        <v>2583.02</v>
      </c>
      <c r="AB418" s="7">
        <v>0.16800000000000001</v>
      </c>
      <c r="AC418" s="7">
        <f t="shared" si="147"/>
        <v>0.16800000000000001</v>
      </c>
      <c r="AD418" s="16">
        <f t="shared" si="148"/>
        <v>0</v>
      </c>
      <c r="AE418" s="16">
        <v>4</v>
      </c>
      <c r="AF418" s="5">
        <f t="shared" si="149"/>
        <v>8596.2905599999995</v>
      </c>
      <c r="AG418">
        <f t="shared" si="150"/>
        <v>5967.4</v>
      </c>
      <c r="AH418" s="5">
        <f t="shared" si="151"/>
        <v>2628.8905599999998</v>
      </c>
      <c r="AI418" s="5">
        <f t="shared" si="152"/>
        <v>0.30581685689321325</v>
      </c>
      <c r="AJ418" s="5">
        <f t="shared" si="155"/>
        <v>10019746.019210007</v>
      </c>
      <c r="AK418" s="7">
        <f t="shared" si="153"/>
        <v>0.91539909295496547</v>
      </c>
      <c r="AL418" s="17">
        <f>MIN(AC418,'What-If Analysis'!$B$2)</f>
        <v>0.16800000000000001</v>
      </c>
      <c r="AM418">
        <f>AE418*(1+'What-If Analysis'!$B$3)</f>
        <v>5.2</v>
      </c>
      <c r="AN418">
        <f>Y418*(1+'What-If Analysis'!$B$4)</f>
        <v>1641.0350000000001</v>
      </c>
      <c r="AO418">
        <f t="shared" si="154"/>
        <v>11175.177727999999</v>
      </c>
    </row>
    <row r="419" spans="1:41" x14ac:dyDescent="0.3">
      <c r="A419" t="s">
        <v>347</v>
      </c>
      <c r="B419" s="3">
        <v>45245</v>
      </c>
      <c r="C419" s="3">
        <f t="shared" si="135"/>
        <v>45245</v>
      </c>
      <c r="D419" s="3">
        <v>45266</v>
      </c>
      <c r="E419" s="3">
        <f t="shared" si="136"/>
        <v>45266</v>
      </c>
      <c r="F419" s="16">
        <f t="shared" si="137"/>
        <v>21</v>
      </c>
      <c r="G419" s="16">
        <f>IF(Data!F474&lt;=7,1,0)</f>
        <v>1</v>
      </c>
      <c r="H419" s="5" t="str">
        <f t="shared" si="138"/>
        <v>11-2023</v>
      </c>
      <c r="I419" s="5" t="str">
        <f t="shared" si="139"/>
        <v>Q4-2023</v>
      </c>
      <c r="J419" s="3">
        <f t="shared" si="140"/>
        <v>44945</v>
      </c>
      <c r="K419" s="5" t="str">
        <f t="shared" si="141"/>
        <v>01-2023</v>
      </c>
      <c r="L419" t="s">
        <v>649</v>
      </c>
      <c r="M419" t="s">
        <v>658</v>
      </c>
      <c r="N419" t="s">
        <v>693</v>
      </c>
      <c r="O419" t="str">
        <f t="shared" si="142"/>
        <v>Manchester</v>
      </c>
      <c r="P419" t="s">
        <v>702</v>
      </c>
      <c r="Q419" t="s">
        <v>711</v>
      </c>
      <c r="R419" t="str">
        <f t="shared" si="143"/>
        <v>Direct</v>
      </c>
      <c r="S419" t="s">
        <v>722</v>
      </c>
      <c r="T419" t="str">
        <f t="shared" si="156"/>
        <v>H. Kim</v>
      </c>
      <c r="U419" t="s">
        <v>733</v>
      </c>
      <c r="V419" t="str">
        <f t="shared" si="144"/>
        <v>Medium</v>
      </c>
      <c r="W419" t="s">
        <v>1067</v>
      </c>
      <c r="X419" t="str">
        <f t="shared" si="145"/>
        <v>B</v>
      </c>
      <c r="Y419" s="5">
        <v>1184.99</v>
      </c>
      <c r="Z419" s="5">
        <v>1154.3399999999999</v>
      </c>
      <c r="AA419" s="5">
        <f t="shared" si="146"/>
        <v>1154.3399999999999</v>
      </c>
      <c r="AB419" s="7">
        <v>2.8000000000000001E-2</v>
      </c>
      <c r="AC419" s="7">
        <f t="shared" si="147"/>
        <v>2.8000000000000001E-2</v>
      </c>
      <c r="AD419" s="16">
        <f t="shared" si="148"/>
        <v>0</v>
      </c>
      <c r="AE419" s="16">
        <v>5</v>
      </c>
      <c r="AF419" s="5">
        <f t="shared" si="149"/>
        <v>5610.0923999999995</v>
      </c>
      <c r="AG419">
        <f t="shared" si="150"/>
        <v>5924.95</v>
      </c>
      <c r="AH419" s="5">
        <f t="shared" si="151"/>
        <v>314.85760000000028</v>
      </c>
      <c r="AI419" s="5">
        <f t="shared" si="152"/>
        <v>5.6123424990290764E-2</v>
      </c>
      <c r="AJ419" s="5">
        <f t="shared" si="155"/>
        <v>10025356.111610007</v>
      </c>
      <c r="AK419" s="7">
        <f t="shared" si="153"/>
        <v>0.91591162825122019</v>
      </c>
      <c r="AL419" s="17">
        <f>MIN(AC419,'What-If Analysis'!$B$2)</f>
        <v>2.8000000000000001E-2</v>
      </c>
      <c r="AM419">
        <f>AE419*(1+'What-If Analysis'!$B$3)</f>
        <v>6.5</v>
      </c>
      <c r="AN419">
        <f>Y419*(1+'What-If Analysis'!$B$4)</f>
        <v>1303.489</v>
      </c>
      <c r="AO419">
        <f t="shared" si="154"/>
        <v>7293.1201199999987</v>
      </c>
    </row>
    <row r="420" spans="1:41" x14ac:dyDescent="0.3">
      <c r="A420" t="s">
        <v>499</v>
      </c>
      <c r="B420" s="3">
        <v>45634</v>
      </c>
      <c r="C420" s="3">
        <f t="shared" si="135"/>
        <v>45634</v>
      </c>
      <c r="D420" s="3">
        <v>45634</v>
      </c>
      <c r="E420" s="3">
        <f t="shared" si="136"/>
        <v>45634</v>
      </c>
      <c r="F420" s="16">
        <f t="shared" si="137"/>
        <v>0</v>
      </c>
      <c r="G420" s="16">
        <f>IF(Data!F464&lt;=7,1,0)</f>
        <v>0</v>
      </c>
      <c r="H420" s="5" t="str">
        <f t="shared" si="138"/>
        <v>12-2024</v>
      </c>
      <c r="I420" s="5" t="str">
        <f t="shared" si="139"/>
        <v>Q4-2024</v>
      </c>
      <c r="J420" s="3">
        <f t="shared" si="140"/>
        <v>44936</v>
      </c>
      <c r="K420" s="5" t="str">
        <f t="shared" si="141"/>
        <v>01-2023</v>
      </c>
      <c r="L420" t="s">
        <v>649</v>
      </c>
      <c r="M420" t="s">
        <v>657</v>
      </c>
      <c r="N420" t="s">
        <v>679</v>
      </c>
      <c r="O420" t="str">
        <f t="shared" si="142"/>
        <v>Lyon</v>
      </c>
      <c r="P420" t="s">
        <v>706</v>
      </c>
      <c r="Q420" t="s">
        <v>707</v>
      </c>
      <c r="R420" t="str">
        <f t="shared" si="143"/>
        <v>Retail</v>
      </c>
      <c r="S420" t="s">
        <v>722</v>
      </c>
      <c r="T420" t="str">
        <f t="shared" si="156"/>
        <v>H. Kim</v>
      </c>
      <c r="U420" t="s">
        <v>727</v>
      </c>
      <c r="V420" t="str">
        <f t="shared" si="144"/>
        <v>Low</v>
      </c>
      <c r="W420" t="s">
        <v>1218</v>
      </c>
      <c r="X420" t="str">
        <f t="shared" si="145"/>
        <v>B</v>
      </c>
      <c r="Y420" s="5">
        <v>257.44</v>
      </c>
      <c r="Z420" s="5">
        <v>290.33</v>
      </c>
      <c r="AA420" s="5">
        <f t="shared" si="146"/>
        <v>290.33</v>
      </c>
      <c r="AB420" s="7">
        <v>9.1999999999999998E-2</v>
      </c>
      <c r="AC420" s="7">
        <f t="shared" si="147"/>
        <v>9.1999999999999998E-2</v>
      </c>
      <c r="AD420" s="16">
        <f t="shared" si="148"/>
        <v>0</v>
      </c>
      <c r="AE420" s="16">
        <v>23</v>
      </c>
      <c r="AF420" s="5">
        <f t="shared" si="149"/>
        <v>6063.2517199999993</v>
      </c>
      <c r="AG420">
        <f t="shared" si="150"/>
        <v>5921.12</v>
      </c>
      <c r="AH420" s="5">
        <f t="shared" si="151"/>
        <v>142.1317199999994</v>
      </c>
      <c r="AI420" s="5">
        <f t="shared" si="152"/>
        <v>2.3441500792581216E-2</v>
      </c>
      <c r="AJ420" s="5">
        <f t="shared" si="155"/>
        <v>10031419.363330007</v>
      </c>
      <c r="AK420" s="7">
        <f t="shared" si="153"/>
        <v>0.91646556396118772</v>
      </c>
      <c r="AL420" s="17">
        <f>MIN(AC420,'What-If Analysis'!$B$2)</f>
        <v>9.1999999999999998E-2</v>
      </c>
      <c r="AM420">
        <f>AE420*(1+'What-If Analysis'!$B$3)</f>
        <v>29.900000000000002</v>
      </c>
      <c r="AN420">
        <f>Y420*(1+'What-If Analysis'!$B$4)</f>
        <v>283.18400000000003</v>
      </c>
      <c r="AO420">
        <f t="shared" si="154"/>
        <v>7882.2272360000006</v>
      </c>
    </row>
    <row r="421" spans="1:41" x14ac:dyDescent="0.3">
      <c r="A421" t="s">
        <v>207</v>
      </c>
      <c r="B421" s="3">
        <v>45214</v>
      </c>
      <c r="C421" s="3">
        <f t="shared" si="135"/>
        <v>45214</v>
      </c>
      <c r="D421" s="3">
        <v>45243</v>
      </c>
      <c r="E421" s="3">
        <f t="shared" si="136"/>
        <v>45243</v>
      </c>
      <c r="F421" s="16">
        <f t="shared" si="137"/>
        <v>29</v>
      </c>
      <c r="G421" s="16">
        <f>IF(Data!F514&lt;=7,1,0)</f>
        <v>0</v>
      </c>
      <c r="H421" s="5" t="str">
        <f t="shared" si="138"/>
        <v>10-2023</v>
      </c>
      <c r="I421" s="5" t="str">
        <f t="shared" si="139"/>
        <v>Q4-2023</v>
      </c>
      <c r="J421" s="3">
        <f t="shared" si="140"/>
        <v>44938</v>
      </c>
      <c r="K421" s="5" t="str">
        <f t="shared" si="141"/>
        <v>01-2023</v>
      </c>
      <c r="L421" t="s">
        <v>647</v>
      </c>
      <c r="M421" t="s">
        <v>659</v>
      </c>
      <c r="N421" t="s">
        <v>676</v>
      </c>
      <c r="O421" t="str">
        <f t="shared" si="142"/>
        <v>Shenzhen</v>
      </c>
      <c r="P421" t="s">
        <v>703</v>
      </c>
      <c r="Q421" t="s">
        <v>710</v>
      </c>
      <c r="R421" t="str">
        <f t="shared" si="143"/>
        <v>Distributor</v>
      </c>
      <c r="S421" t="s">
        <v>713</v>
      </c>
      <c r="T421" t="str">
        <f t="shared" si="156"/>
        <v>J. Njeri</v>
      </c>
      <c r="U421" t="s">
        <v>728</v>
      </c>
      <c r="V421" t="str">
        <f t="shared" si="144"/>
        <v>Low</v>
      </c>
      <c r="W421" t="s">
        <v>927</v>
      </c>
      <c r="X421" t="str">
        <f t="shared" si="145"/>
        <v>B</v>
      </c>
      <c r="Y421" s="5">
        <v>986.44</v>
      </c>
      <c r="Z421" s="5">
        <v>790.61</v>
      </c>
      <c r="AA421" s="5">
        <f t="shared" si="146"/>
        <v>790.61</v>
      </c>
      <c r="AB421" s="7">
        <v>7.1999999999999995E-2</v>
      </c>
      <c r="AC421" s="7">
        <f t="shared" si="147"/>
        <v>7.1999999999999995E-2</v>
      </c>
      <c r="AD421" s="16">
        <f t="shared" si="148"/>
        <v>0</v>
      </c>
      <c r="AE421" s="16">
        <v>6</v>
      </c>
      <c r="AF421" s="5">
        <f t="shared" si="149"/>
        <v>4402.1164799999997</v>
      </c>
      <c r="AG421">
        <f t="shared" si="150"/>
        <v>5918.64</v>
      </c>
      <c r="AH421" s="5">
        <f t="shared" si="151"/>
        <v>1516.5235200000006</v>
      </c>
      <c r="AI421" s="5">
        <f t="shared" si="152"/>
        <v>0.34449872621271499</v>
      </c>
      <c r="AJ421" s="5">
        <f t="shared" si="155"/>
        <v>10035821.479810007</v>
      </c>
      <c r="AK421" s="7">
        <f t="shared" si="153"/>
        <v>0.91686773916853814</v>
      </c>
      <c r="AL421" s="17">
        <f>MIN(AC421,'What-If Analysis'!$B$2)</f>
        <v>7.1999999999999995E-2</v>
      </c>
      <c r="AM421">
        <f>AE421*(1+'What-If Analysis'!$B$3)</f>
        <v>7.8000000000000007</v>
      </c>
      <c r="AN421">
        <f>Y421*(1+'What-If Analysis'!$B$4)</f>
        <v>1085.0840000000001</v>
      </c>
      <c r="AO421">
        <f t="shared" si="154"/>
        <v>5722.751424000001</v>
      </c>
    </row>
    <row r="422" spans="1:41" x14ac:dyDescent="0.3">
      <c r="A422" t="s">
        <v>363</v>
      </c>
      <c r="B422" s="3">
        <v>45825</v>
      </c>
      <c r="C422" s="3">
        <f t="shared" si="135"/>
        <v>45825</v>
      </c>
      <c r="D422" s="3">
        <v>45843</v>
      </c>
      <c r="E422" s="3">
        <f t="shared" si="136"/>
        <v>45843</v>
      </c>
      <c r="F422" s="16">
        <f t="shared" si="137"/>
        <v>18</v>
      </c>
      <c r="G422" s="16">
        <f>IF(Data!F312&lt;=7,1,0)</f>
        <v>0</v>
      </c>
      <c r="H422" s="5" t="str">
        <f t="shared" si="138"/>
        <v>06-2025</v>
      </c>
      <c r="I422" s="5" t="str">
        <f t="shared" si="139"/>
        <v>Q2-2025</v>
      </c>
      <c r="J422" s="3">
        <f t="shared" si="140"/>
        <v>44955</v>
      </c>
      <c r="K422" s="5" t="str">
        <f t="shared" si="141"/>
        <v>01-2023</v>
      </c>
      <c r="L422" t="s">
        <v>647</v>
      </c>
      <c r="M422" t="s">
        <v>654</v>
      </c>
      <c r="N422" t="s">
        <v>680</v>
      </c>
      <c r="O422" t="str">
        <f t="shared" si="142"/>
        <v>Delhi</v>
      </c>
      <c r="P422" t="s">
        <v>704</v>
      </c>
      <c r="Q422" t="s">
        <v>709</v>
      </c>
      <c r="R422" t="str">
        <f t="shared" si="143"/>
        <v>Marketplace</v>
      </c>
      <c r="S422" t="s">
        <v>716</v>
      </c>
      <c r="T422" t="str">
        <f t="shared" si="156"/>
        <v>L. Okafor</v>
      </c>
      <c r="U422" t="s">
        <v>731</v>
      </c>
      <c r="V422" t="str">
        <f t="shared" si="144"/>
        <v>High</v>
      </c>
      <c r="W422" t="s">
        <v>1083</v>
      </c>
      <c r="X422" t="str">
        <f t="shared" si="145"/>
        <v>B</v>
      </c>
      <c r="Y422" s="5">
        <v>982.93</v>
      </c>
      <c r="Z422" s="5">
        <v>2299.3000000000002</v>
      </c>
      <c r="AA422" s="5">
        <f t="shared" si="146"/>
        <v>2299.3000000000002</v>
      </c>
      <c r="AB422" s="7">
        <v>0.113</v>
      </c>
      <c r="AC422" s="7">
        <f t="shared" si="147"/>
        <v>0.113</v>
      </c>
      <c r="AD422" s="16">
        <f t="shared" si="148"/>
        <v>0</v>
      </c>
      <c r="AE422" s="16">
        <v>6</v>
      </c>
      <c r="AF422" s="5">
        <f t="shared" si="149"/>
        <v>12236.874600000001</v>
      </c>
      <c r="AG422">
        <f t="shared" si="150"/>
        <v>5897.58</v>
      </c>
      <c r="AH422" s="5">
        <f t="shared" si="151"/>
        <v>6339.2946000000011</v>
      </c>
      <c r="AI422" s="5">
        <f t="shared" si="152"/>
        <v>0.51804850562087157</v>
      </c>
      <c r="AJ422" s="5">
        <f t="shared" si="155"/>
        <v>10048058.354410008</v>
      </c>
      <c r="AK422" s="7">
        <f t="shared" si="153"/>
        <v>0.91798569404363861</v>
      </c>
      <c r="AL422" s="17">
        <f>MIN(AC422,'What-If Analysis'!$B$2)</f>
        <v>0.113</v>
      </c>
      <c r="AM422">
        <f>AE422*(1+'What-If Analysis'!$B$3)</f>
        <v>7.8000000000000007</v>
      </c>
      <c r="AN422">
        <f>Y422*(1+'What-If Analysis'!$B$4)</f>
        <v>1081.223</v>
      </c>
      <c r="AO422">
        <f t="shared" si="154"/>
        <v>15907.936980000004</v>
      </c>
    </row>
    <row r="423" spans="1:41" x14ac:dyDescent="0.3">
      <c r="A423" t="s">
        <v>503</v>
      </c>
      <c r="B423" s="3">
        <v>45792</v>
      </c>
      <c r="C423" s="3">
        <f t="shared" si="135"/>
        <v>45792</v>
      </c>
      <c r="D423" s="3">
        <v>45813</v>
      </c>
      <c r="E423" s="3">
        <f t="shared" si="136"/>
        <v>45813</v>
      </c>
      <c r="F423" s="16">
        <f t="shared" si="137"/>
        <v>21</v>
      </c>
      <c r="G423" s="16">
        <f>IF(Data!F374&lt;=7,1,0)</f>
        <v>1</v>
      </c>
      <c r="H423" s="5" t="str">
        <f t="shared" si="138"/>
        <v>05-2025</v>
      </c>
      <c r="I423" s="5" t="str">
        <f t="shared" si="139"/>
        <v>Q2-2025</v>
      </c>
      <c r="J423" s="3">
        <f t="shared" si="140"/>
        <v>44988</v>
      </c>
      <c r="K423" s="5" t="str">
        <f t="shared" si="141"/>
        <v>03-2023</v>
      </c>
      <c r="L423" t="s">
        <v>647</v>
      </c>
      <c r="M423" t="s">
        <v>652</v>
      </c>
      <c r="N423" t="s">
        <v>666</v>
      </c>
      <c r="O423" t="str">
        <f t="shared" si="142"/>
        <v>Osaka</v>
      </c>
      <c r="P423" t="s">
        <v>706</v>
      </c>
      <c r="Q423" t="s">
        <v>711</v>
      </c>
      <c r="R423" t="str">
        <f t="shared" si="143"/>
        <v>Direct</v>
      </c>
      <c r="S423" t="s">
        <v>722</v>
      </c>
      <c r="T423" t="str">
        <f t="shared" si="156"/>
        <v>H. Kim</v>
      </c>
      <c r="U423" t="s">
        <v>730</v>
      </c>
      <c r="V423" t="str">
        <f t="shared" si="144"/>
        <v>High</v>
      </c>
      <c r="W423" t="s">
        <v>1222</v>
      </c>
      <c r="X423" t="str">
        <f t="shared" si="145"/>
        <v>B</v>
      </c>
      <c r="Y423" s="5">
        <v>1466.5</v>
      </c>
      <c r="Z423" s="5">
        <v>2778.74</v>
      </c>
      <c r="AA423" s="5">
        <f t="shared" si="146"/>
        <v>2778.74</v>
      </c>
      <c r="AB423" s="7">
        <v>0.13500000000000001</v>
      </c>
      <c r="AC423" s="7">
        <f t="shared" si="147"/>
        <v>0.13500000000000001</v>
      </c>
      <c r="AD423" s="16">
        <f t="shared" si="148"/>
        <v>0</v>
      </c>
      <c r="AE423" s="16">
        <v>4</v>
      </c>
      <c r="AF423" s="5">
        <f t="shared" si="149"/>
        <v>9614.4403999999995</v>
      </c>
      <c r="AG423">
        <f t="shared" si="150"/>
        <v>5866</v>
      </c>
      <c r="AH423" s="5">
        <f t="shared" si="151"/>
        <v>3748.4403999999995</v>
      </c>
      <c r="AI423" s="5">
        <f t="shared" si="152"/>
        <v>0.38987608680792279</v>
      </c>
      <c r="AJ423" s="5">
        <f t="shared" si="155"/>
        <v>10057672.794810008</v>
      </c>
      <c r="AK423" s="7">
        <f t="shared" si="153"/>
        <v>0.91886406461356696</v>
      </c>
      <c r="AL423" s="17">
        <f>MIN(AC423,'What-If Analysis'!$B$2)</f>
        <v>0.13500000000000001</v>
      </c>
      <c r="AM423">
        <f>AE423*(1+'What-If Analysis'!$B$3)</f>
        <v>5.2</v>
      </c>
      <c r="AN423">
        <f>Y423*(1+'What-If Analysis'!$B$4)</f>
        <v>1613.15</v>
      </c>
      <c r="AO423">
        <f t="shared" si="154"/>
        <v>12498.772519999999</v>
      </c>
    </row>
    <row r="424" spans="1:41" x14ac:dyDescent="0.3">
      <c r="A424" t="s">
        <v>47</v>
      </c>
      <c r="B424" s="3">
        <v>45862</v>
      </c>
      <c r="C424" s="3">
        <f t="shared" si="135"/>
        <v>45862</v>
      </c>
      <c r="D424" s="3">
        <v>45875</v>
      </c>
      <c r="E424" s="3">
        <f t="shared" si="136"/>
        <v>45875</v>
      </c>
      <c r="F424" s="16">
        <f t="shared" si="137"/>
        <v>13</v>
      </c>
      <c r="G424" s="16">
        <f>IF(Data!F373&lt;=7,1,0)</f>
        <v>1</v>
      </c>
      <c r="H424" s="5" t="str">
        <f t="shared" si="138"/>
        <v>07-2025</v>
      </c>
      <c r="I424" s="5" t="str">
        <f t="shared" si="139"/>
        <v>Q3-2025</v>
      </c>
      <c r="J424" s="3">
        <f t="shared" si="140"/>
        <v>44933</v>
      </c>
      <c r="K424" s="5" t="str">
        <f t="shared" si="141"/>
        <v>01-2023</v>
      </c>
      <c r="L424" t="s">
        <v>646</v>
      </c>
      <c r="M424" t="s">
        <v>661</v>
      </c>
      <c r="N424" t="s">
        <v>682</v>
      </c>
      <c r="O424" t="str">
        <f t="shared" si="142"/>
        <v>Johannesburg</v>
      </c>
      <c r="P424" t="s">
        <v>702</v>
      </c>
      <c r="Q424" t="s">
        <v>709</v>
      </c>
      <c r="R424" t="str">
        <f t="shared" si="143"/>
        <v>Marketplace</v>
      </c>
      <c r="S424" t="s">
        <v>726</v>
      </c>
      <c r="T424" t="str">
        <f t="shared" si="156"/>
        <v>D. Smith</v>
      </c>
      <c r="U424" t="s">
        <v>729</v>
      </c>
      <c r="V424" t="str">
        <f t="shared" si="144"/>
        <v>High</v>
      </c>
      <c r="W424" t="s">
        <v>766</v>
      </c>
      <c r="X424" t="str">
        <f t="shared" si="145"/>
        <v>B</v>
      </c>
      <c r="Y424" s="5">
        <v>1463.9</v>
      </c>
      <c r="Z424" s="5">
        <v>2633.02</v>
      </c>
      <c r="AA424" s="5">
        <f t="shared" si="146"/>
        <v>2633.02</v>
      </c>
      <c r="AB424" s="7">
        <v>8.4000000000000005E-2</v>
      </c>
      <c r="AC424" s="7">
        <f t="shared" si="147"/>
        <v>8.4000000000000005E-2</v>
      </c>
      <c r="AD424" s="16">
        <f t="shared" si="148"/>
        <v>0</v>
      </c>
      <c r="AE424" s="16">
        <v>4</v>
      </c>
      <c r="AF424" s="5">
        <f t="shared" si="149"/>
        <v>9647.3852800000004</v>
      </c>
      <c r="AG424">
        <f t="shared" si="150"/>
        <v>5855.6</v>
      </c>
      <c r="AH424" s="5">
        <f t="shared" si="151"/>
        <v>3791.7852800000001</v>
      </c>
      <c r="AI424" s="5">
        <f t="shared" si="152"/>
        <v>0.39303761277791527</v>
      </c>
      <c r="AJ424" s="5">
        <f t="shared" si="155"/>
        <v>10067320.180090008</v>
      </c>
      <c r="AK424" s="7">
        <f t="shared" si="153"/>
        <v>0.91974544501160971</v>
      </c>
      <c r="AL424" s="17">
        <f>MIN(AC424,'What-If Analysis'!$B$2)</f>
        <v>8.4000000000000005E-2</v>
      </c>
      <c r="AM424">
        <f>AE424*(1+'What-If Analysis'!$B$3)</f>
        <v>5.2</v>
      </c>
      <c r="AN424">
        <f>Y424*(1+'What-If Analysis'!$B$4)</f>
        <v>1610.2900000000002</v>
      </c>
      <c r="AO424">
        <f t="shared" si="154"/>
        <v>12541.600864</v>
      </c>
    </row>
    <row r="425" spans="1:41" x14ac:dyDescent="0.3">
      <c r="A425" t="s">
        <v>315</v>
      </c>
      <c r="B425" s="3">
        <v>45204</v>
      </c>
      <c r="C425" s="3">
        <f t="shared" si="135"/>
        <v>45204</v>
      </c>
      <c r="D425" s="3">
        <v>45230</v>
      </c>
      <c r="E425" s="3">
        <f t="shared" si="136"/>
        <v>45230</v>
      </c>
      <c r="F425" s="16">
        <f t="shared" si="137"/>
        <v>26</v>
      </c>
      <c r="G425" s="16">
        <f>IF(Data!F364&lt;=7,1,0)</f>
        <v>0</v>
      </c>
      <c r="H425" s="5" t="str">
        <f t="shared" si="138"/>
        <v>10-2023</v>
      </c>
      <c r="I425" s="5" t="str">
        <f t="shared" si="139"/>
        <v>Q4-2023</v>
      </c>
      <c r="J425" s="3">
        <f t="shared" si="140"/>
        <v>44938</v>
      </c>
      <c r="K425" s="5" t="str">
        <f t="shared" si="141"/>
        <v>01-2023</v>
      </c>
      <c r="L425" t="s">
        <v>647</v>
      </c>
      <c r="M425" t="s">
        <v>659</v>
      </c>
      <c r="N425" t="s">
        <v>685</v>
      </c>
      <c r="O425" t="str">
        <f t="shared" si="142"/>
        <v>Shanghai</v>
      </c>
      <c r="P425" t="s">
        <v>704</v>
      </c>
      <c r="R425" t="str">
        <f t="shared" si="143"/>
        <v>Marketplace</v>
      </c>
      <c r="S425" t="s">
        <v>713</v>
      </c>
      <c r="T425" t="str">
        <f t="shared" si="156"/>
        <v>J. Njeri</v>
      </c>
      <c r="U425" t="s">
        <v>728</v>
      </c>
      <c r="V425" t="str">
        <f t="shared" si="144"/>
        <v>Medium</v>
      </c>
      <c r="W425" t="s">
        <v>1035</v>
      </c>
      <c r="X425" t="str">
        <f t="shared" si="145"/>
        <v>B</v>
      </c>
      <c r="Y425" s="5">
        <v>649.91</v>
      </c>
      <c r="Z425" s="5">
        <v>1360.12</v>
      </c>
      <c r="AA425" s="5">
        <f t="shared" si="146"/>
        <v>1360.12</v>
      </c>
      <c r="AB425" s="7">
        <v>0.19400000000000001</v>
      </c>
      <c r="AC425" s="7">
        <f t="shared" si="147"/>
        <v>0.19400000000000001</v>
      </c>
      <c r="AD425" s="16">
        <f t="shared" si="148"/>
        <v>0</v>
      </c>
      <c r="AE425" s="16">
        <v>9</v>
      </c>
      <c r="AF425" s="5">
        <f t="shared" si="149"/>
        <v>9866.3104799999983</v>
      </c>
      <c r="AG425">
        <f t="shared" si="150"/>
        <v>5849.19</v>
      </c>
      <c r="AH425" s="5">
        <f t="shared" si="151"/>
        <v>4017.1204799999987</v>
      </c>
      <c r="AI425" s="5">
        <f t="shared" si="152"/>
        <v>0.40715528749506769</v>
      </c>
      <c r="AJ425" s="5">
        <f t="shared" si="155"/>
        <v>10077186.490570009</v>
      </c>
      <c r="AK425" s="7">
        <f t="shared" si="153"/>
        <v>0.92064682630878925</v>
      </c>
      <c r="AL425" s="17">
        <f>MIN(AC425,'What-If Analysis'!$B$2)</f>
        <v>0.19400000000000001</v>
      </c>
      <c r="AM425">
        <f>AE425*(1+'What-If Analysis'!$B$3)</f>
        <v>11.700000000000001</v>
      </c>
      <c r="AN425">
        <f>Y425*(1+'What-If Analysis'!$B$4)</f>
        <v>714.90100000000007</v>
      </c>
      <c r="AO425">
        <f t="shared" si="154"/>
        <v>12826.203624000002</v>
      </c>
    </row>
    <row r="426" spans="1:41" x14ac:dyDescent="0.3">
      <c r="A426" t="s">
        <v>276</v>
      </c>
      <c r="B426" s="3">
        <v>45142</v>
      </c>
      <c r="C426" s="3">
        <f t="shared" si="135"/>
        <v>45142</v>
      </c>
      <c r="D426" s="3">
        <v>45162</v>
      </c>
      <c r="E426" s="3">
        <f t="shared" si="136"/>
        <v>45162</v>
      </c>
      <c r="F426" s="16">
        <f t="shared" si="137"/>
        <v>20</v>
      </c>
      <c r="G426" s="16">
        <f>IF(Data!F409&lt;=7,1,0)</f>
        <v>1</v>
      </c>
      <c r="H426" s="5" t="str">
        <f t="shared" si="138"/>
        <v>08-2023</v>
      </c>
      <c r="I426" s="5" t="str">
        <f t="shared" si="139"/>
        <v>Q3-2023</v>
      </c>
      <c r="J426" s="3">
        <f t="shared" si="140"/>
        <v>44955</v>
      </c>
      <c r="K426" s="5" t="str">
        <f t="shared" si="141"/>
        <v>01-2023</v>
      </c>
      <c r="L426" t="s">
        <v>648</v>
      </c>
      <c r="M426" t="s">
        <v>655</v>
      </c>
      <c r="N426" t="s">
        <v>672</v>
      </c>
      <c r="O426" t="str">
        <f t="shared" si="142"/>
        <v>Brasília</v>
      </c>
      <c r="P426" t="s">
        <v>703</v>
      </c>
      <c r="Q426" t="s">
        <v>711</v>
      </c>
      <c r="R426" t="str">
        <f t="shared" si="143"/>
        <v>Direct</v>
      </c>
      <c r="T426" t="str">
        <f t="shared" si="156"/>
        <v>H. Kim</v>
      </c>
      <c r="U426" t="s">
        <v>729</v>
      </c>
      <c r="V426" t="str">
        <f t="shared" si="144"/>
        <v>Medium</v>
      </c>
      <c r="W426" t="s">
        <v>996</v>
      </c>
      <c r="X426" t="str">
        <f t="shared" si="145"/>
        <v>B</v>
      </c>
      <c r="Y426" s="5">
        <v>582.88</v>
      </c>
      <c r="Z426" s="5">
        <v>1044.1400000000001</v>
      </c>
      <c r="AA426" s="5">
        <f t="shared" si="146"/>
        <v>1044.1400000000001</v>
      </c>
      <c r="AB426" s="7">
        <v>0.216</v>
      </c>
      <c r="AC426" s="7">
        <f t="shared" si="147"/>
        <v>0.216</v>
      </c>
      <c r="AD426" s="16">
        <f t="shared" si="148"/>
        <v>1</v>
      </c>
      <c r="AE426" s="16">
        <v>10</v>
      </c>
      <c r="AF426" s="5">
        <f t="shared" si="149"/>
        <v>8186.057600000001</v>
      </c>
      <c r="AG426">
        <f t="shared" si="150"/>
        <v>5828.8</v>
      </c>
      <c r="AH426" s="5">
        <f t="shared" si="151"/>
        <v>2357.2576000000008</v>
      </c>
      <c r="AI426" s="5">
        <f t="shared" si="152"/>
        <v>0.28796005539956138</v>
      </c>
      <c r="AJ426" s="5">
        <f t="shared" si="155"/>
        <v>10085372.54817001</v>
      </c>
      <c r="AK426" s="7">
        <f t="shared" si="153"/>
        <v>0.92139470052511674</v>
      </c>
      <c r="AL426" s="17">
        <f>MIN(AC426,'What-If Analysis'!$B$2)</f>
        <v>0.2</v>
      </c>
      <c r="AM426">
        <f>AE426*(1+'What-If Analysis'!$B$3)</f>
        <v>13</v>
      </c>
      <c r="AN426">
        <f>Y426*(1+'What-If Analysis'!$B$4)</f>
        <v>641.16800000000001</v>
      </c>
      <c r="AO426">
        <f t="shared" si="154"/>
        <v>10859.056000000002</v>
      </c>
    </row>
    <row r="427" spans="1:41" x14ac:dyDescent="0.3">
      <c r="A427" t="s">
        <v>284</v>
      </c>
      <c r="B427" s="3">
        <v>45141</v>
      </c>
      <c r="C427" s="3">
        <f t="shared" si="135"/>
        <v>45141</v>
      </c>
      <c r="D427" s="3">
        <v>45152</v>
      </c>
      <c r="E427" s="3">
        <f t="shared" si="136"/>
        <v>45152</v>
      </c>
      <c r="F427" s="16">
        <f t="shared" si="137"/>
        <v>11</v>
      </c>
      <c r="G427" s="16">
        <f>IF(Data!F435&lt;=7,1,0)</f>
        <v>0</v>
      </c>
      <c r="H427" s="5" t="str">
        <f t="shared" si="138"/>
        <v>08-2023</v>
      </c>
      <c r="I427" s="5" t="str">
        <f t="shared" si="139"/>
        <v>Q3-2023</v>
      </c>
      <c r="J427" s="3">
        <f t="shared" si="140"/>
        <v>44955</v>
      </c>
      <c r="K427" s="5" t="str">
        <f t="shared" si="141"/>
        <v>01-2023</v>
      </c>
      <c r="L427" t="s">
        <v>648</v>
      </c>
      <c r="M427" t="s">
        <v>655</v>
      </c>
      <c r="N427" t="s">
        <v>672</v>
      </c>
      <c r="O427" t="str">
        <f t="shared" si="142"/>
        <v>Brasília</v>
      </c>
      <c r="P427" t="s">
        <v>701</v>
      </c>
      <c r="Q427" t="s">
        <v>711</v>
      </c>
      <c r="R427" t="str">
        <f t="shared" si="143"/>
        <v>Direct</v>
      </c>
      <c r="S427" t="s">
        <v>713</v>
      </c>
      <c r="T427" t="str">
        <f t="shared" si="156"/>
        <v>J. Njeri</v>
      </c>
      <c r="U427" t="s">
        <v>733</v>
      </c>
      <c r="V427" t="str">
        <f t="shared" si="144"/>
        <v>Low</v>
      </c>
      <c r="W427" t="s">
        <v>1004</v>
      </c>
      <c r="X427" t="str">
        <f t="shared" si="145"/>
        <v>B</v>
      </c>
      <c r="Y427" s="5">
        <v>232.73</v>
      </c>
      <c r="Z427" s="5">
        <v>334.19</v>
      </c>
      <c r="AA427" s="5">
        <f t="shared" si="146"/>
        <v>334.19</v>
      </c>
      <c r="AB427" s="7">
        <v>0.13400000000000001</v>
      </c>
      <c r="AC427" s="7">
        <f t="shared" si="147"/>
        <v>0.13400000000000001</v>
      </c>
      <c r="AD427" s="16">
        <f t="shared" si="148"/>
        <v>0</v>
      </c>
      <c r="AE427" s="16">
        <v>25</v>
      </c>
      <c r="AF427" s="5">
        <f t="shared" si="149"/>
        <v>7235.2134999999998</v>
      </c>
      <c r="AG427">
        <f t="shared" si="150"/>
        <v>5818.25</v>
      </c>
      <c r="AH427" s="5">
        <f t="shared" si="151"/>
        <v>1416.9634999999998</v>
      </c>
      <c r="AI427" s="5">
        <f t="shared" si="152"/>
        <v>0.1958426658729559</v>
      </c>
      <c r="AJ427" s="5">
        <f t="shared" si="155"/>
        <v>10092607.76167001</v>
      </c>
      <c r="AK427" s="7">
        <f t="shared" si="153"/>
        <v>0.9220557060897826</v>
      </c>
      <c r="AL427" s="17">
        <f>MIN(AC427,'What-If Analysis'!$B$2)</f>
        <v>0.13400000000000001</v>
      </c>
      <c r="AM427">
        <f>AE427*(1+'What-If Analysis'!$B$3)</f>
        <v>32.5</v>
      </c>
      <c r="AN427">
        <f>Y427*(1+'What-If Analysis'!$B$4)</f>
        <v>256.00299999999999</v>
      </c>
      <c r="AO427">
        <f t="shared" si="154"/>
        <v>9405.7775499999989</v>
      </c>
    </row>
    <row r="428" spans="1:41" x14ac:dyDescent="0.3">
      <c r="A428" t="s">
        <v>90</v>
      </c>
      <c r="B428" s="3">
        <v>45187</v>
      </c>
      <c r="C428" s="3">
        <f t="shared" si="135"/>
        <v>45187</v>
      </c>
      <c r="D428" s="3">
        <v>45207</v>
      </c>
      <c r="E428" s="3">
        <f t="shared" si="136"/>
        <v>45207</v>
      </c>
      <c r="F428" s="16">
        <f t="shared" si="137"/>
        <v>20</v>
      </c>
      <c r="G428" s="16">
        <f>IF(Data!F447&lt;=7,1,0)</f>
        <v>1</v>
      </c>
      <c r="H428" s="5" t="str">
        <f t="shared" si="138"/>
        <v>09-2023</v>
      </c>
      <c r="I428" s="5" t="str">
        <f t="shared" si="139"/>
        <v>Q3-2023</v>
      </c>
      <c r="J428" s="3">
        <f t="shared" si="140"/>
        <v>44955</v>
      </c>
      <c r="K428" s="5" t="str">
        <f t="shared" si="141"/>
        <v>01-2023</v>
      </c>
      <c r="L428" t="s">
        <v>647</v>
      </c>
      <c r="M428" t="s">
        <v>654</v>
      </c>
      <c r="N428" t="s">
        <v>680</v>
      </c>
      <c r="O428" t="str">
        <f t="shared" si="142"/>
        <v>Delhi</v>
      </c>
      <c r="P428" t="s">
        <v>705</v>
      </c>
      <c r="Q428" t="s">
        <v>711</v>
      </c>
      <c r="R428" t="str">
        <f t="shared" si="143"/>
        <v>Direct</v>
      </c>
      <c r="S428" t="s">
        <v>717</v>
      </c>
      <c r="T428" t="str">
        <f t="shared" si="156"/>
        <v>B. Chen</v>
      </c>
      <c r="U428" t="s">
        <v>727</v>
      </c>
      <c r="V428" t="str">
        <f t="shared" si="144"/>
        <v>Medium</v>
      </c>
      <c r="W428" t="s">
        <v>809</v>
      </c>
      <c r="X428" t="str">
        <f t="shared" si="145"/>
        <v>B</v>
      </c>
      <c r="Y428" s="5">
        <v>825.64</v>
      </c>
      <c r="Z428" s="5">
        <v>1108.43</v>
      </c>
      <c r="AA428" s="5">
        <f t="shared" si="146"/>
        <v>1108.43</v>
      </c>
      <c r="AB428" s="7">
        <v>0.114</v>
      </c>
      <c r="AC428" s="7">
        <f t="shared" si="147"/>
        <v>0.114</v>
      </c>
      <c r="AD428" s="16">
        <f t="shared" si="148"/>
        <v>0</v>
      </c>
      <c r="AE428" s="16">
        <v>7</v>
      </c>
      <c r="AF428" s="5">
        <f t="shared" si="149"/>
        <v>6874.4828600000001</v>
      </c>
      <c r="AG428">
        <f t="shared" si="150"/>
        <v>5779.48</v>
      </c>
      <c r="AH428" s="5">
        <f t="shared" si="151"/>
        <v>1095.0028600000005</v>
      </c>
      <c r="AI428" s="5">
        <f t="shared" si="152"/>
        <v>0.15928512475773349</v>
      </c>
      <c r="AJ428" s="5">
        <f t="shared" si="155"/>
        <v>10099482.244530011</v>
      </c>
      <c r="AK428" s="7">
        <f t="shared" si="153"/>
        <v>0.92268375547970871</v>
      </c>
      <c r="AL428" s="17">
        <f>MIN(AC428,'What-If Analysis'!$B$2)</f>
        <v>0.114</v>
      </c>
      <c r="AM428">
        <f>AE428*(1+'What-If Analysis'!$B$3)</f>
        <v>9.1</v>
      </c>
      <c r="AN428">
        <f>Y428*(1+'What-If Analysis'!$B$4)</f>
        <v>908.20400000000006</v>
      </c>
      <c r="AO428">
        <f t="shared" si="154"/>
        <v>8936.8277180000005</v>
      </c>
    </row>
    <row r="429" spans="1:41" x14ac:dyDescent="0.3">
      <c r="A429" t="s">
        <v>400</v>
      </c>
      <c r="B429" s="3">
        <v>45789</v>
      </c>
      <c r="C429" s="3">
        <f t="shared" si="135"/>
        <v>45789</v>
      </c>
      <c r="D429" s="3">
        <v>45803</v>
      </c>
      <c r="E429" s="3">
        <f t="shared" si="136"/>
        <v>45803</v>
      </c>
      <c r="F429" s="16">
        <f t="shared" si="137"/>
        <v>14</v>
      </c>
      <c r="G429" s="16">
        <f>IF(Data!F375&lt;=7,1,0)</f>
        <v>0</v>
      </c>
      <c r="H429" s="5" t="str">
        <f t="shared" si="138"/>
        <v>05-2025</v>
      </c>
      <c r="I429" s="5" t="str">
        <f t="shared" si="139"/>
        <v>Q2-2025</v>
      </c>
      <c r="J429" s="3">
        <f t="shared" si="140"/>
        <v>44955</v>
      </c>
      <c r="K429" s="5" t="str">
        <f t="shared" si="141"/>
        <v>01-2023</v>
      </c>
      <c r="L429" t="s">
        <v>647</v>
      </c>
      <c r="M429" t="s">
        <v>654</v>
      </c>
      <c r="N429" t="s">
        <v>696</v>
      </c>
      <c r="O429" t="str">
        <f t="shared" si="142"/>
        <v>Hyderabad</v>
      </c>
      <c r="P429" t="s">
        <v>701</v>
      </c>
      <c r="Q429" t="s">
        <v>709</v>
      </c>
      <c r="R429" t="str">
        <f t="shared" si="143"/>
        <v>Marketplace</v>
      </c>
      <c r="S429" t="s">
        <v>715</v>
      </c>
      <c r="T429" t="str">
        <f t="shared" si="156"/>
        <v>G. Dubois</v>
      </c>
      <c r="U429" t="s">
        <v>728</v>
      </c>
      <c r="V429" t="str">
        <f t="shared" si="144"/>
        <v>Low</v>
      </c>
      <c r="W429" t="s">
        <v>1119</v>
      </c>
      <c r="X429" t="str">
        <f t="shared" si="145"/>
        <v>B</v>
      </c>
      <c r="Y429" s="5">
        <v>320.12</v>
      </c>
      <c r="Z429" s="5">
        <v>594.41999999999996</v>
      </c>
      <c r="AA429" s="5">
        <f t="shared" si="146"/>
        <v>594.41999999999996</v>
      </c>
      <c r="AB429" s="7">
        <v>0.104</v>
      </c>
      <c r="AC429" s="7">
        <f t="shared" si="147"/>
        <v>0.104</v>
      </c>
      <c r="AD429" s="16">
        <f t="shared" si="148"/>
        <v>0</v>
      </c>
      <c r="AE429" s="16">
        <v>18</v>
      </c>
      <c r="AF429" s="5">
        <f t="shared" si="149"/>
        <v>9586.8057599999993</v>
      </c>
      <c r="AG429">
        <f t="shared" si="150"/>
        <v>5762.16</v>
      </c>
      <c r="AH429" s="5">
        <f t="shared" si="151"/>
        <v>3824.6457599999994</v>
      </c>
      <c r="AI429" s="5">
        <f t="shared" si="152"/>
        <v>0.39894891538931104</v>
      </c>
      <c r="AJ429" s="5">
        <f t="shared" si="155"/>
        <v>10109069.050290011</v>
      </c>
      <c r="AK429" s="7">
        <f t="shared" si="153"/>
        <v>0.92355960136245008</v>
      </c>
      <c r="AL429" s="17">
        <f>MIN(AC429,'What-If Analysis'!$B$2)</f>
        <v>0.104</v>
      </c>
      <c r="AM429">
        <f>AE429*(1+'What-If Analysis'!$B$3)</f>
        <v>23.400000000000002</v>
      </c>
      <c r="AN429">
        <f>Y429*(1+'What-If Analysis'!$B$4)</f>
        <v>352.13200000000006</v>
      </c>
      <c r="AO429">
        <f t="shared" si="154"/>
        <v>12462.847487999999</v>
      </c>
    </row>
    <row r="430" spans="1:41" x14ac:dyDescent="0.3">
      <c r="A430" t="s">
        <v>103</v>
      </c>
      <c r="B430" s="3">
        <v>45312</v>
      </c>
      <c r="C430" s="3">
        <f t="shared" si="135"/>
        <v>45312</v>
      </c>
      <c r="D430" s="3">
        <v>45316</v>
      </c>
      <c r="E430" s="3">
        <f t="shared" si="136"/>
        <v>45316</v>
      </c>
      <c r="F430" s="16">
        <f t="shared" si="137"/>
        <v>4</v>
      </c>
      <c r="G430" s="16">
        <f>IF(Data!F325&lt;=7,1,0)</f>
        <v>0</v>
      </c>
      <c r="H430" s="5" t="str">
        <f t="shared" si="138"/>
        <v>01-2024</v>
      </c>
      <c r="I430" s="5" t="str">
        <f t="shared" si="139"/>
        <v>Q1-2024</v>
      </c>
      <c r="J430" s="3">
        <f t="shared" si="140"/>
        <v>44955</v>
      </c>
      <c r="K430" s="5" t="str">
        <f t="shared" si="141"/>
        <v>01-2023</v>
      </c>
      <c r="L430" t="s">
        <v>647</v>
      </c>
      <c r="M430" t="s">
        <v>654</v>
      </c>
      <c r="N430" t="s">
        <v>680</v>
      </c>
      <c r="O430" t="str">
        <f t="shared" si="142"/>
        <v>Delhi</v>
      </c>
      <c r="P430" t="s">
        <v>704</v>
      </c>
      <c r="Q430" t="s">
        <v>711</v>
      </c>
      <c r="R430" t="str">
        <f t="shared" si="143"/>
        <v>Direct</v>
      </c>
      <c r="S430" t="s">
        <v>712</v>
      </c>
      <c r="T430" t="str">
        <f t="shared" si="156"/>
        <v>C. Otieno</v>
      </c>
      <c r="U430" t="s">
        <v>732</v>
      </c>
      <c r="V430" t="str">
        <f t="shared" si="144"/>
        <v>Medium</v>
      </c>
      <c r="W430" t="s">
        <v>822</v>
      </c>
      <c r="X430" t="str">
        <f t="shared" si="145"/>
        <v>B</v>
      </c>
      <c r="Y430" s="5">
        <v>523.70000000000005</v>
      </c>
      <c r="Z430" s="5">
        <v>1109.92</v>
      </c>
      <c r="AA430" s="5">
        <f t="shared" si="146"/>
        <v>1109.92</v>
      </c>
      <c r="AB430" s="7">
        <v>0.03</v>
      </c>
      <c r="AC430" s="7">
        <f t="shared" si="147"/>
        <v>0.03</v>
      </c>
      <c r="AD430" s="16">
        <f t="shared" si="148"/>
        <v>0</v>
      </c>
      <c r="AE430" s="16">
        <v>11</v>
      </c>
      <c r="AF430" s="5">
        <f t="shared" si="149"/>
        <v>11842.8464</v>
      </c>
      <c r="AG430">
        <f t="shared" si="150"/>
        <v>5760.7000000000007</v>
      </c>
      <c r="AH430" s="5">
        <f t="shared" si="151"/>
        <v>6082.1463999999996</v>
      </c>
      <c r="AI430" s="5">
        <f t="shared" si="152"/>
        <v>0.51357133197302973</v>
      </c>
      <c r="AJ430" s="5">
        <f t="shared" si="155"/>
        <v>10120911.896690011</v>
      </c>
      <c r="AK430" s="7">
        <f t="shared" si="153"/>
        <v>0.92464155801402392</v>
      </c>
      <c r="AL430" s="17">
        <f>MIN(AC430,'What-If Analysis'!$B$2)</f>
        <v>0.03</v>
      </c>
      <c r="AM430">
        <f>AE430*(1+'What-If Analysis'!$B$3)</f>
        <v>14.3</v>
      </c>
      <c r="AN430">
        <f>Y430*(1+'What-If Analysis'!$B$4)</f>
        <v>576.07000000000005</v>
      </c>
      <c r="AO430">
        <f t="shared" si="154"/>
        <v>15395.700320000002</v>
      </c>
    </row>
    <row r="431" spans="1:41" x14ac:dyDescent="0.3">
      <c r="A431" t="s">
        <v>18</v>
      </c>
      <c r="B431" s="3">
        <v>45745</v>
      </c>
      <c r="C431" s="3">
        <f t="shared" si="135"/>
        <v>45745</v>
      </c>
      <c r="D431" s="3">
        <v>45749</v>
      </c>
      <c r="E431" s="3">
        <f t="shared" si="136"/>
        <v>45749</v>
      </c>
      <c r="F431" s="16">
        <f t="shared" si="137"/>
        <v>4</v>
      </c>
      <c r="G431" s="16">
        <f>IF(Data!F486&lt;=7,1,0)</f>
        <v>0</v>
      </c>
      <c r="H431" s="5" t="str">
        <f t="shared" si="138"/>
        <v>03-2025</v>
      </c>
      <c r="I431" s="5" t="str">
        <f t="shared" si="139"/>
        <v>Q1-2025</v>
      </c>
      <c r="J431" s="3">
        <f t="shared" si="140"/>
        <v>44939</v>
      </c>
      <c r="K431" s="5" t="str">
        <f t="shared" si="141"/>
        <v>01-2023</v>
      </c>
      <c r="L431" t="s">
        <v>646</v>
      </c>
      <c r="M431" t="s">
        <v>651</v>
      </c>
      <c r="N431" t="s">
        <v>665</v>
      </c>
      <c r="O431" t="str">
        <f t="shared" si="142"/>
        <v>Lagos</v>
      </c>
      <c r="P431" t="s">
        <v>703</v>
      </c>
      <c r="Q431" t="s">
        <v>709</v>
      </c>
      <c r="R431" t="str">
        <f t="shared" si="143"/>
        <v>Marketplace</v>
      </c>
      <c r="S431" t="s">
        <v>715</v>
      </c>
      <c r="T431" t="str">
        <f t="shared" si="156"/>
        <v>G. Dubois</v>
      </c>
      <c r="U431" t="s">
        <v>730</v>
      </c>
      <c r="V431" t="str">
        <f t="shared" si="144"/>
        <v>Low</v>
      </c>
      <c r="W431" t="s">
        <v>737</v>
      </c>
      <c r="X431" t="str">
        <f t="shared" si="145"/>
        <v>B</v>
      </c>
      <c r="Y431" s="5">
        <v>259.93</v>
      </c>
      <c r="Z431" s="5">
        <v>255.94</v>
      </c>
      <c r="AA431" s="5">
        <f t="shared" si="146"/>
        <v>255.94</v>
      </c>
      <c r="AB431" s="7">
        <v>7.1999999999999995E-2</v>
      </c>
      <c r="AC431" s="7">
        <f t="shared" si="147"/>
        <v>7.1999999999999995E-2</v>
      </c>
      <c r="AD431" s="16">
        <f t="shared" si="148"/>
        <v>0</v>
      </c>
      <c r="AE431" s="16">
        <v>22</v>
      </c>
      <c r="AF431" s="5">
        <f t="shared" si="149"/>
        <v>5225.2710400000005</v>
      </c>
      <c r="AG431">
        <f t="shared" si="150"/>
        <v>5718.46</v>
      </c>
      <c r="AH431" s="5">
        <f t="shared" si="151"/>
        <v>493.1889599999995</v>
      </c>
      <c r="AI431" s="5">
        <f t="shared" si="152"/>
        <v>9.4385335463861311E-2</v>
      </c>
      <c r="AJ431" s="5">
        <f t="shared" si="155"/>
        <v>10126137.167730011</v>
      </c>
      <c r="AK431" s="7">
        <f t="shared" si="153"/>
        <v>0.92511893621914909</v>
      </c>
      <c r="AL431" s="17">
        <f>MIN(AC431,'What-If Analysis'!$B$2)</f>
        <v>7.1999999999999995E-2</v>
      </c>
      <c r="AM431">
        <f>AE431*(1+'What-If Analysis'!$B$3)</f>
        <v>28.6</v>
      </c>
      <c r="AN431">
        <f>Y431*(1+'What-If Analysis'!$B$4)</f>
        <v>285.92300000000006</v>
      </c>
      <c r="AO431">
        <f t="shared" si="154"/>
        <v>6792.8523520000008</v>
      </c>
    </row>
    <row r="432" spans="1:41" x14ac:dyDescent="0.3">
      <c r="A432" t="s">
        <v>557</v>
      </c>
      <c r="B432" s="3">
        <v>44968</v>
      </c>
      <c r="C432" s="3">
        <f t="shared" si="135"/>
        <v>44968</v>
      </c>
      <c r="D432" s="3">
        <v>44969</v>
      </c>
      <c r="E432" s="3">
        <f t="shared" si="136"/>
        <v>44969</v>
      </c>
      <c r="F432" s="16">
        <f t="shared" si="137"/>
        <v>1</v>
      </c>
      <c r="G432" s="16">
        <f>IF(Data!F501&lt;=7,1,0)</f>
        <v>0</v>
      </c>
      <c r="H432" s="5" t="str">
        <f t="shared" si="138"/>
        <v>02-2023</v>
      </c>
      <c r="I432" s="5" t="str">
        <f t="shared" si="139"/>
        <v>Q1-2023</v>
      </c>
      <c r="J432" s="3">
        <f t="shared" si="140"/>
        <v>44939</v>
      </c>
      <c r="K432" s="5" t="str">
        <f t="shared" si="141"/>
        <v>01-2023</v>
      </c>
      <c r="L432" t="s">
        <v>646</v>
      </c>
      <c r="M432" t="s">
        <v>651</v>
      </c>
      <c r="N432" t="s">
        <v>663</v>
      </c>
      <c r="O432" t="str">
        <f t="shared" si="142"/>
        <v>Port Harcourt</v>
      </c>
      <c r="P432" t="s">
        <v>703</v>
      </c>
      <c r="Q432" t="s">
        <v>711</v>
      </c>
      <c r="R432" t="str">
        <f t="shared" si="143"/>
        <v>Direct</v>
      </c>
      <c r="S432" t="s">
        <v>726</v>
      </c>
      <c r="T432" t="str">
        <f t="shared" si="156"/>
        <v>D. Smith</v>
      </c>
      <c r="U432" t="s">
        <v>733</v>
      </c>
      <c r="V432" t="str">
        <f t="shared" si="144"/>
        <v>Medium</v>
      </c>
      <c r="W432" t="s">
        <v>1275</v>
      </c>
      <c r="X432" t="str">
        <f t="shared" si="145"/>
        <v>B</v>
      </c>
      <c r="Y432" s="5">
        <v>944.61</v>
      </c>
      <c r="Z432" s="5">
        <v>839.04</v>
      </c>
      <c r="AA432" s="5">
        <f t="shared" si="146"/>
        <v>839.04</v>
      </c>
      <c r="AB432" s="7">
        <v>5.8999999999999997E-2</v>
      </c>
      <c r="AC432" s="7">
        <f t="shared" si="147"/>
        <v>5.8999999999999997E-2</v>
      </c>
      <c r="AD432" s="16">
        <f t="shared" si="148"/>
        <v>0</v>
      </c>
      <c r="AE432" s="16">
        <v>6</v>
      </c>
      <c r="AF432" s="5">
        <f t="shared" si="149"/>
        <v>4737.2198399999997</v>
      </c>
      <c r="AG432">
        <f t="shared" si="150"/>
        <v>5667.66</v>
      </c>
      <c r="AH432" s="5">
        <f t="shared" si="151"/>
        <v>930.44016000000011</v>
      </c>
      <c r="AI432" s="5">
        <f t="shared" si="152"/>
        <v>0.19641059343363726</v>
      </c>
      <c r="AJ432" s="5">
        <f t="shared" si="155"/>
        <v>10130874.38757001</v>
      </c>
      <c r="AK432" s="7">
        <f t="shared" si="153"/>
        <v>0.92555172630547955</v>
      </c>
      <c r="AL432" s="17">
        <f>MIN(AC432,'What-If Analysis'!$B$2)</f>
        <v>5.8999999999999997E-2</v>
      </c>
      <c r="AM432">
        <f>AE432*(1+'What-If Analysis'!$B$3)</f>
        <v>7.8000000000000007</v>
      </c>
      <c r="AN432">
        <f>Y432*(1+'What-If Analysis'!$B$4)</f>
        <v>1039.0710000000001</v>
      </c>
      <c r="AO432">
        <f t="shared" si="154"/>
        <v>6158.3857920000009</v>
      </c>
    </row>
    <row r="433" spans="1:41" x14ac:dyDescent="0.3">
      <c r="A433" t="s">
        <v>610</v>
      </c>
      <c r="B433" s="3">
        <v>45705</v>
      </c>
      <c r="C433" s="3">
        <f t="shared" si="135"/>
        <v>45703</v>
      </c>
      <c r="D433" s="3">
        <v>45703</v>
      </c>
      <c r="E433" s="3">
        <f t="shared" si="136"/>
        <v>45705</v>
      </c>
      <c r="F433" s="16">
        <f t="shared" si="137"/>
        <v>2</v>
      </c>
      <c r="G433" s="16">
        <f>IF(Data!F411&lt;=7,1,0)</f>
        <v>0</v>
      </c>
      <c r="H433" s="5" t="str">
        <f t="shared" si="138"/>
        <v>02-2025</v>
      </c>
      <c r="I433" s="5" t="str">
        <f t="shared" si="139"/>
        <v>Q1-2025</v>
      </c>
      <c r="J433" s="3">
        <f t="shared" si="140"/>
        <v>44928</v>
      </c>
      <c r="K433" s="5" t="str">
        <f t="shared" si="141"/>
        <v>01-2023</v>
      </c>
      <c r="L433" t="s">
        <v>648</v>
      </c>
      <c r="M433" t="s">
        <v>653</v>
      </c>
      <c r="N433" t="s">
        <v>667</v>
      </c>
      <c r="O433" t="str">
        <f t="shared" si="142"/>
        <v>Toronto</v>
      </c>
      <c r="P433" t="s">
        <v>705</v>
      </c>
      <c r="Q433" t="s">
        <v>707</v>
      </c>
      <c r="R433" t="str">
        <f t="shared" si="143"/>
        <v>Retail</v>
      </c>
      <c r="S433" t="s">
        <v>726</v>
      </c>
      <c r="T433" t="str">
        <f t="shared" si="156"/>
        <v>D. Smith</v>
      </c>
      <c r="U433" t="s">
        <v>727</v>
      </c>
      <c r="V433" t="str">
        <f t="shared" si="144"/>
        <v>High</v>
      </c>
      <c r="W433" t="s">
        <v>1328</v>
      </c>
      <c r="X433" t="str">
        <f t="shared" si="145"/>
        <v>B</v>
      </c>
      <c r="Y433" s="5">
        <v>1133.47</v>
      </c>
      <c r="Z433" s="5">
        <v>1698.75</v>
      </c>
      <c r="AA433" s="5">
        <f t="shared" si="146"/>
        <v>1698.75</v>
      </c>
      <c r="AB433" s="7">
        <v>4.2999999999999997E-2</v>
      </c>
      <c r="AC433" s="7">
        <f t="shared" si="147"/>
        <v>4.2999999999999997E-2</v>
      </c>
      <c r="AD433" s="16">
        <f t="shared" si="148"/>
        <v>0</v>
      </c>
      <c r="AE433" s="16">
        <v>5</v>
      </c>
      <c r="AF433" s="5">
        <f t="shared" si="149"/>
        <v>8128.5187499999993</v>
      </c>
      <c r="AG433">
        <f t="shared" si="150"/>
        <v>5667.35</v>
      </c>
      <c r="AH433" s="5">
        <f t="shared" si="151"/>
        <v>2461.1687499999989</v>
      </c>
      <c r="AI433" s="5">
        <f t="shared" si="152"/>
        <v>0.30278194904821976</v>
      </c>
      <c r="AJ433" s="5">
        <f t="shared" si="155"/>
        <v>10139002.906320011</v>
      </c>
      <c r="AK433" s="7">
        <f t="shared" si="153"/>
        <v>0.92629434380062892</v>
      </c>
      <c r="AL433" s="17">
        <f>MIN(AC433,'What-If Analysis'!$B$2)</f>
        <v>4.2999999999999997E-2</v>
      </c>
      <c r="AM433">
        <f>AE433*(1+'What-If Analysis'!$B$3)</f>
        <v>6.5</v>
      </c>
      <c r="AN433">
        <f>Y433*(1+'What-If Analysis'!$B$4)</f>
        <v>1246.8170000000002</v>
      </c>
      <c r="AO433">
        <f t="shared" si="154"/>
        <v>10567.074375</v>
      </c>
    </row>
    <row r="434" spans="1:41" x14ac:dyDescent="0.3">
      <c r="A434" t="s">
        <v>517</v>
      </c>
      <c r="B434" s="3">
        <v>45740</v>
      </c>
      <c r="C434" s="3">
        <f t="shared" si="135"/>
        <v>45740</v>
      </c>
      <c r="D434" s="3">
        <v>45741</v>
      </c>
      <c r="E434" s="3">
        <f t="shared" si="136"/>
        <v>45741</v>
      </c>
      <c r="F434" s="16">
        <f t="shared" si="137"/>
        <v>1</v>
      </c>
      <c r="G434" s="16">
        <f>IF(Data!F396&lt;=7,1,0)</f>
        <v>1</v>
      </c>
      <c r="H434" s="5" t="str">
        <f t="shared" si="138"/>
        <v>03-2025</v>
      </c>
      <c r="I434" s="5" t="str">
        <f t="shared" si="139"/>
        <v>Q1-2025</v>
      </c>
      <c r="J434" s="3">
        <f t="shared" si="140"/>
        <v>44938</v>
      </c>
      <c r="K434" s="5" t="str">
        <f t="shared" si="141"/>
        <v>01-2023</v>
      </c>
      <c r="L434" t="s">
        <v>647</v>
      </c>
      <c r="M434" t="s">
        <v>659</v>
      </c>
      <c r="N434" t="s">
        <v>699</v>
      </c>
      <c r="O434" t="str">
        <f t="shared" si="142"/>
        <v>Beijing</v>
      </c>
      <c r="P434" t="s">
        <v>703</v>
      </c>
      <c r="Q434" t="s">
        <v>708</v>
      </c>
      <c r="R434" t="str">
        <f t="shared" si="143"/>
        <v>Online</v>
      </c>
      <c r="S434" t="s">
        <v>715</v>
      </c>
      <c r="T434" t="str">
        <f t="shared" si="156"/>
        <v>G. Dubois</v>
      </c>
      <c r="U434" t="s">
        <v>729</v>
      </c>
      <c r="V434" t="str">
        <f t="shared" si="144"/>
        <v>High</v>
      </c>
      <c r="W434" t="s">
        <v>1236</v>
      </c>
      <c r="X434" t="str">
        <f t="shared" si="145"/>
        <v>B</v>
      </c>
      <c r="Y434" s="5">
        <v>1133.03</v>
      </c>
      <c r="Z434" s="5">
        <v>1921.51</v>
      </c>
      <c r="AA434" s="5">
        <f t="shared" si="146"/>
        <v>1921.51</v>
      </c>
      <c r="AB434" s="7">
        <v>0.10100000000000001</v>
      </c>
      <c r="AC434" s="7">
        <f t="shared" si="147"/>
        <v>0.10100000000000001</v>
      </c>
      <c r="AD434" s="16">
        <f t="shared" si="148"/>
        <v>0</v>
      </c>
      <c r="AE434" s="16">
        <v>5</v>
      </c>
      <c r="AF434" s="5">
        <f t="shared" si="149"/>
        <v>8637.1874499999994</v>
      </c>
      <c r="AG434">
        <f t="shared" si="150"/>
        <v>5665.15</v>
      </c>
      <c r="AH434" s="5">
        <f t="shared" si="151"/>
        <v>2972.0374499999998</v>
      </c>
      <c r="AI434" s="5">
        <f t="shared" si="152"/>
        <v>0.3440978289755654</v>
      </c>
      <c r="AJ434" s="5">
        <f t="shared" si="155"/>
        <v>10147640.09377001</v>
      </c>
      <c r="AK434" s="7">
        <f t="shared" si="153"/>
        <v>0.92708343301928298</v>
      </c>
      <c r="AL434" s="17">
        <f>MIN(AC434,'What-If Analysis'!$B$2)</f>
        <v>0.10100000000000001</v>
      </c>
      <c r="AM434">
        <f>AE434*(1+'What-If Analysis'!$B$3)</f>
        <v>6.5</v>
      </c>
      <c r="AN434">
        <f>Y434*(1+'What-If Analysis'!$B$4)</f>
        <v>1246.3330000000001</v>
      </c>
      <c r="AO434">
        <f t="shared" si="154"/>
        <v>11228.343685</v>
      </c>
    </row>
    <row r="435" spans="1:41" x14ac:dyDescent="0.3">
      <c r="A435" t="s">
        <v>323</v>
      </c>
      <c r="B435" s="3">
        <v>44936</v>
      </c>
      <c r="C435" s="3">
        <f t="shared" si="135"/>
        <v>44936</v>
      </c>
      <c r="D435" s="3">
        <v>44955</v>
      </c>
      <c r="E435" s="3">
        <f t="shared" si="136"/>
        <v>44955</v>
      </c>
      <c r="F435" s="16">
        <f t="shared" si="137"/>
        <v>19</v>
      </c>
      <c r="G435" s="16">
        <f>IF(Data!F365&lt;=7,1,0)</f>
        <v>0</v>
      </c>
      <c r="H435" s="5" t="str">
        <f t="shared" si="138"/>
        <v>01-2023</v>
      </c>
      <c r="I435" s="5" t="str">
        <f t="shared" si="139"/>
        <v>Q1-2023</v>
      </c>
      <c r="J435" s="3">
        <f t="shared" si="140"/>
        <v>44936</v>
      </c>
      <c r="K435" s="5" t="str">
        <f t="shared" si="141"/>
        <v>01-2023</v>
      </c>
      <c r="L435" t="s">
        <v>649</v>
      </c>
      <c r="M435" t="s">
        <v>657</v>
      </c>
      <c r="N435" t="s">
        <v>679</v>
      </c>
      <c r="O435" t="str">
        <f t="shared" si="142"/>
        <v>Lyon</v>
      </c>
      <c r="P435" t="s">
        <v>703</v>
      </c>
      <c r="Q435" t="s">
        <v>711</v>
      </c>
      <c r="R435" t="str">
        <f t="shared" si="143"/>
        <v>Direct</v>
      </c>
      <c r="S435" t="s">
        <v>726</v>
      </c>
      <c r="T435" t="str">
        <f t="shared" si="156"/>
        <v>D. Smith</v>
      </c>
      <c r="U435" t="s">
        <v>731</v>
      </c>
      <c r="V435" t="str">
        <f t="shared" si="144"/>
        <v>Low</v>
      </c>
      <c r="W435" t="s">
        <v>1043</v>
      </c>
      <c r="X435" t="str">
        <f t="shared" si="145"/>
        <v>B</v>
      </c>
      <c r="Y435" s="5">
        <v>401.66</v>
      </c>
      <c r="Z435" s="5">
        <v>772.09</v>
      </c>
      <c r="AA435" s="5">
        <f t="shared" si="146"/>
        <v>772.09</v>
      </c>
      <c r="AB435" s="7">
        <v>8.8999999999999996E-2</v>
      </c>
      <c r="AC435" s="7">
        <f t="shared" si="147"/>
        <v>8.8999999999999996E-2</v>
      </c>
      <c r="AD435" s="16">
        <f t="shared" si="148"/>
        <v>0</v>
      </c>
      <c r="AE435" s="16">
        <v>14</v>
      </c>
      <c r="AF435" s="5">
        <f t="shared" si="149"/>
        <v>9847.2358600000007</v>
      </c>
      <c r="AG435">
        <f t="shared" si="150"/>
        <v>5623.2400000000007</v>
      </c>
      <c r="AH435" s="5">
        <f t="shared" si="151"/>
        <v>4223.99586</v>
      </c>
      <c r="AI435" s="5">
        <f t="shared" si="152"/>
        <v>0.42895244107619046</v>
      </c>
      <c r="AJ435" s="5">
        <f t="shared" si="155"/>
        <v>10157487.32963001</v>
      </c>
      <c r="AK435" s="7">
        <f t="shared" si="153"/>
        <v>0.92798307166851379</v>
      </c>
      <c r="AL435" s="17">
        <f>MIN(AC435,'What-If Analysis'!$B$2)</f>
        <v>8.8999999999999996E-2</v>
      </c>
      <c r="AM435">
        <f>AE435*(1+'What-If Analysis'!$B$3)</f>
        <v>18.2</v>
      </c>
      <c r="AN435">
        <f>Y435*(1+'What-If Analysis'!$B$4)</f>
        <v>441.82600000000008</v>
      </c>
      <c r="AO435">
        <f t="shared" si="154"/>
        <v>12801.406618000001</v>
      </c>
    </row>
    <row r="436" spans="1:41" x14ac:dyDescent="0.3">
      <c r="A436" t="s">
        <v>198</v>
      </c>
      <c r="B436" s="3">
        <v>45157</v>
      </c>
      <c r="C436" s="3">
        <f t="shared" si="135"/>
        <v>45157</v>
      </c>
      <c r="D436" s="3">
        <v>45161</v>
      </c>
      <c r="E436" s="3">
        <f t="shared" si="136"/>
        <v>45161</v>
      </c>
      <c r="F436" s="16">
        <f t="shared" si="137"/>
        <v>4</v>
      </c>
      <c r="G436" s="16">
        <f>IF(Data!F393&lt;=7,1,0)</f>
        <v>1</v>
      </c>
      <c r="H436" s="5" t="str">
        <f t="shared" si="138"/>
        <v>08-2023</v>
      </c>
      <c r="I436" s="5" t="str">
        <f t="shared" si="139"/>
        <v>Q3-2023</v>
      </c>
      <c r="J436" s="3">
        <f t="shared" si="140"/>
        <v>44939</v>
      </c>
      <c r="K436" s="5" t="str">
        <f t="shared" si="141"/>
        <v>01-2023</v>
      </c>
      <c r="L436" t="s">
        <v>646</v>
      </c>
      <c r="M436" t="s">
        <v>651</v>
      </c>
      <c r="N436" t="s">
        <v>669</v>
      </c>
      <c r="O436" t="str">
        <f t="shared" si="142"/>
        <v>Abuja</v>
      </c>
      <c r="P436" t="s">
        <v>705</v>
      </c>
      <c r="Q436" t="s">
        <v>708</v>
      </c>
      <c r="R436" t="str">
        <f t="shared" si="143"/>
        <v>Online</v>
      </c>
      <c r="S436" t="s">
        <v>713</v>
      </c>
      <c r="T436" t="str">
        <f t="shared" si="156"/>
        <v>J. Njeri</v>
      </c>
      <c r="U436" t="s">
        <v>732</v>
      </c>
      <c r="V436" t="str">
        <f t="shared" si="144"/>
        <v>Medium</v>
      </c>
      <c r="W436" t="s">
        <v>917</v>
      </c>
      <c r="X436" t="str">
        <f t="shared" si="145"/>
        <v>B</v>
      </c>
      <c r="Y436" s="5">
        <v>790.63</v>
      </c>
      <c r="Z436" s="5">
        <v>1382.31</v>
      </c>
      <c r="AA436" s="5">
        <f t="shared" si="146"/>
        <v>1382.31</v>
      </c>
      <c r="AB436" s="7">
        <v>0.10100000000000001</v>
      </c>
      <c r="AC436" s="7">
        <f t="shared" si="147"/>
        <v>0.10100000000000001</v>
      </c>
      <c r="AD436" s="16">
        <f t="shared" si="148"/>
        <v>0</v>
      </c>
      <c r="AE436" s="16">
        <v>7</v>
      </c>
      <c r="AF436" s="5">
        <f t="shared" si="149"/>
        <v>8698.8768300000011</v>
      </c>
      <c r="AG436">
        <f t="shared" si="150"/>
        <v>5534.41</v>
      </c>
      <c r="AH436" s="5">
        <f t="shared" si="151"/>
        <v>3164.4668300000012</v>
      </c>
      <c r="AI436" s="5">
        <f t="shared" si="152"/>
        <v>0.36377878338116448</v>
      </c>
      <c r="AJ436" s="5">
        <f t="shared" si="155"/>
        <v>10166186.20646001</v>
      </c>
      <c r="AK436" s="7">
        <f t="shared" si="153"/>
        <v>0.92877779679873584</v>
      </c>
      <c r="AL436" s="17">
        <f>MIN(AC436,'What-If Analysis'!$B$2)</f>
        <v>0.10100000000000001</v>
      </c>
      <c r="AM436">
        <f>AE436*(1+'What-If Analysis'!$B$3)</f>
        <v>9.1</v>
      </c>
      <c r="AN436">
        <f>Y436*(1+'What-If Analysis'!$B$4)</f>
        <v>869.6930000000001</v>
      </c>
      <c r="AO436">
        <f t="shared" si="154"/>
        <v>11308.539879</v>
      </c>
    </row>
    <row r="437" spans="1:41" x14ac:dyDescent="0.3">
      <c r="A437" t="s">
        <v>345</v>
      </c>
      <c r="B437" s="3">
        <v>45914</v>
      </c>
      <c r="C437" s="3">
        <f t="shared" si="135"/>
        <v>45914</v>
      </c>
      <c r="D437" s="3">
        <v>45926</v>
      </c>
      <c r="E437" s="3">
        <f t="shared" si="136"/>
        <v>45926</v>
      </c>
      <c r="F437" s="16">
        <f t="shared" si="137"/>
        <v>12</v>
      </c>
      <c r="G437" s="16">
        <f>IF(Data!F391&lt;=7,1,0)</f>
        <v>1</v>
      </c>
      <c r="H437" s="5" t="str">
        <f t="shared" si="138"/>
        <v>09-2025</v>
      </c>
      <c r="I437" s="5" t="str">
        <f t="shared" si="139"/>
        <v>Q3-2025</v>
      </c>
      <c r="J437" s="3">
        <f t="shared" si="140"/>
        <v>44945</v>
      </c>
      <c r="K437" s="5" t="str">
        <f t="shared" si="141"/>
        <v>01-2023</v>
      </c>
      <c r="L437" t="s">
        <v>649</v>
      </c>
      <c r="M437" t="s">
        <v>658</v>
      </c>
      <c r="N437" t="s">
        <v>683</v>
      </c>
      <c r="O437" t="str">
        <f t="shared" si="142"/>
        <v>London</v>
      </c>
      <c r="P437" t="s">
        <v>705</v>
      </c>
      <c r="Q437" t="s">
        <v>711</v>
      </c>
      <c r="R437" t="str">
        <f t="shared" si="143"/>
        <v>Direct</v>
      </c>
      <c r="S437" t="s">
        <v>725</v>
      </c>
      <c r="T437" t="str">
        <f t="shared" si="156"/>
        <v>N. Brown</v>
      </c>
      <c r="U437" t="s">
        <v>729</v>
      </c>
      <c r="V437" t="str">
        <f t="shared" si="144"/>
        <v>Medium</v>
      </c>
      <c r="W437" t="s">
        <v>1065</v>
      </c>
      <c r="X437" t="str">
        <f t="shared" si="145"/>
        <v>B</v>
      </c>
      <c r="Y437" s="5">
        <v>425.15</v>
      </c>
      <c r="Z437" s="5">
        <v>885.92</v>
      </c>
      <c r="AA437" s="5">
        <f t="shared" si="146"/>
        <v>885.92</v>
      </c>
      <c r="AB437" s="7">
        <v>0.23899999999999999</v>
      </c>
      <c r="AC437" s="7">
        <f t="shared" si="147"/>
        <v>0.23899999999999999</v>
      </c>
      <c r="AD437" s="16">
        <f t="shared" si="148"/>
        <v>1</v>
      </c>
      <c r="AE437" s="16">
        <v>13</v>
      </c>
      <c r="AF437" s="5">
        <f t="shared" si="149"/>
        <v>8764.4065599999994</v>
      </c>
      <c r="AG437">
        <f t="shared" si="150"/>
        <v>5526.95</v>
      </c>
      <c r="AH437" s="5">
        <f t="shared" si="151"/>
        <v>3237.4565599999996</v>
      </c>
      <c r="AI437" s="5">
        <f t="shared" si="152"/>
        <v>0.3693868532725848</v>
      </c>
      <c r="AJ437" s="5">
        <f t="shared" si="155"/>
        <v>10174950.61302001</v>
      </c>
      <c r="AK437" s="7">
        <f t="shared" si="153"/>
        <v>0.9295785086930225</v>
      </c>
      <c r="AL437" s="17">
        <f>MIN(AC437,'What-If Analysis'!$B$2)</f>
        <v>0.2</v>
      </c>
      <c r="AM437">
        <f>AE437*(1+'What-If Analysis'!$B$3)</f>
        <v>16.900000000000002</v>
      </c>
      <c r="AN437">
        <f>Y437*(1+'What-If Analysis'!$B$4)</f>
        <v>467.66500000000002</v>
      </c>
      <c r="AO437">
        <f t="shared" si="154"/>
        <v>11977.638400000002</v>
      </c>
    </row>
    <row r="438" spans="1:41" x14ac:dyDescent="0.3">
      <c r="A438" t="s">
        <v>183</v>
      </c>
      <c r="B438" s="3">
        <v>45206</v>
      </c>
      <c r="C438" s="3">
        <f t="shared" si="135"/>
        <v>45206</v>
      </c>
      <c r="D438" s="3">
        <v>45222</v>
      </c>
      <c r="E438" s="3">
        <f t="shared" si="136"/>
        <v>45222</v>
      </c>
      <c r="F438" s="16">
        <f t="shared" si="137"/>
        <v>16</v>
      </c>
      <c r="G438" s="16">
        <f>IF(Data!F448&lt;=7,1,0)</f>
        <v>0</v>
      </c>
      <c r="H438" s="5" t="str">
        <f t="shared" si="138"/>
        <v>10-2023</v>
      </c>
      <c r="I438" s="5" t="str">
        <f t="shared" si="139"/>
        <v>Q4-2023</v>
      </c>
      <c r="J438" s="3">
        <f t="shared" si="140"/>
        <v>44955</v>
      </c>
      <c r="K438" s="5" t="str">
        <f t="shared" si="141"/>
        <v>01-2023</v>
      </c>
      <c r="L438" t="s">
        <v>647</v>
      </c>
      <c r="M438" t="s">
        <v>654</v>
      </c>
      <c r="N438" t="s">
        <v>696</v>
      </c>
      <c r="O438" t="str">
        <f t="shared" si="142"/>
        <v>Hyderabad</v>
      </c>
      <c r="P438" t="s">
        <v>704</v>
      </c>
      <c r="Q438" t="s">
        <v>707</v>
      </c>
      <c r="R438" t="str">
        <f t="shared" si="143"/>
        <v>Retail</v>
      </c>
      <c r="S438" t="s">
        <v>715</v>
      </c>
      <c r="T438" t="str">
        <f t="shared" si="156"/>
        <v>G. Dubois</v>
      </c>
      <c r="U438" t="s">
        <v>732</v>
      </c>
      <c r="V438" t="str">
        <f t="shared" si="144"/>
        <v>Medium</v>
      </c>
      <c r="W438" t="s">
        <v>902</v>
      </c>
      <c r="X438" t="str">
        <f t="shared" si="145"/>
        <v>B</v>
      </c>
      <c r="Y438" s="5">
        <v>906.81</v>
      </c>
      <c r="Z438" s="5">
        <v>1395.56</v>
      </c>
      <c r="AA438" s="5">
        <f t="shared" si="146"/>
        <v>1395.56</v>
      </c>
      <c r="AB438" s="7">
        <v>0.185</v>
      </c>
      <c r="AC438" s="7">
        <f t="shared" si="147"/>
        <v>0.185</v>
      </c>
      <c r="AD438" s="16">
        <f t="shared" si="148"/>
        <v>0</v>
      </c>
      <c r="AE438" s="16">
        <v>6</v>
      </c>
      <c r="AF438" s="5">
        <f t="shared" si="149"/>
        <v>6824.2884000000004</v>
      </c>
      <c r="AG438">
        <f t="shared" si="150"/>
        <v>5440.86</v>
      </c>
      <c r="AH438" s="5">
        <f t="shared" si="151"/>
        <v>1383.4284000000007</v>
      </c>
      <c r="AI438" s="5">
        <f t="shared" si="152"/>
        <v>0.20272126834498974</v>
      </c>
      <c r="AJ438" s="5">
        <f t="shared" si="155"/>
        <v>10181774.90142001</v>
      </c>
      <c r="AK438" s="7">
        <f t="shared" si="153"/>
        <v>0.93020197234164659</v>
      </c>
      <c r="AL438" s="17">
        <f>MIN(AC438,'What-If Analysis'!$B$2)</f>
        <v>0.185</v>
      </c>
      <c r="AM438">
        <f>AE438*(1+'What-If Analysis'!$B$3)</f>
        <v>7.8000000000000007</v>
      </c>
      <c r="AN438">
        <f>Y438*(1+'What-If Analysis'!$B$4)</f>
        <v>997.49099999999999</v>
      </c>
      <c r="AO438">
        <f t="shared" si="154"/>
        <v>8871.5749199999991</v>
      </c>
    </row>
    <row r="439" spans="1:41" x14ac:dyDescent="0.3">
      <c r="A439" t="s">
        <v>516</v>
      </c>
      <c r="B439" s="3">
        <v>44980</v>
      </c>
      <c r="C439" s="3">
        <f t="shared" si="135"/>
        <v>44980</v>
      </c>
      <c r="D439" s="3">
        <v>45003</v>
      </c>
      <c r="E439" s="3">
        <f t="shared" si="136"/>
        <v>45003</v>
      </c>
      <c r="F439" s="16">
        <f t="shared" si="137"/>
        <v>23</v>
      </c>
      <c r="G439" s="16">
        <f>IF(Data!F341&lt;=7,1,0)</f>
        <v>0</v>
      </c>
      <c r="H439" s="5" t="str">
        <f t="shared" si="138"/>
        <v>02-2023</v>
      </c>
      <c r="I439" s="5" t="str">
        <f t="shared" si="139"/>
        <v>Q1-2023</v>
      </c>
      <c r="J439" s="3">
        <f t="shared" si="140"/>
        <v>44938</v>
      </c>
      <c r="K439" s="5" t="str">
        <f t="shared" si="141"/>
        <v>01-2023</v>
      </c>
      <c r="L439" t="s">
        <v>647</v>
      </c>
      <c r="M439" t="s">
        <v>659</v>
      </c>
      <c r="N439" t="s">
        <v>699</v>
      </c>
      <c r="O439" t="str">
        <f t="shared" si="142"/>
        <v>Beijing</v>
      </c>
      <c r="P439" t="s">
        <v>702</v>
      </c>
      <c r="Q439" t="s">
        <v>710</v>
      </c>
      <c r="R439" t="str">
        <f t="shared" si="143"/>
        <v>Distributor</v>
      </c>
      <c r="S439" t="s">
        <v>723</v>
      </c>
      <c r="T439" t="str">
        <f t="shared" si="156"/>
        <v>K. Singh</v>
      </c>
      <c r="U439" t="s">
        <v>728</v>
      </c>
      <c r="V439" t="str">
        <f t="shared" si="144"/>
        <v>High</v>
      </c>
      <c r="W439" t="s">
        <v>1235</v>
      </c>
      <c r="X439" t="str">
        <f t="shared" si="145"/>
        <v>B</v>
      </c>
      <c r="Y439" s="5">
        <v>770.11</v>
      </c>
      <c r="Z439" s="5">
        <v>1667.82</v>
      </c>
      <c r="AA439" s="5">
        <f t="shared" si="146"/>
        <v>1667.82</v>
      </c>
      <c r="AB439" s="7">
        <v>6.9000000000000006E-2</v>
      </c>
      <c r="AC439" s="7">
        <f t="shared" si="147"/>
        <v>6.9000000000000006E-2</v>
      </c>
      <c r="AD439" s="16">
        <f t="shared" si="148"/>
        <v>0</v>
      </c>
      <c r="AE439" s="16">
        <v>7</v>
      </c>
      <c r="AF439" s="5">
        <f t="shared" si="149"/>
        <v>10869.182940000001</v>
      </c>
      <c r="AG439">
        <f t="shared" si="150"/>
        <v>5390.77</v>
      </c>
      <c r="AH439" s="5">
        <f t="shared" si="151"/>
        <v>5478.4129400000002</v>
      </c>
      <c r="AI439" s="5">
        <f t="shared" si="152"/>
        <v>0.50403171703355287</v>
      </c>
      <c r="AJ439" s="5">
        <f t="shared" si="155"/>
        <v>10192644.084360011</v>
      </c>
      <c r="AK439" s="7">
        <f t="shared" si="153"/>
        <v>0.93119497557599629</v>
      </c>
      <c r="AL439" s="17">
        <f>MIN(AC439,'What-If Analysis'!$B$2)</f>
        <v>6.9000000000000006E-2</v>
      </c>
      <c r="AM439">
        <f>AE439*(1+'What-If Analysis'!$B$3)</f>
        <v>9.1</v>
      </c>
      <c r="AN439">
        <f>Y439*(1+'What-If Analysis'!$B$4)</f>
        <v>847.12100000000009</v>
      </c>
      <c r="AO439">
        <f t="shared" si="154"/>
        <v>14129.937822</v>
      </c>
    </row>
    <row r="440" spans="1:41" x14ac:dyDescent="0.3">
      <c r="A440" t="s">
        <v>161</v>
      </c>
      <c r="B440" s="3">
        <v>45911</v>
      </c>
      <c r="C440" s="3">
        <f t="shared" si="135"/>
        <v>45911</v>
      </c>
      <c r="D440" s="3">
        <v>45928</v>
      </c>
      <c r="E440" s="3">
        <f t="shared" si="136"/>
        <v>45928</v>
      </c>
      <c r="F440" s="16">
        <f t="shared" si="137"/>
        <v>17</v>
      </c>
      <c r="G440" s="16">
        <f>IF(Data!F539&lt;=7,1,0)</f>
        <v>0</v>
      </c>
      <c r="H440" s="5" t="str">
        <f t="shared" si="138"/>
        <v>09-2025</v>
      </c>
      <c r="I440" s="5" t="str">
        <f t="shared" si="139"/>
        <v>Q3-2025</v>
      </c>
      <c r="J440" s="3">
        <f t="shared" si="140"/>
        <v>44946</v>
      </c>
      <c r="K440" s="5" t="str">
        <f t="shared" si="141"/>
        <v>01-2023</v>
      </c>
      <c r="L440" t="s">
        <v>646</v>
      </c>
      <c r="M440" t="s">
        <v>650</v>
      </c>
      <c r="N440" t="s">
        <v>664</v>
      </c>
      <c r="O440" t="str">
        <f t="shared" si="142"/>
        <v>Nairobi</v>
      </c>
      <c r="P440" t="s">
        <v>703</v>
      </c>
      <c r="Q440" t="s">
        <v>710</v>
      </c>
      <c r="R440" t="str">
        <f t="shared" si="143"/>
        <v>Distributor</v>
      </c>
      <c r="S440" t="s">
        <v>713</v>
      </c>
      <c r="T440" t="str">
        <f t="shared" si="156"/>
        <v>J. Njeri</v>
      </c>
      <c r="U440" t="s">
        <v>731</v>
      </c>
      <c r="V440" t="str">
        <f t="shared" si="144"/>
        <v>Low</v>
      </c>
      <c r="W440" t="s">
        <v>880</v>
      </c>
      <c r="X440" t="str">
        <f t="shared" si="145"/>
        <v>B</v>
      </c>
      <c r="Y440" s="5">
        <v>891.46</v>
      </c>
      <c r="Z440" s="5">
        <v>728.61</v>
      </c>
      <c r="AA440" s="5">
        <f t="shared" si="146"/>
        <v>728.61</v>
      </c>
      <c r="AB440" s="7">
        <v>0.185</v>
      </c>
      <c r="AC440" s="7">
        <f t="shared" si="147"/>
        <v>0.185</v>
      </c>
      <c r="AD440" s="16">
        <f t="shared" si="148"/>
        <v>0</v>
      </c>
      <c r="AE440" s="16">
        <v>6</v>
      </c>
      <c r="AF440" s="5">
        <f t="shared" si="149"/>
        <v>3562.9028999999996</v>
      </c>
      <c r="AG440">
        <f t="shared" si="150"/>
        <v>5348.76</v>
      </c>
      <c r="AH440" s="5">
        <f t="shared" si="151"/>
        <v>1785.8571000000006</v>
      </c>
      <c r="AI440" s="5">
        <f t="shared" si="152"/>
        <v>0.50123653383874167</v>
      </c>
      <c r="AJ440" s="5">
        <f t="shared" si="155"/>
        <v>10196206.98726001</v>
      </c>
      <c r="AK440" s="7">
        <f t="shared" si="153"/>
        <v>0.9315204806413635</v>
      </c>
      <c r="AL440" s="17">
        <f>MIN(AC440,'What-If Analysis'!$B$2)</f>
        <v>0.185</v>
      </c>
      <c r="AM440">
        <f>AE440*(1+'What-If Analysis'!$B$3)</f>
        <v>7.8000000000000007</v>
      </c>
      <c r="AN440">
        <f>Y440*(1+'What-If Analysis'!$B$4)</f>
        <v>980.60600000000011</v>
      </c>
      <c r="AO440">
        <f t="shared" si="154"/>
        <v>4631.7737699999998</v>
      </c>
    </row>
    <row r="441" spans="1:41" x14ac:dyDescent="0.3">
      <c r="A441" t="s">
        <v>58</v>
      </c>
      <c r="B441" s="3">
        <v>45806</v>
      </c>
      <c r="C441" s="3">
        <f t="shared" si="135"/>
        <v>45806</v>
      </c>
      <c r="D441" s="3">
        <v>45828</v>
      </c>
      <c r="E441" s="3">
        <f t="shared" si="136"/>
        <v>45828</v>
      </c>
      <c r="F441" s="16">
        <f t="shared" si="137"/>
        <v>22</v>
      </c>
      <c r="G441" s="16">
        <f>IF(Data!F347&lt;=7,1,0)</f>
        <v>0</v>
      </c>
      <c r="H441" s="5" t="str">
        <f t="shared" si="138"/>
        <v>05-2025</v>
      </c>
      <c r="I441" s="5" t="str">
        <f t="shared" si="139"/>
        <v>Q2-2025</v>
      </c>
      <c r="J441" s="3">
        <f t="shared" si="140"/>
        <v>44947</v>
      </c>
      <c r="K441" s="5" t="str">
        <f t="shared" si="141"/>
        <v>01-2023</v>
      </c>
      <c r="L441" t="s">
        <v>649</v>
      </c>
      <c r="M441" t="s">
        <v>656</v>
      </c>
      <c r="N441" t="s">
        <v>671</v>
      </c>
      <c r="O441" t="str">
        <f t="shared" si="142"/>
        <v>Berlin</v>
      </c>
      <c r="P441" t="s">
        <v>701</v>
      </c>
      <c r="Q441" t="s">
        <v>711</v>
      </c>
      <c r="R441" t="str">
        <f t="shared" si="143"/>
        <v>Direct</v>
      </c>
      <c r="S441" t="s">
        <v>720</v>
      </c>
      <c r="T441" t="str">
        <f t="shared" si="156"/>
        <v>A. Patel</v>
      </c>
      <c r="U441" t="s">
        <v>728</v>
      </c>
      <c r="V441" t="str">
        <f t="shared" si="144"/>
        <v>Medium</v>
      </c>
      <c r="W441" t="s">
        <v>777</v>
      </c>
      <c r="X441" t="str">
        <f t="shared" si="145"/>
        <v>B</v>
      </c>
      <c r="Y441" s="5">
        <v>483.47</v>
      </c>
      <c r="Z441" s="5">
        <v>1135.43</v>
      </c>
      <c r="AA441" s="5">
        <f t="shared" si="146"/>
        <v>1135.43</v>
      </c>
      <c r="AB441" s="7">
        <v>0.14599999999999999</v>
      </c>
      <c r="AC441" s="7">
        <f t="shared" si="147"/>
        <v>0.14599999999999999</v>
      </c>
      <c r="AD441" s="16">
        <f t="shared" si="148"/>
        <v>0</v>
      </c>
      <c r="AE441" s="16">
        <v>11</v>
      </c>
      <c r="AF441" s="5">
        <f t="shared" si="149"/>
        <v>10666.229420000001</v>
      </c>
      <c r="AG441">
        <f t="shared" si="150"/>
        <v>5318.17</v>
      </c>
      <c r="AH441" s="5">
        <f t="shared" si="151"/>
        <v>5348.0594200000014</v>
      </c>
      <c r="AI441" s="5">
        <f t="shared" si="152"/>
        <v>0.50140112399719983</v>
      </c>
      <c r="AJ441" s="5">
        <f t="shared" si="155"/>
        <v>10206873.216680011</v>
      </c>
      <c r="AK441" s="7">
        <f t="shared" si="153"/>
        <v>0.93249494214144535</v>
      </c>
      <c r="AL441" s="17">
        <f>MIN(AC441,'What-If Analysis'!$B$2)</f>
        <v>0.14599999999999999</v>
      </c>
      <c r="AM441">
        <f>AE441*(1+'What-If Analysis'!$B$3)</f>
        <v>14.3</v>
      </c>
      <c r="AN441">
        <f>Y441*(1+'What-If Analysis'!$B$4)</f>
        <v>531.81700000000012</v>
      </c>
      <c r="AO441">
        <f t="shared" si="154"/>
        <v>13866.098246000001</v>
      </c>
    </row>
    <row r="442" spans="1:41" x14ac:dyDescent="0.3">
      <c r="A442" t="s">
        <v>592</v>
      </c>
      <c r="B442" s="3">
        <v>45092</v>
      </c>
      <c r="C442" s="3">
        <f t="shared" si="135"/>
        <v>45092</v>
      </c>
      <c r="D442" s="3">
        <v>45119</v>
      </c>
      <c r="E442" s="3">
        <f t="shared" si="136"/>
        <v>45119</v>
      </c>
      <c r="F442" s="16">
        <f t="shared" si="137"/>
        <v>27</v>
      </c>
      <c r="G442" s="16">
        <f>IF(Data!F450&lt;=7,1,0)</f>
        <v>0</v>
      </c>
      <c r="H442" s="5" t="str">
        <f t="shared" si="138"/>
        <v>06-2023</v>
      </c>
      <c r="I442" s="5" t="str">
        <f t="shared" si="139"/>
        <v>Q2-2023</v>
      </c>
      <c r="J442" s="3">
        <f t="shared" si="140"/>
        <v>44945</v>
      </c>
      <c r="K442" s="5" t="str">
        <f t="shared" si="141"/>
        <v>01-2023</v>
      </c>
      <c r="L442" t="s">
        <v>649</v>
      </c>
      <c r="M442" t="s">
        <v>658</v>
      </c>
      <c r="N442" t="s">
        <v>693</v>
      </c>
      <c r="O442" t="str">
        <f t="shared" si="142"/>
        <v>Manchester</v>
      </c>
      <c r="P442" t="s">
        <v>704</v>
      </c>
      <c r="Q442" t="s">
        <v>711</v>
      </c>
      <c r="R442" t="str">
        <f t="shared" si="143"/>
        <v>Direct</v>
      </c>
      <c r="S442" t="s">
        <v>714</v>
      </c>
      <c r="T442" t="str">
        <f t="shared" si="156"/>
        <v>I. Johnson</v>
      </c>
      <c r="U442" t="s">
        <v>733</v>
      </c>
      <c r="V442" t="str">
        <f t="shared" si="144"/>
        <v>Medium</v>
      </c>
      <c r="W442" t="s">
        <v>1310</v>
      </c>
      <c r="X442" t="str">
        <f t="shared" si="145"/>
        <v>B</v>
      </c>
      <c r="Y442" s="5">
        <v>751.28</v>
      </c>
      <c r="Z442" s="5">
        <v>1111.8800000000001</v>
      </c>
      <c r="AA442" s="5">
        <f t="shared" si="146"/>
        <v>1111.8800000000001</v>
      </c>
      <c r="AB442" s="7">
        <v>0.13500000000000001</v>
      </c>
      <c r="AC442" s="7">
        <f t="shared" si="147"/>
        <v>0.13500000000000001</v>
      </c>
      <c r="AD442" s="16">
        <f t="shared" si="148"/>
        <v>0</v>
      </c>
      <c r="AE442" s="16">
        <v>7</v>
      </c>
      <c r="AF442" s="5">
        <f t="shared" si="149"/>
        <v>6732.4334000000008</v>
      </c>
      <c r="AG442">
        <f t="shared" si="150"/>
        <v>5258.96</v>
      </c>
      <c r="AH442" s="5">
        <f t="shared" si="151"/>
        <v>1473.4734000000008</v>
      </c>
      <c r="AI442" s="5">
        <f t="shared" si="152"/>
        <v>0.21886193482433863</v>
      </c>
      <c r="AJ442" s="5">
        <f t="shared" si="155"/>
        <v>10213605.65008001</v>
      </c>
      <c r="AK442" s="7">
        <f t="shared" si="153"/>
        <v>0.93311001396222037</v>
      </c>
      <c r="AL442" s="17">
        <f>MIN(AC442,'What-If Analysis'!$B$2)</f>
        <v>0.13500000000000001</v>
      </c>
      <c r="AM442">
        <f>AE442*(1+'What-If Analysis'!$B$3)</f>
        <v>9.1</v>
      </c>
      <c r="AN442">
        <f>Y442*(1+'What-If Analysis'!$B$4)</f>
        <v>826.40800000000002</v>
      </c>
      <c r="AO442">
        <f t="shared" si="154"/>
        <v>8752.1634200000008</v>
      </c>
    </row>
    <row r="443" spans="1:41" x14ac:dyDescent="0.3">
      <c r="A443" t="s">
        <v>422</v>
      </c>
      <c r="B443" s="3">
        <v>45724</v>
      </c>
      <c r="C443" s="3">
        <f t="shared" si="135"/>
        <v>45724</v>
      </c>
      <c r="D443" s="3">
        <v>45731</v>
      </c>
      <c r="E443" s="3">
        <f t="shared" si="136"/>
        <v>45731</v>
      </c>
      <c r="F443" s="16">
        <f t="shared" si="137"/>
        <v>7</v>
      </c>
      <c r="G443" s="16">
        <f>IF(Data!F504&lt;=7,1,0)</f>
        <v>1</v>
      </c>
      <c r="H443" s="5" t="str">
        <f t="shared" si="138"/>
        <v>03-2025</v>
      </c>
      <c r="I443" s="5" t="str">
        <f t="shared" si="139"/>
        <v>Q1-2025</v>
      </c>
      <c r="J443" s="3">
        <f t="shared" si="140"/>
        <v>44955</v>
      </c>
      <c r="K443" s="5" t="str">
        <f t="shared" si="141"/>
        <v>01-2023</v>
      </c>
      <c r="L443" t="s">
        <v>647</v>
      </c>
      <c r="M443" t="s">
        <v>654</v>
      </c>
      <c r="N443" t="s">
        <v>668</v>
      </c>
      <c r="O443" t="str">
        <f t="shared" si="142"/>
        <v>Bengaluru</v>
      </c>
      <c r="P443" t="s">
        <v>701</v>
      </c>
      <c r="Q443" t="s">
        <v>710</v>
      </c>
      <c r="R443" t="str">
        <f t="shared" si="143"/>
        <v>Distributor</v>
      </c>
      <c r="S443" t="s">
        <v>723</v>
      </c>
      <c r="T443" t="str">
        <f t="shared" si="156"/>
        <v>K. Singh</v>
      </c>
      <c r="U443" t="s">
        <v>731</v>
      </c>
      <c r="V443" t="str">
        <f t="shared" si="144"/>
        <v>Low</v>
      </c>
      <c r="W443" t="s">
        <v>1141</v>
      </c>
      <c r="X443" t="str">
        <f t="shared" si="145"/>
        <v>B</v>
      </c>
      <c r="Y443" s="5">
        <v>475.66</v>
      </c>
      <c r="Z443" s="5">
        <v>529.14</v>
      </c>
      <c r="AA443" s="5">
        <f t="shared" si="146"/>
        <v>529.14</v>
      </c>
      <c r="AB443" s="7">
        <v>0.19600000000000001</v>
      </c>
      <c r="AC443" s="7">
        <f t="shared" si="147"/>
        <v>0.19600000000000001</v>
      </c>
      <c r="AD443" s="16">
        <f t="shared" si="148"/>
        <v>0</v>
      </c>
      <c r="AE443" s="16">
        <v>11</v>
      </c>
      <c r="AF443" s="5">
        <f t="shared" si="149"/>
        <v>4679.7141600000004</v>
      </c>
      <c r="AG443">
        <f t="shared" si="150"/>
        <v>5232.26</v>
      </c>
      <c r="AH443" s="5">
        <f t="shared" si="151"/>
        <v>552.54583999999977</v>
      </c>
      <c r="AI443" s="5">
        <f t="shared" si="152"/>
        <v>0.11807256193613323</v>
      </c>
      <c r="AJ443" s="5">
        <f t="shared" si="155"/>
        <v>10218285.364240011</v>
      </c>
      <c r="AK443" s="7">
        <f t="shared" si="153"/>
        <v>0.93353755035776775</v>
      </c>
      <c r="AL443" s="17">
        <f>MIN(AC443,'What-If Analysis'!$B$2)</f>
        <v>0.19600000000000001</v>
      </c>
      <c r="AM443">
        <f>AE443*(1+'What-If Analysis'!$B$3)</f>
        <v>14.3</v>
      </c>
      <c r="AN443">
        <f>Y443*(1+'What-If Analysis'!$B$4)</f>
        <v>523.22600000000011</v>
      </c>
      <c r="AO443">
        <f t="shared" si="154"/>
        <v>6083.6284080000005</v>
      </c>
    </row>
    <row r="444" spans="1:41" x14ac:dyDescent="0.3">
      <c r="A444" t="s">
        <v>539</v>
      </c>
      <c r="B444" s="3">
        <v>45398</v>
      </c>
      <c r="C444" s="3">
        <f t="shared" si="135"/>
        <v>45398</v>
      </c>
      <c r="D444" s="3">
        <v>45409</v>
      </c>
      <c r="E444" s="3">
        <f t="shared" si="136"/>
        <v>45409</v>
      </c>
      <c r="F444" s="16">
        <f t="shared" si="137"/>
        <v>11</v>
      </c>
      <c r="G444" s="16">
        <f>IF(Data!F405&lt;=7,1,0)</f>
        <v>0</v>
      </c>
      <c r="H444" s="5" t="str">
        <f t="shared" si="138"/>
        <v>04-2024</v>
      </c>
      <c r="I444" s="5" t="str">
        <f t="shared" si="139"/>
        <v>Q2-2024</v>
      </c>
      <c r="J444" s="3">
        <f t="shared" si="140"/>
        <v>44946</v>
      </c>
      <c r="K444" s="5" t="str">
        <f t="shared" si="141"/>
        <v>01-2023</v>
      </c>
      <c r="L444" t="s">
        <v>646</v>
      </c>
      <c r="M444" t="s">
        <v>650</v>
      </c>
      <c r="N444" t="s">
        <v>678</v>
      </c>
      <c r="O444" t="str">
        <f t="shared" si="142"/>
        <v>Nakuru</v>
      </c>
      <c r="P444" t="s">
        <v>706</v>
      </c>
      <c r="Q444" t="s">
        <v>708</v>
      </c>
      <c r="R444" t="str">
        <f t="shared" si="143"/>
        <v>Online</v>
      </c>
      <c r="S444" t="s">
        <v>726</v>
      </c>
      <c r="T444" t="str">
        <f t="shared" si="156"/>
        <v>D. Smith</v>
      </c>
      <c r="U444" t="s">
        <v>728</v>
      </c>
      <c r="V444" t="str">
        <f t="shared" si="144"/>
        <v>Medium</v>
      </c>
      <c r="W444" t="s">
        <v>1258</v>
      </c>
      <c r="X444" t="str">
        <f t="shared" si="145"/>
        <v>B</v>
      </c>
      <c r="Y444" s="5">
        <v>401.3</v>
      </c>
      <c r="Z444" s="5">
        <v>826.47</v>
      </c>
      <c r="AA444" s="5">
        <f t="shared" si="146"/>
        <v>826.47</v>
      </c>
      <c r="AB444" s="7">
        <v>0.22500000000000001</v>
      </c>
      <c r="AC444" s="7">
        <f t="shared" si="147"/>
        <v>0.22500000000000001</v>
      </c>
      <c r="AD444" s="16">
        <f t="shared" si="148"/>
        <v>1</v>
      </c>
      <c r="AE444" s="16">
        <v>13</v>
      </c>
      <c r="AF444" s="5">
        <f t="shared" si="149"/>
        <v>8326.6852500000005</v>
      </c>
      <c r="AG444">
        <f t="shared" si="150"/>
        <v>5216.9000000000005</v>
      </c>
      <c r="AH444" s="5">
        <f t="shared" si="151"/>
        <v>3109.7852499999999</v>
      </c>
      <c r="AI444" s="5">
        <f t="shared" si="152"/>
        <v>0.37347217489696755</v>
      </c>
      <c r="AJ444" s="5">
        <f t="shared" si="155"/>
        <v>10226612.04949001</v>
      </c>
      <c r="AK444" s="7">
        <f t="shared" si="153"/>
        <v>0.93429827224738027</v>
      </c>
      <c r="AL444" s="17">
        <f>MIN(AC444,'What-If Analysis'!$B$2)</f>
        <v>0.2</v>
      </c>
      <c r="AM444">
        <f>AE444*(1+'What-If Analysis'!$B$3)</f>
        <v>16.900000000000002</v>
      </c>
      <c r="AN444">
        <f>Y444*(1+'What-If Analysis'!$B$4)</f>
        <v>441.43000000000006</v>
      </c>
      <c r="AO444">
        <f t="shared" si="154"/>
        <v>11173.874400000002</v>
      </c>
    </row>
    <row r="445" spans="1:41" x14ac:dyDescent="0.3">
      <c r="A445" t="s">
        <v>285</v>
      </c>
      <c r="B445" s="3">
        <v>45707</v>
      </c>
      <c r="C445" s="3">
        <f t="shared" si="135"/>
        <v>45707</v>
      </c>
      <c r="D445" s="3">
        <v>45725</v>
      </c>
      <c r="E445" s="3">
        <f t="shared" si="136"/>
        <v>45725</v>
      </c>
      <c r="F445" s="16">
        <f t="shared" si="137"/>
        <v>18</v>
      </c>
      <c r="G445" s="16">
        <f>IF(Data!F439&lt;=7,1,0)</f>
        <v>0</v>
      </c>
      <c r="H445" s="5" t="str">
        <f t="shared" si="138"/>
        <v>02-2025</v>
      </c>
      <c r="I445" s="5" t="str">
        <f t="shared" si="139"/>
        <v>Q1-2025</v>
      </c>
      <c r="J445" s="3">
        <f t="shared" si="140"/>
        <v>44955</v>
      </c>
      <c r="K445" s="5" t="str">
        <f t="shared" si="141"/>
        <v>01-2023</v>
      </c>
      <c r="L445" t="s">
        <v>647</v>
      </c>
      <c r="M445" t="s">
        <v>654</v>
      </c>
      <c r="N445" t="s">
        <v>680</v>
      </c>
      <c r="O445" t="str">
        <f t="shared" si="142"/>
        <v>Delhi</v>
      </c>
      <c r="P445" t="s">
        <v>705</v>
      </c>
      <c r="Q445" t="s">
        <v>711</v>
      </c>
      <c r="R445" t="str">
        <f t="shared" si="143"/>
        <v>Direct</v>
      </c>
      <c r="S445" t="s">
        <v>719</v>
      </c>
      <c r="T445" t="str">
        <f t="shared" si="156"/>
        <v>O. Wang</v>
      </c>
      <c r="U445" t="s">
        <v>732</v>
      </c>
      <c r="V445" t="str">
        <f t="shared" si="144"/>
        <v>Low</v>
      </c>
      <c r="W445" t="s">
        <v>1005</v>
      </c>
      <c r="X445" t="str">
        <f t="shared" si="145"/>
        <v>B</v>
      </c>
      <c r="Y445" s="5">
        <v>325.87</v>
      </c>
      <c r="Z445" s="5">
        <v>538.79</v>
      </c>
      <c r="AA445" s="5">
        <f t="shared" si="146"/>
        <v>538.79</v>
      </c>
      <c r="AB445" s="7">
        <v>0.17399999999999999</v>
      </c>
      <c r="AC445" s="7">
        <f t="shared" si="147"/>
        <v>0.17399999999999999</v>
      </c>
      <c r="AD445" s="16">
        <f t="shared" si="148"/>
        <v>0</v>
      </c>
      <c r="AE445" s="16">
        <v>16</v>
      </c>
      <c r="AF445" s="5">
        <f t="shared" si="149"/>
        <v>7120.6486400000003</v>
      </c>
      <c r="AG445">
        <f t="shared" si="150"/>
        <v>5213.92</v>
      </c>
      <c r="AH445" s="5">
        <f t="shared" si="151"/>
        <v>1906.7286400000003</v>
      </c>
      <c r="AI445" s="5">
        <f t="shared" si="152"/>
        <v>0.26777457172778013</v>
      </c>
      <c r="AJ445" s="5">
        <f t="shared" si="155"/>
        <v>10233732.69813001</v>
      </c>
      <c r="AK445" s="7">
        <f t="shared" si="153"/>
        <v>0.93494881122250095</v>
      </c>
      <c r="AL445" s="17">
        <f>MIN(AC445,'What-If Analysis'!$B$2)</f>
        <v>0.17399999999999999</v>
      </c>
      <c r="AM445">
        <f>AE445*(1+'What-If Analysis'!$B$3)</f>
        <v>20.8</v>
      </c>
      <c r="AN445">
        <f>Y445*(1+'What-If Analysis'!$B$4)</f>
        <v>358.45700000000005</v>
      </c>
      <c r="AO445">
        <f t="shared" si="154"/>
        <v>9256.8432320000011</v>
      </c>
    </row>
    <row r="446" spans="1:41" x14ac:dyDescent="0.3">
      <c r="A446" t="s">
        <v>484</v>
      </c>
      <c r="B446" s="3">
        <v>45060</v>
      </c>
      <c r="C446" s="3">
        <f t="shared" si="135"/>
        <v>45060</v>
      </c>
      <c r="D446" s="3">
        <v>45068</v>
      </c>
      <c r="E446" s="3">
        <f t="shared" si="136"/>
        <v>45068</v>
      </c>
      <c r="F446" s="16">
        <f t="shared" si="137"/>
        <v>8</v>
      </c>
      <c r="G446" s="16">
        <f>IF(Data!F354&lt;=7,1,0)</f>
        <v>0</v>
      </c>
      <c r="H446" s="5" t="str">
        <f t="shared" si="138"/>
        <v>05-2023</v>
      </c>
      <c r="I446" s="5" t="str">
        <f t="shared" si="139"/>
        <v>Q2-2023</v>
      </c>
      <c r="J446" s="3">
        <f t="shared" si="140"/>
        <v>44946</v>
      </c>
      <c r="K446" s="5" t="str">
        <f t="shared" si="141"/>
        <v>01-2023</v>
      </c>
      <c r="L446" t="s">
        <v>646</v>
      </c>
      <c r="M446" t="s">
        <v>650</v>
      </c>
      <c r="N446" t="s">
        <v>675</v>
      </c>
      <c r="O446" t="str">
        <f t="shared" si="142"/>
        <v>Mombasa</v>
      </c>
      <c r="P446" t="s">
        <v>705</v>
      </c>
      <c r="Q446" t="s">
        <v>710</v>
      </c>
      <c r="R446" t="str">
        <f t="shared" si="143"/>
        <v>Distributor</v>
      </c>
      <c r="S446" t="s">
        <v>721</v>
      </c>
      <c r="T446" t="str">
        <f t="shared" si="156"/>
        <v>F. Müller</v>
      </c>
      <c r="U446" t="s">
        <v>728</v>
      </c>
      <c r="V446" t="str">
        <f t="shared" si="144"/>
        <v>Medium</v>
      </c>
      <c r="W446" t="s">
        <v>1203</v>
      </c>
      <c r="X446" t="str">
        <f t="shared" si="145"/>
        <v>B</v>
      </c>
      <c r="Y446" s="5">
        <v>432.01</v>
      </c>
      <c r="Z446" s="5">
        <v>913.78</v>
      </c>
      <c r="AA446" s="5">
        <f t="shared" si="146"/>
        <v>913.78</v>
      </c>
      <c r="AB446" s="7">
        <v>4.9000000000000002E-2</v>
      </c>
      <c r="AC446" s="7">
        <f t="shared" si="147"/>
        <v>4.9000000000000002E-2</v>
      </c>
      <c r="AD446" s="16">
        <f t="shared" si="148"/>
        <v>0</v>
      </c>
      <c r="AE446" s="16">
        <v>12</v>
      </c>
      <c r="AF446" s="5">
        <f t="shared" si="149"/>
        <v>10428.057360000001</v>
      </c>
      <c r="AG446">
        <f t="shared" si="150"/>
        <v>5184.12</v>
      </c>
      <c r="AH446" s="5">
        <f t="shared" si="151"/>
        <v>5243.9373600000008</v>
      </c>
      <c r="AI446" s="5">
        <f t="shared" si="152"/>
        <v>0.50286809699711899</v>
      </c>
      <c r="AJ446" s="5">
        <f t="shared" si="155"/>
        <v>10244160.755490011</v>
      </c>
      <c r="AK446" s="7">
        <f t="shared" si="153"/>
        <v>0.93590151343973538</v>
      </c>
      <c r="AL446" s="17">
        <f>MIN(AC446,'What-If Analysis'!$B$2)</f>
        <v>4.9000000000000002E-2</v>
      </c>
      <c r="AM446">
        <f>AE446*(1+'What-If Analysis'!$B$3)</f>
        <v>15.600000000000001</v>
      </c>
      <c r="AN446">
        <f>Y446*(1+'What-If Analysis'!$B$4)</f>
        <v>475.21100000000001</v>
      </c>
      <c r="AO446">
        <f t="shared" si="154"/>
        <v>13556.474568</v>
      </c>
    </row>
    <row r="447" spans="1:41" x14ac:dyDescent="0.3">
      <c r="A447" t="s">
        <v>42</v>
      </c>
      <c r="B447" s="3">
        <v>45492</v>
      </c>
      <c r="C447" s="3">
        <f t="shared" si="135"/>
        <v>45492</v>
      </c>
      <c r="D447" s="3">
        <v>45492</v>
      </c>
      <c r="E447" s="3">
        <f t="shared" si="136"/>
        <v>45492</v>
      </c>
      <c r="F447" s="16">
        <f t="shared" si="137"/>
        <v>0</v>
      </c>
      <c r="G447" s="16">
        <f>IF(Data!F529&lt;=7,1,0)</f>
        <v>0</v>
      </c>
      <c r="H447" s="5" t="str">
        <f t="shared" si="138"/>
        <v>07-2024</v>
      </c>
      <c r="I447" s="5" t="str">
        <f t="shared" si="139"/>
        <v>Q3-2024</v>
      </c>
      <c r="J447" s="3">
        <f t="shared" si="140"/>
        <v>44946</v>
      </c>
      <c r="K447" s="5" t="str">
        <f t="shared" si="141"/>
        <v>01-2023</v>
      </c>
      <c r="L447" t="s">
        <v>646</v>
      </c>
      <c r="M447" t="s">
        <v>650</v>
      </c>
      <c r="N447" t="s">
        <v>662</v>
      </c>
      <c r="O447" t="str">
        <f t="shared" si="142"/>
        <v>Kisumu</v>
      </c>
      <c r="P447" t="s">
        <v>705</v>
      </c>
      <c r="Q447" t="s">
        <v>707</v>
      </c>
      <c r="R447" t="str">
        <f t="shared" si="143"/>
        <v>Retail</v>
      </c>
      <c r="S447" t="s">
        <v>720</v>
      </c>
      <c r="T447" t="str">
        <f t="shared" si="156"/>
        <v>A. Patel</v>
      </c>
      <c r="U447" t="s">
        <v>730</v>
      </c>
      <c r="V447" t="str">
        <f t="shared" si="144"/>
        <v>Low</v>
      </c>
      <c r="W447" t="s">
        <v>761</v>
      </c>
      <c r="X447" t="str">
        <f t="shared" si="145"/>
        <v>B</v>
      </c>
      <c r="Y447" s="5">
        <v>857.24</v>
      </c>
      <c r="Z447" s="5">
        <v>758.23</v>
      </c>
      <c r="AA447" s="5">
        <f t="shared" si="146"/>
        <v>758.23</v>
      </c>
      <c r="AB447" s="7">
        <v>0.125</v>
      </c>
      <c r="AC447" s="7">
        <f t="shared" si="147"/>
        <v>0.125</v>
      </c>
      <c r="AD447" s="16">
        <f t="shared" si="148"/>
        <v>0</v>
      </c>
      <c r="AE447" s="16">
        <v>6</v>
      </c>
      <c r="AF447" s="5">
        <f t="shared" si="149"/>
        <v>3980.7075</v>
      </c>
      <c r="AG447">
        <f t="shared" si="150"/>
        <v>5143.4400000000005</v>
      </c>
      <c r="AH447" s="5">
        <f t="shared" si="151"/>
        <v>1162.7325000000005</v>
      </c>
      <c r="AI447" s="5">
        <f t="shared" si="152"/>
        <v>0.29209192084572921</v>
      </c>
      <c r="AJ447" s="5">
        <f t="shared" si="155"/>
        <v>10248141.46299001</v>
      </c>
      <c r="AK447" s="7">
        <f t="shared" si="153"/>
        <v>0.93626518892889776</v>
      </c>
      <c r="AL447" s="17">
        <f>MIN(AC447,'What-If Analysis'!$B$2)</f>
        <v>0.125</v>
      </c>
      <c r="AM447">
        <f>AE447*(1+'What-If Analysis'!$B$3)</f>
        <v>7.8000000000000007</v>
      </c>
      <c r="AN447">
        <f>Y447*(1+'What-If Analysis'!$B$4)</f>
        <v>942.96400000000006</v>
      </c>
      <c r="AO447">
        <f t="shared" si="154"/>
        <v>5174.91975</v>
      </c>
    </row>
    <row r="448" spans="1:41" x14ac:dyDescent="0.3">
      <c r="A448" t="s">
        <v>232</v>
      </c>
      <c r="B448" s="3">
        <v>45576</v>
      </c>
      <c r="C448" s="3">
        <f t="shared" si="135"/>
        <v>45576</v>
      </c>
      <c r="D448" s="3">
        <v>45605</v>
      </c>
      <c r="E448" s="3">
        <f t="shared" si="136"/>
        <v>45605</v>
      </c>
      <c r="F448" s="16">
        <f t="shared" si="137"/>
        <v>29</v>
      </c>
      <c r="G448" s="16">
        <f>IF(Data!F457&lt;=7,1,0)</f>
        <v>1</v>
      </c>
      <c r="H448" s="5" t="str">
        <f t="shared" si="138"/>
        <v>10-2024</v>
      </c>
      <c r="I448" s="5" t="str">
        <f t="shared" si="139"/>
        <v>Q4-2024</v>
      </c>
      <c r="J448" s="3">
        <f t="shared" si="140"/>
        <v>44938</v>
      </c>
      <c r="K448" s="5" t="str">
        <f t="shared" si="141"/>
        <v>01-2023</v>
      </c>
      <c r="L448" t="s">
        <v>647</v>
      </c>
      <c r="M448" t="s">
        <v>659</v>
      </c>
      <c r="N448" t="s">
        <v>685</v>
      </c>
      <c r="O448" t="str">
        <f t="shared" si="142"/>
        <v>Shanghai</v>
      </c>
      <c r="P448" t="s">
        <v>703</v>
      </c>
      <c r="Q448" t="s">
        <v>708</v>
      </c>
      <c r="R448" t="str">
        <f t="shared" si="143"/>
        <v>Online</v>
      </c>
      <c r="S448" t="s">
        <v>721</v>
      </c>
      <c r="T448" t="str">
        <f t="shared" si="156"/>
        <v>F. Müller</v>
      </c>
      <c r="U448" t="s">
        <v>728</v>
      </c>
      <c r="V448" t="str">
        <f t="shared" si="144"/>
        <v>Low</v>
      </c>
      <c r="W448" t="s">
        <v>952</v>
      </c>
      <c r="X448" t="str">
        <f t="shared" si="145"/>
        <v>B</v>
      </c>
      <c r="Y448" s="5">
        <v>391.64</v>
      </c>
      <c r="Z448" s="5">
        <v>504.76</v>
      </c>
      <c r="AA448" s="5">
        <f t="shared" si="146"/>
        <v>504.76</v>
      </c>
      <c r="AB448" s="7">
        <v>4.0000000000000001E-3</v>
      </c>
      <c r="AC448" s="7">
        <f t="shared" si="147"/>
        <v>4.0000000000000001E-3</v>
      </c>
      <c r="AD448" s="16">
        <f t="shared" si="148"/>
        <v>0</v>
      </c>
      <c r="AE448" s="16">
        <v>13</v>
      </c>
      <c r="AF448" s="5">
        <f t="shared" si="149"/>
        <v>6535.6324800000002</v>
      </c>
      <c r="AG448">
        <f t="shared" si="150"/>
        <v>5091.32</v>
      </c>
      <c r="AH448" s="5">
        <f t="shared" si="151"/>
        <v>1444.3124800000005</v>
      </c>
      <c r="AI448" s="5">
        <f t="shared" si="152"/>
        <v>0.22099046793402319</v>
      </c>
      <c r="AJ448" s="5">
        <f t="shared" si="155"/>
        <v>10254677.095470009</v>
      </c>
      <c r="AK448" s="7">
        <f t="shared" si="153"/>
        <v>0.93686228111393</v>
      </c>
      <c r="AL448" s="17">
        <f>MIN(AC448,'What-If Analysis'!$B$2)</f>
        <v>4.0000000000000001E-3</v>
      </c>
      <c r="AM448">
        <f>AE448*(1+'What-If Analysis'!$B$3)</f>
        <v>16.900000000000002</v>
      </c>
      <c r="AN448">
        <f>Y448*(1+'What-If Analysis'!$B$4)</f>
        <v>430.80400000000003</v>
      </c>
      <c r="AO448">
        <f t="shared" si="154"/>
        <v>8496.3222240000014</v>
      </c>
    </row>
    <row r="449" spans="1:41" x14ac:dyDescent="0.3">
      <c r="A449" t="s">
        <v>220</v>
      </c>
      <c r="B449" s="3">
        <v>45109</v>
      </c>
      <c r="C449" s="3">
        <f t="shared" si="135"/>
        <v>45109</v>
      </c>
      <c r="D449" s="3">
        <v>45139</v>
      </c>
      <c r="E449" s="3">
        <f t="shared" si="136"/>
        <v>45139</v>
      </c>
      <c r="F449" s="16">
        <f t="shared" si="137"/>
        <v>30</v>
      </c>
      <c r="G449" s="16">
        <f>IF(Data!F451&lt;=7,1,0)</f>
        <v>0</v>
      </c>
      <c r="H449" s="5" t="str">
        <f t="shared" si="138"/>
        <v>07-2023</v>
      </c>
      <c r="I449" s="5" t="str">
        <f t="shared" si="139"/>
        <v>Q3-2023</v>
      </c>
      <c r="J449" s="3">
        <f t="shared" si="140"/>
        <v>44945</v>
      </c>
      <c r="K449" s="5" t="str">
        <f t="shared" si="141"/>
        <v>01-2023</v>
      </c>
      <c r="L449" t="s">
        <v>649</v>
      </c>
      <c r="M449" t="s">
        <v>658</v>
      </c>
      <c r="N449" t="s">
        <v>674</v>
      </c>
      <c r="O449" t="str">
        <f t="shared" si="142"/>
        <v>Birmingham</v>
      </c>
      <c r="P449" t="s">
        <v>705</v>
      </c>
      <c r="Q449" t="s">
        <v>707</v>
      </c>
      <c r="R449" t="str">
        <f t="shared" si="143"/>
        <v>Retail</v>
      </c>
      <c r="S449" t="s">
        <v>717</v>
      </c>
      <c r="T449" t="str">
        <f t="shared" si="156"/>
        <v>B. Chen</v>
      </c>
      <c r="U449" t="s">
        <v>727</v>
      </c>
      <c r="V449" t="str">
        <f t="shared" si="144"/>
        <v>Low</v>
      </c>
      <c r="W449" t="s">
        <v>940</v>
      </c>
      <c r="X449" t="str">
        <f t="shared" si="145"/>
        <v>B</v>
      </c>
      <c r="Y449" s="5">
        <v>137.46</v>
      </c>
      <c r="Z449" s="5">
        <v>188.3</v>
      </c>
      <c r="AA449" s="5">
        <f t="shared" si="146"/>
        <v>188.3</v>
      </c>
      <c r="AB449" s="7">
        <v>3.7999999999999999E-2</v>
      </c>
      <c r="AC449" s="7">
        <f t="shared" si="147"/>
        <v>3.7999999999999999E-2</v>
      </c>
      <c r="AD449" s="16">
        <f t="shared" si="148"/>
        <v>0</v>
      </c>
      <c r="AE449" s="16">
        <v>37</v>
      </c>
      <c r="AF449" s="5">
        <f t="shared" si="149"/>
        <v>6702.3501999999999</v>
      </c>
      <c r="AG449">
        <f t="shared" si="150"/>
        <v>5086.0200000000004</v>
      </c>
      <c r="AH449" s="5">
        <f t="shared" si="151"/>
        <v>1616.3301999999994</v>
      </c>
      <c r="AI449" s="5">
        <f t="shared" si="152"/>
        <v>0.24115872071262398</v>
      </c>
      <c r="AJ449" s="5">
        <f t="shared" si="155"/>
        <v>10261379.445670009</v>
      </c>
      <c r="AK449" s="7">
        <f t="shared" si="153"/>
        <v>0.9374746045482748</v>
      </c>
      <c r="AL449" s="17">
        <f>MIN(AC449,'What-If Analysis'!$B$2)</f>
        <v>3.7999999999999999E-2</v>
      </c>
      <c r="AM449">
        <f>AE449*(1+'What-If Analysis'!$B$3)</f>
        <v>48.1</v>
      </c>
      <c r="AN449">
        <f>Y449*(1+'What-If Analysis'!$B$4)</f>
        <v>151.20600000000002</v>
      </c>
      <c r="AO449">
        <f t="shared" si="154"/>
        <v>8713.055260000001</v>
      </c>
    </row>
    <row r="450" spans="1:41" x14ac:dyDescent="0.3">
      <c r="A450" t="s">
        <v>487</v>
      </c>
      <c r="B450" s="3">
        <v>45328</v>
      </c>
      <c r="C450" s="3">
        <f t="shared" ref="C450:C513" si="157">IF(D450&lt;B450,D450,B450)</f>
        <v>45328</v>
      </c>
      <c r="D450" s="3">
        <v>45350</v>
      </c>
      <c r="E450" s="3">
        <f t="shared" ref="E450:E513" si="158">IF(D450&lt;B450,B450,D450)</f>
        <v>45350</v>
      </c>
      <c r="F450" s="16">
        <f t="shared" ref="F450:F513" si="159">E450-C450</f>
        <v>22</v>
      </c>
      <c r="G450" s="16">
        <f>IF(Data!F404&lt;=7,1,0)</f>
        <v>1</v>
      </c>
      <c r="H450" s="5" t="str">
        <f t="shared" ref="H450:H513" si="160">TEXT(C450,"MM-YYYY")</f>
        <v>02-2024</v>
      </c>
      <c r="I450" s="5" t="str">
        <f t="shared" ref="I450:I513" si="161">"Q"&amp;ROUNDUP(MONTH(H450)/3,0)&amp;"-"&amp;YEAR(H450)</f>
        <v>Q1-2024</v>
      </c>
      <c r="J450" s="3">
        <f t="shared" ref="J450:J513" si="162">_xlfn.MINIFS(C:C,M:M,M450)</f>
        <v>44946</v>
      </c>
      <c r="K450" s="5" t="str">
        <f t="shared" ref="K450:K513" si="163">TEXT(J450,"MM-YYYY")</f>
        <v>01-2023</v>
      </c>
      <c r="L450" t="s">
        <v>646</v>
      </c>
      <c r="M450" t="s">
        <v>650</v>
      </c>
      <c r="N450" t="s">
        <v>662</v>
      </c>
      <c r="O450" t="str">
        <f t="shared" ref="O450:O513" si="164">IF(N450="",_xlfn.XLOOKUP(M450,M:M,N:N),N450)</f>
        <v>Kisumu</v>
      </c>
      <c r="P450" t="s">
        <v>703</v>
      </c>
      <c r="Q450" t="s">
        <v>708</v>
      </c>
      <c r="R450" t="str">
        <f t="shared" ref="R450:R513" si="165">IF(Q450="",_xlfn.XLOOKUP(M450,M:M,Q:Q),Q450)</f>
        <v>Online</v>
      </c>
      <c r="S450" t="s">
        <v>723</v>
      </c>
      <c r="T450" t="str">
        <f t="shared" si="156"/>
        <v>K. Singh</v>
      </c>
      <c r="U450" t="s">
        <v>732</v>
      </c>
      <c r="V450" t="str">
        <f t="shared" ref="V450:V513" si="166">IF(AA450&lt;815.0987,"Low",IF(AA450&lt;1640.058,"Medium","High"))</f>
        <v>Medium</v>
      </c>
      <c r="W450" t="s">
        <v>1206</v>
      </c>
      <c r="X450" t="str">
        <f t="shared" ref="X450:X513" si="167">IF(AK450&lt;=80%,"A",IF(AK450&lt;=95%,"B","C"))</f>
        <v>B</v>
      </c>
      <c r="Y450" s="5">
        <v>834.93</v>
      </c>
      <c r="Z450" s="5">
        <v>1588.53</v>
      </c>
      <c r="AA450" s="5">
        <f t="shared" ref="AA450:AA513" si="168">ABS(Z450)</f>
        <v>1588.53</v>
      </c>
      <c r="AB450" s="7">
        <v>0.126</v>
      </c>
      <c r="AC450" s="7">
        <f t="shared" ref="AC450:AC513" si="169">MIN(AB450,30%)</f>
        <v>0.126</v>
      </c>
      <c r="AD450" s="16">
        <f t="shared" ref="AD450:AD513" si="170">IF(AC450&gt;20%,1,0)</f>
        <v>0</v>
      </c>
      <c r="AE450" s="16">
        <v>6</v>
      </c>
      <c r="AF450" s="5">
        <f t="shared" ref="AF450:AF513" si="171">AA450*AE450*(1-AC450)</f>
        <v>8330.2513199999994</v>
      </c>
      <c r="AG450">
        <f t="shared" ref="AG450:AG513" si="172">Y450*AE450</f>
        <v>5009.58</v>
      </c>
      <c r="AH450" s="5">
        <f t="shared" ref="AH450:AH513" si="173">ABS(AF450-AG450)</f>
        <v>3320.6713199999995</v>
      </c>
      <c r="AI450" s="5">
        <f t="shared" ref="AI450:AI513" si="174">IF(AF450=0,0,AH450/AF450)</f>
        <v>0.39862798761274343</v>
      </c>
      <c r="AJ450" s="5">
        <f t="shared" si="155"/>
        <v>10269709.696990009</v>
      </c>
      <c r="AK450" s="7">
        <f t="shared" ref="AK450:AK513" si="175">AJ450/SUM(AF:AF)</f>
        <v>0.93823565223229755</v>
      </c>
      <c r="AL450" s="17">
        <f>MIN(AC450,'What-If Analysis'!$B$2)</f>
        <v>0.126</v>
      </c>
      <c r="AM450">
        <f>AE450*(1+'What-If Analysis'!$B$3)</f>
        <v>7.8000000000000007</v>
      </c>
      <c r="AN450">
        <f>Y450*(1+'What-If Analysis'!$B$4)</f>
        <v>918.423</v>
      </c>
      <c r="AO450">
        <f t="shared" ref="AO450:AO513" si="176">AA450*AM450*(1-AL450)</f>
        <v>10829.326716000001</v>
      </c>
    </row>
    <row r="451" spans="1:41" x14ac:dyDescent="0.3">
      <c r="A451" t="s">
        <v>460</v>
      </c>
      <c r="B451" s="3">
        <v>45284</v>
      </c>
      <c r="C451" s="3">
        <f t="shared" si="157"/>
        <v>45284</v>
      </c>
      <c r="D451" s="3">
        <v>45304</v>
      </c>
      <c r="E451" s="3">
        <f t="shared" si="158"/>
        <v>45304</v>
      </c>
      <c r="F451" s="16">
        <f t="shared" si="159"/>
        <v>20</v>
      </c>
      <c r="G451" s="16">
        <f>IF(Data!F370&lt;=7,1,0)</f>
        <v>0</v>
      </c>
      <c r="H451" s="5" t="str">
        <f t="shared" si="160"/>
        <v>12-2023</v>
      </c>
      <c r="I451" s="5" t="str">
        <f t="shared" si="161"/>
        <v>Q4-2023</v>
      </c>
      <c r="J451" s="3">
        <f t="shared" si="162"/>
        <v>44988</v>
      </c>
      <c r="K451" s="5" t="str">
        <f t="shared" si="163"/>
        <v>03-2023</v>
      </c>
      <c r="L451" t="s">
        <v>647</v>
      </c>
      <c r="M451" t="s">
        <v>652</v>
      </c>
      <c r="N451" t="s">
        <v>694</v>
      </c>
      <c r="O451" t="str">
        <f t="shared" si="164"/>
        <v>Nagoya</v>
      </c>
      <c r="P451" t="s">
        <v>702</v>
      </c>
      <c r="Q451" t="s">
        <v>711</v>
      </c>
      <c r="R451" t="str">
        <f t="shared" si="165"/>
        <v>Direct</v>
      </c>
      <c r="S451" t="s">
        <v>717</v>
      </c>
      <c r="T451" t="str">
        <f t="shared" si="156"/>
        <v>B. Chen</v>
      </c>
      <c r="U451" t="s">
        <v>731</v>
      </c>
      <c r="V451" t="str">
        <f t="shared" si="166"/>
        <v>Medium</v>
      </c>
      <c r="W451" t="s">
        <v>1179</v>
      </c>
      <c r="X451" t="str">
        <f t="shared" si="167"/>
        <v>B</v>
      </c>
      <c r="Y451" s="5">
        <v>625.37</v>
      </c>
      <c r="Z451" s="5">
        <v>1319.04</v>
      </c>
      <c r="AA451" s="5">
        <f t="shared" si="168"/>
        <v>1319.04</v>
      </c>
      <c r="AB451" s="7">
        <v>7.3999999999999996E-2</v>
      </c>
      <c r="AC451" s="7">
        <f t="shared" si="169"/>
        <v>7.3999999999999996E-2</v>
      </c>
      <c r="AD451" s="16">
        <f t="shared" si="170"/>
        <v>0</v>
      </c>
      <c r="AE451" s="16">
        <v>8</v>
      </c>
      <c r="AF451" s="5">
        <f t="shared" si="171"/>
        <v>9771.4483199999995</v>
      </c>
      <c r="AG451">
        <f t="shared" si="172"/>
        <v>5002.96</v>
      </c>
      <c r="AH451" s="5">
        <f t="shared" si="173"/>
        <v>4768.4883199999995</v>
      </c>
      <c r="AI451" s="5">
        <f t="shared" si="174"/>
        <v>0.48800220436513547</v>
      </c>
      <c r="AJ451" s="5">
        <f t="shared" ref="AJ451:AJ514" si="177">AJ450+AF451</f>
        <v>10279481.145310009</v>
      </c>
      <c r="AK451" s="7">
        <f t="shared" si="175"/>
        <v>0.93912836696896196</v>
      </c>
      <c r="AL451" s="17">
        <f>MIN(AC451,'What-If Analysis'!$B$2)</f>
        <v>7.3999999999999996E-2</v>
      </c>
      <c r="AM451">
        <f>AE451*(1+'What-If Analysis'!$B$3)</f>
        <v>10.4</v>
      </c>
      <c r="AN451">
        <f>Y451*(1+'What-If Analysis'!$B$4)</f>
        <v>687.90700000000004</v>
      </c>
      <c r="AO451">
        <f t="shared" si="176"/>
        <v>12702.882815999999</v>
      </c>
    </row>
    <row r="452" spans="1:41" x14ac:dyDescent="0.3">
      <c r="A452" t="s">
        <v>241</v>
      </c>
      <c r="B452" s="3">
        <v>45203</v>
      </c>
      <c r="C452" s="3">
        <f t="shared" si="157"/>
        <v>45203</v>
      </c>
      <c r="D452" s="3">
        <v>45228</v>
      </c>
      <c r="E452" s="3">
        <f t="shared" si="158"/>
        <v>45228</v>
      </c>
      <c r="F452" s="16">
        <f t="shared" si="159"/>
        <v>25</v>
      </c>
      <c r="G452" s="16">
        <f>IF(Data!F477&lt;=7,1,0)</f>
        <v>0</v>
      </c>
      <c r="H452" s="5" t="str">
        <f t="shared" si="160"/>
        <v>10-2023</v>
      </c>
      <c r="I452" s="5" t="str">
        <f t="shared" si="161"/>
        <v>Q4-2023</v>
      </c>
      <c r="J452" s="3">
        <f t="shared" si="162"/>
        <v>44939</v>
      </c>
      <c r="K452" s="5" t="str">
        <f t="shared" si="163"/>
        <v>01-2023</v>
      </c>
      <c r="L452" t="s">
        <v>648</v>
      </c>
      <c r="M452" t="s">
        <v>660</v>
      </c>
      <c r="N452" t="s">
        <v>686</v>
      </c>
      <c r="O452" t="str">
        <f t="shared" si="164"/>
        <v>San Francisco</v>
      </c>
      <c r="P452" t="s">
        <v>705</v>
      </c>
      <c r="Q452" t="s">
        <v>710</v>
      </c>
      <c r="R452" t="str">
        <f t="shared" si="165"/>
        <v>Distributor</v>
      </c>
      <c r="S452" t="s">
        <v>719</v>
      </c>
      <c r="T452" t="str">
        <f t="shared" si="156"/>
        <v>O. Wang</v>
      </c>
      <c r="U452" t="s">
        <v>733</v>
      </c>
      <c r="V452" t="str">
        <f t="shared" si="166"/>
        <v>Medium</v>
      </c>
      <c r="W452" t="s">
        <v>961</v>
      </c>
      <c r="X452" t="str">
        <f t="shared" si="167"/>
        <v>B</v>
      </c>
      <c r="Y452" s="5">
        <v>1239.8399999999999</v>
      </c>
      <c r="Z452" s="5">
        <v>1482.75</v>
      </c>
      <c r="AA452" s="5">
        <f t="shared" si="168"/>
        <v>1482.75</v>
      </c>
      <c r="AB452" s="7">
        <v>6.7000000000000004E-2</v>
      </c>
      <c r="AC452" s="7">
        <f t="shared" si="169"/>
        <v>6.7000000000000004E-2</v>
      </c>
      <c r="AD452" s="16">
        <f t="shared" si="170"/>
        <v>0</v>
      </c>
      <c r="AE452" s="16">
        <v>4</v>
      </c>
      <c r="AF452" s="5">
        <f t="shared" si="171"/>
        <v>5533.6230000000005</v>
      </c>
      <c r="AG452">
        <f t="shared" si="172"/>
        <v>4959.3599999999997</v>
      </c>
      <c r="AH452" s="5">
        <f t="shared" si="173"/>
        <v>574.26300000000083</v>
      </c>
      <c r="AI452" s="5">
        <f t="shared" si="174"/>
        <v>0.10377703721413634</v>
      </c>
      <c r="AJ452" s="5">
        <f t="shared" si="177"/>
        <v>10285014.768310009</v>
      </c>
      <c r="AK452" s="7">
        <f t="shared" si="175"/>
        <v>0.93963391605825453</v>
      </c>
      <c r="AL452" s="17">
        <f>MIN(AC452,'What-If Analysis'!$B$2)</f>
        <v>6.7000000000000004E-2</v>
      </c>
      <c r="AM452">
        <f>AE452*(1+'What-If Analysis'!$B$3)</f>
        <v>5.2</v>
      </c>
      <c r="AN452">
        <f>Y452*(1+'What-If Analysis'!$B$4)</f>
        <v>1363.8240000000001</v>
      </c>
      <c r="AO452">
        <f t="shared" si="176"/>
        <v>7193.7099000000007</v>
      </c>
    </row>
    <row r="453" spans="1:41" x14ac:dyDescent="0.3">
      <c r="A453" t="s">
        <v>215</v>
      </c>
      <c r="B453" s="3">
        <v>45303</v>
      </c>
      <c r="C453" s="3">
        <f t="shared" si="157"/>
        <v>45303</v>
      </c>
      <c r="D453" s="3">
        <v>45320</v>
      </c>
      <c r="E453" s="3">
        <f t="shared" si="158"/>
        <v>45320</v>
      </c>
      <c r="F453" s="16">
        <f t="shared" si="159"/>
        <v>17</v>
      </c>
      <c r="G453" s="16">
        <f>IF(Data!F505&lt;=7,1,0)</f>
        <v>0</v>
      </c>
      <c r="H453" s="5" t="str">
        <f t="shared" si="160"/>
        <v>01-2024</v>
      </c>
      <c r="I453" s="5" t="str">
        <f t="shared" si="161"/>
        <v>Q1-2024</v>
      </c>
      <c r="J453" s="3">
        <f t="shared" si="162"/>
        <v>44939</v>
      </c>
      <c r="K453" s="5" t="str">
        <f t="shared" si="163"/>
        <v>01-2023</v>
      </c>
      <c r="L453" t="s">
        <v>648</v>
      </c>
      <c r="M453" t="s">
        <v>660</v>
      </c>
      <c r="N453" t="s">
        <v>677</v>
      </c>
      <c r="O453" t="str">
        <f t="shared" si="164"/>
        <v>Chicago</v>
      </c>
      <c r="P453" t="s">
        <v>702</v>
      </c>
      <c r="Q453" t="s">
        <v>710</v>
      </c>
      <c r="R453" t="str">
        <f t="shared" si="165"/>
        <v>Distributor</v>
      </c>
      <c r="S453" t="s">
        <v>720</v>
      </c>
      <c r="T453" t="str">
        <f t="shared" si="156"/>
        <v>A. Patel</v>
      </c>
      <c r="U453" t="s">
        <v>728</v>
      </c>
      <c r="V453" t="str">
        <f t="shared" si="166"/>
        <v>Low</v>
      </c>
      <c r="W453" t="s">
        <v>935</v>
      </c>
      <c r="X453" t="str">
        <f t="shared" si="167"/>
        <v>B</v>
      </c>
      <c r="Y453" s="5">
        <v>493.76</v>
      </c>
      <c r="Z453" s="5">
        <v>625.04</v>
      </c>
      <c r="AA453" s="5">
        <f t="shared" si="168"/>
        <v>625.04</v>
      </c>
      <c r="AB453" s="7">
        <v>0.25800000000000001</v>
      </c>
      <c r="AC453" s="7">
        <f t="shared" si="169"/>
        <v>0.25800000000000001</v>
      </c>
      <c r="AD453" s="16">
        <f t="shared" si="170"/>
        <v>1</v>
      </c>
      <c r="AE453" s="16">
        <v>10</v>
      </c>
      <c r="AF453" s="5">
        <f t="shared" si="171"/>
        <v>4637.7968000000001</v>
      </c>
      <c r="AG453">
        <f t="shared" si="172"/>
        <v>4937.6000000000004</v>
      </c>
      <c r="AH453" s="5">
        <f t="shared" si="173"/>
        <v>299.80320000000029</v>
      </c>
      <c r="AI453" s="5">
        <f t="shared" si="174"/>
        <v>6.464345311549663E-2</v>
      </c>
      <c r="AJ453" s="5">
        <f t="shared" si="177"/>
        <v>10289652.565110009</v>
      </c>
      <c r="AK453" s="7">
        <f t="shared" si="175"/>
        <v>0.94005762290430539</v>
      </c>
      <c r="AL453" s="17">
        <f>MIN(AC453,'What-If Analysis'!$B$2)</f>
        <v>0.2</v>
      </c>
      <c r="AM453">
        <f>AE453*(1+'What-If Analysis'!$B$3)</f>
        <v>13</v>
      </c>
      <c r="AN453">
        <f>Y453*(1+'What-If Analysis'!$B$4)</f>
        <v>543.13600000000008</v>
      </c>
      <c r="AO453">
        <f t="shared" si="176"/>
        <v>6500.4160000000002</v>
      </c>
    </row>
    <row r="454" spans="1:41" x14ac:dyDescent="0.3">
      <c r="A454" t="s">
        <v>329</v>
      </c>
      <c r="B454" s="3">
        <v>45809</v>
      </c>
      <c r="C454" s="3">
        <f t="shared" si="157"/>
        <v>45809</v>
      </c>
      <c r="D454" s="3">
        <v>45814</v>
      </c>
      <c r="E454" s="3">
        <f t="shared" si="158"/>
        <v>45814</v>
      </c>
      <c r="F454" s="16">
        <f t="shared" si="159"/>
        <v>5</v>
      </c>
      <c r="G454" s="16">
        <f>IF(Data!F390&lt;=7,1,0)</f>
        <v>0</v>
      </c>
      <c r="H454" s="5" t="str">
        <f t="shared" si="160"/>
        <v>06-2025</v>
      </c>
      <c r="I454" s="5" t="str">
        <f t="shared" si="161"/>
        <v>Q2-2025</v>
      </c>
      <c r="J454" s="3">
        <f t="shared" si="162"/>
        <v>44936</v>
      </c>
      <c r="K454" s="5" t="str">
        <f t="shared" si="163"/>
        <v>01-2023</v>
      </c>
      <c r="L454" t="s">
        <v>649</v>
      </c>
      <c r="M454" t="s">
        <v>657</v>
      </c>
      <c r="N454" t="s">
        <v>690</v>
      </c>
      <c r="O454" t="str">
        <f t="shared" si="164"/>
        <v>Paris</v>
      </c>
      <c r="P454" t="s">
        <v>704</v>
      </c>
      <c r="Q454" t="s">
        <v>710</v>
      </c>
      <c r="R454" t="str">
        <f t="shared" si="165"/>
        <v>Distributor</v>
      </c>
      <c r="S454" t="s">
        <v>715</v>
      </c>
      <c r="T454" t="str">
        <f t="shared" si="156"/>
        <v>G. Dubois</v>
      </c>
      <c r="U454" t="s">
        <v>727</v>
      </c>
      <c r="V454" t="str">
        <f t="shared" si="166"/>
        <v>Low</v>
      </c>
      <c r="W454" t="s">
        <v>1049</v>
      </c>
      <c r="X454" t="str">
        <f t="shared" si="167"/>
        <v>B</v>
      </c>
      <c r="Y454" s="5">
        <v>379.45</v>
      </c>
      <c r="Z454" s="5">
        <v>742.23</v>
      </c>
      <c r="AA454" s="5">
        <f t="shared" si="168"/>
        <v>742.23</v>
      </c>
      <c r="AB454" s="7">
        <v>0.09</v>
      </c>
      <c r="AC454" s="7">
        <f t="shared" si="169"/>
        <v>0.09</v>
      </c>
      <c r="AD454" s="16">
        <f t="shared" si="170"/>
        <v>0</v>
      </c>
      <c r="AE454" s="16">
        <v>13</v>
      </c>
      <c r="AF454" s="5">
        <f t="shared" si="171"/>
        <v>8780.5809000000008</v>
      </c>
      <c r="AG454">
        <f t="shared" si="172"/>
        <v>4932.8499999999995</v>
      </c>
      <c r="AH454" s="5">
        <f t="shared" si="173"/>
        <v>3847.7309000000014</v>
      </c>
      <c r="AI454" s="5">
        <f t="shared" si="174"/>
        <v>0.43820915083192286</v>
      </c>
      <c r="AJ454" s="5">
        <f t="shared" si="177"/>
        <v>10298433.14601001</v>
      </c>
      <c r="AK454" s="7">
        <f t="shared" si="175"/>
        <v>0.94085981247837924</v>
      </c>
      <c r="AL454" s="17">
        <f>MIN(AC454,'What-If Analysis'!$B$2)</f>
        <v>0.09</v>
      </c>
      <c r="AM454">
        <f>AE454*(1+'What-If Analysis'!$B$3)</f>
        <v>16.900000000000002</v>
      </c>
      <c r="AN454">
        <f>Y454*(1+'What-If Analysis'!$B$4)</f>
        <v>417.39500000000004</v>
      </c>
      <c r="AO454">
        <f t="shared" si="176"/>
        <v>11414.755170000002</v>
      </c>
    </row>
    <row r="455" spans="1:41" x14ac:dyDescent="0.3">
      <c r="A455" t="s">
        <v>387</v>
      </c>
      <c r="B455" s="3">
        <v>45751</v>
      </c>
      <c r="C455" s="3">
        <f t="shared" si="157"/>
        <v>45751</v>
      </c>
      <c r="D455" s="3">
        <v>45757</v>
      </c>
      <c r="E455" s="3">
        <f t="shared" si="158"/>
        <v>45757</v>
      </c>
      <c r="F455" s="16">
        <f t="shared" si="159"/>
        <v>6</v>
      </c>
      <c r="G455" s="16">
        <f>IF(Data!F525&lt;=7,1,0)</f>
        <v>1</v>
      </c>
      <c r="H455" s="5" t="str">
        <f t="shared" si="160"/>
        <v>04-2025</v>
      </c>
      <c r="I455" s="5" t="str">
        <f t="shared" si="161"/>
        <v>Q2-2025</v>
      </c>
      <c r="J455" s="3">
        <f t="shared" si="162"/>
        <v>44945</v>
      </c>
      <c r="K455" s="5" t="str">
        <f t="shared" si="163"/>
        <v>01-2023</v>
      </c>
      <c r="L455" t="s">
        <v>649</v>
      </c>
      <c r="M455" t="s">
        <v>658</v>
      </c>
      <c r="N455" t="s">
        <v>674</v>
      </c>
      <c r="O455" t="str">
        <f t="shared" si="164"/>
        <v>Birmingham</v>
      </c>
      <c r="P455" t="s">
        <v>703</v>
      </c>
      <c r="Q455" t="s">
        <v>711</v>
      </c>
      <c r="R455" t="str">
        <f t="shared" si="165"/>
        <v>Direct</v>
      </c>
      <c r="S455" t="s">
        <v>725</v>
      </c>
      <c r="T455" t="str">
        <f t="shared" si="156"/>
        <v>N. Brown</v>
      </c>
      <c r="U455" t="s">
        <v>728</v>
      </c>
      <c r="V455" t="str">
        <f t="shared" si="166"/>
        <v>Low</v>
      </c>
      <c r="W455" t="s">
        <v>1107</v>
      </c>
      <c r="X455" t="str">
        <f t="shared" si="167"/>
        <v>B</v>
      </c>
      <c r="Y455" s="5">
        <v>290.14</v>
      </c>
      <c r="Z455" s="5">
        <v>250.73</v>
      </c>
      <c r="AA455" s="5">
        <f t="shared" si="168"/>
        <v>250.73</v>
      </c>
      <c r="AB455" s="7">
        <v>3.4000000000000002E-2</v>
      </c>
      <c r="AC455" s="7">
        <f t="shared" si="169"/>
        <v>3.4000000000000002E-2</v>
      </c>
      <c r="AD455" s="16">
        <f t="shared" si="170"/>
        <v>0</v>
      </c>
      <c r="AE455" s="16">
        <v>17</v>
      </c>
      <c r="AF455" s="5">
        <f t="shared" si="171"/>
        <v>4117.4880599999997</v>
      </c>
      <c r="AG455">
        <f t="shared" si="172"/>
        <v>4932.38</v>
      </c>
      <c r="AH455" s="5">
        <f t="shared" si="173"/>
        <v>814.89194000000043</v>
      </c>
      <c r="AI455" s="5">
        <f t="shared" si="174"/>
        <v>0.19790997038131072</v>
      </c>
      <c r="AJ455" s="5">
        <f t="shared" si="177"/>
        <v>10302550.634070009</v>
      </c>
      <c r="AK455" s="7">
        <f t="shared" si="175"/>
        <v>0.94123598417256693</v>
      </c>
      <c r="AL455" s="17">
        <f>MIN(AC455,'What-If Analysis'!$B$2)</f>
        <v>3.4000000000000002E-2</v>
      </c>
      <c r="AM455">
        <f>AE455*(1+'What-If Analysis'!$B$3)</f>
        <v>22.1</v>
      </c>
      <c r="AN455">
        <f>Y455*(1+'What-If Analysis'!$B$4)</f>
        <v>319.154</v>
      </c>
      <c r="AO455">
        <f t="shared" si="176"/>
        <v>5352.7344779999994</v>
      </c>
    </row>
    <row r="456" spans="1:41" x14ac:dyDescent="0.3">
      <c r="A456" t="s">
        <v>554</v>
      </c>
      <c r="B456" s="3">
        <v>44952</v>
      </c>
      <c r="C456" s="3">
        <f t="shared" si="157"/>
        <v>44952</v>
      </c>
      <c r="D456" s="3">
        <v>44972</v>
      </c>
      <c r="E456" s="3">
        <f t="shared" si="158"/>
        <v>44972</v>
      </c>
      <c r="F456" s="16">
        <f t="shared" si="159"/>
        <v>20</v>
      </c>
      <c r="G456" s="16">
        <f>IF(Data!F544&lt;=7,1,0)</f>
        <v>1</v>
      </c>
      <c r="H456" s="5" t="str">
        <f t="shared" si="160"/>
        <v>01-2023</v>
      </c>
      <c r="I456" s="5" t="str">
        <f t="shared" si="161"/>
        <v>Q1-2023</v>
      </c>
      <c r="J456" s="3">
        <f t="shared" si="162"/>
        <v>44947</v>
      </c>
      <c r="K456" s="5" t="str">
        <f t="shared" si="163"/>
        <v>01-2023</v>
      </c>
      <c r="L456" t="s">
        <v>649</v>
      </c>
      <c r="M456" t="s">
        <v>656</v>
      </c>
      <c r="N456" t="s">
        <v>671</v>
      </c>
      <c r="O456" t="str">
        <f t="shared" si="164"/>
        <v>Berlin</v>
      </c>
      <c r="P456" t="s">
        <v>705</v>
      </c>
      <c r="Q456" t="s">
        <v>708</v>
      </c>
      <c r="R456" t="str">
        <f t="shared" si="165"/>
        <v>Online</v>
      </c>
      <c r="S456" t="s">
        <v>719</v>
      </c>
      <c r="T456" t="str">
        <f t="shared" si="156"/>
        <v>O. Wang</v>
      </c>
      <c r="U456" t="s">
        <v>729</v>
      </c>
      <c r="V456" t="str">
        <f t="shared" si="166"/>
        <v>Low</v>
      </c>
      <c r="W456" t="s">
        <v>1272</v>
      </c>
      <c r="X456" t="str">
        <f t="shared" si="167"/>
        <v>B</v>
      </c>
      <c r="Y456" s="5">
        <v>492.62</v>
      </c>
      <c r="Z456" s="5">
        <v>366.7</v>
      </c>
      <c r="AA456" s="5">
        <f t="shared" si="168"/>
        <v>366.7</v>
      </c>
      <c r="AB456" s="7">
        <v>8.8999999999999996E-2</v>
      </c>
      <c r="AC456" s="7">
        <f t="shared" si="169"/>
        <v>8.8999999999999996E-2</v>
      </c>
      <c r="AD456" s="16">
        <f t="shared" si="170"/>
        <v>0</v>
      </c>
      <c r="AE456" s="16">
        <v>10</v>
      </c>
      <c r="AF456" s="5">
        <f t="shared" si="171"/>
        <v>3340.6370000000002</v>
      </c>
      <c r="AG456">
        <f t="shared" si="172"/>
        <v>4926.2</v>
      </c>
      <c r="AH456" s="5">
        <f t="shared" si="173"/>
        <v>1585.5629999999996</v>
      </c>
      <c r="AI456" s="5">
        <f t="shared" si="174"/>
        <v>0.47462894052840809</v>
      </c>
      <c r="AJ456" s="5">
        <f t="shared" si="177"/>
        <v>10305891.271070009</v>
      </c>
      <c r="AK456" s="7">
        <f t="shared" si="175"/>
        <v>0.94154118313408042</v>
      </c>
      <c r="AL456" s="17">
        <f>MIN(AC456,'What-If Analysis'!$B$2)</f>
        <v>8.8999999999999996E-2</v>
      </c>
      <c r="AM456">
        <f>AE456*(1+'What-If Analysis'!$B$3)</f>
        <v>13</v>
      </c>
      <c r="AN456">
        <f>Y456*(1+'What-If Analysis'!$B$4)</f>
        <v>541.88200000000006</v>
      </c>
      <c r="AO456">
        <f t="shared" si="176"/>
        <v>4342.8280999999997</v>
      </c>
    </row>
    <row r="457" spans="1:41" x14ac:dyDescent="0.3">
      <c r="A457" t="s">
        <v>173</v>
      </c>
      <c r="B457" s="3">
        <v>45703</v>
      </c>
      <c r="C457" s="3">
        <f t="shared" si="157"/>
        <v>45703</v>
      </c>
      <c r="D457" s="3">
        <v>45703</v>
      </c>
      <c r="E457" s="3">
        <f t="shared" si="158"/>
        <v>45703</v>
      </c>
      <c r="F457" s="16">
        <f t="shared" si="159"/>
        <v>0</v>
      </c>
      <c r="G457" s="16">
        <f>IF(Data!F356&lt;=7,1,0)</f>
        <v>0</v>
      </c>
      <c r="H457" s="5" t="str">
        <f t="shared" si="160"/>
        <v>02-2025</v>
      </c>
      <c r="I457" s="5" t="str">
        <f t="shared" si="161"/>
        <v>Q1-2025</v>
      </c>
      <c r="J457" s="3">
        <f t="shared" si="162"/>
        <v>44947</v>
      </c>
      <c r="K457" s="5" t="str">
        <f t="shared" si="163"/>
        <v>01-2023</v>
      </c>
      <c r="L457" t="s">
        <v>649</v>
      </c>
      <c r="M457" t="s">
        <v>656</v>
      </c>
      <c r="N457" t="s">
        <v>698</v>
      </c>
      <c r="O457" t="str">
        <f t="shared" si="164"/>
        <v>Frankfurt</v>
      </c>
      <c r="P457" t="s">
        <v>705</v>
      </c>
      <c r="Q457" t="s">
        <v>709</v>
      </c>
      <c r="R457" t="str">
        <f t="shared" si="165"/>
        <v>Marketplace</v>
      </c>
      <c r="S457" t="s">
        <v>716</v>
      </c>
      <c r="T457" t="str">
        <f t="shared" si="156"/>
        <v>L. Okafor</v>
      </c>
      <c r="U457" t="s">
        <v>733</v>
      </c>
      <c r="V457" t="str">
        <f t="shared" si="166"/>
        <v>High</v>
      </c>
      <c r="W457" t="s">
        <v>892</v>
      </c>
      <c r="X457" t="str">
        <f t="shared" si="167"/>
        <v>B</v>
      </c>
      <c r="Y457" s="5">
        <v>815.83</v>
      </c>
      <c r="Z457" s="5">
        <v>1982.18</v>
      </c>
      <c r="AA457" s="5">
        <f t="shared" si="168"/>
        <v>1982.18</v>
      </c>
      <c r="AB457" s="7">
        <v>0.127</v>
      </c>
      <c r="AC457" s="7">
        <f t="shared" si="169"/>
        <v>0.127</v>
      </c>
      <c r="AD457" s="16">
        <f t="shared" si="170"/>
        <v>0</v>
      </c>
      <c r="AE457" s="16">
        <v>6</v>
      </c>
      <c r="AF457" s="5">
        <f t="shared" si="171"/>
        <v>10382.65884</v>
      </c>
      <c r="AG457">
        <f t="shared" si="172"/>
        <v>4894.9800000000005</v>
      </c>
      <c r="AH457" s="5">
        <f t="shared" si="173"/>
        <v>5487.6788399999996</v>
      </c>
      <c r="AI457" s="5">
        <f t="shared" si="174"/>
        <v>0.52854272923408507</v>
      </c>
      <c r="AJ457" s="5">
        <f t="shared" si="177"/>
        <v>10316273.92991001</v>
      </c>
      <c r="AK457" s="7">
        <f t="shared" si="175"/>
        <v>0.94248973776474432</v>
      </c>
      <c r="AL457" s="17">
        <f>MIN(AC457,'What-If Analysis'!$B$2)</f>
        <v>0.127</v>
      </c>
      <c r="AM457">
        <f>AE457*(1+'What-If Analysis'!$B$3)</f>
        <v>7.8000000000000007</v>
      </c>
      <c r="AN457">
        <f>Y457*(1+'What-If Analysis'!$B$4)</f>
        <v>897.41300000000012</v>
      </c>
      <c r="AO457">
        <f t="shared" si="176"/>
        <v>13497.456492000003</v>
      </c>
    </row>
    <row r="458" spans="1:41" x14ac:dyDescent="0.3">
      <c r="A458" t="s">
        <v>461</v>
      </c>
      <c r="B458" s="3">
        <v>45746</v>
      </c>
      <c r="C458" s="3">
        <f t="shared" si="157"/>
        <v>45746</v>
      </c>
      <c r="D458" s="3">
        <v>45776</v>
      </c>
      <c r="E458" s="3">
        <f t="shared" si="158"/>
        <v>45776</v>
      </c>
      <c r="F458" s="16">
        <f t="shared" si="159"/>
        <v>30</v>
      </c>
      <c r="G458" s="16">
        <f>IF(Data!F475&lt;=7,1,0)</f>
        <v>0</v>
      </c>
      <c r="H458" s="5" t="str">
        <f t="shared" si="160"/>
        <v>03-2025</v>
      </c>
      <c r="I458" s="5" t="str">
        <f t="shared" si="161"/>
        <v>Q1-2025</v>
      </c>
      <c r="J458" s="3">
        <f t="shared" si="162"/>
        <v>44933</v>
      </c>
      <c r="K458" s="5" t="str">
        <f t="shared" si="163"/>
        <v>01-2023</v>
      </c>
      <c r="L458" t="s">
        <v>646</v>
      </c>
      <c r="M458" t="s">
        <v>661</v>
      </c>
      <c r="N458" t="s">
        <v>687</v>
      </c>
      <c r="O458" t="str">
        <f t="shared" si="164"/>
        <v>Durban</v>
      </c>
      <c r="P458" t="s">
        <v>704</v>
      </c>
      <c r="Q458" t="s">
        <v>709</v>
      </c>
      <c r="R458" t="str">
        <f t="shared" si="165"/>
        <v>Marketplace</v>
      </c>
      <c r="S458" t="s">
        <v>713</v>
      </c>
      <c r="T458" t="str">
        <f t="shared" si="156"/>
        <v>J. Njeri</v>
      </c>
      <c r="U458" t="s">
        <v>732</v>
      </c>
      <c r="V458" t="str">
        <f t="shared" si="166"/>
        <v>Low</v>
      </c>
      <c r="W458" t="s">
        <v>1180</v>
      </c>
      <c r="X458" t="str">
        <f t="shared" si="167"/>
        <v>B</v>
      </c>
      <c r="Y458" s="5">
        <v>194.6</v>
      </c>
      <c r="Z458" s="5">
        <v>314.87</v>
      </c>
      <c r="AA458" s="5">
        <f t="shared" si="168"/>
        <v>314.87</v>
      </c>
      <c r="AB458" s="7">
        <v>0.29299999999999998</v>
      </c>
      <c r="AC458" s="7">
        <f t="shared" si="169"/>
        <v>0.29299999999999998</v>
      </c>
      <c r="AD458" s="16">
        <f t="shared" si="170"/>
        <v>1</v>
      </c>
      <c r="AE458" s="16">
        <v>25</v>
      </c>
      <c r="AF458" s="5">
        <f t="shared" si="171"/>
        <v>5565.3272500000003</v>
      </c>
      <c r="AG458">
        <f t="shared" si="172"/>
        <v>4865</v>
      </c>
      <c r="AH458" s="5">
        <f t="shared" si="173"/>
        <v>700.32725000000028</v>
      </c>
      <c r="AI458" s="5">
        <f t="shared" si="174"/>
        <v>0.1258375686712763</v>
      </c>
      <c r="AJ458" s="5">
        <f t="shared" si="177"/>
        <v>10321839.25716001</v>
      </c>
      <c r="AK458" s="7">
        <f t="shared" si="175"/>
        <v>0.94299818333880181</v>
      </c>
      <c r="AL458" s="17">
        <f>MIN(AC458,'What-If Analysis'!$B$2)</f>
        <v>0.2</v>
      </c>
      <c r="AM458">
        <f>AE458*(1+'What-If Analysis'!$B$3)</f>
        <v>32.5</v>
      </c>
      <c r="AN458">
        <f>Y458*(1+'What-If Analysis'!$B$4)</f>
        <v>214.06</v>
      </c>
      <c r="AO458">
        <f t="shared" si="176"/>
        <v>8186.62</v>
      </c>
    </row>
    <row r="459" spans="1:41" x14ac:dyDescent="0.3">
      <c r="A459" t="s">
        <v>105</v>
      </c>
      <c r="B459" s="3">
        <v>45775</v>
      </c>
      <c r="C459" s="3">
        <f t="shared" si="157"/>
        <v>45775</v>
      </c>
      <c r="D459" s="3">
        <v>45792</v>
      </c>
      <c r="E459" s="3">
        <f t="shared" si="158"/>
        <v>45792</v>
      </c>
      <c r="F459" s="16">
        <f t="shared" si="159"/>
        <v>17</v>
      </c>
      <c r="G459" s="16">
        <f>IF(Data!F406&lt;=7,1,0)</f>
        <v>0</v>
      </c>
      <c r="H459" s="5" t="str">
        <f t="shared" si="160"/>
        <v>04-2025</v>
      </c>
      <c r="I459" s="5" t="str">
        <f t="shared" si="161"/>
        <v>Q2-2025</v>
      </c>
      <c r="J459" s="3">
        <f t="shared" si="162"/>
        <v>44988</v>
      </c>
      <c r="K459" s="5" t="str">
        <f t="shared" si="163"/>
        <v>03-2023</v>
      </c>
      <c r="L459" t="s">
        <v>647</v>
      </c>
      <c r="M459" t="s">
        <v>652</v>
      </c>
      <c r="N459" t="s">
        <v>694</v>
      </c>
      <c r="O459" t="str">
        <f t="shared" si="164"/>
        <v>Nagoya</v>
      </c>
      <c r="P459" t="s">
        <v>702</v>
      </c>
      <c r="Q459" t="s">
        <v>711</v>
      </c>
      <c r="R459" t="str">
        <f t="shared" si="165"/>
        <v>Direct</v>
      </c>
      <c r="S459" t="s">
        <v>725</v>
      </c>
      <c r="T459" t="str">
        <f t="shared" si="156"/>
        <v>N. Brown</v>
      </c>
      <c r="U459" t="s">
        <v>729</v>
      </c>
      <c r="V459" t="str">
        <f t="shared" si="166"/>
        <v>Medium</v>
      </c>
      <c r="W459" t="s">
        <v>824</v>
      </c>
      <c r="X459" t="str">
        <f t="shared" si="167"/>
        <v>B</v>
      </c>
      <c r="Y459" s="5">
        <v>691.19</v>
      </c>
      <c r="Z459" s="5">
        <v>1284.3</v>
      </c>
      <c r="AA459" s="5">
        <f t="shared" si="168"/>
        <v>1284.3</v>
      </c>
      <c r="AB459" s="7">
        <v>7.3999999999999996E-2</v>
      </c>
      <c r="AC459" s="7">
        <f t="shared" si="169"/>
        <v>7.3999999999999996E-2</v>
      </c>
      <c r="AD459" s="16">
        <f t="shared" si="170"/>
        <v>0</v>
      </c>
      <c r="AE459" s="16">
        <v>7</v>
      </c>
      <c r="AF459" s="5">
        <f t="shared" si="171"/>
        <v>8324.8326000000015</v>
      </c>
      <c r="AG459">
        <f t="shared" si="172"/>
        <v>4838.33</v>
      </c>
      <c r="AH459" s="5">
        <f t="shared" si="173"/>
        <v>3486.5026000000016</v>
      </c>
      <c r="AI459" s="5">
        <f t="shared" si="174"/>
        <v>0.41880753253825198</v>
      </c>
      <c r="AJ459" s="5">
        <f t="shared" si="177"/>
        <v>10330164.089760009</v>
      </c>
      <c r="AK459" s="7">
        <f t="shared" si="175"/>
        <v>0.94375873597121696</v>
      </c>
      <c r="AL459" s="17">
        <f>MIN(AC459,'What-If Analysis'!$B$2)</f>
        <v>7.3999999999999996E-2</v>
      </c>
      <c r="AM459">
        <f>AE459*(1+'What-If Analysis'!$B$3)</f>
        <v>9.1</v>
      </c>
      <c r="AN459">
        <f>Y459*(1+'What-If Analysis'!$B$4)</f>
        <v>760.30900000000008</v>
      </c>
      <c r="AO459">
        <f t="shared" si="176"/>
        <v>10822.282380000001</v>
      </c>
    </row>
    <row r="460" spans="1:41" x14ac:dyDescent="0.3">
      <c r="A460" t="s">
        <v>293</v>
      </c>
      <c r="B460" s="3">
        <v>45229</v>
      </c>
      <c r="C460" s="3">
        <f t="shared" si="157"/>
        <v>45229</v>
      </c>
      <c r="D460" s="3">
        <v>45244</v>
      </c>
      <c r="E460" s="3">
        <f t="shared" si="158"/>
        <v>45244</v>
      </c>
      <c r="F460" s="16">
        <f t="shared" si="159"/>
        <v>15</v>
      </c>
      <c r="G460" s="16">
        <f>IF(Data!F388&lt;=7,1,0)</f>
        <v>0</v>
      </c>
      <c r="H460" s="5" t="str">
        <f t="shared" si="160"/>
        <v>10-2023</v>
      </c>
      <c r="I460" s="5" t="str">
        <f t="shared" si="161"/>
        <v>Q4-2023</v>
      </c>
      <c r="J460" s="3">
        <f t="shared" si="162"/>
        <v>44955</v>
      </c>
      <c r="K460" s="5" t="str">
        <f t="shared" si="163"/>
        <v>01-2023</v>
      </c>
      <c r="L460" t="s">
        <v>647</v>
      </c>
      <c r="M460" t="s">
        <v>654</v>
      </c>
      <c r="N460" t="s">
        <v>668</v>
      </c>
      <c r="O460" t="str">
        <f t="shared" si="164"/>
        <v>Bengaluru</v>
      </c>
      <c r="P460" t="s">
        <v>701</v>
      </c>
      <c r="Q460" t="s">
        <v>708</v>
      </c>
      <c r="R460" t="str">
        <f t="shared" si="165"/>
        <v>Online</v>
      </c>
      <c r="S460" t="s">
        <v>721</v>
      </c>
      <c r="T460" t="str">
        <f t="shared" si="156"/>
        <v>F. Müller</v>
      </c>
      <c r="U460" t="s">
        <v>731</v>
      </c>
      <c r="V460" t="str">
        <f t="shared" si="166"/>
        <v>High</v>
      </c>
      <c r="W460" t="s">
        <v>1013</v>
      </c>
      <c r="X460" t="str">
        <f t="shared" si="167"/>
        <v>B</v>
      </c>
      <c r="Y460" s="5">
        <v>953.46</v>
      </c>
      <c r="Z460" s="5">
        <v>2066.75</v>
      </c>
      <c r="AA460" s="5">
        <f t="shared" si="168"/>
        <v>2066.75</v>
      </c>
      <c r="AB460" s="7">
        <v>0.13800000000000001</v>
      </c>
      <c r="AC460" s="7">
        <f t="shared" si="169"/>
        <v>0.13800000000000001</v>
      </c>
      <c r="AD460" s="16">
        <f t="shared" si="170"/>
        <v>0</v>
      </c>
      <c r="AE460" s="16">
        <v>5</v>
      </c>
      <c r="AF460" s="5">
        <f t="shared" si="171"/>
        <v>8907.6924999999992</v>
      </c>
      <c r="AG460">
        <f t="shared" si="172"/>
        <v>4767.3</v>
      </c>
      <c r="AH460" s="5">
        <f t="shared" si="173"/>
        <v>4140.392499999999</v>
      </c>
      <c r="AI460" s="5">
        <f t="shared" si="174"/>
        <v>0.46481089238318446</v>
      </c>
      <c r="AJ460" s="5">
        <f t="shared" si="177"/>
        <v>10339071.78226001</v>
      </c>
      <c r="AK460" s="7">
        <f t="shared" si="175"/>
        <v>0.94457253839886224</v>
      </c>
      <c r="AL460" s="17">
        <f>MIN(AC460,'What-If Analysis'!$B$2)</f>
        <v>0.13800000000000001</v>
      </c>
      <c r="AM460">
        <f>AE460*(1+'What-If Analysis'!$B$3)</f>
        <v>6.5</v>
      </c>
      <c r="AN460">
        <f>Y460*(1+'What-If Analysis'!$B$4)</f>
        <v>1048.806</v>
      </c>
      <c r="AO460">
        <f t="shared" si="176"/>
        <v>11580.000249999999</v>
      </c>
    </row>
    <row r="461" spans="1:41" x14ac:dyDescent="0.3">
      <c r="A461" t="s">
        <v>630</v>
      </c>
      <c r="B461" s="3">
        <v>45208</v>
      </c>
      <c r="C461" s="3">
        <f t="shared" si="157"/>
        <v>45208</v>
      </c>
      <c r="D461" s="3">
        <v>45210</v>
      </c>
      <c r="E461" s="3">
        <f t="shared" si="158"/>
        <v>45210</v>
      </c>
      <c r="F461" s="16">
        <f t="shared" si="159"/>
        <v>2</v>
      </c>
      <c r="G461" s="16">
        <f>IF(Data!F345&lt;=7,1,0)</f>
        <v>0</v>
      </c>
      <c r="H461" s="5" t="str">
        <f t="shared" si="160"/>
        <v>10-2023</v>
      </c>
      <c r="I461" s="5" t="str">
        <f t="shared" si="161"/>
        <v>Q4-2023</v>
      </c>
      <c r="J461" s="3">
        <f t="shared" si="162"/>
        <v>44939</v>
      </c>
      <c r="K461" s="5" t="str">
        <f t="shared" si="163"/>
        <v>01-2023</v>
      </c>
      <c r="L461" t="s">
        <v>646</v>
      </c>
      <c r="M461" t="s">
        <v>651</v>
      </c>
      <c r="N461" t="s">
        <v>663</v>
      </c>
      <c r="O461" t="str">
        <f t="shared" si="164"/>
        <v>Port Harcourt</v>
      </c>
      <c r="P461" t="s">
        <v>702</v>
      </c>
      <c r="Q461" t="s">
        <v>709</v>
      </c>
      <c r="R461" t="str">
        <f t="shared" si="165"/>
        <v>Marketplace</v>
      </c>
      <c r="S461" t="s">
        <v>723</v>
      </c>
      <c r="T461" t="str">
        <f t="shared" si="156"/>
        <v>K. Singh</v>
      </c>
      <c r="U461" t="s">
        <v>729</v>
      </c>
      <c r="V461" t="str">
        <f t="shared" si="166"/>
        <v>Medium</v>
      </c>
      <c r="W461" t="s">
        <v>1348</v>
      </c>
      <c r="X461" t="str">
        <f t="shared" si="167"/>
        <v>B</v>
      </c>
      <c r="Y461" s="5">
        <v>391.16</v>
      </c>
      <c r="Z461" s="5">
        <v>902.47</v>
      </c>
      <c r="AA461" s="5">
        <f t="shared" si="168"/>
        <v>902.47</v>
      </c>
      <c r="AB461" s="7">
        <v>4.0000000000000001E-3</v>
      </c>
      <c r="AC461" s="7">
        <f t="shared" si="169"/>
        <v>4.0000000000000001E-3</v>
      </c>
      <c r="AD461" s="16">
        <f t="shared" si="170"/>
        <v>0</v>
      </c>
      <c r="AE461" s="16">
        <v>12</v>
      </c>
      <c r="AF461" s="5">
        <f t="shared" si="171"/>
        <v>10786.32144</v>
      </c>
      <c r="AG461">
        <f t="shared" si="172"/>
        <v>4693.92</v>
      </c>
      <c r="AH461" s="5">
        <f t="shared" si="173"/>
        <v>6092.4014399999996</v>
      </c>
      <c r="AI461" s="5">
        <f t="shared" si="174"/>
        <v>0.56482661618139207</v>
      </c>
      <c r="AJ461" s="5">
        <f t="shared" si="177"/>
        <v>10349858.10370001</v>
      </c>
      <c r="AK461" s="7">
        <f t="shared" si="175"/>
        <v>0.94555797144712184</v>
      </c>
      <c r="AL461" s="17">
        <f>MIN(AC461,'What-If Analysis'!$B$2)</f>
        <v>4.0000000000000001E-3</v>
      </c>
      <c r="AM461">
        <f>AE461*(1+'What-If Analysis'!$B$3)</f>
        <v>15.600000000000001</v>
      </c>
      <c r="AN461">
        <f>Y461*(1+'What-If Analysis'!$B$4)</f>
        <v>430.27600000000007</v>
      </c>
      <c r="AO461">
        <f t="shared" si="176"/>
        <v>14022.217872000001</v>
      </c>
    </row>
    <row r="462" spans="1:41" x14ac:dyDescent="0.3">
      <c r="A462" t="s">
        <v>228</v>
      </c>
      <c r="B462" s="3">
        <v>45240</v>
      </c>
      <c r="C462" s="3">
        <f t="shared" si="157"/>
        <v>45240</v>
      </c>
      <c r="D462" s="3">
        <v>45258</v>
      </c>
      <c r="E462" s="3">
        <f t="shared" si="158"/>
        <v>45258</v>
      </c>
      <c r="F462" s="16">
        <f t="shared" si="159"/>
        <v>18</v>
      </c>
      <c r="G462" s="16">
        <f>IF(Data!F416&lt;=7,1,0)</f>
        <v>0</v>
      </c>
      <c r="H462" s="5" t="str">
        <f t="shared" si="160"/>
        <v>11-2023</v>
      </c>
      <c r="I462" s="5" t="str">
        <f t="shared" si="161"/>
        <v>Q4-2023</v>
      </c>
      <c r="J462" s="3">
        <f t="shared" si="162"/>
        <v>44955</v>
      </c>
      <c r="K462" s="5" t="str">
        <f t="shared" si="163"/>
        <v>01-2023</v>
      </c>
      <c r="L462" t="s">
        <v>648</v>
      </c>
      <c r="M462" t="s">
        <v>655</v>
      </c>
      <c r="N462" t="s">
        <v>672</v>
      </c>
      <c r="O462" t="str">
        <f t="shared" si="164"/>
        <v>Brasília</v>
      </c>
      <c r="P462" t="s">
        <v>702</v>
      </c>
      <c r="Q462" t="s">
        <v>709</v>
      </c>
      <c r="R462" t="str">
        <f t="shared" si="165"/>
        <v>Marketplace</v>
      </c>
      <c r="S462" t="s">
        <v>716</v>
      </c>
      <c r="T462" t="str">
        <f t="shared" si="156"/>
        <v>L. Okafor</v>
      </c>
      <c r="U462" t="s">
        <v>733</v>
      </c>
      <c r="V462" t="str">
        <f t="shared" si="166"/>
        <v>Low</v>
      </c>
      <c r="W462" t="s">
        <v>948</v>
      </c>
      <c r="X462" t="str">
        <f t="shared" si="167"/>
        <v>B</v>
      </c>
      <c r="Y462" s="5">
        <v>388.51</v>
      </c>
      <c r="Z462" s="5">
        <v>776.46</v>
      </c>
      <c r="AA462" s="5">
        <f t="shared" si="168"/>
        <v>776.46</v>
      </c>
      <c r="AB462" s="7">
        <v>0.157</v>
      </c>
      <c r="AC462" s="7">
        <f t="shared" si="169"/>
        <v>0.157</v>
      </c>
      <c r="AD462" s="16">
        <f t="shared" si="170"/>
        <v>0</v>
      </c>
      <c r="AE462" s="16">
        <v>12</v>
      </c>
      <c r="AF462" s="5">
        <f t="shared" si="171"/>
        <v>7854.6693599999999</v>
      </c>
      <c r="AG462">
        <f t="shared" si="172"/>
        <v>4662.12</v>
      </c>
      <c r="AH462" s="5">
        <f t="shared" si="173"/>
        <v>3192.54936</v>
      </c>
      <c r="AI462" s="5">
        <f t="shared" si="174"/>
        <v>0.40645241876864946</v>
      </c>
      <c r="AJ462" s="5">
        <f t="shared" si="177"/>
        <v>10357712.773060011</v>
      </c>
      <c r="AK462" s="7">
        <f t="shared" si="175"/>
        <v>0.94627557019601427</v>
      </c>
      <c r="AL462" s="17">
        <f>MIN(AC462,'What-If Analysis'!$B$2)</f>
        <v>0.157</v>
      </c>
      <c r="AM462">
        <f>AE462*(1+'What-If Analysis'!$B$3)</f>
        <v>15.600000000000001</v>
      </c>
      <c r="AN462">
        <f>Y462*(1+'What-If Analysis'!$B$4)</f>
        <v>427.36100000000005</v>
      </c>
      <c r="AO462">
        <f t="shared" si="176"/>
        <v>10211.070168</v>
      </c>
    </row>
    <row r="463" spans="1:41" x14ac:dyDescent="0.3">
      <c r="A463" t="s">
        <v>89</v>
      </c>
      <c r="B463" s="3">
        <v>45066</v>
      </c>
      <c r="C463" s="3">
        <f t="shared" si="157"/>
        <v>45064</v>
      </c>
      <c r="D463" s="3">
        <v>45064</v>
      </c>
      <c r="E463" s="3">
        <f t="shared" si="158"/>
        <v>45066</v>
      </c>
      <c r="F463" s="16">
        <f t="shared" si="159"/>
        <v>2</v>
      </c>
      <c r="G463" s="16">
        <f>IF(Data!F502&lt;=7,1,0)</f>
        <v>0</v>
      </c>
      <c r="H463" s="5" t="str">
        <f t="shared" si="160"/>
        <v>05-2023</v>
      </c>
      <c r="I463" s="5" t="str">
        <f t="shared" si="161"/>
        <v>Q2-2023</v>
      </c>
      <c r="J463" s="3">
        <f t="shared" si="162"/>
        <v>44933</v>
      </c>
      <c r="K463" s="5" t="str">
        <f t="shared" si="163"/>
        <v>01-2023</v>
      </c>
      <c r="L463" t="s">
        <v>646</v>
      </c>
      <c r="M463" t="s">
        <v>661</v>
      </c>
      <c r="N463" t="s">
        <v>687</v>
      </c>
      <c r="O463" t="str">
        <f t="shared" si="164"/>
        <v>Durban</v>
      </c>
      <c r="P463" t="s">
        <v>701</v>
      </c>
      <c r="Q463" t="s">
        <v>710</v>
      </c>
      <c r="R463" t="str">
        <f t="shared" si="165"/>
        <v>Distributor</v>
      </c>
      <c r="S463" t="s">
        <v>720</v>
      </c>
      <c r="T463" t="str">
        <f t="shared" si="156"/>
        <v>A. Patel</v>
      </c>
      <c r="U463" t="s">
        <v>727</v>
      </c>
      <c r="V463" t="str">
        <f t="shared" si="166"/>
        <v>Medium</v>
      </c>
      <c r="W463" t="s">
        <v>808</v>
      </c>
      <c r="X463" t="str">
        <f t="shared" si="167"/>
        <v>B</v>
      </c>
      <c r="Y463" s="5">
        <v>917.88</v>
      </c>
      <c r="Z463" s="5">
        <v>1347.92</v>
      </c>
      <c r="AA463" s="5">
        <f t="shared" si="168"/>
        <v>1347.92</v>
      </c>
      <c r="AB463" s="7">
        <v>0.34300000000000003</v>
      </c>
      <c r="AC463" s="7">
        <f t="shared" si="169"/>
        <v>0.3</v>
      </c>
      <c r="AD463" s="16">
        <f t="shared" si="170"/>
        <v>1</v>
      </c>
      <c r="AE463" s="16">
        <v>5</v>
      </c>
      <c r="AF463" s="5">
        <f t="shared" si="171"/>
        <v>4717.72</v>
      </c>
      <c r="AG463">
        <f t="shared" si="172"/>
        <v>4589.3999999999996</v>
      </c>
      <c r="AH463" s="5">
        <f t="shared" si="173"/>
        <v>128.32000000000062</v>
      </c>
      <c r="AI463" s="5">
        <f t="shared" si="174"/>
        <v>2.7199579457873848E-2</v>
      </c>
      <c r="AJ463" s="5">
        <f t="shared" si="177"/>
        <v>10362430.493060011</v>
      </c>
      <c r="AK463" s="7">
        <f t="shared" si="175"/>
        <v>0.9467065787865051</v>
      </c>
      <c r="AL463" s="17">
        <f>MIN(AC463,'What-If Analysis'!$B$2)</f>
        <v>0.2</v>
      </c>
      <c r="AM463">
        <f>AE463*(1+'What-If Analysis'!$B$3)</f>
        <v>6.5</v>
      </c>
      <c r="AN463">
        <f>Y463*(1+'What-If Analysis'!$B$4)</f>
        <v>1009.6680000000001</v>
      </c>
      <c r="AO463">
        <f t="shared" si="176"/>
        <v>7009.1840000000002</v>
      </c>
    </row>
    <row r="464" spans="1:41" x14ac:dyDescent="0.3">
      <c r="A464" t="s">
        <v>194</v>
      </c>
      <c r="B464" s="3">
        <v>45890</v>
      </c>
      <c r="C464" s="3">
        <f t="shared" si="157"/>
        <v>45890</v>
      </c>
      <c r="D464" s="3">
        <v>45912</v>
      </c>
      <c r="E464" s="3">
        <f t="shared" si="158"/>
        <v>45912</v>
      </c>
      <c r="F464" s="16">
        <f t="shared" si="159"/>
        <v>22</v>
      </c>
      <c r="G464" s="16">
        <f>IF(Data!F511&lt;=7,1,0)</f>
        <v>0</v>
      </c>
      <c r="H464" s="5" t="str">
        <f t="shared" si="160"/>
        <v>08-2025</v>
      </c>
      <c r="I464" s="5" t="str">
        <f t="shared" si="161"/>
        <v>Q3-2025</v>
      </c>
      <c r="J464" s="3">
        <f t="shared" si="162"/>
        <v>44938</v>
      </c>
      <c r="K464" s="5" t="str">
        <f t="shared" si="163"/>
        <v>01-2023</v>
      </c>
      <c r="L464" t="s">
        <v>647</v>
      </c>
      <c r="M464" t="s">
        <v>659</v>
      </c>
      <c r="N464" t="s">
        <v>676</v>
      </c>
      <c r="O464" t="str">
        <f t="shared" si="164"/>
        <v>Shenzhen</v>
      </c>
      <c r="P464" t="s">
        <v>702</v>
      </c>
      <c r="Q464" t="s">
        <v>707</v>
      </c>
      <c r="R464" t="str">
        <f t="shared" si="165"/>
        <v>Retail</v>
      </c>
      <c r="S464" t="s">
        <v>717</v>
      </c>
      <c r="T464" t="str">
        <f t="shared" si="156"/>
        <v>B. Chen</v>
      </c>
      <c r="U464" t="s">
        <v>728</v>
      </c>
      <c r="V464" t="str">
        <f t="shared" si="166"/>
        <v>Low</v>
      </c>
      <c r="W464" t="s">
        <v>913</v>
      </c>
      <c r="X464" t="str">
        <f t="shared" si="167"/>
        <v>B</v>
      </c>
      <c r="Y464" s="5">
        <v>352.66</v>
      </c>
      <c r="Z464" s="5">
        <v>411.18</v>
      </c>
      <c r="AA464" s="5">
        <f t="shared" si="168"/>
        <v>411.18</v>
      </c>
      <c r="AB464" s="7">
        <v>0.17299999999999999</v>
      </c>
      <c r="AC464" s="7">
        <f t="shared" si="169"/>
        <v>0.17299999999999999</v>
      </c>
      <c r="AD464" s="16">
        <f t="shared" si="170"/>
        <v>0</v>
      </c>
      <c r="AE464" s="16">
        <v>13</v>
      </c>
      <c r="AF464" s="5">
        <f t="shared" si="171"/>
        <v>4420.5961799999995</v>
      </c>
      <c r="AG464">
        <f t="shared" si="172"/>
        <v>4584.58</v>
      </c>
      <c r="AH464" s="5">
        <f t="shared" si="173"/>
        <v>163.98382000000038</v>
      </c>
      <c r="AI464" s="5">
        <f t="shared" si="174"/>
        <v>3.7095408248758066E-2</v>
      </c>
      <c r="AJ464" s="5">
        <f t="shared" si="177"/>
        <v>10366851.089240011</v>
      </c>
      <c r="AK464" s="7">
        <f t="shared" si="175"/>
        <v>0.94711044229020414</v>
      </c>
      <c r="AL464" s="17">
        <f>MIN(AC464,'What-If Analysis'!$B$2)</f>
        <v>0.17299999999999999</v>
      </c>
      <c r="AM464">
        <f>AE464*(1+'What-If Analysis'!$B$3)</f>
        <v>16.900000000000002</v>
      </c>
      <c r="AN464">
        <f>Y464*(1+'What-If Analysis'!$B$4)</f>
        <v>387.92600000000004</v>
      </c>
      <c r="AO464">
        <f t="shared" si="176"/>
        <v>5746.7750340000002</v>
      </c>
    </row>
    <row r="465" spans="1:41" x14ac:dyDescent="0.3">
      <c r="A465" t="s">
        <v>152</v>
      </c>
      <c r="B465" s="3">
        <v>45016</v>
      </c>
      <c r="C465" s="3">
        <f t="shared" si="157"/>
        <v>45016</v>
      </c>
      <c r="D465" s="3">
        <v>45028</v>
      </c>
      <c r="E465" s="3">
        <f t="shared" si="158"/>
        <v>45028</v>
      </c>
      <c r="F465" s="16">
        <f t="shared" si="159"/>
        <v>12</v>
      </c>
      <c r="G465" s="16">
        <f>IF(Data!F516&lt;=7,1,0)</f>
        <v>0</v>
      </c>
      <c r="H465" s="5" t="str">
        <f t="shared" si="160"/>
        <v>03-2023</v>
      </c>
      <c r="I465" s="5" t="str">
        <f t="shared" si="161"/>
        <v>Q1-2023</v>
      </c>
      <c r="J465" s="3">
        <f t="shared" si="162"/>
        <v>44946</v>
      </c>
      <c r="K465" s="5" t="str">
        <f t="shared" si="163"/>
        <v>01-2023</v>
      </c>
      <c r="L465" t="s">
        <v>646</v>
      </c>
      <c r="M465" t="s">
        <v>650</v>
      </c>
      <c r="N465" t="s">
        <v>675</v>
      </c>
      <c r="O465" t="str">
        <f t="shared" si="164"/>
        <v>Mombasa</v>
      </c>
      <c r="P465" t="s">
        <v>705</v>
      </c>
      <c r="Q465" t="s">
        <v>708</v>
      </c>
      <c r="R465" t="str">
        <f t="shared" si="165"/>
        <v>Online</v>
      </c>
      <c r="S465" t="s">
        <v>712</v>
      </c>
      <c r="T465" t="str">
        <f t="shared" ref="T465:T528" si="178">IF(S465="",_xlfn.XLOOKUP(L465,L:L,S:S),S465)</f>
        <v>C. Otieno</v>
      </c>
      <c r="U465" t="s">
        <v>730</v>
      </c>
      <c r="V465" t="str">
        <f t="shared" si="166"/>
        <v>Low</v>
      </c>
      <c r="W465" t="s">
        <v>871</v>
      </c>
      <c r="X465" t="str">
        <f t="shared" si="167"/>
        <v>B</v>
      </c>
      <c r="Y465" s="5">
        <v>304.22000000000003</v>
      </c>
      <c r="Z465" s="5">
        <v>393.31</v>
      </c>
      <c r="AA465" s="5">
        <f t="shared" si="168"/>
        <v>393.31</v>
      </c>
      <c r="AB465" s="7">
        <v>0.26500000000000001</v>
      </c>
      <c r="AC465" s="7">
        <f t="shared" si="169"/>
        <v>0.26500000000000001</v>
      </c>
      <c r="AD465" s="16">
        <f t="shared" si="170"/>
        <v>1</v>
      </c>
      <c r="AE465" s="16">
        <v>15</v>
      </c>
      <c r="AF465" s="5">
        <f t="shared" si="171"/>
        <v>4336.2427499999994</v>
      </c>
      <c r="AG465">
        <f t="shared" si="172"/>
        <v>4563.3</v>
      </c>
      <c r="AH465" s="5">
        <f t="shared" si="173"/>
        <v>227.05725000000075</v>
      </c>
      <c r="AI465" s="5">
        <f t="shared" si="174"/>
        <v>5.2362670424759034E-2</v>
      </c>
      <c r="AJ465" s="5">
        <f t="shared" si="177"/>
        <v>10371187.331990011</v>
      </c>
      <c r="AK465" s="7">
        <f t="shared" si="175"/>
        <v>0.94750659930581826</v>
      </c>
      <c r="AL465" s="17">
        <f>MIN(AC465,'What-If Analysis'!$B$2)</f>
        <v>0.2</v>
      </c>
      <c r="AM465">
        <f>AE465*(1+'What-If Analysis'!$B$3)</f>
        <v>19.5</v>
      </c>
      <c r="AN465">
        <f>Y465*(1+'What-If Analysis'!$B$4)</f>
        <v>334.64200000000005</v>
      </c>
      <c r="AO465">
        <f t="shared" si="176"/>
        <v>6135.6360000000004</v>
      </c>
    </row>
    <row r="466" spans="1:41" x14ac:dyDescent="0.3">
      <c r="A466" t="s">
        <v>352</v>
      </c>
      <c r="B466" s="3">
        <v>45132</v>
      </c>
      <c r="C466" s="3">
        <f t="shared" si="157"/>
        <v>45132</v>
      </c>
      <c r="D466" s="3">
        <v>45148</v>
      </c>
      <c r="E466" s="3">
        <f t="shared" si="158"/>
        <v>45148</v>
      </c>
      <c r="F466" s="16">
        <f t="shared" si="159"/>
        <v>16</v>
      </c>
      <c r="G466" s="16">
        <f>IF(Data!F548&lt;=7,1,0)</f>
        <v>0</v>
      </c>
      <c r="H466" s="5" t="str">
        <f t="shared" si="160"/>
        <v>07-2023</v>
      </c>
      <c r="I466" s="5" t="str">
        <f t="shared" si="161"/>
        <v>Q3-2023</v>
      </c>
      <c r="J466" s="3">
        <f t="shared" si="162"/>
        <v>44939</v>
      </c>
      <c r="K466" s="5" t="str">
        <f t="shared" si="163"/>
        <v>01-2023</v>
      </c>
      <c r="L466" t="s">
        <v>646</v>
      </c>
      <c r="M466" t="s">
        <v>651</v>
      </c>
      <c r="N466" t="s">
        <v>663</v>
      </c>
      <c r="O466" t="str">
        <f t="shared" si="164"/>
        <v>Port Harcourt</v>
      </c>
      <c r="P466" t="s">
        <v>701</v>
      </c>
      <c r="Q466" t="s">
        <v>710</v>
      </c>
      <c r="R466" t="str">
        <f t="shared" si="165"/>
        <v>Distributor</v>
      </c>
      <c r="S466" t="s">
        <v>714</v>
      </c>
      <c r="T466" t="str">
        <f t="shared" si="178"/>
        <v>I. Johnson</v>
      </c>
      <c r="U466" t="s">
        <v>733</v>
      </c>
      <c r="V466" t="str">
        <f t="shared" si="166"/>
        <v>Low</v>
      </c>
      <c r="W466" t="s">
        <v>1072</v>
      </c>
      <c r="X466" t="str">
        <f t="shared" si="167"/>
        <v>B</v>
      </c>
      <c r="Y466" s="5">
        <v>506.83</v>
      </c>
      <c r="Z466" s="5">
        <v>441.74</v>
      </c>
      <c r="AA466" s="5">
        <f t="shared" si="168"/>
        <v>441.74</v>
      </c>
      <c r="AB466" s="7">
        <v>0.24</v>
      </c>
      <c r="AC466" s="7">
        <f t="shared" si="169"/>
        <v>0.24</v>
      </c>
      <c r="AD466" s="16">
        <f t="shared" si="170"/>
        <v>1</v>
      </c>
      <c r="AE466" s="16">
        <v>9</v>
      </c>
      <c r="AF466" s="5">
        <f t="shared" si="171"/>
        <v>3021.5016000000001</v>
      </c>
      <c r="AG466">
        <f t="shared" si="172"/>
        <v>4561.47</v>
      </c>
      <c r="AH466" s="5">
        <f t="shared" si="173"/>
        <v>1539.9684000000002</v>
      </c>
      <c r="AI466" s="5">
        <f t="shared" si="174"/>
        <v>0.50966989393618067</v>
      </c>
      <c r="AJ466" s="5">
        <f t="shared" si="177"/>
        <v>10374208.83359001</v>
      </c>
      <c r="AK466" s="7">
        <f t="shared" si="175"/>
        <v>0.94778264221336295</v>
      </c>
      <c r="AL466" s="17">
        <f>MIN(AC466,'What-If Analysis'!$B$2)</f>
        <v>0.2</v>
      </c>
      <c r="AM466">
        <f>AE466*(1+'What-If Analysis'!$B$3)</f>
        <v>11.700000000000001</v>
      </c>
      <c r="AN466">
        <f>Y466*(1+'What-If Analysis'!$B$4)</f>
        <v>557.51300000000003</v>
      </c>
      <c r="AO466">
        <f t="shared" si="176"/>
        <v>4134.6864000000005</v>
      </c>
    </row>
    <row r="467" spans="1:41" x14ac:dyDescent="0.3">
      <c r="A467" t="s">
        <v>523</v>
      </c>
      <c r="B467" s="3">
        <v>45608</v>
      </c>
      <c r="C467" s="3">
        <f t="shared" si="157"/>
        <v>45608</v>
      </c>
      <c r="D467" s="3">
        <v>45617</v>
      </c>
      <c r="E467" s="3">
        <f t="shared" si="158"/>
        <v>45617</v>
      </c>
      <c r="F467" s="16">
        <f t="shared" si="159"/>
        <v>9</v>
      </c>
      <c r="G467" s="16">
        <f>IF(Data!F407&lt;=7,1,0)</f>
        <v>0</v>
      </c>
      <c r="H467" s="5" t="str">
        <f t="shared" si="160"/>
        <v>11-2024</v>
      </c>
      <c r="I467" s="5" t="str">
        <f t="shared" si="161"/>
        <v>Q4-2024</v>
      </c>
      <c r="J467" s="3">
        <f t="shared" si="162"/>
        <v>44955</v>
      </c>
      <c r="K467" s="5" t="str">
        <f t="shared" si="163"/>
        <v>01-2023</v>
      </c>
      <c r="L467" t="s">
        <v>647</v>
      </c>
      <c r="M467" t="s">
        <v>654</v>
      </c>
      <c r="N467" t="s">
        <v>691</v>
      </c>
      <c r="O467" t="str">
        <f t="shared" si="164"/>
        <v>Mumbai</v>
      </c>
      <c r="P467" t="s">
        <v>701</v>
      </c>
      <c r="Q467" t="s">
        <v>711</v>
      </c>
      <c r="R467" t="str">
        <f t="shared" si="165"/>
        <v>Direct</v>
      </c>
      <c r="S467" t="s">
        <v>722</v>
      </c>
      <c r="T467" t="str">
        <f t="shared" si="178"/>
        <v>H. Kim</v>
      </c>
      <c r="U467" t="s">
        <v>731</v>
      </c>
      <c r="V467" t="str">
        <f t="shared" si="166"/>
        <v>High</v>
      </c>
      <c r="W467" t="s">
        <v>1242</v>
      </c>
      <c r="X467" t="str">
        <f t="shared" si="167"/>
        <v>B</v>
      </c>
      <c r="Y467" s="5">
        <v>903.41</v>
      </c>
      <c r="Z467" s="5">
        <v>1860.41</v>
      </c>
      <c r="AA467" s="5">
        <f t="shared" si="168"/>
        <v>1860.41</v>
      </c>
      <c r="AB467" s="7">
        <v>0.108</v>
      </c>
      <c r="AC467" s="7">
        <f t="shared" si="169"/>
        <v>0.108</v>
      </c>
      <c r="AD467" s="16">
        <f t="shared" si="170"/>
        <v>0</v>
      </c>
      <c r="AE467" s="16">
        <v>5</v>
      </c>
      <c r="AF467" s="5">
        <f t="shared" si="171"/>
        <v>8297.4286000000011</v>
      </c>
      <c r="AG467">
        <f t="shared" si="172"/>
        <v>4517.05</v>
      </c>
      <c r="AH467" s="5">
        <f t="shared" si="173"/>
        <v>3780.3786000000009</v>
      </c>
      <c r="AI467" s="5">
        <f t="shared" si="174"/>
        <v>0.455608451996803</v>
      </c>
      <c r="AJ467" s="5">
        <f t="shared" si="177"/>
        <v>10382506.26219001</v>
      </c>
      <c r="AK467" s="7">
        <f t="shared" si="175"/>
        <v>0.94854069122974882</v>
      </c>
      <c r="AL467" s="17">
        <f>MIN(AC467,'What-If Analysis'!$B$2)</f>
        <v>0.108</v>
      </c>
      <c r="AM467">
        <f>AE467*(1+'What-If Analysis'!$B$3)</f>
        <v>6.5</v>
      </c>
      <c r="AN467">
        <f>Y467*(1+'What-If Analysis'!$B$4)</f>
        <v>993.75100000000009</v>
      </c>
      <c r="AO467">
        <f t="shared" si="176"/>
        <v>10786.65718</v>
      </c>
    </row>
    <row r="468" spans="1:41" x14ac:dyDescent="0.3">
      <c r="A468" t="s">
        <v>156</v>
      </c>
      <c r="B468" s="3">
        <v>45649</v>
      </c>
      <c r="C468" s="3">
        <f t="shared" si="157"/>
        <v>45649</v>
      </c>
      <c r="D468" s="3">
        <v>45668</v>
      </c>
      <c r="E468" s="3">
        <f t="shared" si="158"/>
        <v>45668</v>
      </c>
      <c r="F468" s="16">
        <f t="shared" si="159"/>
        <v>19</v>
      </c>
      <c r="G468" s="16">
        <f>IF(Data!F408&lt;=7,1,0)</f>
        <v>0</v>
      </c>
      <c r="H468" s="5" t="str">
        <f t="shared" si="160"/>
        <v>12-2024</v>
      </c>
      <c r="I468" s="5" t="str">
        <f t="shared" si="161"/>
        <v>Q4-2024</v>
      </c>
      <c r="J468" s="3">
        <f t="shared" si="162"/>
        <v>44947</v>
      </c>
      <c r="K468" s="5" t="str">
        <f t="shared" si="163"/>
        <v>01-2023</v>
      </c>
      <c r="L468" t="s">
        <v>649</v>
      </c>
      <c r="M468" t="s">
        <v>656</v>
      </c>
      <c r="N468" t="s">
        <v>671</v>
      </c>
      <c r="O468" t="str">
        <f t="shared" si="164"/>
        <v>Berlin</v>
      </c>
      <c r="P468" t="s">
        <v>702</v>
      </c>
      <c r="Q468" t="s">
        <v>707</v>
      </c>
      <c r="R468" t="str">
        <f t="shared" si="165"/>
        <v>Retail</v>
      </c>
      <c r="S468" t="s">
        <v>723</v>
      </c>
      <c r="T468" t="str">
        <f t="shared" si="178"/>
        <v>K. Singh</v>
      </c>
      <c r="U468" t="s">
        <v>730</v>
      </c>
      <c r="V468" t="str">
        <f t="shared" si="166"/>
        <v>Medium</v>
      </c>
      <c r="W468" t="s">
        <v>875</v>
      </c>
      <c r="X468" t="str">
        <f t="shared" si="167"/>
        <v>B</v>
      </c>
      <c r="Y468" s="5">
        <v>501.81</v>
      </c>
      <c r="Z468" s="5">
        <v>921.62</v>
      </c>
      <c r="AA468" s="5">
        <f t="shared" si="168"/>
        <v>921.62</v>
      </c>
      <c r="AB468" s="7">
        <v>0.01</v>
      </c>
      <c r="AC468" s="7">
        <f t="shared" si="169"/>
        <v>0.01</v>
      </c>
      <c r="AD468" s="16">
        <f t="shared" si="170"/>
        <v>0</v>
      </c>
      <c r="AE468" s="16">
        <v>9</v>
      </c>
      <c r="AF468" s="5">
        <f t="shared" si="171"/>
        <v>8211.6342000000004</v>
      </c>
      <c r="AG468">
        <f t="shared" si="172"/>
        <v>4516.29</v>
      </c>
      <c r="AH468" s="5">
        <f t="shared" si="173"/>
        <v>3695.3442000000005</v>
      </c>
      <c r="AI468" s="5">
        <f t="shared" si="174"/>
        <v>0.45001325071202031</v>
      </c>
      <c r="AJ468" s="5">
        <f t="shared" si="177"/>
        <v>10390717.89639001</v>
      </c>
      <c r="AK468" s="7">
        <f t="shared" si="175"/>
        <v>0.94929090211173583</v>
      </c>
      <c r="AL468" s="17">
        <f>MIN(AC468,'What-If Analysis'!$B$2)</f>
        <v>0.01</v>
      </c>
      <c r="AM468">
        <f>AE468*(1+'What-If Analysis'!$B$3)</f>
        <v>11.700000000000001</v>
      </c>
      <c r="AN468">
        <f>Y468*(1+'What-If Analysis'!$B$4)</f>
        <v>551.9910000000001</v>
      </c>
      <c r="AO468">
        <f t="shared" si="176"/>
        <v>10675.124460000001</v>
      </c>
    </row>
    <row r="469" spans="1:41" x14ac:dyDescent="0.3">
      <c r="A469" t="s">
        <v>205</v>
      </c>
      <c r="B469" s="3">
        <v>45146</v>
      </c>
      <c r="C469" s="3">
        <f t="shared" si="157"/>
        <v>45146</v>
      </c>
      <c r="D469" s="3">
        <v>45160</v>
      </c>
      <c r="E469" s="3">
        <f t="shared" si="158"/>
        <v>45160</v>
      </c>
      <c r="F469" s="16">
        <f t="shared" si="159"/>
        <v>14</v>
      </c>
      <c r="G469" s="16">
        <f>IF(Data!F392&lt;=7,1,0)</f>
        <v>0</v>
      </c>
      <c r="H469" s="5" t="str">
        <f t="shared" si="160"/>
        <v>08-2023</v>
      </c>
      <c r="I469" s="5" t="str">
        <f t="shared" si="161"/>
        <v>Q3-2023</v>
      </c>
      <c r="J469" s="3">
        <f t="shared" si="162"/>
        <v>44945</v>
      </c>
      <c r="K469" s="5" t="str">
        <f t="shared" si="163"/>
        <v>01-2023</v>
      </c>
      <c r="L469" t="s">
        <v>649</v>
      </c>
      <c r="M469" t="s">
        <v>658</v>
      </c>
      <c r="N469" t="s">
        <v>674</v>
      </c>
      <c r="O469" t="str">
        <f t="shared" si="164"/>
        <v>Birmingham</v>
      </c>
      <c r="P469" t="s">
        <v>703</v>
      </c>
      <c r="Q469" t="s">
        <v>711</v>
      </c>
      <c r="R469" t="str">
        <f t="shared" si="165"/>
        <v>Direct</v>
      </c>
      <c r="S469" t="s">
        <v>725</v>
      </c>
      <c r="T469" t="str">
        <f t="shared" si="178"/>
        <v>N. Brown</v>
      </c>
      <c r="U469" t="s">
        <v>732</v>
      </c>
      <c r="V469" t="str">
        <f t="shared" si="166"/>
        <v>Medium</v>
      </c>
      <c r="W469" t="s">
        <v>925</v>
      </c>
      <c r="X469" t="str">
        <f t="shared" si="167"/>
        <v>C</v>
      </c>
      <c r="Y469" s="5">
        <v>446.69</v>
      </c>
      <c r="Z469" s="5">
        <v>967.25</v>
      </c>
      <c r="AA469" s="5">
        <f t="shared" si="168"/>
        <v>967.25</v>
      </c>
      <c r="AB469" s="7">
        <v>9.4E-2</v>
      </c>
      <c r="AC469" s="7">
        <f t="shared" si="169"/>
        <v>9.4E-2</v>
      </c>
      <c r="AD469" s="16">
        <f t="shared" si="170"/>
        <v>0</v>
      </c>
      <c r="AE469" s="16">
        <v>10</v>
      </c>
      <c r="AF469" s="5">
        <f t="shared" si="171"/>
        <v>8763.2849999999999</v>
      </c>
      <c r="AG469">
        <f t="shared" si="172"/>
        <v>4466.8999999999996</v>
      </c>
      <c r="AH469" s="5">
        <f t="shared" si="173"/>
        <v>4296.3850000000002</v>
      </c>
      <c r="AI469" s="5">
        <f t="shared" si="174"/>
        <v>0.49027105702941309</v>
      </c>
      <c r="AJ469" s="5">
        <f t="shared" si="177"/>
        <v>10399481.18139001</v>
      </c>
      <c r="AK469" s="7">
        <f t="shared" si="175"/>
        <v>0.9500915115408497</v>
      </c>
      <c r="AL469" s="17">
        <f>MIN(AC469,'What-If Analysis'!$B$2)</f>
        <v>9.4E-2</v>
      </c>
      <c r="AM469">
        <f>AE469*(1+'What-If Analysis'!$B$3)</f>
        <v>13</v>
      </c>
      <c r="AN469">
        <f>Y469*(1+'What-If Analysis'!$B$4)</f>
        <v>491.35900000000004</v>
      </c>
      <c r="AO469">
        <f t="shared" si="176"/>
        <v>11392.270500000001</v>
      </c>
    </row>
    <row r="470" spans="1:41" x14ac:dyDescent="0.3">
      <c r="A470" t="s">
        <v>84</v>
      </c>
      <c r="B470" s="3">
        <v>45037</v>
      </c>
      <c r="C470" s="3">
        <f t="shared" si="157"/>
        <v>45037</v>
      </c>
      <c r="D470" s="3">
        <v>45056</v>
      </c>
      <c r="E470" s="3">
        <f t="shared" si="158"/>
        <v>45056</v>
      </c>
      <c r="F470" s="16">
        <f t="shared" si="159"/>
        <v>19</v>
      </c>
      <c r="G470" s="16">
        <f>IF(Data!F384&lt;=7,1,0)</f>
        <v>1</v>
      </c>
      <c r="H470" s="5" t="str">
        <f t="shared" si="160"/>
        <v>04-2023</v>
      </c>
      <c r="I470" s="5" t="str">
        <f t="shared" si="161"/>
        <v>Q2-2023</v>
      </c>
      <c r="J470" s="3">
        <f t="shared" si="162"/>
        <v>44938</v>
      </c>
      <c r="K470" s="5" t="str">
        <f t="shared" si="163"/>
        <v>01-2023</v>
      </c>
      <c r="L470" t="s">
        <v>647</v>
      </c>
      <c r="M470" t="s">
        <v>659</v>
      </c>
      <c r="N470" t="s">
        <v>685</v>
      </c>
      <c r="O470" t="str">
        <f t="shared" si="164"/>
        <v>Shanghai</v>
      </c>
      <c r="P470" t="s">
        <v>701</v>
      </c>
      <c r="Q470" t="s">
        <v>707</v>
      </c>
      <c r="R470" t="str">
        <f t="shared" si="165"/>
        <v>Retail</v>
      </c>
      <c r="S470" t="s">
        <v>720</v>
      </c>
      <c r="T470" t="str">
        <f t="shared" si="178"/>
        <v>A. Patel</v>
      </c>
      <c r="U470" t="s">
        <v>727</v>
      </c>
      <c r="V470" t="str">
        <f t="shared" si="166"/>
        <v>High</v>
      </c>
      <c r="W470" t="s">
        <v>803</v>
      </c>
      <c r="X470" t="str">
        <f t="shared" si="167"/>
        <v>C</v>
      </c>
      <c r="Y470" s="5">
        <v>882.33</v>
      </c>
      <c r="Z470" s="5">
        <v>1880.15</v>
      </c>
      <c r="AA470" s="5">
        <f t="shared" si="168"/>
        <v>1880.15</v>
      </c>
      <c r="AB470" s="7">
        <v>0.05</v>
      </c>
      <c r="AC470" s="7">
        <f t="shared" si="169"/>
        <v>0.05</v>
      </c>
      <c r="AD470" s="16">
        <f t="shared" si="170"/>
        <v>0</v>
      </c>
      <c r="AE470" s="16">
        <v>5</v>
      </c>
      <c r="AF470" s="5">
        <f t="shared" si="171"/>
        <v>8930.7124999999996</v>
      </c>
      <c r="AG470">
        <f t="shared" si="172"/>
        <v>4411.6500000000005</v>
      </c>
      <c r="AH470" s="5">
        <f t="shared" si="173"/>
        <v>4519.0624999999991</v>
      </c>
      <c r="AI470" s="5">
        <f t="shared" si="174"/>
        <v>0.50601365792482955</v>
      </c>
      <c r="AJ470" s="5">
        <f t="shared" si="177"/>
        <v>10408411.89389001</v>
      </c>
      <c r="AK470" s="7">
        <f t="shared" si="175"/>
        <v>0.95090741706442972</v>
      </c>
      <c r="AL470" s="17">
        <f>MIN(AC470,'What-If Analysis'!$B$2)</f>
        <v>0.05</v>
      </c>
      <c r="AM470">
        <f>AE470*(1+'What-If Analysis'!$B$3)</f>
        <v>6.5</v>
      </c>
      <c r="AN470">
        <f>Y470*(1+'What-If Analysis'!$B$4)</f>
        <v>970.5630000000001</v>
      </c>
      <c r="AO470">
        <f t="shared" si="176"/>
        <v>11609.92625</v>
      </c>
    </row>
    <row r="471" spans="1:41" x14ac:dyDescent="0.3">
      <c r="A471" t="s">
        <v>61</v>
      </c>
      <c r="B471" s="3">
        <v>45100</v>
      </c>
      <c r="C471" s="3">
        <f t="shared" si="157"/>
        <v>45100</v>
      </c>
      <c r="D471" s="3">
        <v>45110</v>
      </c>
      <c r="E471" s="3">
        <f t="shared" si="158"/>
        <v>45110</v>
      </c>
      <c r="F471" s="16">
        <f t="shared" si="159"/>
        <v>10</v>
      </c>
      <c r="G471" s="16">
        <f>IF(Data!F438&lt;=7,1,0)</f>
        <v>0</v>
      </c>
      <c r="H471" s="5" t="str">
        <f t="shared" si="160"/>
        <v>06-2023</v>
      </c>
      <c r="I471" s="5" t="str">
        <f t="shared" si="161"/>
        <v>Q2-2023</v>
      </c>
      <c r="J471" s="3">
        <f t="shared" si="162"/>
        <v>44939</v>
      </c>
      <c r="K471" s="5" t="str">
        <f t="shared" si="163"/>
        <v>01-2023</v>
      </c>
      <c r="L471" t="s">
        <v>646</v>
      </c>
      <c r="M471" t="s">
        <v>651</v>
      </c>
      <c r="N471" t="s">
        <v>669</v>
      </c>
      <c r="O471" t="str">
        <f t="shared" si="164"/>
        <v>Abuja</v>
      </c>
      <c r="P471" t="s">
        <v>704</v>
      </c>
      <c r="Q471" t="s">
        <v>708</v>
      </c>
      <c r="R471" t="str">
        <f t="shared" si="165"/>
        <v>Online</v>
      </c>
      <c r="S471" t="s">
        <v>713</v>
      </c>
      <c r="T471" t="str">
        <f t="shared" si="178"/>
        <v>J. Njeri</v>
      </c>
      <c r="U471" t="s">
        <v>728</v>
      </c>
      <c r="V471" t="str">
        <f t="shared" si="166"/>
        <v>Low</v>
      </c>
      <c r="W471" t="s">
        <v>780</v>
      </c>
      <c r="X471" t="str">
        <f t="shared" si="167"/>
        <v>C</v>
      </c>
      <c r="Y471" s="5">
        <v>337.75</v>
      </c>
      <c r="Z471" s="5">
        <v>548.89</v>
      </c>
      <c r="AA471" s="5">
        <f t="shared" si="168"/>
        <v>548.89</v>
      </c>
      <c r="AB471" s="7">
        <v>0</v>
      </c>
      <c r="AC471" s="7">
        <f t="shared" si="169"/>
        <v>0</v>
      </c>
      <c r="AD471" s="16">
        <f t="shared" si="170"/>
        <v>0</v>
      </c>
      <c r="AE471" s="16">
        <v>13</v>
      </c>
      <c r="AF471" s="5">
        <f t="shared" si="171"/>
        <v>7135.57</v>
      </c>
      <c r="AG471">
        <f t="shared" si="172"/>
        <v>4390.75</v>
      </c>
      <c r="AH471" s="5">
        <f t="shared" si="173"/>
        <v>2744.8199999999997</v>
      </c>
      <c r="AI471" s="5">
        <f t="shared" si="174"/>
        <v>0.38466723751571352</v>
      </c>
      <c r="AJ471" s="5">
        <f t="shared" si="177"/>
        <v>10415547.46389001</v>
      </c>
      <c r="AK471" s="7">
        <f t="shared" si="175"/>
        <v>0.95155931924769799</v>
      </c>
      <c r="AL471" s="17">
        <f>MIN(AC471,'What-If Analysis'!$B$2)</f>
        <v>0</v>
      </c>
      <c r="AM471">
        <f>AE471*(1+'What-If Analysis'!$B$3)</f>
        <v>16.900000000000002</v>
      </c>
      <c r="AN471">
        <f>Y471*(1+'What-If Analysis'!$B$4)</f>
        <v>371.52500000000003</v>
      </c>
      <c r="AO471">
        <f t="shared" si="176"/>
        <v>9276.2410000000018</v>
      </c>
    </row>
    <row r="472" spans="1:41" x14ac:dyDescent="0.3">
      <c r="A472" t="s">
        <v>346</v>
      </c>
      <c r="B472" s="3">
        <v>45168</v>
      </c>
      <c r="C472" s="3">
        <f t="shared" si="157"/>
        <v>45168</v>
      </c>
      <c r="D472" s="3">
        <v>45172</v>
      </c>
      <c r="E472" s="3">
        <f t="shared" si="158"/>
        <v>45172</v>
      </c>
      <c r="F472" s="16">
        <f t="shared" si="159"/>
        <v>4</v>
      </c>
      <c r="G472" s="16">
        <f>IF(Data!F440&lt;=7,1,0)</f>
        <v>0</v>
      </c>
      <c r="H472" s="5" t="str">
        <f t="shared" si="160"/>
        <v>08-2023</v>
      </c>
      <c r="I472" s="5" t="str">
        <f t="shared" si="161"/>
        <v>Q3-2023</v>
      </c>
      <c r="J472" s="3">
        <f t="shared" si="162"/>
        <v>44955</v>
      </c>
      <c r="K472" s="5" t="str">
        <f t="shared" si="163"/>
        <v>01-2023</v>
      </c>
      <c r="L472" t="s">
        <v>647</v>
      </c>
      <c r="M472" t="s">
        <v>654</v>
      </c>
      <c r="N472" t="s">
        <v>680</v>
      </c>
      <c r="O472" t="str">
        <f t="shared" si="164"/>
        <v>Delhi</v>
      </c>
      <c r="P472" t="s">
        <v>705</v>
      </c>
      <c r="Q472" t="s">
        <v>709</v>
      </c>
      <c r="R472" t="str">
        <f t="shared" si="165"/>
        <v>Marketplace</v>
      </c>
      <c r="S472" t="s">
        <v>716</v>
      </c>
      <c r="T472" t="str">
        <f t="shared" si="178"/>
        <v>L. Okafor</v>
      </c>
      <c r="U472" t="s">
        <v>733</v>
      </c>
      <c r="V472" t="str">
        <f t="shared" si="166"/>
        <v>High</v>
      </c>
      <c r="W472" t="s">
        <v>1066</v>
      </c>
      <c r="X472" t="str">
        <f t="shared" si="167"/>
        <v>C</v>
      </c>
      <c r="Y472" s="5">
        <v>1082.25</v>
      </c>
      <c r="Z472" s="5">
        <v>2433.34</v>
      </c>
      <c r="AA472" s="5">
        <f t="shared" si="168"/>
        <v>2433.34</v>
      </c>
      <c r="AB472" s="7">
        <v>0.27</v>
      </c>
      <c r="AC472" s="7">
        <f t="shared" si="169"/>
        <v>0.27</v>
      </c>
      <c r="AD472" s="16">
        <f t="shared" si="170"/>
        <v>1</v>
      </c>
      <c r="AE472" s="16">
        <v>4</v>
      </c>
      <c r="AF472" s="5">
        <f t="shared" si="171"/>
        <v>7105.3528000000006</v>
      </c>
      <c r="AG472">
        <f t="shared" si="172"/>
        <v>4329</v>
      </c>
      <c r="AH472" s="5">
        <f t="shared" si="173"/>
        <v>2776.3528000000006</v>
      </c>
      <c r="AI472" s="5">
        <f t="shared" si="174"/>
        <v>0.3907410199251472</v>
      </c>
      <c r="AJ472" s="5">
        <f t="shared" si="177"/>
        <v>10422652.816690011</v>
      </c>
      <c r="AK472" s="7">
        <f t="shared" si="175"/>
        <v>0.95220846080236177</v>
      </c>
      <c r="AL472" s="17">
        <f>MIN(AC472,'What-If Analysis'!$B$2)</f>
        <v>0.2</v>
      </c>
      <c r="AM472">
        <f>AE472*(1+'What-If Analysis'!$B$3)</f>
        <v>5.2</v>
      </c>
      <c r="AN472">
        <f>Y472*(1+'What-If Analysis'!$B$4)</f>
        <v>1190.4750000000001</v>
      </c>
      <c r="AO472">
        <f t="shared" si="176"/>
        <v>10122.6944</v>
      </c>
    </row>
    <row r="473" spans="1:41" x14ac:dyDescent="0.3">
      <c r="A473" t="s">
        <v>451</v>
      </c>
      <c r="B473" s="3">
        <v>45037</v>
      </c>
      <c r="C473" s="3">
        <f t="shared" si="157"/>
        <v>45035</v>
      </c>
      <c r="D473" s="3">
        <v>45035</v>
      </c>
      <c r="E473" s="3">
        <f t="shared" si="158"/>
        <v>45037</v>
      </c>
      <c r="F473" s="16">
        <f t="shared" si="159"/>
        <v>2</v>
      </c>
      <c r="G473" s="16">
        <f>IF(Data!F433&lt;=7,1,0)</f>
        <v>1</v>
      </c>
      <c r="H473" s="5" t="str">
        <f t="shared" si="160"/>
        <v>04-2023</v>
      </c>
      <c r="I473" s="5" t="str">
        <f t="shared" si="161"/>
        <v>Q2-2023</v>
      </c>
      <c r="J473" s="3">
        <f t="shared" si="162"/>
        <v>44988</v>
      </c>
      <c r="K473" s="5" t="str">
        <f t="shared" si="163"/>
        <v>03-2023</v>
      </c>
      <c r="L473" t="s">
        <v>647</v>
      </c>
      <c r="M473" t="s">
        <v>652</v>
      </c>
      <c r="N473" t="s">
        <v>694</v>
      </c>
      <c r="O473" t="str">
        <f t="shared" si="164"/>
        <v>Nagoya</v>
      </c>
      <c r="P473" t="s">
        <v>705</v>
      </c>
      <c r="Q473" t="s">
        <v>711</v>
      </c>
      <c r="R473" t="str">
        <f t="shared" si="165"/>
        <v>Direct</v>
      </c>
      <c r="S473" t="s">
        <v>724</v>
      </c>
      <c r="T473" t="str">
        <f t="shared" si="178"/>
        <v>M. Rossi</v>
      </c>
      <c r="U473" t="s">
        <v>727</v>
      </c>
      <c r="V473" t="str">
        <f t="shared" si="166"/>
        <v>Medium</v>
      </c>
      <c r="W473" t="s">
        <v>1170</v>
      </c>
      <c r="X473" t="str">
        <f t="shared" si="167"/>
        <v>C</v>
      </c>
      <c r="Y473" s="5">
        <v>607.04</v>
      </c>
      <c r="Z473" s="5">
        <v>1229.3399999999999</v>
      </c>
      <c r="AA473" s="5">
        <f t="shared" si="168"/>
        <v>1229.3399999999999</v>
      </c>
      <c r="AB473" s="7">
        <v>0.14699999999999999</v>
      </c>
      <c r="AC473" s="7">
        <f t="shared" si="169"/>
        <v>0.14699999999999999</v>
      </c>
      <c r="AD473" s="16">
        <f t="shared" si="170"/>
        <v>0</v>
      </c>
      <c r="AE473" s="16">
        <v>7</v>
      </c>
      <c r="AF473" s="5">
        <f t="shared" si="171"/>
        <v>7340.3891399999993</v>
      </c>
      <c r="AG473">
        <f t="shared" si="172"/>
        <v>4249.28</v>
      </c>
      <c r="AH473" s="5">
        <f t="shared" si="173"/>
        <v>3091.1091399999996</v>
      </c>
      <c r="AI473" s="5">
        <f t="shared" si="174"/>
        <v>0.42110970972310058</v>
      </c>
      <c r="AJ473" s="5">
        <f t="shared" si="177"/>
        <v>10429993.205830012</v>
      </c>
      <c r="AK473" s="7">
        <f t="shared" si="175"/>
        <v>0.95287907516202819</v>
      </c>
      <c r="AL473" s="17">
        <f>MIN(AC473,'What-If Analysis'!$B$2)</f>
        <v>0.14699999999999999</v>
      </c>
      <c r="AM473">
        <f>AE473*(1+'What-If Analysis'!$B$3)</f>
        <v>9.1</v>
      </c>
      <c r="AN473">
        <f>Y473*(1+'What-If Analysis'!$B$4)</f>
        <v>667.74400000000003</v>
      </c>
      <c r="AO473">
        <f t="shared" si="176"/>
        <v>9542.5058819999995</v>
      </c>
    </row>
    <row r="474" spans="1:41" x14ac:dyDescent="0.3">
      <c r="A474" t="s">
        <v>538</v>
      </c>
      <c r="B474" s="3">
        <v>45304</v>
      </c>
      <c r="C474" s="3">
        <f t="shared" si="157"/>
        <v>45304</v>
      </c>
      <c r="D474" s="3">
        <v>45306</v>
      </c>
      <c r="E474" s="3">
        <f t="shared" si="158"/>
        <v>45306</v>
      </c>
      <c r="F474" s="16">
        <f t="shared" si="159"/>
        <v>2</v>
      </c>
      <c r="G474" s="16">
        <f>IF(Data!F459&lt;=7,1,0)</f>
        <v>0</v>
      </c>
      <c r="H474" s="5" t="str">
        <f t="shared" si="160"/>
        <v>01-2024</v>
      </c>
      <c r="I474" s="5" t="str">
        <f t="shared" si="161"/>
        <v>Q1-2024</v>
      </c>
      <c r="J474" s="3">
        <f t="shared" si="162"/>
        <v>44939</v>
      </c>
      <c r="K474" s="5" t="str">
        <f t="shared" si="163"/>
        <v>01-2023</v>
      </c>
      <c r="L474" t="s">
        <v>648</v>
      </c>
      <c r="M474" t="s">
        <v>660</v>
      </c>
      <c r="N474" t="s">
        <v>686</v>
      </c>
      <c r="O474" t="str">
        <f t="shared" si="164"/>
        <v>San Francisco</v>
      </c>
      <c r="P474" t="s">
        <v>703</v>
      </c>
      <c r="Q474" t="s">
        <v>711</v>
      </c>
      <c r="R474" t="str">
        <f t="shared" si="165"/>
        <v>Direct</v>
      </c>
      <c r="S474" t="s">
        <v>718</v>
      </c>
      <c r="T474" t="str">
        <f t="shared" si="178"/>
        <v>E. Garcia</v>
      </c>
      <c r="U474" t="s">
        <v>727</v>
      </c>
      <c r="V474" t="str">
        <f t="shared" si="166"/>
        <v>High</v>
      </c>
      <c r="W474" t="s">
        <v>1257</v>
      </c>
      <c r="X474" t="str">
        <f t="shared" si="167"/>
        <v>C</v>
      </c>
      <c r="Y474" s="5">
        <v>1061.3699999999999</v>
      </c>
      <c r="Z474" s="5">
        <v>1938.33</v>
      </c>
      <c r="AA474" s="5">
        <f t="shared" si="168"/>
        <v>1938.33</v>
      </c>
      <c r="AB474" s="7">
        <v>0.17</v>
      </c>
      <c r="AC474" s="7">
        <f t="shared" si="169"/>
        <v>0.17</v>
      </c>
      <c r="AD474" s="16">
        <f t="shared" si="170"/>
        <v>0</v>
      </c>
      <c r="AE474" s="16">
        <v>4</v>
      </c>
      <c r="AF474" s="5">
        <f t="shared" si="171"/>
        <v>6435.2555999999995</v>
      </c>
      <c r="AG474">
        <f t="shared" si="172"/>
        <v>4245.4799999999996</v>
      </c>
      <c r="AH474" s="5">
        <f t="shared" si="173"/>
        <v>2189.7755999999999</v>
      </c>
      <c r="AI474" s="5">
        <f t="shared" si="174"/>
        <v>0.34027795259600879</v>
      </c>
      <c r="AJ474" s="5">
        <f t="shared" si="177"/>
        <v>10436428.461430011</v>
      </c>
      <c r="AK474" s="7">
        <f t="shared" si="175"/>
        <v>0.95346699696442505</v>
      </c>
      <c r="AL474" s="17">
        <f>MIN(AC474,'What-If Analysis'!$B$2)</f>
        <v>0.17</v>
      </c>
      <c r="AM474">
        <f>AE474*(1+'What-If Analysis'!$B$3)</f>
        <v>5.2</v>
      </c>
      <c r="AN474">
        <f>Y474*(1+'What-If Analysis'!$B$4)</f>
        <v>1167.5070000000001</v>
      </c>
      <c r="AO474">
        <f t="shared" si="176"/>
        <v>8365.8322800000005</v>
      </c>
    </row>
    <row r="475" spans="1:41" x14ac:dyDescent="0.3">
      <c r="A475" t="s">
        <v>74</v>
      </c>
      <c r="B475" s="3">
        <v>45779</v>
      </c>
      <c r="C475" s="3">
        <f t="shared" si="157"/>
        <v>45779</v>
      </c>
      <c r="D475" s="3">
        <v>45790</v>
      </c>
      <c r="E475" s="3">
        <f t="shared" si="158"/>
        <v>45790</v>
      </c>
      <c r="F475" s="16">
        <f t="shared" si="159"/>
        <v>11</v>
      </c>
      <c r="G475" s="16">
        <f>IF(Data!F507&lt;=7,1,0)</f>
        <v>0</v>
      </c>
      <c r="H475" s="5" t="str">
        <f t="shared" si="160"/>
        <v>05-2025</v>
      </c>
      <c r="I475" s="5" t="str">
        <f t="shared" si="161"/>
        <v>Q2-2025</v>
      </c>
      <c r="J475" s="3">
        <f t="shared" si="162"/>
        <v>44946</v>
      </c>
      <c r="K475" s="5" t="str">
        <f t="shared" si="163"/>
        <v>01-2023</v>
      </c>
      <c r="L475" t="s">
        <v>646</v>
      </c>
      <c r="M475" t="s">
        <v>650</v>
      </c>
      <c r="N475" t="s">
        <v>678</v>
      </c>
      <c r="O475" t="str">
        <f t="shared" si="164"/>
        <v>Nakuru</v>
      </c>
      <c r="P475" t="s">
        <v>705</v>
      </c>
      <c r="Q475" t="s">
        <v>708</v>
      </c>
      <c r="R475" t="str">
        <f t="shared" si="165"/>
        <v>Online</v>
      </c>
      <c r="S475" t="s">
        <v>720</v>
      </c>
      <c r="T475" t="str">
        <f t="shared" si="178"/>
        <v>A. Patel</v>
      </c>
      <c r="U475" t="s">
        <v>733</v>
      </c>
      <c r="V475" t="str">
        <f t="shared" si="166"/>
        <v>Medium</v>
      </c>
      <c r="W475" t="s">
        <v>793</v>
      </c>
      <c r="X475" t="str">
        <f t="shared" si="167"/>
        <v>C</v>
      </c>
      <c r="Y475" s="5">
        <v>1057.5999999999999</v>
      </c>
      <c r="Z475" s="5">
        <v>1437.06</v>
      </c>
      <c r="AA475" s="5">
        <f t="shared" si="168"/>
        <v>1437.06</v>
      </c>
      <c r="AB475" s="7">
        <v>0.20499999999999999</v>
      </c>
      <c r="AC475" s="7">
        <f t="shared" si="169"/>
        <v>0.20499999999999999</v>
      </c>
      <c r="AD475" s="16">
        <f t="shared" si="170"/>
        <v>1</v>
      </c>
      <c r="AE475" s="16">
        <v>4</v>
      </c>
      <c r="AF475" s="5">
        <f t="shared" si="171"/>
        <v>4569.8508000000002</v>
      </c>
      <c r="AG475">
        <f t="shared" si="172"/>
        <v>4230.3999999999996</v>
      </c>
      <c r="AH475" s="5">
        <f t="shared" si="173"/>
        <v>339.45080000000053</v>
      </c>
      <c r="AI475" s="5">
        <f t="shared" si="174"/>
        <v>7.4280499485891424E-2</v>
      </c>
      <c r="AJ475" s="5">
        <f t="shared" si="177"/>
        <v>10440998.312230011</v>
      </c>
      <c r="AK475" s="7">
        <f t="shared" si="175"/>
        <v>0.95388449629716665</v>
      </c>
      <c r="AL475" s="17">
        <f>MIN(AC475,'What-If Analysis'!$B$2)</f>
        <v>0.2</v>
      </c>
      <c r="AM475">
        <f>AE475*(1+'What-If Analysis'!$B$3)</f>
        <v>5.2</v>
      </c>
      <c r="AN475">
        <f>Y475*(1+'What-If Analysis'!$B$4)</f>
        <v>1163.3599999999999</v>
      </c>
      <c r="AO475">
        <f t="shared" si="176"/>
        <v>5978.1696000000002</v>
      </c>
    </row>
    <row r="476" spans="1:41" x14ac:dyDescent="0.3">
      <c r="A476" t="s">
        <v>186</v>
      </c>
      <c r="B476" s="3">
        <v>45190</v>
      </c>
      <c r="C476" s="3">
        <f t="shared" si="157"/>
        <v>45190</v>
      </c>
      <c r="D476" s="3">
        <v>45209</v>
      </c>
      <c r="E476" s="3">
        <f t="shared" si="158"/>
        <v>45209</v>
      </c>
      <c r="F476" s="16">
        <f t="shared" si="159"/>
        <v>19</v>
      </c>
      <c r="G476" s="16">
        <f>IF(Data!F385&lt;=7,1,0)</f>
        <v>0</v>
      </c>
      <c r="H476" s="5" t="str">
        <f t="shared" si="160"/>
        <v>09-2023</v>
      </c>
      <c r="I476" s="5" t="str">
        <f t="shared" si="161"/>
        <v>Q3-2023</v>
      </c>
      <c r="J476" s="3">
        <f t="shared" si="162"/>
        <v>44988</v>
      </c>
      <c r="K476" s="5" t="str">
        <f t="shared" si="163"/>
        <v>03-2023</v>
      </c>
      <c r="L476" t="s">
        <v>647</v>
      </c>
      <c r="M476" t="s">
        <v>652</v>
      </c>
      <c r="N476" t="s">
        <v>689</v>
      </c>
      <c r="O476" t="str">
        <f t="shared" si="164"/>
        <v>Tokyo</v>
      </c>
      <c r="P476" t="s">
        <v>702</v>
      </c>
      <c r="Q476" t="s">
        <v>708</v>
      </c>
      <c r="R476" t="str">
        <f t="shared" si="165"/>
        <v>Online</v>
      </c>
      <c r="S476" t="s">
        <v>726</v>
      </c>
      <c r="T476" t="str">
        <f t="shared" si="178"/>
        <v>D. Smith</v>
      </c>
      <c r="U476" t="s">
        <v>727</v>
      </c>
      <c r="V476" t="str">
        <f t="shared" si="166"/>
        <v>High</v>
      </c>
      <c r="W476" t="s">
        <v>905</v>
      </c>
      <c r="X476" t="str">
        <f t="shared" si="167"/>
        <v>C</v>
      </c>
      <c r="Y476" s="5">
        <v>845.63</v>
      </c>
      <c r="Z476" s="5">
        <v>2062.12</v>
      </c>
      <c r="AA476" s="5">
        <f t="shared" si="168"/>
        <v>2062.12</v>
      </c>
      <c r="AB476" s="7">
        <v>0.13400000000000001</v>
      </c>
      <c r="AC476" s="7">
        <f t="shared" si="169"/>
        <v>0.13400000000000001</v>
      </c>
      <c r="AD476" s="16">
        <f t="shared" si="170"/>
        <v>0</v>
      </c>
      <c r="AE476" s="16">
        <v>5</v>
      </c>
      <c r="AF476" s="5">
        <f t="shared" si="171"/>
        <v>8928.9795999999988</v>
      </c>
      <c r="AG476">
        <f t="shared" si="172"/>
        <v>4228.1499999999996</v>
      </c>
      <c r="AH476" s="5">
        <f t="shared" si="173"/>
        <v>4700.8295999999991</v>
      </c>
      <c r="AI476" s="5">
        <f t="shared" si="174"/>
        <v>0.52646884757133949</v>
      </c>
      <c r="AJ476" s="5">
        <f t="shared" si="177"/>
        <v>10449927.291830011</v>
      </c>
      <c r="AK476" s="7">
        <f t="shared" si="175"/>
        <v>0.95470024350385052</v>
      </c>
      <c r="AL476" s="17">
        <f>MIN(AC476,'What-If Analysis'!$B$2)</f>
        <v>0.13400000000000001</v>
      </c>
      <c r="AM476">
        <f>AE476*(1+'What-If Analysis'!$B$3)</f>
        <v>6.5</v>
      </c>
      <c r="AN476">
        <f>Y476*(1+'What-If Analysis'!$B$4)</f>
        <v>930.1930000000001</v>
      </c>
      <c r="AO476">
        <f t="shared" si="176"/>
        <v>11607.673479999999</v>
      </c>
    </row>
    <row r="477" spans="1:41" x14ac:dyDescent="0.3">
      <c r="A477" t="s">
        <v>328</v>
      </c>
      <c r="B477" s="3">
        <v>45451</v>
      </c>
      <c r="C477" s="3">
        <f t="shared" si="157"/>
        <v>45451</v>
      </c>
      <c r="D477" s="3">
        <v>45467</v>
      </c>
      <c r="E477" s="3">
        <f t="shared" si="158"/>
        <v>45467</v>
      </c>
      <c r="F477" s="16">
        <f t="shared" si="159"/>
        <v>16</v>
      </c>
      <c r="G477" s="16">
        <f>IF(Data!F491&lt;=7,1,0)</f>
        <v>1</v>
      </c>
      <c r="H477" s="5" t="str">
        <f t="shared" si="160"/>
        <v>06-2024</v>
      </c>
      <c r="I477" s="5" t="str">
        <f t="shared" si="161"/>
        <v>Q2-2024</v>
      </c>
      <c r="J477" s="3">
        <f t="shared" si="162"/>
        <v>44933</v>
      </c>
      <c r="K477" s="5" t="str">
        <f t="shared" si="163"/>
        <v>01-2023</v>
      </c>
      <c r="L477" t="s">
        <v>646</v>
      </c>
      <c r="M477" t="s">
        <v>661</v>
      </c>
      <c r="N477" t="s">
        <v>687</v>
      </c>
      <c r="O477" t="str">
        <f t="shared" si="164"/>
        <v>Durban</v>
      </c>
      <c r="P477" t="s">
        <v>702</v>
      </c>
      <c r="Q477" t="s">
        <v>710</v>
      </c>
      <c r="R477" t="str">
        <f t="shared" si="165"/>
        <v>Distributor</v>
      </c>
      <c r="S477" t="s">
        <v>722</v>
      </c>
      <c r="T477" t="str">
        <f t="shared" si="178"/>
        <v>H. Kim</v>
      </c>
      <c r="U477" t="s">
        <v>732</v>
      </c>
      <c r="V477" t="str">
        <f t="shared" si="166"/>
        <v>Low</v>
      </c>
      <c r="W477" t="s">
        <v>1048</v>
      </c>
      <c r="X477" t="str">
        <f t="shared" si="167"/>
        <v>C</v>
      </c>
      <c r="Y477" s="5">
        <v>597.85</v>
      </c>
      <c r="Z477" s="5">
        <v>741.92</v>
      </c>
      <c r="AA477" s="5">
        <f t="shared" si="168"/>
        <v>741.92</v>
      </c>
      <c r="AB477" s="7">
        <v>3.1E-2</v>
      </c>
      <c r="AC477" s="7">
        <f t="shared" si="169"/>
        <v>3.1E-2</v>
      </c>
      <c r="AD477" s="16">
        <f t="shared" si="170"/>
        <v>0</v>
      </c>
      <c r="AE477" s="16">
        <v>7</v>
      </c>
      <c r="AF477" s="5">
        <f t="shared" si="171"/>
        <v>5032.4433599999993</v>
      </c>
      <c r="AG477">
        <f t="shared" si="172"/>
        <v>4184.95</v>
      </c>
      <c r="AH477" s="5">
        <f t="shared" si="173"/>
        <v>847.49335999999948</v>
      </c>
      <c r="AI477" s="5">
        <f t="shared" si="174"/>
        <v>0.16840594108544515</v>
      </c>
      <c r="AJ477" s="5">
        <f t="shared" si="177"/>
        <v>10454959.735190012</v>
      </c>
      <c r="AK477" s="7">
        <f t="shared" si="175"/>
        <v>0.9551600050664949</v>
      </c>
      <c r="AL477" s="17">
        <f>MIN(AC477,'What-If Analysis'!$B$2)</f>
        <v>3.1E-2</v>
      </c>
      <c r="AM477">
        <f>AE477*(1+'What-If Analysis'!$B$3)</f>
        <v>9.1</v>
      </c>
      <c r="AN477">
        <f>Y477*(1+'What-If Analysis'!$B$4)</f>
        <v>657.6350000000001</v>
      </c>
      <c r="AO477">
        <f t="shared" si="176"/>
        <v>6542.1763679999995</v>
      </c>
    </row>
    <row r="478" spans="1:41" x14ac:dyDescent="0.3">
      <c r="A478" t="s">
        <v>608</v>
      </c>
      <c r="B478" s="3">
        <v>45823</v>
      </c>
      <c r="C478" s="3">
        <f t="shared" si="157"/>
        <v>45823</v>
      </c>
      <c r="D478" s="3">
        <v>45850</v>
      </c>
      <c r="E478" s="3">
        <f t="shared" si="158"/>
        <v>45850</v>
      </c>
      <c r="F478" s="16">
        <f t="shared" si="159"/>
        <v>27</v>
      </c>
      <c r="G478" s="16">
        <f>IF(Data!F401&lt;=7,1,0)</f>
        <v>0</v>
      </c>
      <c r="H478" s="5" t="str">
        <f t="shared" si="160"/>
        <v>06-2025</v>
      </c>
      <c r="I478" s="5" t="str">
        <f t="shared" si="161"/>
        <v>Q2-2025</v>
      </c>
      <c r="J478" s="3">
        <f t="shared" si="162"/>
        <v>44936</v>
      </c>
      <c r="K478" s="5" t="str">
        <f t="shared" si="163"/>
        <v>01-2023</v>
      </c>
      <c r="L478" t="s">
        <v>649</v>
      </c>
      <c r="M478" t="s">
        <v>657</v>
      </c>
      <c r="N478" t="s">
        <v>673</v>
      </c>
      <c r="O478" t="str">
        <f t="shared" si="164"/>
        <v>Marseille</v>
      </c>
      <c r="P478" t="s">
        <v>704</v>
      </c>
      <c r="Q478" t="s">
        <v>711</v>
      </c>
      <c r="R478" t="str">
        <f t="shared" si="165"/>
        <v>Direct</v>
      </c>
      <c r="S478" t="s">
        <v>712</v>
      </c>
      <c r="T478" t="str">
        <f t="shared" si="178"/>
        <v>C. Otieno</v>
      </c>
      <c r="U478" t="s">
        <v>733</v>
      </c>
      <c r="V478" t="str">
        <f t="shared" si="166"/>
        <v>Low</v>
      </c>
      <c r="W478" t="s">
        <v>1326</v>
      </c>
      <c r="X478" t="str">
        <f t="shared" si="167"/>
        <v>C</v>
      </c>
      <c r="Y478" s="5">
        <v>318.83</v>
      </c>
      <c r="Z478" s="5">
        <v>699.5</v>
      </c>
      <c r="AA478" s="5">
        <f t="shared" si="168"/>
        <v>699.5</v>
      </c>
      <c r="AB478" s="7">
        <v>0.08</v>
      </c>
      <c r="AC478" s="7">
        <f t="shared" si="169"/>
        <v>0.08</v>
      </c>
      <c r="AD478" s="16">
        <f t="shared" si="170"/>
        <v>0</v>
      </c>
      <c r="AE478" s="16">
        <v>13</v>
      </c>
      <c r="AF478" s="5">
        <f t="shared" si="171"/>
        <v>8366.02</v>
      </c>
      <c r="AG478">
        <f t="shared" si="172"/>
        <v>4144.79</v>
      </c>
      <c r="AH478" s="5">
        <f t="shared" si="173"/>
        <v>4221.2300000000005</v>
      </c>
      <c r="AI478" s="5">
        <f t="shared" si="174"/>
        <v>0.50456848059172699</v>
      </c>
      <c r="AJ478" s="5">
        <f t="shared" si="177"/>
        <v>10463325.755190011</v>
      </c>
      <c r="AK478" s="7">
        <f t="shared" si="175"/>
        <v>0.95592432055961818</v>
      </c>
      <c r="AL478" s="17">
        <f>MIN(AC478,'What-If Analysis'!$B$2)</f>
        <v>0.08</v>
      </c>
      <c r="AM478">
        <f>AE478*(1+'What-If Analysis'!$B$3)</f>
        <v>16.900000000000002</v>
      </c>
      <c r="AN478">
        <f>Y478*(1+'What-If Analysis'!$B$4)</f>
        <v>350.71300000000002</v>
      </c>
      <c r="AO478">
        <f t="shared" si="176"/>
        <v>10875.826000000001</v>
      </c>
    </row>
    <row r="479" spans="1:41" x14ac:dyDescent="0.3">
      <c r="A479" t="s">
        <v>613</v>
      </c>
      <c r="B479" s="3">
        <v>45521</v>
      </c>
      <c r="C479" s="3">
        <f t="shared" si="157"/>
        <v>45519</v>
      </c>
      <c r="D479" s="3">
        <v>45519</v>
      </c>
      <c r="E479" s="3">
        <f t="shared" si="158"/>
        <v>45521</v>
      </c>
      <c r="F479" s="16">
        <f t="shared" si="159"/>
        <v>2</v>
      </c>
      <c r="G479" s="16">
        <f>IF(Data!F465&lt;=7,1,0)</f>
        <v>0</v>
      </c>
      <c r="H479" s="5" t="str">
        <f t="shared" si="160"/>
        <v>08-2024</v>
      </c>
      <c r="I479" s="5" t="str">
        <f t="shared" si="161"/>
        <v>Q3-2024</v>
      </c>
      <c r="J479" s="3">
        <f t="shared" si="162"/>
        <v>44955</v>
      </c>
      <c r="K479" s="5" t="str">
        <f t="shared" si="163"/>
        <v>01-2023</v>
      </c>
      <c r="L479" t="s">
        <v>648</v>
      </c>
      <c r="M479" t="s">
        <v>655</v>
      </c>
      <c r="N479" t="s">
        <v>692</v>
      </c>
      <c r="O479" t="str">
        <f t="shared" si="164"/>
        <v>Rio de Janeiro</v>
      </c>
      <c r="P479" t="s">
        <v>704</v>
      </c>
      <c r="Q479" t="s">
        <v>711</v>
      </c>
      <c r="R479" t="str">
        <f t="shared" si="165"/>
        <v>Direct</v>
      </c>
      <c r="S479" t="s">
        <v>724</v>
      </c>
      <c r="T479" t="str">
        <f t="shared" si="178"/>
        <v>M. Rossi</v>
      </c>
      <c r="U479" t="s">
        <v>732</v>
      </c>
      <c r="V479" t="str">
        <f t="shared" si="166"/>
        <v>Low</v>
      </c>
      <c r="W479" t="s">
        <v>1331</v>
      </c>
      <c r="X479" t="str">
        <f t="shared" si="167"/>
        <v>C</v>
      </c>
      <c r="Y479" s="5">
        <v>165.3</v>
      </c>
      <c r="Z479" s="5">
        <v>275.07</v>
      </c>
      <c r="AA479" s="5">
        <f t="shared" si="168"/>
        <v>275.07</v>
      </c>
      <c r="AB479" s="7">
        <v>0.13300000000000001</v>
      </c>
      <c r="AC479" s="7">
        <f t="shared" si="169"/>
        <v>0.13300000000000001</v>
      </c>
      <c r="AD479" s="16">
        <f t="shared" si="170"/>
        <v>0</v>
      </c>
      <c r="AE479" s="16">
        <v>25</v>
      </c>
      <c r="AF479" s="5">
        <f t="shared" si="171"/>
        <v>5962.1422499999999</v>
      </c>
      <c r="AG479">
        <f t="shared" si="172"/>
        <v>4132.5</v>
      </c>
      <c r="AH479" s="5">
        <f t="shared" si="173"/>
        <v>1829.6422499999999</v>
      </c>
      <c r="AI479" s="5">
        <f t="shared" si="174"/>
        <v>0.30687665159280625</v>
      </c>
      <c r="AJ479" s="5">
        <f t="shared" si="177"/>
        <v>10469287.897440011</v>
      </c>
      <c r="AK479" s="7">
        <f t="shared" si="175"/>
        <v>0.95646901895788639</v>
      </c>
      <c r="AL479" s="17">
        <f>MIN(AC479,'What-If Analysis'!$B$2)</f>
        <v>0.13300000000000001</v>
      </c>
      <c r="AM479">
        <f>AE479*(1+'What-If Analysis'!$B$3)</f>
        <v>32.5</v>
      </c>
      <c r="AN479">
        <f>Y479*(1+'What-If Analysis'!$B$4)</f>
        <v>181.83000000000004</v>
      </c>
      <c r="AO479">
        <f t="shared" si="176"/>
        <v>7750.7849249999999</v>
      </c>
    </row>
    <row r="480" spans="1:41" x14ac:dyDescent="0.3">
      <c r="A480" t="s">
        <v>383</v>
      </c>
      <c r="B480" s="3">
        <v>45832</v>
      </c>
      <c r="C480" s="3">
        <f t="shared" si="157"/>
        <v>45832</v>
      </c>
      <c r="D480" s="3">
        <v>45861</v>
      </c>
      <c r="E480" s="3">
        <f t="shared" si="158"/>
        <v>45861</v>
      </c>
      <c r="F480" s="16">
        <f t="shared" si="159"/>
        <v>29</v>
      </c>
      <c r="G480" s="16">
        <f>IF(Data!F508&lt;=7,1,0)</f>
        <v>0</v>
      </c>
      <c r="H480" s="5" t="str">
        <f t="shared" si="160"/>
        <v>06-2025</v>
      </c>
      <c r="I480" s="5" t="str">
        <f t="shared" si="161"/>
        <v>Q2-2025</v>
      </c>
      <c r="J480" s="3">
        <f t="shared" si="162"/>
        <v>44928</v>
      </c>
      <c r="K480" s="5" t="str">
        <f t="shared" si="163"/>
        <v>01-2023</v>
      </c>
      <c r="L480" t="s">
        <v>648</v>
      </c>
      <c r="M480" t="s">
        <v>653</v>
      </c>
      <c r="N480" t="s">
        <v>688</v>
      </c>
      <c r="O480" t="str">
        <f t="shared" si="164"/>
        <v>Vancouver</v>
      </c>
      <c r="P480" t="s">
        <v>703</v>
      </c>
      <c r="Q480" t="s">
        <v>709</v>
      </c>
      <c r="R480" t="str">
        <f t="shared" si="165"/>
        <v>Marketplace</v>
      </c>
      <c r="S480" t="s">
        <v>714</v>
      </c>
      <c r="T480" t="str">
        <f t="shared" si="178"/>
        <v>I. Johnson</v>
      </c>
      <c r="U480" t="s">
        <v>728</v>
      </c>
      <c r="V480" t="str">
        <f t="shared" si="166"/>
        <v>Low</v>
      </c>
      <c r="W480" t="s">
        <v>1103</v>
      </c>
      <c r="X480" t="str">
        <f t="shared" si="167"/>
        <v>C</v>
      </c>
      <c r="Y480" s="5">
        <v>255.4</v>
      </c>
      <c r="Z480" s="5">
        <v>322.70999999999998</v>
      </c>
      <c r="AA480" s="5">
        <f t="shared" si="168"/>
        <v>322.70999999999998</v>
      </c>
      <c r="AB480" s="7">
        <v>0.115</v>
      </c>
      <c r="AC480" s="7">
        <f t="shared" si="169"/>
        <v>0.115</v>
      </c>
      <c r="AD480" s="16">
        <f t="shared" si="170"/>
        <v>0</v>
      </c>
      <c r="AE480" s="16">
        <v>16</v>
      </c>
      <c r="AF480" s="5">
        <f t="shared" si="171"/>
        <v>4569.5735999999997</v>
      </c>
      <c r="AG480">
        <f t="shared" si="172"/>
        <v>4086.4</v>
      </c>
      <c r="AH480" s="5">
        <f t="shared" si="173"/>
        <v>483.17359999999962</v>
      </c>
      <c r="AI480" s="5">
        <f t="shared" si="174"/>
        <v>0.10573713048412212</v>
      </c>
      <c r="AJ480" s="5">
        <f t="shared" si="177"/>
        <v>10473857.47104001</v>
      </c>
      <c r="AK480" s="7">
        <f t="shared" si="175"/>
        <v>0.95688649296577155</v>
      </c>
      <c r="AL480" s="17">
        <f>MIN(AC480,'What-If Analysis'!$B$2)</f>
        <v>0.115</v>
      </c>
      <c r="AM480">
        <f>AE480*(1+'What-If Analysis'!$B$3)</f>
        <v>20.8</v>
      </c>
      <c r="AN480">
        <f>Y480*(1+'What-If Analysis'!$B$4)</f>
        <v>280.94000000000005</v>
      </c>
      <c r="AO480">
        <f t="shared" si="176"/>
        <v>5940.4456799999998</v>
      </c>
    </row>
    <row r="481" spans="1:41" x14ac:dyDescent="0.3">
      <c r="A481" t="s">
        <v>512</v>
      </c>
      <c r="B481" s="3">
        <v>45224</v>
      </c>
      <c r="C481" s="3">
        <f t="shared" si="157"/>
        <v>45224</v>
      </c>
      <c r="D481" s="3">
        <v>45227</v>
      </c>
      <c r="E481" s="3">
        <f t="shared" si="158"/>
        <v>45227</v>
      </c>
      <c r="F481" s="16">
        <f t="shared" si="159"/>
        <v>3</v>
      </c>
      <c r="G481" s="16">
        <f>IF(Data!F395&lt;=7,1,0)</f>
        <v>0</v>
      </c>
      <c r="H481" s="5" t="str">
        <f t="shared" si="160"/>
        <v>10-2023</v>
      </c>
      <c r="I481" s="5" t="str">
        <f t="shared" si="161"/>
        <v>Q4-2023</v>
      </c>
      <c r="J481" s="3">
        <f t="shared" si="162"/>
        <v>44955</v>
      </c>
      <c r="K481" s="5" t="str">
        <f t="shared" si="163"/>
        <v>01-2023</v>
      </c>
      <c r="L481" t="s">
        <v>648</v>
      </c>
      <c r="M481" t="s">
        <v>655</v>
      </c>
      <c r="N481" t="s">
        <v>672</v>
      </c>
      <c r="O481" t="str">
        <f t="shared" si="164"/>
        <v>Brasília</v>
      </c>
      <c r="P481" t="s">
        <v>701</v>
      </c>
      <c r="Q481" t="s">
        <v>710</v>
      </c>
      <c r="R481" t="str">
        <f t="shared" si="165"/>
        <v>Distributor</v>
      </c>
      <c r="S481" t="s">
        <v>716</v>
      </c>
      <c r="T481" t="str">
        <f t="shared" si="178"/>
        <v>L. Okafor</v>
      </c>
      <c r="U481" t="s">
        <v>733</v>
      </c>
      <c r="V481" t="str">
        <f t="shared" si="166"/>
        <v>Medium</v>
      </c>
      <c r="W481" t="s">
        <v>1231</v>
      </c>
      <c r="X481" t="str">
        <f t="shared" si="167"/>
        <v>C</v>
      </c>
      <c r="Y481" s="5">
        <v>509.31</v>
      </c>
      <c r="Z481" s="5">
        <v>1145.9000000000001</v>
      </c>
      <c r="AA481" s="5">
        <f t="shared" si="168"/>
        <v>1145.9000000000001</v>
      </c>
      <c r="AB481" s="7">
        <v>5.7000000000000002E-2</v>
      </c>
      <c r="AC481" s="7">
        <f t="shared" si="169"/>
        <v>5.7000000000000002E-2</v>
      </c>
      <c r="AD481" s="16">
        <f t="shared" si="170"/>
        <v>0</v>
      </c>
      <c r="AE481" s="16">
        <v>8</v>
      </c>
      <c r="AF481" s="5">
        <f t="shared" si="171"/>
        <v>8644.6696000000011</v>
      </c>
      <c r="AG481">
        <f t="shared" si="172"/>
        <v>4074.48</v>
      </c>
      <c r="AH481" s="5">
        <f t="shared" si="173"/>
        <v>4570.1896000000015</v>
      </c>
      <c r="AI481" s="5">
        <f t="shared" si="174"/>
        <v>0.52867140231709964</v>
      </c>
      <c r="AJ481" s="5">
        <f t="shared" si="177"/>
        <v>10482502.140640011</v>
      </c>
      <c r="AK481" s="7">
        <f t="shared" si="175"/>
        <v>0.95767626574998832</v>
      </c>
      <c r="AL481" s="17">
        <f>MIN(AC481,'What-If Analysis'!$B$2)</f>
        <v>5.7000000000000002E-2</v>
      </c>
      <c r="AM481">
        <f>AE481*(1+'What-If Analysis'!$B$3)</f>
        <v>10.4</v>
      </c>
      <c r="AN481">
        <f>Y481*(1+'What-If Analysis'!$B$4)</f>
        <v>560.2410000000001</v>
      </c>
      <c r="AO481">
        <f t="shared" si="176"/>
        <v>11238.07048</v>
      </c>
    </row>
    <row r="482" spans="1:41" x14ac:dyDescent="0.3">
      <c r="A482" t="s">
        <v>176</v>
      </c>
      <c r="B482" s="3">
        <v>45595</v>
      </c>
      <c r="C482" s="3">
        <f t="shared" si="157"/>
        <v>45595</v>
      </c>
      <c r="D482" s="3">
        <v>45620</v>
      </c>
      <c r="E482" s="3">
        <f t="shared" si="158"/>
        <v>45620</v>
      </c>
      <c r="F482" s="16">
        <f t="shared" si="159"/>
        <v>25</v>
      </c>
      <c r="G482" s="16">
        <f>IF(Data!F473&lt;=7,1,0)</f>
        <v>1</v>
      </c>
      <c r="H482" s="5" t="str">
        <f t="shared" si="160"/>
        <v>10-2024</v>
      </c>
      <c r="I482" s="5" t="str">
        <f t="shared" si="161"/>
        <v>Q4-2024</v>
      </c>
      <c r="J482" s="3">
        <f t="shared" si="162"/>
        <v>44938</v>
      </c>
      <c r="K482" s="5" t="str">
        <f t="shared" si="163"/>
        <v>01-2023</v>
      </c>
      <c r="L482" t="s">
        <v>647</v>
      </c>
      <c r="M482" t="s">
        <v>659</v>
      </c>
      <c r="N482" t="s">
        <v>676</v>
      </c>
      <c r="O482" t="str">
        <f t="shared" si="164"/>
        <v>Shenzhen</v>
      </c>
      <c r="P482" t="s">
        <v>705</v>
      </c>
      <c r="Q482" t="s">
        <v>708</v>
      </c>
      <c r="R482" t="str">
        <f t="shared" si="165"/>
        <v>Online</v>
      </c>
      <c r="S482" t="s">
        <v>718</v>
      </c>
      <c r="T482" t="str">
        <f t="shared" si="178"/>
        <v>E. Garcia</v>
      </c>
      <c r="U482" t="s">
        <v>727</v>
      </c>
      <c r="V482" t="str">
        <f t="shared" si="166"/>
        <v>Medium</v>
      </c>
      <c r="W482" t="s">
        <v>895</v>
      </c>
      <c r="X482" t="str">
        <f t="shared" si="167"/>
        <v>C</v>
      </c>
      <c r="Y482" s="5">
        <v>811.05</v>
      </c>
      <c r="Z482" s="5">
        <v>1217.71</v>
      </c>
      <c r="AA482" s="5">
        <f t="shared" si="168"/>
        <v>1217.71</v>
      </c>
      <c r="AB482" s="7">
        <v>7.1999999999999995E-2</v>
      </c>
      <c r="AC482" s="7">
        <f t="shared" si="169"/>
        <v>7.1999999999999995E-2</v>
      </c>
      <c r="AD482" s="16">
        <f t="shared" si="170"/>
        <v>0</v>
      </c>
      <c r="AE482" s="16">
        <v>5</v>
      </c>
      <c r="AF482" s="5">
        <f t="shared" si="171"/>
        <v>5650.1744000000008</v>
      </c>
      <c r="AG482">
        <f t="shared" si="172"/>
        <v>4055.25</v>
      </c>
      <c r="AH482" s="5">
        <f t="shared" si="173"/>
        <v>1594.9244000000008</v>
      </c>
      <c r="AI482" s="5">
        <f t="shared" si="174"/>
        <v>0.28227879125288602</v>
      </c>
      <c r="AJ482" s="5">
        <f t="shared" si="177"/>
        <v>10488152.315040011</v>
      </c>
      <c r="AK482" s="7">
        <f t="shared" si="175"/>
        <v>0.95819246291814819</v>
      </c>
      <c r="AL482" s="17">
        <f>MIN(AC482,'What-If Analysis'!$B$2)</f>
        <v>7.1999999999999995E-2</v>
      </c>
      <c r="AM482">
        <f>AE482*(1+'What-If Analysis'!$B$3)</f>
        <v>6.5</v>
      </c>
      <c r="AN482">
        <f>Y482*(1+'What-If Analysis'!$B$4)</f>
        <v>892.15499999999997</v>
      </c>
      <c r="AO482">
        <f t="shared" si="176"/>
        <v>7345.2267200000006</v>
      </c>
    </row>
    <row r="483" spans="1:41" x14ac:dyDescent="0.3">
      <c r="A483" t="s">
        <v>577</v>
      </c>
      <c r="B483" s="3">
        <v>45029</v>
      </c>
      <c r="C483" s="3">
        <f t="shared" si="157"/>
        <v>45029</v>
      </c>
      <c r="D483" s="3">
        <v>45048</v>
      </c>
      <c r="E483" s="3">
        <f t="shared" si="158"/>
        <v>45048</v>
      </c>
      <c r="F483" s="16">
        <f t="shared" si="159"/>
        <v>19</v>
      </c>
      <c r="G483" s="16">
        <f>IF(Data!F400&lt;=7,1,0)</f>
        <v>0</v>
      </c>
      <c r="H483" s="5" t="str">
        <f t="shared" si="160"/>
        <v>04-2023</v>
      </c>
      <c r="I483" s="5" t="str">
        <f t="shared" si="161"/>
        <v>Q2-2023</v>
      </c>
      <c r="J483" s="3">
        <f t="shared" si="162"/>
        <v>44928</v>
      </c>
      <c r="K483" s="5" t="str">
        <f t="shared" si="163"/>
        <v>01-2023</v>
      </c>
      <c r="L483" t="s">
        <v>648</v>
      </c>
      <c r="M483" t="s">
        <v>653</v>
      </c>
      <c r="N483" t="s">
        <v>681</v>
      </c>
      <c r="O483" t="str">
        <f t="shared" si="164"/>
        <v>Montreal</v>
      </c>
      <c r="P483" t="s">
        <v>704</v>
      </c>
      <c r="Q483" t="s">
        <v>710</v>
      </c>
      <c r="R483" t="str">
        <f t="shared" si="165"/>
        <v>Distributor</v>
      </c>
      <c r="S483" t="s">
        <v>718</v>
      </c>
      <c r="T483" t="str">
        <f t="shared" si="178"/>
        <v>E. Garcia</v>
      </c>
      <c r="U483" t="s">
        <v>732</v>
      </c>
      <c r="V483" t="str">
        <f t="shared" si="166"/>
        <v>High</v>
      </c>
      <c r="W483" t="s">
        <v>1295</v>
      </c>
      <c r="X483" t="str">
        <f t="shared" si="167"/>
        <v>C</v>
      </c>
      <c r="Y483" s="5">
        <v>671.05</v>
      </c>
      <c r="Z483" s="5">
        <v>1645.48</v>
      </c>
      <c r="AA483" s="5">
        <f t="shared" si="168"/>
        <v>1645.48</v>
      </c>
      <c r="AB483" s="7">
        <v>0.13700000000000001</v>
      </c>
      <c r="AC483" s="7">
        <f t="shared" si="169"/>
        <v>0.13700000000000001</v>
      </c>
      <c r="AD483" s="16">
        <f t="shared" si="170"/>
        <v>0</v>
      </c>
      <c r="AE483" s="16">
        <v>6</v>
      </c>
      <c r="AF483" s="5">
        <f t="shared" si="171"/>
        <v>8520.2954399999999</v>
      </c>
      <c r="AG483">
        <f t="shared" si="172"/>
        <v>4026.2999999999997</v>
      </c>
      <c r="AH483" s="5">
        <f t="shared" si="173"/>
        <v>4493.9954400000006</v>
      </c>
      <c r="AI483" s="5">
        <f t="shared" si="174"/>
        <v>0.52744596377517172</v>
      </c>
      <c r="AJ483" s="5">
        <f t="shared" si="177"/>
        <v>10496672.610480011</v>
      </c>
      <c r="AK483" s="7">
        <f t="shared" si="175"/>
        <v>0.95897087293997207</v>
      </c>
      <c r="AL483" s="17">
        <f>MIN(AC483,'What-If Analysis'!$B$2)</f>
        <v>0.13700000000000001</v>
      </c>
      <c r="AM483">
        <f>AE483*(1+'What-If Analysis'!$B$3)</f>
        <v>7.8000000000000007</v>
      </c>
      <c r="AN483">
        <f>Y483*(1+'What-If Analysis'!$B$4)</f>
        <v>738.15499999999997</v>
      </c>
      <c r="AO483">
        <f t="shared" si="176"/>
        <v>11076.384072000001</v>
      </c>
    </row>
    <row r="484" spans="1:41" x14ac:dyDescent="0.3">
      <c r="A484" t="s">
        <v>527</v>
      </c>
      <c r="B484" s="3">
        <v>45078</v>
      </c>
      <c r="C484" s="3">
        <f t="shared" si="157"/>
        <v>45078</v>
      </c>
      <c r="D484" s="3">
        <v>45085</v>
      </c>
      <c r="E484" s="3">
        <f t="shared" si="158"/>
        <v>45085</v>
      </c>
      <c r="F484" s="16">
        <f t="shared" si="159"/>
        <v>7</v>
      </c>
      <c r="G484" s="16">
        <f>IF(Data!F487&lt;=7,1,0)</f>
        <v>0</v>
      </c>
      <c r="H484" s="5" t="str">
        <f t="shared" si="160"/>
        <v>06-2023</v>
      </c>
      <c r="I484" s="5" t="str">
        <f t="shared" si="161"/>
        <v>Q2-2023</v>
      </c>
      <c r="J484" s="3">
        <f t="shared" si="162"/>
        <v>44947</v>
      </c>
      <c r="K484" s="5" t="str">
        <f t="shared" si="163"/>
        <v>01-2023</v>
      </c>
      <c r="L484" t="s">
        <v>649</v>
      </c>
      <c r="M484" t="s">
        <v>656</v>
      </c>
      <c r="N484" t="s">
        <v>698</v>
      </c>
      <c r="O484" t="str">
        <f t="shared" si="164"/>
        <v>Frankfurt</v>
      </c>
      <c r="P484" t="s">
        <v>704</v>
      </c>
      <c r="Q484" t="s">
        <v>708</v>
      </c>
      <c r="R484" t="str">
        <f t="shared" si="165"/>
        <v>Online</v>
      </c>
      <c r="S484" t="s">
        <v>720</v>
      </c>
      <c r="T484" t="str">
        <f t="shared" si="178"/>
        <v>A. Patel</v>
      </c>
      <c r="U484" t="s">
        <v>730</v>
      </c>
      <c r="V484" t="str">
        <f t="shared" si="166"/>
        <v>Medium</v>
      </c>
      <c r="W484" t="s">
        <v>1246</v>
      </c>
      <c r="X484" t="str">
        <f t="shared" si="167"/>
        <v>C</v>
      </c>
      <c r="Y484" s="5">
        <v>804.17</v>
      </c>
      <c r="Z484" s="5">
        <v>1072.29</v>
      </c>
      <c r="AA484" s="5">
        <f t="shared" si="168"/>
        <v>1072.29</v>
      </c>
      <c r="AB484" s="7">
        <v>3.2000000000000001E-2</v>
      </c>
      <c r="AC484" s="7">
        <f t="shared" si="169"/>
        <v>3.2000000000000001E-2</v>
      </c>
      <c r="AD484" s="16">
        <f t="shared" si="170"/>
        <v>0</v>
      </c>
      <c r="AE484" s="16">
        <v>5</v>
      </c>
      <c r="AF484" s="5">
        <f t="shared" si="171"/>
        <v>5189.8836000000001</v>
      </c>
      <c r="AG484">
        <f t="shared" si="172"/>
        <v>4020.85</v>
      </c>
      <c r="AH484" s="5">
        <f t="shared" si="173"/>
        <v>1169.0336000000002</v>
      </c>
      <c r="AI484" s="5">
        <f t="shared" si="174"/>
        <v>0.2252523736755869</v>
      </c>
      <c r="AJ484" s="5">
        <f t="shared" si="177"/>
        <v>10501862.494080011</v>
      </c>
      <c r="AK484" s="7">
        <f t="shared" si="175"/>
        <v>0.95944501816589634</v>
      </c>
      <c r="AL484" s="17">
        <f>MIN(AC484,'What-If Analysis'!$B$2)</f>
        <v>3.2000000000000001E-2</v>
      </c>
      <c r="AM484">
        <f>AE484*(1+'What-If Analysis'!$B$3)</f>
        <v>6.5</v>
      </c>
      <c r="AN484">
        <f>Y484*(1+'What-If Analysis'!$B$4)</f>
        <v>884.58699999999999</v>
      </c>
      <c r="AO484">
        <f t="shared" si="176"/>
        <v>6746.8486800000001</v>
      </c>
    </row>
    <row r="485" spans="1:41" x14ac:dyDescent="0.3">
      <c r="A485" t="s">
        <v>299</v>
      </c>
      <c r="B485" s="3">
        <v>45101</v>
      </c>
      <c r="C485" s="3">
        <f t="shared" si="157"/>
        <v>45101</v>
      </c>
      <c r="D485" s="3">
        <v>45128</v>
      </c>
      <c r="E485" s="3">
        <f t="shared" si="158"/>
        <v>45128</v>
      </c>
      <c r="F485" s="16">
        <f t="shared" si="159"/>
        <v>27</v>
      </c>
      <c r="G485" s="16">
        <f>IF(Data!F530&lt;=7,1,0)</f>
        <v>0</v>
      </c>
      <c r="H485" s="5" t="str">
        <f t="shared" si="160"/>
        <v>06-2023</v>
      </c>
      <c r="I485" s="5" t="str">
        <f t="shared" si="161"/>
        <v>Q2-2023</v>
      </c>
      <c r="J485" s="3">
        <f t="shared" si="162"/>
        <v>44988</v>
      </c>
      <c r="K485" s="5" t="str">
        <f t="shared" si="163"/>
        <v>03-2023</v>
      </c>
      <c r="L485" t="s">
        <v>647</v>
      </c>
      <c r="M485" t="s">
        <v>652</v>
      </c>
      <c r="N485" t="s">
        <v>694</v>
      </c>
      <c r="O485" t="str">
        <f t="shared" si="164"/>
        <v>Nagoya</v>
      </c>
      <c r="P485" t="s">
        <v>704</v>
      </c>
      <c r="Q485" t="s">
        <v>709</v>
      </c>
      <c r="R485" t="str">
        <f t="shared" si="165"/>
        <v>Marketplace</v>
      </c>
      <c r="S485" t="s">
        <v>713</v>
      </c>
      <c r="T485" t="str">
        <f t="shared" si="178"/>
        <v>J. Njeri</v>
      </c>
      <c r="U485" t="s">
        <v>730</v>
      </c>
      <c r="V485" t="str">
        <f t="shared" si="166"/>
        <v>Low</v>
      </c>
      <c r="W485" t="s">
        <v>1019</v>
      </c>
      <c r="X485" t="str">
        <f t="shared" si="167"/>
        <v>C</v>
      </c>
      <c r="Y485" s="5">
        <v>554.76</v>
      </c>
      <c r="Z485" s="5">
        <v>728.69</v>
      </c>
      <c r="AA485" s="5">
        <f t="shared" si="168"/>
        <v>728.69</v>
      </c>
      <c r="AB485" s="7">
        <v>0.22</v>
      </c>
      <c r="AC485" s="7">
        <f t="shared" si="169"/>
        <v>0.22</v>
      </c>
      <c r="AD485" s="16">
        <f t="shared" si="170"/>
        <v>1</v>
      </c>
      <c r="AE485" s="16">
        <v>7</v>
      </c>
      <c r="AF485" s="5">
        <f t="shared" si="171"/>
        <v>3978.6474000000003</v>
      </c>
      <c r="AG485">
        <f t="shared" si="172"/>
        <v>3883.3199999999997</v>
      </c>
      <c r="AH485" s="5">
        <f t="shared" si="173"/>
        <v>95.32740000000058</v>
      </c>
      <c r="AI485" s="5">
        <f t="shared" si="174"/>
        <v>2.395975074343119E-2</v>
      </c>
      <c r="AJ485" s="5">
        <f t="shared" si="177"/>
        <v>10505841.14148001</v>
      </c>
      <c r="AK485" s="7">
        <f t="shared" si="175"/>
        <v>0.95980850544533081</v>
      </c>
      <c r="AL485" s="17">
        <f>MIN(AC485,'What-If Analysis'!$B$2)</f>
        <v>0.2</v>
      </c>
      <c r="AM485">
        <f>AE485*(1+'What-If Analysis'!$B$3)</f>
        <v>9.1</v>
      </c>
      <c r="AN485">
        <f>Y485*(1+'What-If Analysis'!$B$4)</f>
        <v>610.23599999999999</v>
      </c>
      <c r="AO485">
        <f t="shared" si="176"/>
        <v>5304.8632000000007</v>
      </c>
    </row>
    <row r="486" spans="1:41" x14ac:dyDescent="0.3">
      <c r="A486" t="s">
        <v>497</v>
      </c>
      <c r="B486" s="3">
        <v>45775</v>
      </c>
      <c r="C486" s="3">
        <f t="shared" si="157"/>
        <v>45775</v>
      </c>
      <c r="D486" s="3">
        <v>45796</v>
      </c>
      <c r="E486" s="3">
        <f t="shared" si="158"/>
        <v>45796</v>
      </c>
      <c r="F486" s="16">
        <f t="shared" si="159"/>
        <v>21</v>
      </c>
      <c r="G486" s="16">
        <f>IF(Data!F489&lt;=7,1,0)</f>
        <v>1</v>
      </c>
      <c r="H486" s="5" t="str">
        <f t="shared" si="160"/>
        <v>04-2025</v>
      </c>
      <c r="I486" s="5" t="str">
        <f t="shared" si="161"/>
        <v>Q2-2025</v>
      </c>
      <c r="J486" s="3">
        <f t="shared" si="162"/>
        <v>44947</v>
      </c>
      <c r="K486" s="5" t="str">
        <f t="shared" si="163"/>
        <v>01-2023</v>
      </c>
      <c r="L486" t="s">
        <v>649</v>
      </c>
      <c r="M486" t="s">
        <v>656</v>
      </c>
      <c r="N486" t="s">
        <v>671</v>
      </c>
      <c r="O486" t="str">
        <f t="shared" si="164"/>
        <v>Berlin</v>
      </c>
      <c r="P486" t="s">
        <v>701</v>
      </c>
      <c r="Q486" t="s">
        <v>710</v>
      </c>
      <c r="R486" t="str">
        <f t="shared" si="165"/>
        <v>Distributor</v>
      </c>
      <c r="S486" t="s">
        <v>717</v>
      </c>
      <c r="T486" t="str">
        <f t="shared" si="178"/>
        <v>B. Chen</v>
      </c>
      <c r="U486" t="s">
        <v>730</v>
      </c>
      <c r="V486" t="str">
        <f t="shared" si="166"/>
        <v>Low</v>
      </c>
      <c r="W486" t="s">
        <v>1216</v>
      </c>
      <c r="X486" t="str">
        <f t="shared" si="167"/>
        <v>C</v>
      </c>
      <c r="Y486" s="5">
        <v>350.76</v>
      </c>
      <c r="Z486" s="5">
        <v>492.18</v>
      </c>
      <c r="AA486" s="5">
        <f t="shared" si="168"/>
        <v>492.18</v>
      </c>
      <c r="AB486" s="7">
        <v>5.2999999999999999E-2</v>
      </c>
      <c r="AC486" s="7">
        <f t="shared" si="169"/>
        <v>5.2999999999999999E-2</v>
      </c>
      <c r="AD486" s="16">
        <f t="shared" si="170"/>
        <v>0</v>
      </c>
      <c r="AE486" s="16">
        <v>11</v>
      </c>
      <c r="AF486" s="5">
        <f t="shared" si="171"/>
        <v>5127.0390600000001</v>
      </c>
      <c r="AG486">
        <f t="shared" si="172"/>
        <v>3858.3599999999997</v>
      </c>
      <c r="AH486" s="5">
        <f t="shared" si="173"/>
        <v>1268.6790600000004</v>
      </c>
      <c r="AI486" s="5">
        <f t="shared" si="174"/>
        <v>0.24744868239798437</v>
      </c>
      <c r="AJ486" s="5">
        <f t="shared" si="177"/>
        <v>10510968.18054001</v>
      </c>
      <c r="AK486" s="7">
        <f t="shared" si="175"/>
        <v>0.96027690922483488</v>
      </c>
      <c r="AL486" s="17">
        <f>MIN(AC486,'What-If Analysis'!$B$2)</f>
        <v>5.2999999999999999E-2</v>
      </c>
      <c r="AM486">
        <f>AE486*(1+'What-If Analysis'!$B$3)</f>
        <v>14.3</v>
      </c>
      <c r="AN486">
        <f>Y486*(1+'What-If Analysis'!$B$4)</f>
        <v>385.83600000000001</v>
      </c>
      <c r="AO486">
        <f t="shared" si="176"/>
        <v>6665.1507780000002</v>
      </c>
    </row>
    <row r="487" spans="1:41" x14ac:dyDescent="0.3">
      <c r="A487" t="s">
        <v>372</v>
      </c>
      <c r="B487" s="3">
        <v>45621</v>
      </c>
      <c r="C487" s="3">
        <f t="shared" si="157"/>
        <v>45621</v>
      </c>
      <c r="D487" s="3">
        <v>45633</v>
      </c>
      <c r="E487" s="3">
        <f t="shared" si="158"/>
        <v>45633</v>
      </c>
      <c r="F487" s="16">
        <f t="shared" si="159"/>
        <v>12</v>
      </c>
      <c r="G487" s="16">
        <f>IF(Data!F526&lt;=7,1,0)</f>
        <v>0</v>
      </c>
      <c r="H487" s="5" t="str">
        <f t="shared" si="160"/>
        <v>11-2024</v>
      </c>
      <c r="I487" s="5" t="str">
        <f t="shared" si="161"/>
        <v>Q4-2024</v>
      </c>
      <c r="J487" s="3">
        <f t="shared" si="162"/>
        <v>44938</v>
      </c>
      <c r="K487" s="5" t="str">
        <f t="shared" si="163"/>
        <v>01-2023</v>
      </c>
      <c r="L487" t="s">
        <v>647</v>
      </c>
      <c r="M487" t="s">
        <v>659</v>
      </c>
      <c r="N487" t="s">
        <v>685</v>
      </c>
      <c r="O487" t="str">
        <f t="shared" si="164"/>
        <v>Shanghai</v>
      </c>
      <c r="P487" t="s">
        <v>701</v>
      </c>
      <c r="Q487" t="s">
        <v>710</v>
      </c>
      <c r="R487" t="str">
        <f t="shared" si="165"/>
        <v>Distributor</v>
      </c>
      <c r="S487" t="s">
        <v>720</v>
      </c>
      <c r="T487" t="str">
        <f t="shared" si="178"/>
        <v>A. Patel</v>
      </c>
      <c r="U487" t="s">
        <v>733</v>
      </c>
      <c r="V487" t="str">
        <f t="shared" si="166"/>
        <v>Low</v>
      </c>
      <c r="W487" t="s">
        <v>1092</v>
      </c>
      <c r="X487" t="str">
        <f t="shared" si="167"/>
        <v>C</v>
      </c>
      <c r="Y487" s="5">
        <v>769.9</v>
      </c>
      <c r="Z487" s="5">
        <v>814.36</v>
      </c>
      <c r="AA487" s="5">
        <f t="shared" si="168"/>
        <v>814.36</v>
      </c>
      <c r="AB487" s="7">
        <v>0</v>
      </c>
      <c r="AC487" s="7">
        <f t="shared" si="169"/>
        <v>0</v>
      </c>
      <c r="AD487" s="16">
        <f t="shared" si="170"/>
        <v>0</v>
      </c>
      <c r="AE487" s="16">
        <v>5</v>
      </c>
      <c r="AF487" s="5">
        <f t="shared" si="171"/>
        <v>4071.8</v>
      </c>
      <c r="AG487">
        <f t="shared" si="172"/>
        <v>3849.5</v>
      </c>
      <c r="AH487" s="5">
        <f t="shared" si="173"/>
        <v>222.30000000000018</v>
      </c>
      <c r="AI487" s="5">
        <f t="shared" si="174"/>
        <v>5.4595019401738831E-2</v>
      </c>
      <c r="AJ487" s="5">
        <f t="shared" si="177"/>
        <v>10515039.980540011</v>
      </c>
      <c r="AK487" s="7">
        <f t="shared" si="175"/>
        <v>0.96064890688021942</v>
      </c>
      <c r="AL487" s="17">
        <f>MIN(AC487,'What-If Analysis'!$B$2)</f>
        <v>0</v>
      </c>
      <c r="AM487">
        <f>AE487*(1+'What-If Analysis'!$B$3)</f>
        <v>6.5</v>
      </c>
      <c r="AN487">
        <f>Y487*(1+'What-If Analysis'!$B$4)</f>
        <v>846.8900000000001</v>
      </c>
      <c r="AO487">
        <f t="shared" si="176"/>
        <v>5293.34</v>
      </c>
    </row>
    <row r="488" spans="1:41" x14ac:dyDescent="0.3">
      <c r="A488" t="s">
        <v>446</v>
      </c>
      <c r="B488" s="3">
        <v>45220</v>
      </c>
      <c r="C488" s="3">
        <f t="shared" si="157"/>
        <v>45220</v>
      </c>
      <c r="D488" s="3">
        <v>45220</v>
      </c>
      <c r="E488" s="3">
        <f t="shared" si="158"/>
        <v>45220</v>
      </c>
      <c r="F488" s="16">
        <f t="shared" si="159"/>
        <v>0</v>
      </c>
      <c r="G488" s="16">
        <f>IF(Data!F557&lt;=7,1,0)</f>
        <v>0</v>
      </c>
      <c r="H488" s="5" t="str">
        <f t="shared" si="160"/>
        <v>10-2023</v>
      </c>
      <c r="I488" s="5" t="str">
        <f t="shared" si="161"/>
        <v>Q4-2023</v>
      </c>
      <c r="J488" s="3">
        <f t="shared" si="162"/>
        <v>44945</v>
      </c>
      <c r="K488" s="5" t="str">
        <f t="shared" si="163"/>
        <v>01-2023</v>
      </c>
      <c r="L488" t="s">
        <v>649</v>
      </c>
      <c r="M488" t="s">
        <v>658</v>
      </c>
      <c r="N488" t="s">
        <v>693</v>
      </c>
      <c r="O488" t="str">
        <f t="shared" si="164"/>
        <v>Manchester</v>
      </c>
      <c r="P488" t="s">
        <v>706</v>
      </c>
      <c r="Q488" t="s">
        <v>710</v>
      </c>
      <c r="R488" t="str">
        <f t="shared" si="165"/>
        <v>Distributor</v>
      </c>
      <c r="S488" t="s">
        <v>713</v>
      </c>
      <c r="T488" t="str">
        <f t="shared" si="178"/>
        <v>J. Njeri</v>
      </c>
      <c r="U488" t="s">
        <v>732</v>
      </c>
      <c r="V488" t="str">
        <f t="shared" si="166"/>
        <v>Low</v>
      </c>
      <c r="W488" t="s">
        <v>1165</v>
      </c>
      <c r="X488" t="str">
        <f t="shared" si="167"/>
        <v>C</v>
      </c>
      <c r="Y488" s="5">
        <v>384.19</v>
      </c>
      <c r="Z488" s="5">
        <v>278.35000000000002</v>
      </c>
      <c r="AA488" s="5">
        <f t="shared" si="168"/>
        <v>278.35000000000002</v>
      </c>
      <c r="AB488" s="7">
        <v>5.6000000000000001E-2</v>
      </c>
      <c r="AC488" s="7">
        <f t="shared" si="169"/>
        <v>5.6000000000000001E-2</v>
      </c>
      <c r="AD488" s="16">
        <f t="shared" si="170"/>
        <v>0</v>
      </c>
      <c r="AE488" s="16">
        <v>10</v>
      </c>
      <c r="AF488" s="5">
        <f t="shared" si="171"/>
        <v>2627.6239999999998</v>
      </c>
      <c r="AG488">
        <f t="shared" si="172"/>
        <v>3841.9</v>
      </c>
      <c r="AH488" s="5">
        <f t="shared" si="173"/>
        <v>1214.2760000000003</v>
      </c>
      <c r="AI488" s="5">
        <f t="shared" si="174"/>
        <v>0.46211938998882657</v>
      </c>
      <c r="AJ488" s="5">
        <f t="shared" si="177"/>
        <v>10517667.604540011</v>
      </c>
      <c r="AK488" s="7">
        <f t="shared" si="175"/>
        <v>0.96088896532297985</v>
      </c>
      <c r="AL488" s="17">
        <f>MIN(AC488,'What-If Analysis'!$B$2)</f>
        <v>5.6000000000000001E-2</v>
      </c>
      <c r="AM488">
        <f>AE488*(1+'What-If Analysis'!$B$3)</f>
        <v>13</v>
      </c>
      <c r="AN488">
        <f>Y488*(1+'What-If Analysis'!$B$4)</f>
        <v>422.60900000000004</v>
      </c>
      <c r="AO488">
        <f t="shared" si="176"/>
        <v>3415.9112</v>
      </c>
    </row>
    <row r="489" spans="1:41" x14ac:dyDescent="0.3">
      <c r="A489" t="s">
        <v>342</v>
      </c>
      <c r="B489" s="3">
        <v>45796</v>
      </c>
      <c r="C489" s="3">
        <f t="shared" si="157"/>
        <v>45794</v>
      </c>
      <c r="D489" s="3">
        <v>45794</v>
      </c>
      <c r="E489" s="3">
        <f t="shared" si="158"/>
        <v>45796</v>
      </c>
      <c r="F489" s="16">
        <f t="shared" si="159"/>
        <v>2</v>
      </c>
      <c r="G489" s="16">
        <f>IF(Data!F453&lt;=7,1,0)</f>
        <v>0</v>
      </c>
      <c r="H489" s="5" t="str">
        <f t="shared" si="160"/>
        <v>05-2025</v>
      </c>
      <c r="I489" s="5" t="str">
        <f t="shared" si="161"/>
        <v>Q2-2025</v>
      </c>
      <c r="J489" s="3">
        <f t="shared" si="162"/>
        <v>44955</v>
      </c>
      <c r="K489" s="5" t="str">
        <f t="shared" si="163"/>
        <v>01-2023</v>
      </c>
      <c r="L489" t="s">
        <v>648</v>
      </c>
      <c r="M489" t="s">
        <v>655</v>
      </c>
      <c r="N489" t="s">
        <v>670</v>
      </c>
      <c r="O489" t="str">
        <f t="shared" si="164"/>
        <v>São Paulo</v>
      </c>
      <c r="P489" t="s">
        <v>705</v>
      </c>
      <c r="Q489" t="s">
        <v>710</v>
      </c>
      <c r="R489" t="str">
        <f t="shared" si="165"/>
        <v>Distributor</v>
      </c>
      <c r="S489" t="s">
        <v>716</v>
      </c>
      <c r="T489" t="str">
        <f t="shared" si="178"/>
        <v>L. Okafor</v>
      </c>
      <c r="U489" t="s">
        <v>732</v>
      </c>
      <c r="V489" t="str">
        <f t="shared" si="166"/>
        <v>Medium</v>
      </c>
      <c r="W489" t="s">
        <v>1062</v>
      </c>
      <c r="X489" t="str">
        <f t="shared" si="167"/>
        <v>C</v>
      </c>
      <c r="Y489" s="5">
        <v>383.77</v>
      </c>
      <c r="Z489" s="5">
        <v>952.56</v>
      </c>
      <c r="AA489" s="5">
        <f t="shared" si="168"/>
        <v>952.56</v>
      </c>
      <c r="AB489" s="7">
        <v>0.34599999999999997</v>
      </c>
      <c r="AC489" s="7">
        <f t="shared" si="169"/>
        <v>0.3</v>
      </c>
      <c r="AD489" s="16">
        <f t="shared" si="170"/>
        <v>1</v>
      </c>
      <c r="AE489" s="16">
        <v>10</v>
      </c>
      <c r="AF489" s="5">
        <f t="shared" si="171"/>
        <v>6667.9199999999983</v>
      </c>
      <c r="AG489">
        <f t="shared" si="172"/>
        <v>3837.7</v>
      </c>
      <c r="AH489" s="5">
        <f t="shared" si="173"/>
        <v>2830.2199999999984</v>
      </c>
      <c r="AI489" s="5">
        <f t="shared" si="174"/>
        <v>0.42445320279787385</v>
      </c>
      <c r="AJ489" s="5">
        <f t="shared" si="177"/>
        <v>10524335.524540011</v>
      </c>
      <c r="AK489" s="7">
        <f t="shared" si="175"/>
        <v>0.96149814323110194</v>
      </c>
      <c r="AL489" s="17">
        <f>MIN(AC489,'What-If Analysis'!$B$2)</f>
        <v>0.2</v>
      </c>
      <c r="AM489">
        <f>AE489*(1+'What-If Analysis'!$B$3)</f>
        <v>13</v>
      </c>
      <c r="AN489">
        <f>Y489*(1+'What-If Analysis'!$B$4)</f>
        <v>422.14699999999999</v>
      </c>
      <c r="AO489">
        <f t="shared" si="176"/>
        <v>9906.6239999999998</v>
      </c>
    </row>
    <row r="490" spans="1:41" x14ac:dyDescent="0.3">
      <c r="A490" t="s">
        <v>197</v>
      </c>
      <c r="B490" s="3">
        <v>45690</v>
      </c>
      <c r="C490" s="3">
        <f t="shared" si="157"/>
        <v>45690</v>
      </c>
      <c r="D490" s="3">
        <v>45720</v>
      </c>
      <c r="E490" s="3">
        <f t="shared" si="158"/>
        <v>45720</v>
      </c>
      <c r="F490" s="16">
        <f t="shared" si="159"/>
        <v>30</v>
      </c>
      <c r="G490" s="16">
        <f>IF(Data!F421&lt;=7,1,0)</f>
        <v>0</v>
      </c>
      <c r="H490" s="5" t="str">
        <f t="shared" si="160"/>
        <v>02-2025</v>
      </c>
      <c r="I490" s="5" t="str">
        <f t="shared" si="161"/>
        <v>Q1-2025</v>
      </c>
      <c r="J490" s="3">
        <f t="shared" si="162"/>
        <v>44988</v>
      </c>
      <c r="K490" s="5" t="str">
        <f t="shared" si="163"/>
        <v>03-2023</v>
      </c>
      <c r="L490" t="s">
        <v>647</v>
      </c>
      <c r="M490" t="s">
        <v>652</v>
      </c>
      <c r="N490" t="s">
        <v>666</v>
      </c>
      <c r="O490" t="str">
        <f t="shared" si="164"/>
        <v>Osaka</v>
      </c>
      <c r="P490" t="s">
        <v>702</v>
      </c>
      <c r="Q490" t="s">
        <v>710</v>
      </c>
      <c r="R490" t="str">
        <f t="shared" si="165"/>
        <v>Distributor</v>
      </c>
      <c r="S490" t="s">
        <v>716</v>
      </c>
      <c r="T490" t="str">
        <f t="shared" si="178"/>
        <v>L. Okafor</v>
      </c>
      <c r="U490" t="s">
        <v>733</v>
      </c>
      <c r="V490" t="str">
        <f t="shared" si="166"/>
        <v>High</v>
      </c>
      <c r="W490" t="s">
        <v>916</v>
      </c>
      <c r="X490" t="str">
        <f t="shared" si="167"/>
        <v>C</v>
      </c>
      <c r="Y490" s="5">
        <v>766.59</v>
      </c>
      <c r="Z490" s="5">
        <v>1912.8</v>
      </c>
      <c r="AA490" s="5">
        <f t="shared" si="168"/>
        <v>1912.8</v>
      </c>
      <c r="AB490" s="7">
        <v>0.19600000000000001</v>
      </c>
      <c r="AC490" s="7">
        <f t="shared" si="169"/>
        <v>0.19600000000000001</v>
      </c>
      <c r="AD490" s="16">
        <f t="shared" si="170"/>
        <v>0</v>
      </c>
      <c r="AE490" s="16">
        <v>5</v>
      </c>
      <c r="AF490" s="5">
        <f t="shared" si="171"/>
        <v>7689.4560000000001</v>
      </c>
      <c r="AG490">
        <f t="shared" si="172"/>
        <v>3832.9500000000003</v>
      </c>
      <c r="AH490" s="5">
        <f t="shared" si="173"/>
        <v>3856.5059999999999</v>
      </c>
      <c r="AI490" s="5">
        <f t="shared" si="174"/>
        <v>0.50153170783472845</v>
      </c>
      <c r="AJ490" s="5">
        <f t="shared" si="177"/>
        <v>10532024.980540011</v>
      </c>
      <c r="AK490" s="7">
        <f t="shared" si="175"/>
        <v>0.96220064816827522</v>
      </c>
      <c r="AL490" s="17">
        <f>MIN(AC490,'What-If Analysis'!$B$2)</f>
        <v>0.19600000000000001</v>
      </c>
      <c r="AM490">
        <f>AE490*(1+'What-If Analysis'!$B$3)</f>
        <v>6.5</v>
      </c>
      <c r="AN490">
        <f>Y490*(1+'What-If Analysis'!$B$4)</f>
        <v>843.24900000000014</v>
      </c>
      <c r="AO490">
        <f t="shared" si="176"/>
        <v>9996.2927999999993</v>
      </c>
    </row>
    <row r="491" spans="1:41" x14ac:dyDescent="0.3">
      <c r="A491" t="s">
        <v>424</v>
      </c>
      <c r="B491" s="3">
        <v>45534</v>
      </c>
      <c r="C491" s="3">
        <f t="shared" si="157"/>
        <v>45534</v>
      </c>
      <c r="D491" s="3">
        <v>45540</v>
      </c>
      <c r="E491" s="3">
        <f t="shared" si="158"/>
        <v>45540</v>
      </c>
      <c r="F491" s="16">
        <f t="shared" si="159"/>
        <v>6</v>
      </c>
      <c r="G491" s="16">
        <f>IF(Data!F483&lt;=7,1,0)</f>
        <v>0</v>
      </c>
      <c r="H491" s="5" t="str">
        <f t="shared" si="160"/>
        <v>08-2024</v>
      </c>
      <c r="I491" s="5" t="str">
        <f t="shared" si="161"/>
        <v>Q3-2024</v>
      </c>
      <c r="J491" s="3">
        <f t="shared" si="162"/>
        <v>44988</v>
      </c>
      <c r="K491" s="5" t="str">
        <f t="shared" si="163"/>
        <v>03-2023</v>
      </c>
      <c r="L491" t="s">
        <v>647</v>
      </c>
      <c r="M491" t="s">
        <v>652</v>
      </c>
      <c r="N491" t="s">
        <v>694</v>
      </c>
      <c r="O491" t="str">
        <f t="shared" si="164"/>
        <v>Nagoya</v>
      </c>
      <c r="P491" t="s">
        <v>702</v>
      </c>
      <c r="Q491" t="s">
        <v>708</v>
      </c>
      <c r="R491" t="str">
        <f t="shared" si="165"/>
        <v>Online</v>
      </c>
      <c r="S491" t="s">
        <v>725</v>
      </c>
      <c r="T491" t="str">
        <f t="shared" si="178"/>
        <v>N. Brown</v>
      </c>
      <c r="U491" t="s">
        <v>731</v>
      </c>
      <c r="V491" t="str">
        <f t="shared" si="166"/>
        <v>Medium</v>
      </c>
      <c r="W491" t="s">
        <v>1143</v>
      </c>
      <c r="X491" t="str">
        <f t="shared" si="167"/>
        <v>C</v>
      </c>
      <c r="Y491" s="5">
        <v>466.16</v>
      </c>
      <c r="Z491" s="5">
        <v>876.81</v>
      </c>
      <c r="AA491" s="5">
        <f t="shared" si="168"/>
        <v>876.81</v>
      </c>
      <c r="AB491" s="7">
        <v>0.24099999999999999</v>
      </c>
      <c r="AC491" s="7">
        <f t="shared" si="169"/>
        <v>0.24099999999999999</v>
      </c>
      <c r="AD491" s="16">
        <f t="shared" si="170"/>
        <v>1</v>
      </c>
      <c r="AE491" s="16">
        <v>8</v>
      </c>
      <c r="AF491" s="5">
        <f t="shared" si="171"/>
        <v>5323.9903199999999</v>
      </c>
      <c r="AG491">
        <f t="shared" si="172"/>
        <v>3729.28</v>
      </c>
      <c r="AH491" s="5">
        <f t="shared" si="173"/>
        <v>1594.7103199999997</v>
      </c>
      <c r="AI491" s="5">
        <f t="shared" si="174"/>
        <v>0.29953291124691594</v>
      </c>
      <c r="AJ491" s="5">
        <f t="shared" si="177"/>
        <v>10537348.970860012</v>
      </c>
      <c r="AK491" s="7">
        <f t="shared" si="175"/>
        <v>0.9626870453185109</v>
      </c>
      <c r="AL491" s="17">
        <f>MIN(AC491,'What-If Analysis'!$B$2)</f>
        <v>0.2</v>
      </c>
      <c r="AM491">
        <f>AE491*(1+'What-If Analysis'!$B$3)</f>
        <v>10.4</v>
      </c>
      <c r="AN491">
        <f>Y491*(1+'What-If Analysis'!$B$4)</f>
        <v>512.77600000000007</v>
      </c>
      <c r="AO491">
        <f t="shared" si="176"/>
        <v>7295.0592000000006</v>
      </c>
    </row>
    <row r="492" spans="1:41" x14ac:dyDescent="0.3">
      <c r="A492" t="s">
        <v>476</v>
      </c>
      <c r="B492" s="3">
        <v>45358</v>
      </c>
      <c r="C492" s="3">
        <f t="shared" si="157"/>
        <v>45358</v>
      </c>
      <c r="D492" s="3">
        <v>45385</v>
      </c>
      <c r="E492" s="3">
        <f t="shared" si="158"/>
        <v>45385</v>
      </c>
      <c r="F492" s="16">
        <f t="shared" si="159"/>
        <v>27</v>
      </c>
      <c r="G492" s="16">
        <f>IF(Data!F527&lt;=7,1,0)</f>
        <v>0</v>
      </c>
      <c r="H492" s="5" t="str">
        <f t="shared" si="160"/>
        <v>03-2024</v>
      </c>
      <c r="I492" s="5" t="str">
        <f t="shared" si="161"/>
        <v>Q1-2024</v>
      </c>
      <c r="J492" s="3">
        <f t="shared" si="162"/>
        <v>44947</v>
      </c>
      <c r="K492" s="5" t="str">
        <f t="shared" si="163"/>
        <v>01-2023</v>
      </c>
      <c r="L492" t="s">
        <v>649</v>
      </c>
      <c r="M492" t="s">
        <v>656</v>
      </c>
      <c r="N492" t="s">
        <v>698</v>
      </c>
      <c r="O492" t="str">
        <f t="shared" si="164"/>
        <v>Frankfurt</v>
      </c>
      <c r="P492" t="s">
        <v>701</v>
      </c>
      <c r="Q492" t="s">
        <v>711</v>
      </c>
      <c r="R492" t="str">
        <f t="shared" si="165"/>
        <v>Direct</v>
      </c>
      <c r="S492" t="s">
        <v>724</v>
      </c>
      <c r="T492" t="str">
        <f t="shared" si="178"/>
        <v>M. Rossi</v>
      </c>
      <c r="U492" t="s">
        <v>728</v>
      </c>
      <c r="V492" t="str">
        <f t="shared" si="166"/>
        <v>Medium</v>
      </c>
      <c r="W492" t="s">
        <v>1195</v>
      </c>
      <c r="X492" t="str">
        <f t="shared" si="167"/>
        <v>C</v>
      </c>
      <c r="Y492" s="5">
        <v>738.16</v>
      </c>
      <c r="Z492" s="5">
        <v>956.49</v>
      </c>
      <c r="AA492" s="5">
        <f t="shared" si="168"/>
        <v>956.49</v>
      </c>
      <c r="AB492" s="7">
        <v>0.152</v>
      </c>
      <c r="AC492" s="7">
        <f t="shared" si="169"/>
        <v>0.152</v>
      </c>
      <c r="AD492" s="16">
        <f t="shared" si="170"/>
        <v>0</v>
      </c>
      <c r="AE492" s="16">
        <v>5</v>
      </c>
      <c r="AF492" s="5">
        <f t="shared" si="171"/>
        <v>4055.5175999999997</v>
      </c>
      <c r="AG492">
        <f t="shared" si="172"/>
        <v>3690.7999999999997</v>
      </c>
      <c r="AH492" s="5">
        <f t="shared" si="173"/>
        <v>364.71759999999995</v>
      </c>
      <c r="AI492" s="5">
        <f t="shared" si="174"/>
        <v>8.9931208780847108E-2</v>
      </c>
      <c r="AJ492" s="5">
        <f t="shared" si="177"/>
        <v>10541404.488460012</v>
      </c>
      <c r="AK492" s="7">
        <f t="shared" si="175"/>
        <v>0.96305755542179949</v>
      </c>
      <c r="AL492" s="17">
        <f>MIN(AC492,'What-If Analysis'!$B$2)</f>
        <v>0.152</v>
      </c>
      <c r="AM492">
        <f>AE492*(1+'What-If Analysis'!$B$3)</f>
        <v>6.5</v>
      </c>
      <c r="AN492">
        <f>Y492*(1+'What-If Analysis'!$B$4)</f>
        <v>811.976</v>
      </c>
      <c r="AO492">
        <f t="shared" si="176"/>
        <v>5272.1728800000001</v>
      </c>
    </row>
    <row r="493" spans="1:41" x14ac:dyDescent="0.3">
      <c r="A493" t="s">
        <v>472</v>
      </c>
      <c r="B493" s="3">
        <v>45260</v>
      </c>
      <c r="C493" s="3">
        <f t="shared" si="157"/>
        <v>45260</v>
      </c>
      <c r="D493" s="3">
        <v>45270</v>
      </c>
      <c r="E493" s="3">
        <f t="shared" si="158"/>
        <v>45270</v>
      </c>
      <c r="F493" s="16">
        <f t="shared" si="159"/>
        <v>10</v>
      </c>
      <c r="G493" s="16">
        <f>IF(Data!F423&lt;=7,1,0)</f>
        <v>0</v>
      </c>
      <c r="H493" s="5" t="str">
        <f t="shared" si="160"/>
        <v>11-2023</v>
      </c>
      <c r="I493" s="5" t="str">
        <f t="shared" si="161"/>
        <v>Q4-2023</v>
      </c>
      <c r="J493" s="3">
        <f t="shared" si="162"/>
        <v>44947</v>
      </c>
      <c r="K493" s="5" t="str">
        <f t="shared" si="163"/>
        <v>01-2023</v>
      </c>
      <c r="L493" t="s">
        <v>649</v>
      </c>
      <c r="M493" t="s">
        <v>656</v>
      </c>
      <c r="N493" t="s">
        <v>684</v>
      </c>
      <c r="O493" t="str">
        <f t="shared" si="164"/>
        <v>Munich</v>
      </c>
      <c r="P493" t="s">
        <v>705</v>
      </c>
      <c r="Q493" t="s">
        <v>711</v>
      </c>
      <c r="R493" t="str">
        <f t="shared" si="165"/>
        <v>Direct</v>
      </c>
      <c r="S493" t="s">
        <v>721</v>
      </c>
      <c r="T493" t="str">
        <f t="shared" si="178"/>
        <v>F. Müller</v>
      </c>
      <c r="U493" t="s">
        <v>731</v>
      </c>
      <c r="V493" t="str">
        <f t="shared" si="166"/>
        <v>Low</v>
      </c>
      <c r="W493" t="s">
        <v>1191</v>
      </c>
      <c r="X493" t="str">
        <f t="shared" si="167"/>
        <v>C</v>
      </c>
      <c r="Y493" s="5">
        <v>174.74</v>
      </c>
      <c r="Z493" s="5">
        <v>415.96</v>
      </c>
      <c r="AA493" s="5">
        <f t="shared" si="168"/>
        <v>415.96</v>
      </c>
      <c r="AB493" s="7">
        <v>0.125</v>
      </c>
      <c r="AC493" s="7">
        <f t="shared" si="169"/>
        <v>0.125</v>
      </c>
      <c r="AD493" s="16">
        <f t="shared" si="170"/>
        <v>0</v>
      </c>
      <c r="AE493" s="16">
        <v>21</v>
      </c>
      <c r="AF493" s="5">
        <f t="shared" si="171"/>
        <v>7643.2649999999994</v>
      </c>
      <c r="AG493">
        <f t="shared" si="172"/>
        <v>3669.54</v>
      </c>
      <c r="AH493" s="5">
        <f t="shared" si="173"/>
        <v>3973.7249999999995</v>
      </c>
      <c r="AI493" s="5">
        <f t="shared" si="174"/>
        <v>0.51989889137691803</v>
      </c>
      <c r="AJ493" s="5">
        <f t="shared" si="177"/>
        <v>10549047.753460012</v>
      </c>
      <c r="AK493" s="7">
        <f t="shared" si="175"/>
        <v>0.96375584037181727</v>
      </c>
      <c r="AL493" s="17">
        <f>MIN(AC493,'What-If Analysis'!$B$2)</f>
        <v>0.125</v>
      </c>
      <c r="AM493">
        <f>AE493*(1+'What-If Analysis'!$B$3)</f>
        <v>27.3</v>
      </c>
      <c r="AN493">
        <f>Y493*(1+'What-If Analysis'!$B$4)</f>
        <v>192.21400000000003</v>
      </c>
      <c r="AO493">
        <f t="shared" si="176"/>
        <v>9936.2445000000007</v>
      </c>
    </row>
    <row r="494" spans="1:41" x14ac:dyDescent="0.3">
      <c r="A494" t="s">
        <v>201</v>
      </c>
      <c r="B494" s="3">
        <v>45670</v>
      </c>
      <c r="C494" s="3">
        <f t="shared" si="157"/>
        <v>45670</v>
      </c>
      <c r="D494" s="3">
        <v>45696</v>
      </c>
      <c r="E494" s="3">
        <f t="shared" si="158"/>
        <v>45696</v>
      </c>
      <c r="F494" s="16">
        <f t="shared" si="159"/>
        <v>26</v>
      </c>
      <c r="G494" s="16">
        <f>IF(Data!F496&lt;=7,1,0)</f>
        <v>0</v>
      </c>
      <c r="H494" s="5" t="str">
        <f t="shared" si="160"/>
        <v>01-2025</v>
      </c>
      <c r="I494" s="5" t="str">
        <f t="shared" si="161"/>
        <v>Q1-2025</v>
      </c>
      <c r="J494" s="3">
        <f t="shared" si="162"/>
        <v>44936</v>
      </c>
      <c r="K494" s="5" t="str">
        <f t="shared" si="163"/>
        <v>01-2023</v>
      </c>
      <c r="L494" t="s">
        <v>649</v>
      </c>
      <c r="M494" t="s">
        <v>657</v>
      </c>
      <c r="N494" t="s">
        <v>690</v>
      </c>
      <c r="O494" t="str">
        <f t="shared" si="164"/>
        <v>Paris</v>
      </c>
      <c r="P494" t="s">
        <v>703</v>
      </c>
      <c r="R494" t="str">
        <f t="shared" si="165"/>
        <v>Marketplace</v>
      </c>
      <c r="S494" t="s">
        <v>718</v>
      </c>
      <c r="T494" t="str">
        <f t="shared" si="178"/>
        <v>E. Garcia</v>
      </c>
      <c r="U494" t="s">
        <v>732</v>
      </c>
      <c r="V494" t="str">
        <f t="shared" si="166"/>
        <v>Medium</v>
      </c>
      <c r="W494" t="s">
        <v>920</v>
      </c>
      <c r="X494" t="str">
        <f t="shared" si="167"/>
        <v>C</v>
      </c>
      <c r="Y494" s="5">
        <v>594.74</v>
      </c>
      <c r="Z494" s="5">
        <v>1020.69</v>
      </c>
      <c r="AA494" s="5">
        <f t="shared" si="168"/>
        <v>1020.69</v>
      </c>
      <c r="AB494" s="7">
        <v>0.21099999999999999</v>
      </c>
      <c r="AC494" s="7">
        <f t="shared" si="169"/>
        <v>0.21099999999999999</v>
      </c>
      <c r="AD494" s="16">
        <f t="shared" si="170"/>
        <v>1</v>
      </c>
      <c r="AE494" s="16">
        <v>6</v>
      </c>
      <c r="AF494" s="5">
        <f t="shared" si="171"/>
        <v>4831.9464600000001</v>
      </c>
      <c r="AG494">
        <f t="shared" si="172"/>
        <v>3568.44</v>
      </c>
      <c r="AH494" s="5">
        <f t="shared" si="173"/>
        <v>1263.5064600000001</v>
      </c>
      <c r="AI494" s="5">
        <f t="shared" si="174"/>
        <v>0.26149016146176424</v>
      </c>
      <c r="AJ494" s="5">
        <f t="shared" si="177"/>
        <v>10553879.699920012</v>
      </c>
      <c r="AK494" s="7">
        <f t="shared" si="175"/>
        <v>0.96419728463579468</v>
      </c>
      <c r="AL494" s="17">
        <f>MIN(AC494,'What-If Analysis'!$B$2)</f>
        <v>0.2</v>
      </c>
      <c r="AM494">
        <f>AE494*(1+'What-If Analysis'!$B$3)</f>
        <v>7.8000000000000007</v>
      </c>
      <c r="AN494">
        <f>Y494*(1+'What-If Analysis'!$B$4)</f>
        <v>654.21400000000006</v>
      </c>
      <c r="AO494">
        <f t="shared" si="176"/>
        <v>6369.1056000000017</v>
      </c>
    </row>
    <row r="495" spans="1:41" x14ac:dyDescent="0.3">
      <c r="A495" t="s">
        <v>322</v>
      </c>
      <c r="B495" s="3">
        <v>45679</v>
      </c>
      <c r="C495" s="3">
        <f t="shared" si="157"/>
        <v>45679</v>
      </c>
      <c r="D495" s="3">
        <v>45692</v>
      </c>
      <c r="E495" s="3">
        <f t="shared" si="158"/>
        <v>45692</v>
      </c>
      <c r="F495" s="16">
        <f t="shared" si="159"/>
        <v>13</v>
      </c>
      <c r="G495" s="16">
        <f>IF(Data!F480&lt;=7,1,0)</f>
        <v>0</v>
      </c>
      <c r="H495" s="5" t="str">
        <f t="shared" si="160"/>
        <v>01-2025</v>
      </c>
      <c r="I495" s="5" t="str">
        <f t="shared" si="161"/>
        <v>Q1-2025</v>
      </c>
      <c r="J495" s="3">
        <f t="shared" si="162"/>
        <v>44988</v>
      </c>
      <c r="K495" s="5" t="str">
        <f t="shared" si="163"/>
        <v>03-2023</v>
      </c>
      <c r="L495" t="s">
        <v>647</v>
      </c>
      <c r="M495" t="s">
        <v>652</v>
      </c>
      <c r="N495" t="s">
        <v>689</v>
      </c>
      <c r="O495" t="str">
        <f t="shared" si="164"/>
        <v>Tokyo</v>
      </c>
      <c r="P495" t="s">
        <v>705</v>
      </c>
      <c r="Q495" t="s">
        <v>710</v>
      </c>
      <c r="R495" t="str">
        <f t="shared" si="165"/>
        <v>Distributor</v>
      </c>
      <c r="S495" t="s">
        <v>716</v>
      </c>
      <c r="T495" t="str">
        <f t="shared" si="178"/>
        <v>L. Okafor</v>
      </c>
      <c r="U495" t="s">
        <v>728</v>
      </c>
      <c r="V495" t="str">
        <f t="shared" si="166"/>
        <v>Low</v>
      </c>
      <c r="W495" t="s">
        <v>1042</v>
      </c>
      <c r="X495" t="str">
        <f t="shared" si="167"/>
        <v>C</v>
      </c>
      <c r="Y495" s="5">
        <v>122.29</v>
      </c>
      <c r="Z495" s="5">
        <v>224.95</v>
      </c>
      <c r="AA495" s="5">
        <f t="shared" si="168"/>
        <v>224.95</v>
      </c>
      <c r="AB495" s="7">
        <v>0.153</v>
      </c>
      <c r="AC495" s="7">
        <f t="shared" si="169"/>
        <v>0.153</v>
      </c>
      <c r="AD495" s="16">
        <f t="shared" si="170"/>
        <v>0</v>
      </c>
      <c r="AE495" s="16">
        <v>28</v>
      </c>
      <c r="AF495" s="5">
        <f t="shared" si="171"/>
        <v>5334.9141999999993</v>
      </c>
      <c r="AG495">
        <f t="shared" si="172"/>
        <v>3424.1200000000003</v>
      </c>
      <c r="AH495" s="5">
        <f t="shared" si="173"/>
        <v>1910.7941999999989</v>
      </c>
      <c r="AI495" s="5">
        <f t="shared" si="174"/>
        <v>0.3581677471026618</v>
      </c>
      <c r="AJ495" s="5">
        <f t="shared" si="177"/>
        <v>10559214.614120012</v>
      </c>
      <c r="AK495" s="7">
        <f t="shared" si="175"/>
        <v>0.96468467978636141</v>
      </c>
      <c r="AL495" s="17">
        <f>MIN(AC495,'What-If Analysis'!$B$2)</f>
        <v>0.153</v>
      </c>
      <c r="AM495">
        <f>AE495*(1+'What-If Analysis'!$B$3)</f>
        <v>36.4</v>
      </c>
      <c r="AN495">
        <f>Y495*(1+'What-If Analysis'!$B$4)</f>
        <v>134.51900000000001</v>
      </c>
      <c r="AO495">
        <f t="shared" si="176"/>
        <v>6935.3884599999992</v>
      </c>
    </row>
    <row r="496" spans="1:41" x14ac:dyDescent="0.3">
      <c r="A496" t="s">
        <v>133</v>
      </c>
      <c r="B496" s="3">
        <v>45086</v>
      </c>
      <c r="C496" s="3">
        <f t="shared" si="157"/>
        <v>45086</v>
      </c>
      <c r="D496" s="3">
        <v>45096</v>
      </c>
      <c r="E496" s="3">
        <f t="shared" si="158"/>
        <v>45096</v>
      </c>
      <c r="F496" s="16">
        <f t="shared" si="159"/>
        <v>10</v>
      </c>
      <c r="G496" s="16">
        <f>IF(Data!F471&lt;=7,1,0)</f>
        <v>0</v>
      </c>
      <c r="H496" s="5" t="str">
        <f t="shared" si="160"/>
        <v>06-2023</v>
      </c>
      <c r="I496" s="5" t="str">
        <f t="shared" si="161"/>
        <v>Q2-2023</v>
      </c>
      <c r="J496" s="3">
        <f t="shared" si="162"/>
        <v>44938</v>
      </c>
      <c r="K496" s="5" t="str">
        <f t="shared" si="163"/>
        <v>01-2023</v>
      </c>
      <c r="L496" t="s">
        <v>647</v>
      </c>
      <c r="M496" t="s">
        <v>659</v>
      </c>
      <c r="N496" t="s">
        <v>699</v>
      </c>
      <c r="O496" t="str">
        <f t="shared" si="164"/>
        <v>Beijing</v>
      </c>
      <c r="P496" t="s">
        <v>706</v>
      </c>
      <c r="Q496" t="s">
        <v>707</v>
      </c>
      <c r="R496" t="str">
        <f t="shared" si="165"/>
        <v>Retail</v>
      </c>
      <c r="S496" t="s">
        <v>721</v>
      </c>
      <c r="T496" t="str">
        <f t="shared" si="178"/>
        <v>F. Müller</v>
      </c>
      <c r="U496" t="s">
        <v>732</v>
      </c>
      <c r="V496" t="str">
        <f t="shared" si="166"/>
        <v>Low</v>
      </c>
      <c r="W496" t="s">
        <v>852</v>
      </c>
      <c r="X496" t="str">
        <f t="shared" si="167"/>
        <v>C</v>
      </c>
      <c r="Y496" s="5">
        <v>339.61</v>
      </c>
      <c r="Z496" s="5">
        <v>621.02</v>
      </c>
      <c r="AA496" s="5">
        <f t="shared" si="168"/>
        <v>621.02</v>
      </c>
      <c r="AB496" s="7">
        <v>7.0999999999999994E-2</v>
      </c>
      <c r="AC496" s="7">
        <f t="shared" si="169"/>
        <v>7.0999999999999994E-2</v>
      </c>
      <c r="AD496" s="16">
        <f t="shared" si="170"/>
        <v>0</v>
      </c>
      <c r="AE496" s="16">
        <v>10</v>
      </c>
      <c r="AF496" s="5">
        <f t="shared" si="171"/>
        <v>5769.2758000000003</v>
      </c>
      <c r="AG496">
        <f t="shared" si="172"/>
        <v>3396.1000000000004</v>
      </c>
      <c r="AH496" s="5">
        <f t="shared" si="173"/>
        <v>2373.1758</v>
      </c>
      <c r="AI496" s="5">
        <f t="shared" si="174"/>
        <v>0.41134726129750981</v>
      </c>
      <c r="AJ496" s="5">
        <f t="shared" si="177"/>
        <v>10564983.889920013</v>
      </c>
      <c r="AK496" s="7">
        <f t="shared" si="175"/>
        <v>0.9652117580001407</v>
      </c>
      <c r="AL496" s="17">
        <f>MIN(AC496,'What-If Analysis'!$B$2)</f>
        <v>7.0999999999999994E-2</v>
      </c>
      <c r="AM496">
        <f>AE496*(1+'What-If Analysis'!$B$3)</f>
        <v>13</v>
      </c>
      <c r="AN496">
        <f>Y496*(1+'What-If Analysis'!$B$4)</f>
        <v>373.57100000000003</v>
      </c>
      <c r="AO496">
        <f t="shared" si="176"/>
        <v>7500.0585400000009</v>
      </c>
    </row>
    <row r="497" spans="1:41" x14ac:dyDescent="0.3">
      <c r="A497" t="s">
        <v>364</v>
      </c>
      <c r="B497" s="3">
        <v>44980</v>
      </c>
      <c r="C497" s="3">
        <f t="shared" si="157"/>
        <v>44980</v>
      </c>
      <c r="D497" s="3">
        <v>44993</v>
      </c>
      <c r="E497" s="3">
        <f t="shared" si="158"/>
        <v>44993</v>
      </c>
      <c r="F497" s="16">
        <f t="shared" si="159"/>
        <v>13</v>
      </c>
      <c r="G497" s="16">
        <f>IF(Data!F524&lt;=7,1,0)</f>
        <v>0</v>
      </c>
      <c r="H497" s="5" t="str">
        <f t="shared" si="160"/>
        <v>02-2023</v>
      </c>
      <c r="I497" s="5" t="str">
        <f t="shared" si="161"/>
        <v>Q1-2023</v>
      </c>
      <c r="J497" s="3">
        <f t="shared" si="162"/>
        <v>44945</v>
      </c>
      <c r="K497" s="5" t="str">
        <f t="shared" si="163"/>
        <v>01-2023</v>
      </c>
      <c r="L497" t="s">
        <v>649</v>
      </c>
      <c r="M497" t="s">
        <v>658</v>
      </c>
      <c r="N497" t="s">
        <v>693</v>
      </c>
      <c r="O497" t="str">
        <f t="shared" si="164"/>
        <v>Manchester</v>
      </c>
      <c r="P497" t="s">
        <v>705</v>
      </c>
      <c r="Q497" t="s">
        <v>711</v>
      </c>
      <c r="R497" t="str">
        <f t="shared" si="165"/>
        <v>Direct</v>
      </c>
      <c r="S497" t="s">
        <v>712</v>
      </c>
      <c r="T497" t="str">
        <f t="shared" si="178"/>
        <v>C. Otieno</v>
      </c>
      <c r="U497" t="s">
        <v>728</v>
      </c>
      <c r="V497" t="str">
        <f t="shared" si="166"/>
        <v>Low</v>
      </c>
      <c r="W497" t="s">
        <v>1084</v>
      </c>
      <c r="X497" t="str">
        <f t="shared" si="167"/>
        <v>C</v>
      </c>
      <c r="Y497" s="5">
        <v>307.37</v>
      </c>
      <c r="Z497" s="5">
        <v>462.61</v>
      </c>
      <c r="AA497" s="5">
        <f t="shared" si="168"/>
        <v>462.61</v>
      </c>
      <c r="AB497" s="7">
        <v>0.188</v>
      </c>
      <c r="AC497" s="7">
        <f t="shared" si="169"/>
        <v>0.188</v>
      </c>
      <c r="AD497" s="16">
        <f t="shared" si="170"/>
        <v>0</v>
      </c>
      <c r="AE497" s="16">
        <v>11</v>
      </c>
      <c r="AF497" s="5">
        <f t="shared" si="171"/>
        <v>4132.0325200000007</v>
      </c>
      <c r="AG497">
        <f t="shared" si="172"/>
        <v>3381.07</v>
      </c>
      <c r="AH497" s="5">
        <f t="shared" si="173"/>
        <v>750.9625200000005</v>
      </c>
      <c r="AI497" s="5">
        <f t="shared" si="174"/>
        <v>0.18174167709599739</v>
      </c>
      <c r="AJ497" s="5">
        <f t="shared" si="177"/>
        <v>10569115.922440013</v>
      </c>
      <c r="AK497" s="7">
        <f t="shared" si="175"/>
        <v>0.96558925846907639</v>
      </c>
      <c r="AL497" s="17">
        <f>MIN(AC497,'What-If Analysis'!$B$2)</f>
        <v>0.188</v>
      </c>
      <c r="AM497">
        <f>AE497*(1+'What-If Analysis'!$B$3)</f>
        <v>14.3</v>
      </c>
      <c r="AN497">
        <f>Y497*(1+'What-If Analysis'!$B$4)</f>
        <v>338.10700000000003</v>
      </c>
      <c r="AO497">
        <f t="shared" si="176"/>
        <v>5371.6422760000005</v>
      </c>
    </row>
    <row r="498" spans="1:41" x14ac:dyDescent="0.3">
      <c r="A498" t="s">
        <v>94</v>
      </c>
      <c r="B498" s="3">
        <v>45617</v>
      </c>
      <c r="C498" s="3">
        <f t="shared" si="157"/>
        <v>45617</v>
      </c>
      <c r="D498" s="3">
        <v>45647</v>
      </c>
      <c r="E498" s="3">
        <f t="shared" si="158"/>
        <v>45647</v>
      </c>
      <c r="F498" s="16">
        <f t="shared" si="159"/>
        <v>30</v>
      </c>
      <c r="G498" s="16">
        <f>IF(Data!F493&lt;=7,1,0)</f>
        <v>0</v>
      </c>
      <c r="H498" s="5" t="str">
        <f t="shared" si="160"/>
        <v>11-2024</v>
      </c>
      <c r="I498" s="5" t="str">
        <f t="shared" si="161"/>
        <v>Q4-2024</v>
      </c>
      <c r="J498" s="3">
        <f t="shared" si="162"/>
        <v>44936</v>
      </c>
      <c r="K498" s="5" t="str">
        <f t="shared" si="163"/>
        <v>01-2023</v>
      </c>
      <c r="L498" t="s">
        <v>649</v>
      </c>
      <c r="M498" t="s">
        <v>657</v>
      </c>
      <c r="N498" t="s">
        <v>673</v>
      </c>
      <c r="O498" t="str">
        <f t="shared" si="164"/>
        <v>Marseille</v>
      </c>
      <c r="P498" t="s">
        <v>705</v>
      </c>
      <c r="Q498" t="s">
        <v>711</v>
      </c>
      <c r="R498" t="str">
        <f t="shared" si="165"/>
        <v>Direct</v>
      </c>
      <c r="S498" t="s">
        <v>714</v>
      </c>
      <c r="T498" t="str">
        <f t="shared" si="178"/>
        <v>I. Johnson</v>
      </c>
      <c r="U498" t="s">
        <v>732</v>
      </c>
      <c r="V498" t="str">
        <f t="shared" si="166"/>
        <v>High</v>
      </c>
      <c r="W498" t="s">
        <v>813</v>
      </c>
      <c r="X498" t="str">
        <f t="shared" si="167"/>
        <v>C</v>
      </c>
      <c r="Y498" s="5">
        <v>1122.68</v>
      </c>
      <c r="Z498" s="5">
        <v>1997.19</v>
      </c>
      <c r="AA498" s="5">
        <f t="shared" si="168"/>
        <v>1997.19</v>
      </c>
      <c r="AB498" s="7">
        <v>0.186</v>
      </c>
      <c r="AC498" s="7">
        <f t="shared" si="169"/>
        <v>0.186</v>
      </c>
      <c r="AD498" s="16">
        <f t="shared" si="170"/>
        <v>0</v>
      </c>
      <c r="AE498" s="16">
        <v>3</v>
      </c>
      <c r="AF498" s="5">
        <f t="shared" si="171"/>
        <v>4877.1379800000004</v>
      </c>
      <c r="AG498">
        <f t="shared" si="172"/>
        <v>3368.04</v>
      </c>
      <c r="AH498" s="5">
        <f t="shared" si="173"/>
        <v>1509.0979800000005</v>
      </c>
      <c r="AI498" s="5">
        <f t="shared" si="174"/>
        <v>0.30942285951073306</v>
      </c>
      <c r="AJ498" s="5">
        <f t="shared" si="177"/>
        <v>10573993.060420012</v>
      </c>
      <c r="AK498" s="7">
        <f t="shared" si="175"/>
        <v>0.96603483140820556</v>
      </c>
      <c r="AL498" s="17">
        <f>MIN(AC498,'What-If Analysis'!$B$2)</f>
        <v>0.186</v>
      </c>
      <c r="AM498">
        <f>AE498*(1+'What-If Analysis'!$B$3)</f>
        <v>3.9000000000000004</v>
      </c>
      <c r="AN498">
        <f>Y498*(1+'What-If Analysis'!$B$4)</f>
        <v>1234.9480000000001</v>
      </c>
      <c r="AO498">
        <f t="shared" si="176"/>
        <v>6340.2793740000016</v>
      </c>
    </row>
    <row r="499" spans="1:41" x14ac:dyDescent="0.3">
      <c r="A499" t="s">
        <v>585</v>
      </c>
      <c r="B499" s="3">
        <v>45078</v>
      </c>
      <c r="C499" s="3">
        <f t="shared" si="157"/>
        <v>45078</v>
      </c>
      <c r="D499" s="3">
        <v>45078</v>
      </c>
      <c r="E499" s="3">
        <f t="shared" si="158"/>
        <v>45078</v>
      </c>
      <c r="F499" s="16">
        <f t="shared" si="159"/>
        <v>0</v>
      </c>
      <c r="G499" s="16">
        <f>IF(Data!F506&lt;=7,1,0)</f>
        <v>0</v>
      </c>
      <c r="H499" s="5" t="str">
        <f t="shared" si="160"/>
        <v>06-2023</v>
      </c>
      <c r="I499" s="5" t="str">
        <f t="shared" si="161"/>
        <v>Q2-2023</v>
      </c>
      <c r="J499" s="3">
        <f t="shared" si="162"/>
        <v>44955</v>
      </c>
      <c r="K499" s="5" t="str">
        <f t="shared" si="163"/>
        <v>01-2023</v>
      </c>
      <c r="L499" t="s">
        <v>647</v>
      </c>
      <c r="M499" t="s">
        <v>654</v>
      </c>
      <c r="N499" t="s">
        <v>668</v>
      </c>
      <c r="O499" t="str">
        <f t="shared" si="164"/>
        <v>Bengaluru</v>
      </c>
      <c r="P499" t="s">
        <v>701</v>
      </c>
      <c r="Q499" t="s">
        <v>707</v>
      </c>
      <c r="R499" t="str">
        <f t="shared" si="165"/>
        <v>Retail</v>
      </c>
      <c r="S499" t="s">
        <v>718</v>
      </c>
      <c r="T499" t="str">
        <f t="shared" si="178"/>
        <v>E. Garcia</v>
      </c>
      <c r="U499" t="s">
        <v>733</v>
      </c>
      <c r="V499" t="str">
        <f t="shared" si="166"/>
        <v>Medium</v>
      </c>
      <c r="W499" t="s">
        <v>1303</v>
      </c>
      <c r="X499" t="str">
        <f t="shared" si="167"/>
        <v>C</v>
      </c>
      <c r="Y499" s="5">
        <v>669.37</v>
      </c>
      <c r="Z499" s="5">
        <v>997.2</v>
      </c>
      <c r="AA499" s="5">
        <f t="shared" si="168"/>
        <v>997.2</v>
      </c>
      <c r="AB499" s="7">
        <v>8.2000000000000003E-2</v>
      </c>
      <c r="AC499" s="7">
        <f t="shared" si="169"/>
        <v>8.2000000000000003E-2</v>
      </c>
      <c r="AD499" s="16">
        <f t="shared" si="170"/>
        <v>0</v>
      </c>
      <c r="AE499" s="16">
        <v>5</v>
      </c>
      <c r="AF499" s="5">
        <f t="shared" si="171"/>
        <v>4577.1480000000001</v>
      </c>
      <c r="AG499">
        <f t="shared" si="172"/>
        <v>3346.85</v>
      </c>
      <c r="AH499" s="5">
        <f t="shared" si="173"/>
        <v>1230.2980000000002</v>
      </c>
      <c r="AI499" s="5">
        <f t="shared" si="174"/>
        <v>0.26879139586484863</v>
      </c>
      <c r="AJ499" s="5">
        <f t="shared" si="177"/>
        <v>10578570.208420012</v>
      </c>
      <c r="AK499" s="7">
        <f t="shared" si="175"/>
        <v>0.96645299740956803</v>
      </c>
      <c r="AL499" s="17">
        <f>MIN(AC499,'What-If Analysis'!$B$2)</f>
        <v>8.2000000000000003E-2</v>
      </c>
      <c r="AM499">
        <f>AE499*(1+'What-If Analysis'!$B$3)</f>
        <v>6.5</v>
      </c>
      <c r="AN499">
        <f>Y499*(1+'What-If Analysis'!$B$4)</f>
        <v>736.30700000000002</v>
      </c>
      <c r="AO499">
        <f t="shared" si="176"/>
        <v>5950.2924000000003</v>
      </c>
    </row>
    <row r="500" spans="1:41" x14ac:dyDescent="0.3">
      <c r="A500" t="s">
        <v>145</v>
      </c>
      <c r="B500" s="3">
        <v>45700</v>
      </c>
      <c r="C500" s="3">
        <f t="shared" si="157"/>
        <v>45700</v>
      </c>
      <c r="D500" s="3">
        <v>45716</v>
      </c>
      <c r="E500" s="3">
        <f t="shared" si="158"/>
        <v>45716</v>
      </c>
      <c r="F500" s="16">
        <f t="shared" si="159"/>
        <v>16</v>
      </c>
      <c r="G500" s="16">
        <f>IF(Data!F420&lt;=7,1,0)</f>
        <v>1</v>
      </c>
      <c r="H500" s="5" t="str">
        <f t="shared" si="160"/>
        <v>02-2025</v>
      </c>
      <c r="I500" s="5" t="str">
        <f t="shared" si="161"/>
        <v>Q1-2025</v>
      </c>
      <c r="J500" s="3">
        <f t="shared" si="162"/>
        <v>44955</v>
      </c>
      <c r="K500" s="5" t="str">
        <f t="shared" si="163"/>
        <v>01-2023</v>
      </c>
      <c r="L500" t="s">
        <v>648</v>
      </c>
      <c r="M500" t="s">
        <v>655</v>
      </c>
      <c r="N500" t="s">
        <v>670</v>
      </c>
      <c r="O500" t="str">
        <f t="shared" si="164"/>
        <v>São Paulo</v>
      </c>
      <c r="P500" t="s">
        <v>703</v>
      </c>
      <c r="Q500" t="s">
        <v>711</v>
      </c>
      <c r="R500" t="str">
        <f t="shared" si="165"/>
        <v>Direct</v>
      </c>
      <c r="S500" t="s">
        <v>717</v>
      </c>
      <c r="T500" t="str">
        <f t="shared" si="178"/>
        <v>B. Chen</v>
      </c>
      <c r="U500" t="s">
        <v>732</v>
      </c>
      <c r="V500" t="str">
        <f t="shared" si="166"/>
        <v>Medium</v>
      </c>
      <c r="W500" t="s">
        <v>864</v>
      </c>
      <c r="X500" t="str">
        <f t="shared" si="167"/>
        <v>C</v>
      </c>
      <c r="Y500" s="5">
        <v>414.95</v>
      </c>
      <c r="Z500" s="5">
        <v>1027.73</v>
      </c>
      <c r="AA500" s="5">
        <f t="shared" si="168"/>
        <v>1027.73</v>
      </c>
      <c r="AB500" s="7">
        <v>6.3E-2</v>
      </c>
      <c r="AC500" s="7">
        <f t="shared" si="169"/>
        <v>6.3E-2</v>
      </c>
      <c r="AD500" s="16">
        <f t="shared" si="170"/>
        <v>0</v>
      </c>
      <c r="AE500" s="16">
        <v>8</v>
      </c>
      <c r="AF500" s="5">
        <f t="shared" si="171"/>
        <v>7703.8640800000003</v>
      </c>
      <c r="AG500">
        <f t="shared" si="172"/>
        <v>3319.6</v>
      </c>
      <c r="AH500" s="5">
        <f t="shared" si="173"/>
        <v>4384.2640800000008</v>
      </c>
      <c r="AI500" s="5">
        <f t="shared" si="174"/>
        <v>0.56909935513815568</v>
      </c>
      <c r="AJ500" s="5">
        <f t="shared" si="177"/>
        <v>10586274.072500013</v>
      </c>
      <c r="AK500" s="7">
        <f t="shared" si="175"/>
        <v>0.9671568186618793</v>
      </c>
      <c r="AL500" s="17">
        <f>MIN(AC500,'What-If Analysis'!$B$2)</f>
        <v>6.3E-2</v>
      </c>
      <c r="AM500">
        <f>AE500*(1+'What-If Analysis'!$B$3)</f>
        <v>10.4</v>
      </c>
      <c r="AN500">
        <f>Y500*(1+'What-If Analysis'!$B$4)</f>
        <v>456.44500000000005</v>
      </c>
      <c r="AO500">
        <f t="shared" si="176"/>
        <v>10015.023304</v>
      </c>
    </row>
    <row r="501" spans="1:41" x14ac:dyDescent="0.3">
      <c r="A501" t="s">
        <v>27</v>
      </c>
      <c r="B501" s="3">
        <v>45722</v>
      </c>
      <c r="C501" s="3">
        <f t="shared" si="157"/>
        <v>45722</v>
      </c>
      <c r="D501" s="3">
        <v>45747</v>
      </c>
      <c r="E501" s="3">
        <f t="shared" si="158"/>
        <v>45747</v>
      </c>
      <c r="F501" s="16">
        <f t="shared" si="159"/>
        <v>25</v>
      </c>
      <c r="G501" s="16">
        <f>IF(Data!F492&lt;=7,1,0)</f>
        <v>0</v>
      </c>
      <c r="H501" s="5" t="str">
        <f t="shared" si="160"/>
        <v>03-2025</v>
      </c>
      <c r="I501" s="5" t="str">
        <f t="shared" si="161"/>
        <v>Q1-2025</v>
      </c>
      <c r="J501" s="3">
        <f t="shared" si="162"/>
        <v>44955</v>
      </c>
      <c r="K501" s="5" t="str">
        <f t="shared" si="163"/>
        <v>01-2023</v>
      </c>
      <c r="L501" t="s">
        <v>648</v>
      </c>
      <c r="M501" t="s">
        <v>655</v>
      </c>
      <c r="N501" t="s">
        <v>672</v>
      </c>
      <c r="O501" t="str">
        <f t="shared" si="164"/>
        <v>Brasília</v>
      </c>
      <c r="P501" t="s">
        <v>703</v>
      </c>
      <c r="Q501" t="s">
        <v>708</v>
      </c>
      <c r="R501" t="str">
        <f t="shared" si="165"/>
        <v>Online</v>
      </c>
      <c r="S501" t="s">
        <v>713</v>
      </c>
      <c r="T501" t="str">
        <f t="shared" si="178"/>
        <v>J. Njeri</v>
      </c>
      <c r="U501" t="s">
        <v>727</v>
      </c>
      <c r="V501" t="str">
        <f t="shared" si="166"/>
        <v>Low</v>
      </c>
      <c r="W501" t="s">
        <v>746</v>
      </c>
      <c r="X501" t="str">
        <f t="shared" si="167"/>
        <v>C</v>
      </c>
      <c r="Y501" s="5">
        <v>331.57</v>
      </c>
      <c r="Z501" s="5">
        <v>548.4</v>
      </c>
      <c r="AA501" s="5">
        <f t="shared" si="168"/>
        <v>548.4</v>
      </c>
      <c r="AB501" s="7">
        <v>9.4E-2</v>
      </c>
      <c r="AC501" s="7">
        <f t="shared" si="169"/>
        <v>9.4E-2</v>
      </c>
      <c r="AD501" s="16">
        <f t="shared" si="170"/>
        <v>0</v>
      </c>
      <c r="AE501" s="16">
        <v>10</v>
      </c>
      <c r="AF501" s="5">
        <f t="shared" si="171"/>
        <v>4968.5039999999999</v>
      </c>
      <c r="AG501">
        <f t="shared" si="172"/>
        <v>3315.7</v>
      </c>
      <c r="AH501" s="5">
        <f t="shared" si="173"/>
        <v>1652.8040000000001</v>
      </c>
      <c r="AI501" s="5">
        <f t="shared" si="174"/>
        <v>0.33265626836568918</v>
      </c>
      <c r="AJ501" s="5">
        <f t="shared" si="177"/>
        <v>10591242.576500013</v>
      </c>
      <c r="AK501" s="7">
        <f t="shared" si="175"/>
        <v>0.9676107387558841</v>
      </c>
      <c r="AL501" s="17">
        <f>MIN(AC501,'What-If Analysis'!$B$2)</f>
        <v>9.4E-2</v>
      </c>
      <c r="AM501">
        <f>AE501*(1+'What-If Analysis'!$B$3)</f>
        <v>13</v>
      </c>
      <c r="AN501">
        <f>Y501*(1+'What-If Analysis'!$B$4)</f>
        <v>364.72700000000003</v>
      </c>
      <c r="AO501">
        <f t="shared" si="176"/>
        <v>6459.0551999999998</v>
      </c>
    </row>
    <row r="502" spans="1:41" x14ac:dyDescent="0.3">
      <c r="A502" t="s">
        <v>171</v>
      </c>
      <c r="B502" s="3">
        <v>45323</v>
      </c>
      <c r="C502" s="3">
        <f t="shared" si="157"/>
        <v>45323</v>
      </c>
      <c r="D502" s="3">
        <v>45343</v>
      </c>
      <c r="E502" s="3">
        <f t="shared" si="158"/>
        <v>45343</v>
      </c>
      <c r="F502" s="16">
        <f t="shared" si="159"/>
        <v>20</v>
      </c>
      <c r="G502" s="16">
        <f>IF(Data!F436&lt;=7,1,0)</f>
        <v>1</v>
      </c>
      <c r="H502" s="5" t="str">
        <f t="shared" si="160"/>
        <v>02-2024</v>
      </c>
      <c r="I502" s="5" t="str">
        <f t="shared" si="161"/>
        <v>Q1-2024</v>
      </c>
      <c r="J502" s="3">
        <f t="shared" si="162"/>
        <v>44936</v>
      </c>
      <c r="K502" s="5" t="str">
        <f t="shared" si="163"/>
        <v>01-2023</v>
      </c>
      <c r="L502" t="s">
        <v>649</v>
      </c>
      <c r="M502" t="s">
        <v>657</v>
      </c>
      <c r="N502" t="s">
        <v>690</v>
      </c>
      <c r="O502" t="str">
        <f t="shared" si="164"/>
        <v>Paris</v>
      </c>
      <c r="P502" t="s">
        <v>705</v>
      </c>
      <c r="Q502" t="s">
        <v>709</v>
      </c>
      <c r="R502" t="str">
        <f t="shared" si="165"/>
        <v>Marketplace</v>
      </c>
      <c r="S502" t="s">
        <v>720</v>
      </c>
      <c r="T502" t="str">
        <f t="shared" si="178"/>
        <v>A. Patel</v>
      </c>
      <c r="U502" t="s">
        <v>729</v>
      </c>
      <c r="V502" t="str">
        <f t="shared" si="166"/>
        <v>Medium</v>
      </c>
      <c r="W502" t="s">
        <v>890</v>
      </c>
      <c r="X502" t="str">
        <f t="shared" si="167"/>
        <v>C</v>
      </c>
      <c r="Y502" s="5">
        <v>656.2</v>
      </c>
      <c r="Z502" s="5">
        <v>1467.17</v>
      </c>
      <c r="AA502" s="5">
        <f t="shared" si="168"/>
        <v>1467.17</v>
      </c>
      <c r="AB502" s="7">
        <v>1.7999999999999999E-2</v>
      </c>
      <c r="AC502" s="7">
        <f t="shared" si="169"/>
        <v>1.7999999999999999E-2</v>
      </c>
      <c r="AD502" s="16">
        <f t="shared" si="170"/>
        <v>0</v>
      </c>
      <c r="AE502" s="16">
        <v>5</v>
      </c>
      <c r="AF502" s="5">
        <f t="shared" si="171"/>
        <v>7203.8047000000006</v>
      </c>
      <c r="AG502">
        <f t="shared" si="172"/>
        <v>3281</v>
      </c>
      <c r="AH502" s="5">
        <f t="shared" si="173"/>
        <v>3922.8047000000006</v>
      </c>
      <c r="AI502" s="5">
        <f t="shared" si="174"/>
        <v>0.54454623124360946</v>
      </c>
      <c r="AJ502" s="5">
        <f t="shared" si="177"/>
        <v>10598446.381200014</v>
      </c>
      <c r="AK502" s="7">
        <f t="shared" si="175"/>
        <v>0.96826887482795243</v>
      </c>
      <c r="AL502" s="17">
        <f>MIN(AC502,'What-If Analysis'!$B$2)</f>
        <v>1.7999999999999999E-2</v>
      </c>
      <c r="AM502">
        <f>AE502*(1+'What-If Analysis'!$B$3)</f>
        <v>6.5</v>
      </c>
      <c r="AN502">
        <f>Y502*(1+'What-If Analysis'!$B$4)</f>
        <v>721.82000000000016</v>
      </c>
      <c r="AO502">
        <f t="shared" si="176"/>
        <v>9364.946109999999</v>
      </c>
    </row>
    <row r="503" spans="1:41" x14ac:dyDescent="0.3">
      <c r="A503" t="s">
        <v>502</v>
      </c>
      <c r="B503" s="3">
        <v>45424</v>
      </c>
      <c r="C503" s="3">
        <f t="shared" si="157"/>
        <v>45424</v>
      </c>
      <c r="D503" s="3">
        <v>45436</v>
      </c>
      <c r="E503" s="3">
        <f t="shared" si="158"/>
        <v>45436</v>
      </c>
      <c r="F503" s="16">
        <f t="shared" si="159"/>
        <v>12</v>
      </c>
      <c r="G503" s="16">
        <f>IF(Data!F528&lt;=7,1,0)</f>
        <v>0</v>
      </c>
      <c r="H503" s="5" t="str">
        <f t="shared" si="160"/>
        <v>05-2024</v>
      </c>
      <c r="I503" s="5" t="str">
        <f t="shared" si="161"/>
        <v>Q2-2024</v>
      </c>
      <c r="J503" s="3">
        <f t="shared" si="162"/>
        <v>44945</v>
      </c>
      <c r="K503" s="5" t="str">
        <f t="shared" si="163"/>
        <v>01-2023</v>
      </c>
      <c r="L503" t="s">
        <v>649</v>
      </c>
      <c r="M503" t="s">
        <v>658</v>
      </c>
      <c r="N503" t="s">
        <v>693</v>
      </c>
      <c r="O503" t="str">
        <f t="shared" si="164"/>
        <v>Manchester</v>
      </c>
      <c r="P503" t="s">
        <v>702</v>
      </c>
      <c r="Q503" t="s">
        <v>709</v>
      </c>
      <c r="R503" t="str">
        <f t="shared" si="165"/>
        <v>Marketplace</v>
      </c>
      <c r="S503" t="s">
        <v>723</v>
      </c>
      <c r="T503" t="str">
        <f t="shared" si="178"/>
        <v>K. Singh</v>
      </c>
      <c r="U503" t="s">
        <v>728</v>
      </c>
      <c r="V503" t="str">
        <f t="shared" si="166"/>
        <v>Low</v>
      </c>
      <c r="W503" t="s">
        <v>1221</v>
      </c>
      <c r="X503" t="str">
        <f t="shared" si="167"/>
        <v>C</v>
      </c>
      <c r="Y503" s="5">
        <v>111.02</v>
      </c>
      <c r="Z503" s="5">
        <v>172.88</v>
      </c>
      <c r="AA503" s="5">
        <f t="shared" si="168"/>
        <v>172.88</v>
      </c>
      <c r="AB503" s="7">
        <v>0.19700000000000001</v>
      </c>
      <c r="AC503" s="7">
        <f t="shared" si="169"/>
        <v>0.19700000000000001</v>
      </c>
      <c r="AD503" s="16">
        <f t="shared" si="170"/>
        <v>0</v>
      </c>
      <c r="AE503" s="16">
        <v>29</v>
      </c>
      <c r="AF503" s="5">
        <f t="shared" si="171"/>
        <v>4025.8565599999993</v>
      </c>
      <c r="AG503">
        <f t="shared" si="172"/>
        <v>3219.58</v>
      </c>
      <c r="AH503" s="5">
        <f t="shared" si="173"/>
        <v>806.27655999999934</v>
      </c>
      <c r="AI503" s="5">
        <f t="shared" si="174"/>
        <v>0.20027453735212053</v>
      </c>
      <c r="AJ503" s="5">
        <f t="shared" si="177"/>
        <v>10602472.237760013</v>
      </c>
      <c r="AK503" s="7">
        <f t="shared" si="175"/>
        <v>0.96863667511314178</v>
      </c>
      <c r="AL503" s="17">
        <f>MIN(AC503,'What-If Analysis'!$B$2)</f>
        <v>0.19700000000000001</v>
      </c>
      <c r="AM503">
        <f>AE503*(1+'What-If Analysis'!$B$3)</f>
        <v>37.700000000000003</v>
      </c>
      <c r="AN503">
        <f>Y503*(1+'What-If Analysis'!$B$4)</f>
        <v>122.122</v>
      </c>
      <c r="AO503">
        <f t="shared" si="176"/>
        <v>5233.6135279999999</v>
      </c>
    </row>
    <row r="504" spans="1:41" x14ac:dyDescent="0.3">
      <c r="A504" t="s">
        <v>262</v>
      </c>
      <c r="B504" s="3">
        <v>45604</v>
      </c>
      <c r="C504" s="3">
        <f t="shared" si="157"/>
        <v>45604</v>
      </c>
      <c r="D504" s="3">
        <v>45604</v>
      </c>
      <c r="E504" s="3">
        <f t="shared" si="158"/>
        <v>45604</v>
      </c>
      <c r="F504" s="16">
        <f t="shared" si="159"/>
        <v>0</v>
      </c>
      <c r="G504" s="16">
        <f>IF(Data!F538&lt;=7,1,0)</f>
        <v>0</v>
      </c>
      <c r="H504" s="5" t="str">
        <f t="shared" si="160"/>
        <v>11-2024</v>
      </c>
      <c r="I504" s="5" t="str">
        <f t="shared" si="161"/>
        <v>Q4-2024</v>
      </c>
      <c r="J504" s="3">
        <f t="shared" si="162"/>
        <v>44946</v>
      </c>
      <c r="K504" s="5" t="str">
        <f t="shared" si="163"/>
        <v>01-2023</v>
      </c>
      <c r="L504" t="s">
        <v>646</v>
      </c>
      <c r="M504" t="s">
        <v>650</v>
      </c>
      <c r="N504" t="s">
        <v>678</v>
      </c>
      <c r="O504" t="str">
        <f t="shared" si="164"/>
        <v>Nakuru</v>
      </c>
      <c r="P504" t="s">
        <v>706</v>
      </c>
      <c r="Q504" t="s">
        <v>709</v>
      </c>
      <c r="R504" t="str">
        <f t="shared" si="165"/>
        <v>Marketplace</v>
      </c>
      <c r="S504" t="s">
        <v>724</v>
      </c>
      <c r="T504" t="str">
        <f t="shared" si="178"/>
        <v>M. Rossi</v>
      </c>
      <c r="U504" t="s">
        <v>729</v>
      </c>
      <c r="V504" t="str">
        <f t="shared" si="166"/>
        <v>Medium</v>
      </c>
      <c r="W504" t="s">
        <v>982</v>
      </c>
      <c r="X504" t="str">
        <f t="shared" si="167"/>
        <v>C</v>
      </c>
      <c r="Y504" s="5">
        <v>803.28</v>
      </c>
      <c r="Z504" s="5">
        <v>1009</v>
      </c>
      <c r="AA504" s="5">
        <f t="shared" si="168"/>
        <v>1009</v>
      </c>
      <c r="AB504" s="7">
        <v>0.11</v>
      </c>
      <c r="AC504" s="7">
        <f t="shared" si="169"/>
        <v>0.11</v>
      </c>
      <c r="AD504" s="16">
        <f t="shared" si="170"/>
        <v>0</v>
      </c>
      <c r="AE504" s="16">
        <v>4</v>
      </c>
      <c r="AF504" s="5">
        <f t="shared" si="171"/>
        <v>3592.04</v>
      </c>
      <c r="AG504">
        <f t="shared" si="172"/>
        <v>3213.12</v>
      </c>
      <c r="AH504" s="5">
        <f t="shared" si="173"/>
        <v>378.92000000000007</v>
      </c>
      <c r="AI504" s="5">
        <f t="shared" si="174"/>
        <v>0.10548880302001093</v>
      </c>
      <c r="AJ504" s="5">
        <f t="shared" si="177"/>
        <v>10606064.277760012</v>
      </c>
      <c r="AK504" s="7">
        <f t="shared" si="175"/>
        <v>0.96896484212970613</v>
      </c>
      <c r="AL504" s="17">
        <f>MIN(AC504,'What-If Analysis'!$B$2)</f>
        <v>0.11</v>
      </c>
      <c r="AM504">
        <f>AE504*(1+'What-If Analysis'!$B$3)</f>
        <v>5.2</v>
      </c>
      <c r="AN504">
        <f>Y504*(1+'What-If Analysis'!$B$4)</f>
        <v>883.60800000000006</v>
      </c>
      <c r="AO504">
        <f t="shared" si="176"/>
        <v>4669.652</v>
      </c>
    </row>
    <row r="505" spans="1:41" x14ac:dyDescent="0.3">
      <c r="A505" t="s">
        <v>118</v>
      </c>
      <c r="B505" s="3">
        <v>45631</v>
      </c>
      <c r="C505" s="3">
        <f t="shared" si="157"/>
        <v>45631</v>
      </c>
      <c r="D505" s="3">
        <v>45654</v>
      </c>
      <c r="E505" s="3">
        <f t="shared" si="158"/>
        <v>45654</v>
      </c>
      <c r="F505" s="16">
        <f t="shared" si="159"/>
        <v>23</v>
      </c>
      <c r="G505" s="16">
        <f>IF(Data!F466&lt;=7,1,0)</f>
        <v>0</v>
      </c>
      <c r="H505" s="5" t="str">
        <f t="shared" si="160"/>
        <v>12-2024</v>
      </c>
      <c r="I505" s="5" t="str">
        <f t="shared" si="161"/>
        <v>Q4-2024</v>
      </c>
      <c r="J505" s="3">
        <f t="shared" si="162"/>
        <v>44928</v>
      </c>
      <c r="K505" s="5" t="str">
        <f t="shared" si="163"/>
        <v>01-2023</v>
      </c>
      <c r="L505" t="s">
        <v>648</v>
      </c>
      <c r="M505" t="s">
        <v>653</v>
      </c>
      <c r="N505" t="s">
        <v>688</v>
      </c>
      <c r="O505" t="str">
        <f t="shared" si="164"/>
        <v>Vancouver</v>
      </c>
      <c r="P505" t="s">
        <v>701</v>
      </c>
      <c r="Q505" t="s">
        <v>711</v>
      </c>
      <c r="R505" t="str">
        <f t="shared" si="165"/>
        <v>Direct</v>
      </c>
      <c r="S505" t="s">
        <v>721</v>
      </c>
      <c r="T505" t="str">
        <f t="shared" si="178"/>
        <v>F. Müller</v>
      </c>
      <c r="U505" t="s">
        <v>733</v>
      </c>
      <c r="V505" t="str">
        <f t="shared" si="166"/>
        <v>Low</v>
      </c>
      <c r="W505" t="s">
        <v>837</v>
      </c>
      <c r="X505" t="str">
        <f t="shared" si="167"/>
        <v>C</v>
      </c>
      <c r="Y505" s="5">
        <v>107.03</v>
      </c>
      <c r="Z505" s="5">
        <v>242.29</v>
      </c>
      <c r="AA505" s="5">
        <f t="shared" si="168"/>
        <v>242.29</v>
      </c>
      <c r="AB505" s="7">
        <v>0.18</v>
      </c>
      <c r="AC505" s="7">
        <f t="shared" si="169"/>
        <v>0.18</v>
      </c>
      <c r="AD505" s="16">
        <f t="shared" si="170"/>
        <v>0</v>
      </c>
      <c r="AE505" s="16">
        <v>30</v>
      </c>
      <c r="AF505" s="5">
        <f t="shared" si="171"/>
        <v>5960.3340000000007</v>
      </c>
      <c r="AG505">
        <f t="shared" si="172"/>
        <v>3210.9</v>
      </c>
      <c r="AH505" s="5">
        <f t="shared" si="173"/>
        <v>2749.4340000000007</v>
      </c>
      <c r="AI505" s="5">
        <f t="shared" si="174"/>
        <v>0.46128857879440988</v>
      </c>
      <c r="AJ505" s="5">
        <f t="shared" si="177"/>
        <v>10612024.611760013</v>
      </c>
      <c r="AK505" s="7">
        <f t="shared" si="175"/>
        <v>0.96950937532713932</v>
      </c>
      <c r="AL505" s="17">
        <f>MIN(AC505,'What-If Analysis'!$B$2)</f>
        <v>0.18</v>
      </c>
      <c r="AM505">
        <f>AE505*(1+'What-If Analysis'!$B$3)</f>
        <v>39</v>
      </c>
      <c r="AN505">
        <f>Y505*(1+'What-If Analysis'!$B$4)</f>
        <v>117.733</v>
      </c>
      <c r="AO505">
        <f t="shared" si="176"/>
        <v>7748.4342000000006</v>
      </c>
    </row>
    <row r="506" spans="1:41" x14ac:dyDescent="0.3">
      <c r="A506" t="s">
        <v>193</v>
      </c>
      <c r="B506" s="3">
        <v>45021</v>
      </c>
      <c r="C506" s="3">
        <f t="shared" si="157"/>
        <v>45021</v>
      </c>
      <c r="D506" s="3">
        <v>45032</v>
      </c>
      <c r="E506" s="3">
        <f t="shared" si="158"/>
        <v>45032</v>
      </c>
      <c r="F506" s="16">
        <f t="shared" si="159"/>
        <v>11</v>
      </c>
      <c r="G506" s="16">
        <f>IF(Data!F441&lt;=7,1,0)</f>
        <v>0</v>
      </c>
      <c r="H506" s="5" t="str">
        <f t="shared" si="160"/>
        <v>04-2023</v>
      </c>
      <c r="I506" s="5" t="str">
        <f t="shared" si="161"/>
        <v>Q2-2023</v>
      </c>
      <c r="J506" s="3">
        <f t="shared" si="162"/>
        <v>44928</v>
      </c>
      <c r="K506" s="5" t="str">
        <f t="shared" si="163"/>
        <v>01-2023</v>
      </c>
      <c r="L506" t="s">
        <v>648</v>
      </c>
      <c r="M506" t="s">
        <v>653</v>
      </c>
      <c r="N506" t="s">
        <v>688</v>
      </c>
      <c r="O506" t="str">
        <f t="shared" si="164"/>
        <v>Vancouver</v>
      </c>
      <c r="P506" t="s">
        <v>703</v>
      </c>
      <c r="Q506" t="s">
        <v>708</v>
      </c>
      <c r="R506" t="str">
        <f t="shared" si="165"/>
        <v>Online</v>
      </c>
      <c r="S506" t="s">
        <v>719</v>
      </c>
      <c r="T506" t="str">
        <f t="shared" si="178"/>
        <v>O. Wang</v>
      </c>
      <c r="U506" t="s">
        <v>732</v>
      </c>
      <c r="V506" t="str">
        <f t="shared" si="166"/>
        <v>Low</v>
      </c>
      <c r="W506" t="s">
        <v>912</v>
      </c>
      <c r="X506" t="str">
        <f t="shared" si="167"/>
        <v>C</v>
      </c>
      <c r="Y506" s="5">
        <v>213.1</v>
      </c>
      <c r="Z506" s="5">
        <v>501.31</v>
      </c>
      <c r="AA506" s="5">
        <f t="shared" si="168"/>
        <v>501.31</v>
      </c>
      <c r="AB506" s="7">
        <v>5.6000000000000001E-2</v>
      </c>
      <c r="AC506" s="7">
        <f t="shared" si="169"/>
        <v>5.6000000000000001E-2</v>
      </c>
      <c r="AD506" s="16">
        <f t="shared" si="170"/>
        <v>0</v>
      </c>
      <c r="AE506" s="16">
        <v>15</v>
      </c>
      <c r="AF506" s="5">
        <f t="shared" si="171"/>
        <v>7098.5495999999994</v>
      </c>
      <c r="AG506">
        <f t="shared" si="172"/>
        <v>3196.5</v>
      </c>
      <c r="AH506" s="5">
        <f t="shared" si="173"/>
        <v>3902.0495999999994</v>
      </c>
      <c r="AI506" s="5">
        <f t="shared" si="174"/>
        <v>0.54969674368409005</v>
      </c>
      <c r="AJ506" s="5">
        <f t="shared" si="177"/>
        <v>10619123.161360012</v>
      </c>
      <c r="AK506" s="7">
        <f t="shared" si="175"/>
        <v>0.97015789534478025</v>
      </c>
      <c r="AL506" s="17">
        <f>MIN(AC506,'What-If Analysis'!$B$2)</f>
        <v>5.6000000000000001E-2</v>
      </c>
      <c r="AM506">
        <f>AE506*(1+'What-If Analysis'!$B$3)</f>
        <v>19.5</v>
      </c>
      <c r="AN506">
        <f>Y506*(1+'What-If Analysis'!$B$4)</f>
        <v>234.41000000000003</v>
      </c>
      <c r="AO506">
        <f t="shared" si="176"/>
        <v>9228.1144800000002</v>
      </c>
    </row>
    <row r="507" spans="1:41" x14ac:dyDescent="0.3">
      <c r="A507" t="s">
        <v>86</v>
      </c>
      <c r="B507" s="3">
        <v>45756</v>
      </c>
      <c r="C507" s="3">
        <f t="shared" si="157"/>
        <v>45756</v>
      </c>
      <c r="D507" s="3">
        <v>45783</v>
      </c>
      <c r="E507" s="3">
        <f t="shared" si="158"/>
        <v>45783</v>
      </c>
      <c r="F507" s="16">
        <f t="shared" si="159"/>
        <v>27</v>
      </c>
      <c r="G507" s="16">
        <f>IF(Data!F460&lt;=7,1,0)</f>
        <v>0</v>
      </c>
      <c r="H507" s="5" t="str">
        <f t="shared" si="160"/>
        <v>04-2025</v>
      </c>
      <c r="I507" s="5" t="str">
        <f t="shared" si="161"/>
        <v>Q2-2025</v>
      </c>
      <c r="J507" s="3">
        <f t="shared" si="162"/>
        <v>44955</v>
      </c>
      <c r="K507" s="5" t="str">
        <f t="shared" si="163"/>
        <v>01-2023</v>
      </c>
      <c r="L507" t="s">
        <v>648</v>
      </c>
      <c r="M507" t="s">
        <v>655</v>
      </c>
      <c r="N507" t="s">
        <v>672</v>
      </c>
      <c r="O507" t="str">
        <f t="shared" si="164"/>
        <v>Brasília</v>
      </c>
      <c r="P507" t="s">
        <v>706</v>
      </c>
      <c r="Q507" t="s">
        <v>709</v>
      </c>
      <c r="R507" t="str">
        <f t="shared" si="165"/>
        <v>Marketplace</v>
      </c>
      <c r="S507" t="s">
        <v>721</v>
      </c>
      <c r="T507" t="str">
        <f t="shared" si="178"/>
        <v>F. Müller</v>
      </c>
      <c r="U507" t="s">
        <v>731</v>
      </c>
      <c r="V507" t="str">
        <f t="shared" si="166"/>
        <v>Low</v>
      </c>
      <c r="W507" t="s">
        <v>805</v>
      </c>
      <c r="X507" t="str">
        <f t="shared" si="167"/>
        <v>C</v>
      </c>
      <c r="Y507" s="5">
        <v>264.19</v>
      </c>
      <c r="Z507" s="5">
        <v>620.92999999999995</v>
      </c>
      <c r="AA507" s="5">
        <f t="shared" si="168"/>
        <v>620.92999999999995</v>
      </c>
      <c r="AB507" s="7">
        <v>0.14199999999999999</v>
      </c>
      <c r="AC507" s="7">
        <f t="shared" si="169"/>
        <v>0.14199999999999999</v>
      </c>
      <c r="AD507" s="16">
        <f t="shared" si="170"/>
        <v>0</v>
      </c>
      <c r="AE507" s="16">
        <v>12</v>
      </c>
      <c r="AF507" s="5">
        <f t="shared" si="171"/>
        <v>6393.0952799999995</v>
      </c>
      <c r="AG507">
        <f t="shared" si="172"/>
        <v>3170.2799999999997</v>
      </c>
      <c r="AH507" s="5">
        <f t="shared" si="173"/>
        <v>3222.8152799999998</v>
      </c>
      <c r="AI507" s="5">
        <f t="shared" si="174"/>
        <v>0.50410875152794532</v>
      </c>
      <c r="AJ507" s="5">
        <f t="shared" si="177"/>
        <v>10625516.256640011</v>
      </c>
      <c r="AK507" s="7">
        <f t="shared" si="175"/>
        <v>0.97074196540097391</v>
      </c>
      <c r="AL507" s="17">
        <f>MIN(AC507,'What-If Analysis'!$B$2)</f>
        <v>0.14199999999999999</v>
      </c>
      <c r="AM507">
        <f>AE507*(1+'What-If Analysis'!$B$3)</f>
        <v>15.600000000000001</v>
      </c>
      <c r="AN507">
        <f>Y507*(1+'What-If Analysis'!$B$4)</f>
        <v>290.60900000000004</v>
      </c>
      <c r="AO507">
        <f t="shared" si="176"/>
        <v>8311.0238639999989</v>
      </c>
    </row>
    <row r="508" spans="1:41" x14ac:dyDescent="0.3">
      <c r="A508" t="s">
        <v>500</v>
      </c>
      <c r="B508" s="3">
        <v>45224</v>
      </c>
      <c r="C508" s="3">
        <f t="shared" si="157"/>
        <v>45224</v>
      </c>
      <c r="D508" s="3">
        <v>45254</v>
      </c>
      <c r="E508" s="3">
        <f t="shared" si="158"/>
        <v>45254</v>
      </c>
      <c r="F508" s="16">
        <f t="shared" si="159"/>
        <v>30</v>
      </c>
      <c r="G508" s="16">
        <f>IF(Data!F488&lt;=7,1,0)</f>
        <v>1</v>
      </c>
      <c r="H508" s="5" t="str">
        <f t="shared" si="160"/>
        <v>10-2023</v>
      </c>
      <c r="I508" s="5" t="str">
        <f t="shared" si="161"/>
        <v>Q4-2023</v>
      </c>
      <c r="J508" s="3">
        <f t="shared" si="162"/>
        <v>44936</v>
      </c>
      <c r="K508" s="5" t="str">
        <f t="shared" si="163"/>
        <v>01-2023</v>
      </c>
      <c r="L508" t="s">
        <v>649</v>
      </c>
      <c r="M508" t="s">
        <v>657</v>
      </c>
      <c r="N508" t="s">
        <v>690</v>
      </c>
      <c r="O508" t="str">
        <f t="shared" si="164"/>
        <v>Paris</v>
      </c>
      <c r="P508" t="s">
        <v>706</v>
      </c>
      <c r="Q508" t="s">
        <v>710</v>
      </c>
      <c r="R508" t="str">
        <f t="shared" si="165"/>
        <v>Distributor</v>
      </c>
      <c r="S508" t="s">
        <v>712</v>
      </c>
      <c r="T508" t="str">
        <f t="shared" si="178"/>
        <v>C. Otieno</v>
      </c>
      <c r="U508" t="s">
        <v>730</v>
      </c>
      <c r="V508" t="str">
        <f t="shared" si="166"/>
        <v>Low</v>
      </c>
      <c r="W508" t="s">
        <v>1219</v>
      </c>
      <c r="X508" t="str">
        <f t="shared" si="167"/>
        <v>C</v>
      </c>
      <c r="Y508" s="5">
        <v>287.85000000000002</v>
      </c>
      <c r="Z508" s="5">
        <v>602.91999999999996</v>
      </c>
      <c r="AA508" s="5">
        <f t="shared" si="168"/>
        <v>602.91999999999996</v>
      </c>
      <c r="AB508" s="7">
        <v>0.222</v>
      </c>
      <c r="AC508" s="7">
        <f t="shared" si="169"/>
        <v>0.222</v>
      </c>
      <c r="AD508" s="16">
        <f t="shared" si="170"/>
        <v>1</v>
      </c>
      <c r="AE508" s="16">
        <v>11</v>
      </c>
      <c r="AF508" s="5">
        <f t="shared" si="171"/>
        <v>5159.7893599999998</v>
      </c>
      <c r="AG508">
        <f t="shared" si="172"/>
        <v>3166.3500000000004</v>
      </c>
      <c r="AH508" s="5">
        <f t="shared" si="173"/>
        <v>1993.4393599999994</v>
      </c>
      <c r="AI508" s="5">
        <f t="shared" si="174"/>
        <v>0.38634122847216373</v>
      </c>
      <c r="AJ508" s="5">
        <f t="shared" si="177"/>
        <v>10630676.046000011</v>
      </c>
      <c r="AK508" s="7">
        <f t="shared" si="175"/>
        <v>0.97121336123185886</v>
      </c>
      <c r="AL508" s="17">
        <f>MIN(AC508,'What-If Analysis'!$B$2)</f>
        <v>0.2</v>
      </c>
      <c r="AM508">
        <f>AE508*(1+'What-If Analysis'!$B$3)</f>
        <v>14.3</v>
      </c>
      <c r="AN508">
        <f>Y508*(1+'What-If Analysis'!$B$4)</f>
        <v>316.63500000000005</v>
      </c>
      <c r="AO508">
        <f t="shared" si="176"/>
        <v>6897.4048000000003</v>
      </c>
    </row>
    <row r="509" spans="1:41" x14ac:dyDescent="0.3">
      <c r="A509" t="s">
        <v>307</v>
      </c>
      <c r="B509" s="3">
        <v>45161</v>
      </c>
      <c r="C509" s="3">
        <f t="shared" si="157"/>
        <v>45161</v>
      </c>
      <c r="D509" s="3">
        <v>45191</v>
      </c>
      <c r="E509" s="3">
        <f t="shared" si="158"/>
        <v>45191</v>
      </c>
      <c r="F509" s="16">
        <f t="shared" si="159"/>
        <v>30</v>
      </c>
      <c r="G509" s="16">
        <f>IF(Data!F432&lt;=7,1,0)</f>
        <v>1</v>
      </c>
      <c r="H509" s="5" t="str">
        <f t="shared" si="160"/>
        <v>08-2023</v>
      </c>
      <c r="I509" s="5" t="str">
        <f t="shared" si="161"/>
        <v>Q3-2023</v>
      </c>
      <c r="J509" s="3">
        <f t="shared" si="162"/>
        <v>44945</v>
      </c>
      <c r="K509" s="5" t="str">
        <f t="shared" si="163"/>
        <v>01-2023</v>
      </c>
      <c r="L509" t="s">
        <v>649</v>
      </c>
      <c r="M509" t="s">
        <v>658</v>
      </c>
      <c r="N509" t="s">
        <v>683</v>
      </c>
      <c r="O509" t="str">
        <f t="shared" si="164"/>
        <v>London</v>
      </c>
      <c r="P509" t="s">
        <v>704</v>
      </c>
      <c r="Q509" t="s">
        <v>710</v>
      </c>
      <c r="R509" t="str">
        <f t="shared" si="165"/>
        <v>Distributor</v>
      </c>
      <c r="S509" t="s">
        <v>719</v>
      </c>
      <c r="T509" t="str">
        <f t="shared" si="178"/>
        <v>O. Wang</v>
      </c>
      <c r="U509" t="s">
        <v>733</v>
      </c>
      <c r="V509" t="str">
        <f t="shared" si="166"/>
        <v>Low</v>
      </c>
      <c r="W509" t="s">
        <v>1027</v>
      </c>
      <c r="X509" t="str">
        <f t="shared" si="167"/>
        <v>C</v>
      </c>
      <c r="Y509" s="5">
        <v>209.81</v>
      </c>
      <c r="Z509" s="5">
        <v>523</v>
      </c>
      <c r="AA509" s="5">
        <f t="shared" si="168"/>
        <v>523</v>
      </c>
      <c r="AB509" s="7">
        <v>5.8999999999999997E-2</v>
      </c>
      <c r="AC509" s="7">
        <f t="shared" si="169"/>
        <v>5.8999999999999997E-2</v>
      </c>
      <c r="AD509" s="16">
        <f t="shared" si="170"/>
        <v>0</v>
      </c>
      <c r="AE509" s="16">
        <v>15</v>
      </c>
      <c r="AF509" s="5">
        <f t="shared" si="171"/>
        <v>7382.1450000000004</v>
      </c>
      <c r="AG509">
        <f t="shared" si="172"/>
        <v>3147.15</v>
      </c>
      <c r="AH509" s="5">
        <f t="shared" si="173"/>
        <v>4234.9950000000008</v>
      </c>
      <c r="AI509" s="5">
        <f t="shared" si="174"/>
        <v>0.57368082041195356</v>
      </c>
      <c r="AJ509" s="5">
        <f t="shared" si="177"/>
        <v>10638058.191000011</v>
      </c>
      <c r="AK509" s="7">
        <f t="shared" si="175"/>
        <v>0.97188779038646078</v>
      </c>
      <c r="AL509" s="17">
        <f>MIN(AC509,'What-If Analysis'!$B$2)</f>
        <v>5.8999999999999997E-2</v>
      </c>
      <c r="AM509">
        <f>AE509*(1+'What-If Analysis'!$B$3)</f>
        <v>19.5</v>
      </c>
      <c r="AN509">
        <f>Y509*(1+'What-If Analysis'!$B$4)</f>
        <v>230.79100000000003</v>
      </c>
      <c r="AO509">
        <f t="shared" si="176"/>
        <v>9596.7885000000006</v>
      </c>
    </row>
    <row r="510" spans="1:41" x14ac:dyDescent="0.3">
      <c r="A510" t="s">
        <v>612</v>
      </c>
      <c r="B510" s="3">
        <v>45726</v>
      </c>
      <c r="C510" s="3">
        <f t="shared" si="157"/>
        <v>45726</v>
      </c>
      <c r="D510" s="3">
        <v>45751</v>
      </c>
      <c r="E510" s="3">
        <f t="shared" si="158"/>
        <v>45751</v>
      </c>
      <c r="F510" s="16">
        <f t="shared" si="159"/>
        <v>25</v>
      </c>
      <c r="G510" s="16">
        <f>IF(Data!F513&lt;=7,1,0)</f>
        <v>0</v>
      </c>
      <c r="H510" s="5" t="str">
        <f t="shared" si="160"/>
        <v>03-2025</v>
      </c>
      <c r="I510" s="5" t="str">
        <f t="shared" si="161"/>
        <v>Q1-2025</v>
      </c>
      <c r="J510" s="3">
        <f t="shared" si="162"/>
        <v>44988</v>
      </c>
      <c r="K510" s="5" t="str">
        <f t="shared" si="163"/>
        <v>03-2023</v>
      </c>
      <c r="L510" t="s">
        <v>647</v>
      </c>
      <c r="M510" t="s">
        <v>652</v>
      </c>
      <c r="N510" t="s">
        <v>666</v>
      </c>
      <c r="O510" t="str">
        <f t="shared" si="164"/>
        <v>Osaka</v>
      </c>
      <c r="P510" t="s">
        <v>701</v>
      </c>
      <c r="Q510" t="s">
        <v>711</v>
      </c>
      <c r="R510" t="str">
        <f t="shared" si="165"/>
        <v>Direct</v>
      </c>
      <c r="S510" t="s">
        <v>722</v>
      </c>
      <c r="T510" t="str">
        <f t="shared" si="178"/>
        <v>H. Kim</v>
      </c>
      <c r="U510" t="s">
        <v>728</v>
      </c>
      <c r="V510" t="str">
        <f t="shared" si="166"/>
        <v>Medium</v>
      </c>
      <c r="W510" t="s">
        <v>1330</v>
      </c>
      <c r="X510" t="str">
        <f t="shared" si="167"/>
        <v>C</v>
      </c>
      <c r="Y510" s="5">
        <v>783.72</v>
      </c>
      <c r="Z510" s="5">
        <v>1355.94</v>
      </c>
      <c r="AA510" s="5">
        <f t="shared" si="168"/>
        <v>1355.94</v>
      </c>
      <c r="AB510" s="7">
        <v>0.187</v>
      </c>
      <c r="AC510" s="7">
        <f t="shared" si="169"/>
        <v>0.187</v>
      </c>
      <c r="AD510" s="16">
        <f t="shared" si="170"/>
        <v>0</v>
      </c>
      <c r="AE510" s="16">
        <v>4</v>
      </c>
      <c r="AF510" s="5">
        <f t="shared" si="171"/>
        <v>4409.5168800000001</v>
      </c>
      <c r="AG510">
        <f t="shared" si="172"/>
        <v>3134.88</v>
      </c>
      <c r="AH510" s="5">
        <f t="shared" si="173"/>
        <v>1274.63688</v>
      </c>
      <c r="AI510" s="5">
        <f t="shared" si="174"/>
        <v>0.28906497348525856</v>
      </c>
      <c r="AJ510" s="5">
        <f t="shared" si="177"/>
        <v>10642467.707880011</v>
      </c>
      <c r="AK510" s="7">
        <f t="shared" si="175"/>
        <v>0.97229064169073365</v>
      </c>
      <c r="AL510" s="17">
        <f>MIN(AC510,'What-If Analysis'!$B$2)</f>
        <v>0.187</v>
      </c>
      <c r="AM510">
        <f>AE510*(1+'What-If Analysis'!$B$3)</f>
        <v>5.2</v>
      </c>
      <c r="AN510">
        <f>Y510*(1+'What-If Analysis'!$B$4)</f>
        <v>862.0920000000001</v>
      </c>
      <c r="AO510">
        <f t="shared" si="176"/>
        <v>5732.3719440000004</v>
      </c>
    </row>
    <row r="511" spans="1:41" x14ac:dyDescent="0.3">
      <c r="A511" t="s">
        <v>247</v>
      </c>
      <c r="B511" s="3">
        <v>45540</v>
      </c>
      <c r="C511" s="3">
        <f t="shared" si="157"/>
        <v>45540</v>
      </c>
      <c r="D511" s="3">
        <v>45560</v>
      </c>
      <c r="E511" s="3">
        <f t="shared" si="158"/>
        <v>45560</v>
      </c>
      <c r="F511" s="16">
        <f t="shared" si="159"/>
        <v>20</v>
      </c>
      <c r="G511" s="16">
        <f>IF(Data!F484&lt;=7,1,0)</f>
        <v>1</v>
      </c>
      <c r="H511" s="5" t="str">
        <f t="shared" si="160"/>
        <v>09-2024</v>
      </c>
      <c r="I511" s="5" t="str">
        <f t="shared" si="161"/>
        <v>Q3-2024</v>
      </c>
      <c r="J511" s="3">
        <f t="shared" si="162"/>
        <v>44988</v>
      </c>
      <c r="K511" s="5" t="str">
        <f t="shared" si="163"/>
        <v>03-2023</v>
      </c>
      <c r="L511" t="s">
        <v>647</v>
      </c>
      <c r="M511" t="s">
        <v>652</v>
      </c>
      <c r="N511" t="s">
        <v>666</v>
      </c>
      <c r="O511" t="str">
        <f t="shared" si="164"/>
        <v>Osaka</v>
      </c>
      <c r="P511" t="s">
        <v>706</v>
      </c>
      <c r="Q511" t="s">
        <v>710</v>
      </c>
      <c r="R511" t="str">
        <f t="shared" si="165"/>
        <v>Distributor</v>
      </c>
      <c r="S511" t="s">
        <v>726</v>
      </c>
      <c r="T511" t="str">
        <f t="shared" si="178"/>
        <v>D. Smith</v>
      </c>
      <c r="U511" t="s">
        <v>732</v>
      </c>
      <c r="V511" t="str">
        <f t="shared" si="166"/>
        <v>Low</v>
      </c>
      <c r="W511" t="s">
        <v>967</v>
      </c>
      <c r="X511" t="str">
        <f t="shared" si="167"/>
        <v>C</v>
      </c>
      <c r="Y511" s="5">
        <v>195.54</v>
      </c>
      <c r="Z511" s="5">
        <v>405.97</v>
      </c>
      <c r="AA511" s="5">
        <f t="shared" si="168"/>
        <v>405.97</v>
      </c>
      <c r="AB511" s="7">
        <v>0.187</v>
      </c>
      <c r="AC511" s="7">
        <f t="shared" si="169"/>
        <v>0.187</v>
      </c>
      <c r="AD511" s="16">
        <f t="shared" si="170"/>
        <v>0</v>
      </c>
      <c r="AE511" s="16">
        <v>16</v>
      </c>
      <c r="AF511" s="5">
        <f t="shared" si="171"/>
        <v>5280.8577599999999</v>
      </c>
      <c r="AG511">
        <f t="shared" si="172"/>
        <v>3128.64</v>
      </c>
      <c r="AH511" s="5">
        <f t="shared" si="173"/>
        <v>2152.21776</v>
      </c>
      <c r="AI511" s="5">
        <f t="shared" si="174"/>
        <v>0.40755079152141377</v>
      </c>
      <c r="AJ511" s="5">
        <f t="shared" si="177"/>
        <v>10647748.56564001</v>
      </c>
      <c r="AK511" s="7">
        <f t="shared" si="175"/>
        <v>0.97277309827139546</v>
      </c>
      <c r="AL511" s="17">
        <f>MIN(AC511,'What-If Analysis'!$B$2)</f>
        <v>0.187</v>
      </c>
      <c r="AM511">
        <f>AE511*(1+'What-If Analysis'!$B$3)</f>
        <v>20.8</v>
      </c>
      <c r="AN511">
        <f>Y511*(1+'What-If Analysis'!$B$4)</f>
        <v>215.09400000000002</v>
      </c>
      <c r="AO511">
        <f t="shared" si="176"/>
        <v>6865.1150880000005</v>
      </c>
    </row>
    <row r="512" spans="1:41" x14ac:dyDescent="0.3">
      <c r="A512" t="s">
        <v>254</v>
      </c>
      <c r="B512" s="3">
        <v>45188</v>
      </c>
      <c r="C512" s="3">
        <f t="shared" si="157"/>
        <v>45188</v>
      </c>
      <c r="D512" s="3">
        <v>45207</v>
      </c>
      <c r="E512" s="3">
        <f t="shared" si="158"/>
        <v>45207</v>
      </c>
      <c r="F512" s="16">
        <f t="shared" si="159"/>
        <v>19</v>
      </c>
      <c r="G512" s="16">
        <f>IF(Data!F510&lt;=7,1,0)</f>
        <v>0</v>
      </c>
      <c r="H512" s="5" t="str">
        <f t="shared" si="160"/>
        <v>09-2023</v>
      </c>
      <c r="I512" s="5" t="str">
        <f t="shared" si="161"/>
        <v>Q3-2023</v>
      </c>
      <c r="J512" s="3">
        <f t="shared" si="162"/>
        <v>44955</v>
      </c>
      <c r="K512" s="5" t="str">
        <f t="shared" si="163"/>
        <v>01-2023</v>
      </c>
      <c r="L512" t="s">
        <v>647</v>
      </c>
      <c r="M512" t="s">
        <v>654</v>
      </c>
      <c r="N512" t="s">
        <v>668</v>
      </c>
      <c r="O512" t="str">
        <f t="shared" si="164"/>
        <v>Bengaluru</v>
      </c>
      <c r="P512" t="s">
        <v>702</v>
      </c>
      <c r="Q512" t="s">
        <v>711</v>
      </c>
      <c r="R512" t="str">
        <f t="shared" si="165"/>
        <v>Direct</v>
      </c>
      <c r="S512" t="s">
        <v>713</v>
      </c>
      <c r="T512" t="str">
        <f t="shared" si="178"/>
        <v>J. Njeri</v>
      </c>
      <c r="U512" t="s">
        <v>728</v>
      </c>
      <c r="V512" t="str">
        <f t="shared" si="166"/>
        <v>Low</v>
      </c>
      <c r="W512" t="s">
        <v>974</v>
      </c>
      <c r="X512" t="str">
        <f t="shared" si="167"/>
        <v>C</v>
      </c>
      <c r="Y512" s="5">
        <v>385.32</v>
      </c>
      <c r="Z512" s="5">
        <v>606.76</v>
      </c>
      <c r="AA512" s="5">
        <f t="shared" si="168"/>
        <v>606.76</v>
      </c>
      <c r="AB512" s="7">
        <v>8.5999999999999993E-2</v>
      </c>
      <c r="AC512" s="7">
        <f t="shared" si="169"/>
        <v>8.5999999999999993E-2</v>
      </c>
      <c r="AD512" s="16">
        <f t="shared" si="170"/>
        <v>0</v>
      </c>
      <c r="AE512" s="16">
        <v>8</v>
      </c>
      <c r="AF512" s="5">
        <f t="shared" si="171"/>
        <v>4436.6291200000005</v>
      </c>
      <c r="AG512">
        <f t="shared" si="172"/>
        <v>3082.56</v>
      </c>
      <c r="AH512" s="5">
        <f t="shared" si="173"/>
        <v>1354.0691200000006</v>
      </c>
      <c r="AI512" s="5">
        <f t="shared" si="174"/>
        <v>0.30520223425842735</v>
      </c>
      <c r="AJ512" s="5">
        <f t="shared" si="177"/>
        <v>10652185.19476001</v>
      </c>
      <c r="AK512" s="7">
        <f t="shared" si="175"/>
        <v>0.97317842653664677</v>
      </c>
      <c r="AL512" s="17">
        <f>MIN(AC512,'What-If Analysis'!$B$2)</f>
        <v>8.5999999999999993E-2</v>
      </c>
      <c r="AM512">
        <f>AE512*(1+'What-If Analysis'!$B$3)</f>
        <v>10.4</v>
      </c>
      <c r="AN512">
        <f>Y512*(1+'What-If Analysis'!$B$4)</f>
        <v>423.85200000000003</v>
      </c>
      <c r="AO512">
        <f t="shared" si="176"/>
        <v>5767.6178559999998</v>
      </c>
    </row>
    <row r="513" spans="1:41" x14ac:dyDescent="0.3">
      <c r="A513" t="s">
        <v>291</v>
      </c>
      <c r="B513" s="3">
        <v>45832</v>
      </c>
      <c r="C513" s="3">
        <f t="shared" si="157"/>
        <v>45832</v>
      </c>
      <c r="D513" s="3">
        <v>45852</v>
      </c>
      <c r="E513" s="3">
        <f t="shared" si="158"/>
        <v>45852</v>
      </c>
      <c r="F513" s="16">
        <f t="shared" si="159"/>
        <v>20</v>
      </c>
      <c r="G513" s="16">
        <f>IF(Data!F463&lt;=7,1,0)</f>
        <v>1</v>
      </c>
      <c r="H513" s="5" t="str">
        <f t="shared" si="160"/>
        <v>06-2025</v>
      </c>
      <c r="I513" s="5" t="str">
        <f t="shared" si="161"/>
        <v>Q2-2025</v>
      </c>
      <c r="J513" s="3">
        <f t="shared" si="162"/>
        <v>44947</v>
      </c>
      <c r="K513" s="5" t="str">
        <f t="shared" si="163"/>
        <v>01-2023</v>
      </c>
      <c r="L513" t="s">
        <v>649</v>
      </c>
      <c r="M513" t="s">
        <v>656</v>
      </c>
      <c r="N513" t="s">
        <v>671</v>
      </c>
      <c r="O513" t="str">
        <f t="shared" si="164"/>
        <v>Berlin</v>
      </c>
      <c r="P513" t="s">
        <v>701</v>
      </c>
      <c r="Q513" t="s">
        <v>711</v>
      </c>
      <c r="R513" t="str">
        <f t="shared" si="165"/>
        <v>Direct</v>
      </c>
      <c r="S513" t="s">
        <v>719</v>
      </c>
      <c r="T513" t="str">
        <f t="shared" si="178"/>
        <v>O. Wang</v>
      </c>
      <c r="U513" t="s">
        <v>733</v>
      </c>
      <c r="V513" t="str">
        <f t="shared" si="166"/>
        <v>Medium</v>
      </c>
      <c r="W513" t="s">
        <v>1011</v>
      </c>
      <c r="X513" t="str">
        <f t="shared" si="167"/>
        <v>C</v>
      </c>
      <c r="Y513" s="5">
        <v>385.08</v>
      </c>
      <c r="Z513" s="5">
        <v>893.19</v>
      </c>
      <c r="AA513" s="5">
        <f t="shared" si="168"/>
        <v>893.19</v>
      </c>
      <c r="AB513" s="7">
        <v>0.151</v>
      </c>
      <c r="AC513" s="7">
        <f t="shared" si="169"/>
        <v>0.151</v>
      </c>
      <c r="AD513" s="16">
        <f t="shared" si="170"/>
        <v>0</v>
      </c>
      <c r="AE513" s="16">
        <v>8</v>
      </c>
      <c r="AF513" s="5">
        <f t="shared" si="171"/>
        <v>6066.54648</v>
      </c>
      <c r="AG513">
        <f t="shared" si="172"/>
        <v>3080.64</v>
      </c>
      <c r="AH513" s="5">
        <f t="shared" si="173"/>
        <v>2985.9064800000001</v>
      </c>
      <c r="AI513" s="5">
        <f t="shared" si="174"/>
        <v>0.49219213762621666</v>
      </c>
      <c r="AJ513" s="5">
        <f t="shared" si="177"/>
        <v>10658251.74124001</v>
      </c>
      <c r="AK513" s="7">
        <f t="shared" si="175"/>
        <v>0.97373266325427554</v>
      </c>
      <c r="AL513" s="17">
        <f>MIN(AC513,'What-If Analysis'!$B$2)</f>
        <v>0.151</v>
      </c>
      <c r="AM513">
        <f>AE513*(1+'What-If Analysis'!$B$3)</f>
        <v>10.4</v>
      </c>
      <c r="AN513">
        <f>Y513*(1+'What-If Analysis'!$B$4)</f>
        <v>423.58800000000002</v>
      </c>
      <c r="AO513">
        <f t="shared" si="176"/>
        <v>7886.510424000001</v>
      </c>
    </row>
    <row r="514" spans="1:41" x14ac:dyDescent="0.3">
      <c r="A514" t="s">
        <v>321</v>
      </c>
      <c r="B514" s="3">
        <v>45795</v>
      </c>
      <c r="C514" s="3">
        <f t="shared" ref="C514:C577" si="179">IF(D514&lt;B514,D514,B514)</f>
        <v>45795</v>
      </c>
      <c r="D514" s="3">
        <v>45817</v>
      </c>
      <c r="E514" s="3">
        <f t="shared" ref="E514:E577" si="180">IF(D514&lt;B514,B514,D514)</f>
        <v>45817</v>
      </c>
      <c r="F514" s="16">
        <f t="shared" ref="F514:F577" si="181">E514-C514</f>
        <v>22</v>
      </c>
      <c r="G514" s="16">
        <f>IF(Data!F537&lt;=7,1,0)</f>
        <v>0</v>
      </c>
      <c r="H514" s="5" t="str">
        <f t="shared" ref="H514:H577" si="182">TEXT(C514,"MM-YYYY")</f>
        <v>05-2025</v>
      </c>
      <c r="I514" s="5" t="str">
        <f t="shared" ref="I514:I577" si="183">"Q"&amp;ROUNDUP(MONTH(H514)/3,0)&amp;"-"&amp;YEAR(H514)</f>
        <v>Q2-2025</v>
      </c>
      <c r="J514" s="3">
        <f t="shared" ref="J514:J577" si="184">_xlfn.MINIFS(C:C,M:M,M514)</f>
        <v>44939</v>
      </c>
      <c r="K514" s="5" t="str">
        <f t="shared" ref="K514:K577" si="185">TEXT(J514,"MM-YYYY")</f>
        <v>01-2023</v>
      </c>
      <c r="L514" t="s">
        <v>648</v>
      </c>
      <c r="M514" t="s">
        <v>660</v>
      </c>
      <c r="N514" t="s">
        <v>700</v>
      </c>
      <c r="O514" t="str">
        <f t="shared" ref="O514:O577" si="186">IF(N514="",_xlfn.XLOOKUP(M514,M:M,N:N),N514)</f>
        <v>New York</v>
      </c>
      <c r="P514" t="s">
        <v>704</v>
      </c>
      <c r="Q514" t="s">
        <v>707</v>
      </c>
      <c r="R514" t="str">
        <f t="shared" ref="R514:R577" si="187">IF(Q514="",_xlfn.XLOOKUP(M514,M:M,Q:Q),Q514)</f>
        <v>Retail</v>
      </c>
      <c r="S514" t="s">
        <v>722</v>
      </c>
      <c r="T514" t="str">
        <f t="shared" si="178"/>
        <v>H. Kim</v>
      </c>
      <c r="U514" t="s">
        <v>729</v>
      </c>
      <c r="V514" t="str">
        <f t="shared" ref="V514:V577" si="188">IF(AA514&lt;815.0987,"Low",IF(AA514&lt;1640.058,"Medium","High"))</f>
        <v>Low</v>
      </c>
      <c r="W514" t="s">
        <v>1041</v>
      </c>
      <c r="X514" t="str">
        <f t="shared" ref="X514:X577" si="189">IF(AK514&lt;=80%,"A",IF(AK514&lt;=95%,"B","C"))</f>
        <v>C</v>
      </c>
      <c r="Y514" s="5">
        <v>382.96</v>
      </c>
      <c r="Z514" s="5">
        <v>552.84</v>
      </c>
      <c r="AA514" s="5">
        <f t="shared" ref="AA514:AA577" si="190">ABS(Z514)</f>
        <v>552.84</v>
      </c>
      <c r="AB514" s="7">
        <v>0.17599999999999999</v>
      </c>
      <c r="AC514" s="7">
        <f t="shared" ref="AC514:AC577" si="191">MIN(AB514,30%)</f>
        <v>0.17599999999999999</v>
      </c>
      <c r="AD514" s="16">
        <f t="shared" ref="AD514:AD577" si="192">IF(AC514&gt;20%,1,0)</f>
        <v>0</v>
      </c>
      <c r="AE514" s="16">
        <v>8</v>
      </c>
      <c r="AF514" s="5">
        <f t="shared" ref="AF514:AF577" si="193">AA514*AE514*(1-AC514)</f>
        <v>3644.3212800000006</v>
      </c>
      <c r="AG514">
        <f t="shared" ref="AG514:AG577" si="194">Y514*AE514</f>
        <v>3063.68</v>
      </c>
      <c r="AH514" s="5">
        <f t="shared" ref="AH514:AH577" si="195">ABS(AF514-AG514)</f>
        <v>580.64128000000073</v>
      </c>
      <c r="AI514" s="5">
        <f t="shared" ref="AI514:AI577" si="196">IF(AF514=0,0,AH514/AF514)</f>
        <v>0.15932768693763483</v>
      </c>
      <c r="AJ514" s="5">
        <f t="shared" si="177"/>
        <v>10661896.06252001</v>
      </c>
      <c r="AK514" s="7">
        <f t="shared" ref="AK514:AK577" si="197">AJ514/SUM(AF:AF)</f>
        <v>0.97406560666299602</v>
      </c>
      <c r="AL514" s="17">
        <f>MIN(AC514,'What-If Analysis'!$B$2)</f>
        <v>0.17599999999999999</v>
      </c>
      <c r="AM514">
        <f>AE514*(1+'What-If Analysis'!$B$3)</f>
        <v>10.4</v>
      </c>
      <c r="AN514">
        <f>Y514*(1+'What-If Analysis'!$B$4)</f>
        <v>421.25600000000003</v>
      </c>
      <c r="AO514">
        <f t="shared" ref="AO514:AO577" si="198">AA514*AM514*(1-AL514)</f>
        <v>4737.6176640000012</v>
      </c>
    </row>
    <row r="515" spans="1:41" x14ac:dyDescent="0.3">
      <c r="A515" t="s">
        <v>392</v>
      </c>
      <c r="B515" s="3">
        <v>45664</v>
      </c>
      <c r="C515" s="3">
        <f t="shared" si="179"/>
        <v>45664</v>
      </c>
      <c r="D515" s="3">
        <v>45677</v>
      </c>
      <c r="E515" s="3">
        <f t="shared" si="180"/>
        <v>45677</v>
      </c>
      <c r="F515" s="16">
        <f t="shared" si="181"/>
        <v>13</v>
      </c>
      <c r="G515" s="16">
        <f>IF(Data!F456&lt;=7,1,0)</f>
        <v>0</v>
      </c>
      <c r="H515" s="5" t="str">
        <f t="shared" si="182"/>
        <v>01-2025</v>
      </c>
      <c r="I515" s="5" t="str">
        <f t="shared" si="183"/>
        <v>Q1-2025</v>
      </c>
      <c r="J515" s="3">
        <f t="shared" si="184"/>
        <v>44933</v>
      </c>
      <c r="K515" s="5" t="str">
        <f t="shared" si="185"/>
        <v>01-2023</v>
      </c>
      <c r="L515" t="s">
        <v>646</v>
      </c>
      <c r="M515" t="s">
        <v>661</v>
      </c>
      <c r="N515" t="s">
        <v>695</v>
      </c>
      <c r="O515" t="str">
        <f t="shared" si="186"/>
        <v>Cape Town</v>
      </c>
      <c r="P515" t="s">
        <v>701</v>
      </c>
      <c r="Q515" t="s">
        <v>711</v>
      </c>
      <c r="R515" t="str">
        <f t="shared" si="187"/>
        <v>Direct</v>
      </c>
      <c r="S515" t="s">
        <v>723</v>
      </c>
      <c r="T515" t="str">
        <f t="shared" si="178"/>
        <v>K. Singh</v>
      </c>
      <c r="U515" t="s">
        <v>729</v>
      </c>
      <c r="V515" t="str">
        <f t="shared" si="188"/>
        <v>Medium</v>
      </c>
      <c r="W515" t="s">
        <v>1112</v>
      </c>
      <c r="X515" t="str">
        <f t="shared" si="189"/>
        <v>C</v>
      </c>
      <c r="Y515" s="5">
        <v>432.13</v>
      </c>
      <c r="Z515" s="5">
        <v>1034.6600000000001</v>
      </c>
      <c r="AA515" s="5">
        <f t="shared" si="190"/>
        <v>1034.6600000000001</v>
      </c>
      <c r="AB515" s="7">
        <v>9.1999999999999998E-2</v>
      </c>
      <c r="AC515" s="7">
        <f t="shared" si="191"/>
        <v>9.1999999999999998E-2</v>
      </c>
      <c r="AD515" s="16">
        <f t="shared" si="192"/>
        <v>0</v>
      </c>
      <c r="AE515" s="16">
        <v>7</v>
      </c>
      <c r="AF515" s="5">
        <f t="shared" si="193"/>
        <v>6576.298960000001</v>
      </c>
      <c r="AG515">
        <f t="shared" si="194"/>
        <v>3024.91</v>
      </c>
      <c r="AH515" s="5">
        <f t="shared" si="195"/>
        <v>3551.3889600000011</v>
      </c>
      <c r="AI515" s="5">
        <f t="shared" si="196"/>
        <v>0.54002851476204794</v>
      </c>
      <c r="AJ515" s="5">
        <f t="shared" ref="AJ515:AJ578" si="199">AJ514+AF515</f>
        <v>10668472.361480011</v>
      </c>
      <c r="AK515" s="7">
        <f t="shared" si="197"/>
        <v>0.97466641411774024</v>
      </c>
      <c r="AL515" s="17">
        <f>MIN(AC515,'What-If Analysis'!$B$2)</f>
        <v>9.1999999999999998E-2</v>
      </c>
      <c r="AM515">
        <f>AE515*(1+'What-If Analysis'!$B$3)</f>
        <v>9.1</v>
      </c>
      <c r="AN515">
        <f>Y515*(1+'What-If Analysis'!$B$4)</f>
        <v>475.34300000000002</v>
      </c>
      <c r="AO515">
        <f t="shared" si="198"/>
        <v>8549.1886480000012</v>
      </c>
    </row>
    <row r="516" spans="1:41" x14ac:dyDescent="0.3">
      <c r="A516" t="s">
        <v>208</v>
      </c>
      <c r="B516" s="3">
        <v>45050</v>
      </c>
      <c r="C516" s="3">
        <f t="shared" si="179"/>
        <v>45050</v>
      </c>
      <c r="D516" s="3">
        <v>45072</v>
      </c>
      <c r="E516" s="3">
        <f t="shared" si="180"/>
        <v>45072</v>
      </c>
      <c r="F516" s="16">
        <f t="shared" si="181"/>
        <v>22</v>
      </c>
      <c r="G516" s="16">
        <f>IF(Data!F531&lt;=7,1,0)</f>
        <v>0</v>
      </c>
      <c r="H516" s="5" t="str">
        <f t="shared" si="182"/>
        <v>05-2023</v>
      </c>
      <c r="I516" s="5" t="str">
        <f t="shared" si="183"/>
        <v>Q2-2023</v>
      </c>
      <c r="J516" s="3">
        <f t="shared" si="184"/>
        <v>44939</v>
      </c>
      <c r="K516" s="5" t="str">
        <f t="shared" si="185"/>
        <v>01-2023</v>
      </c>
      <c r="L516" t="s">
        <v>648</v>
      </c>
      <c r="M516" t="s">
        <v>660</v>
      </c>
      <c r="N516" t="s">
        <v>686</v>
      </c>
      <c r="O516" t="str">
        <f t="shared" si="186"/>
        <v>San Francisco</v>
      </c>
      <c r="P516" t="s">
        <v>706</v>
      </c>
      <c r="Q516" t="s">
        <v>708</v>
      </c>
      <c r="R516" t="str">
        <f t="shared" si="187"/>
        <v>Online</v>
      </c>
      <c r="S516" t="s">
        <v>713</v>
      </c>
      <c r="T516" t="str">
        <f t="shared" si="178"/>
        <v>J. Njeri</v>
      </c>
      <c r="U516" t="s">
        <v>729</v>
      </c>
      <c r="V516" t="str">
        <f t="shared" si="188"/>
        <v>Low</v>
      </c>
      <c r="W516" t="s">
        <v>928</v>
      </c>
      <c r="X516" t="str">
        <f t="shared" si="189"/>
        <v>C</v>
      </c>
      <c r="Y516" s="5">
        <v>249.71</v>
      </c>
      <c r="Z516" s="5">
        <v>361.33</v>
      </c>
      <c r="AA516" s="5">
        <f t="shared" si="190"/>
        <v>361.33</v>
      </c>
      <c r="AB516" s="7">
        <v>9.4E-2</v>
      </c>
      <c r="AC516" s="7">
        <f t="shared" si="191"/>
        <v>9.4E-2</v>
      </c>
      <c r="AD516" s="16">
        <f t="shared" si="192"/>
        <v>0</v>
      </c>
      <c r="AE516" s="16">
        <v>12</v>
      </c>
      <c r="AF516" s="5">
        <f t="shared" si="193"/>
        <v>3928.3797600000003</v>
      </c>
      <c r="AG516">
        <f t="shared" si="194"/>
        <v>2996.52</v>
      </c>
      <c r="AH516" s="5">
        <f t="shared" si="195"/>
        <v>931.85976000000028</v>
      </c>
      <c r="AI516" s="5">
        <f t="shared" si="196"/>
        <v>0.23721223937881206</v>
      </c>
      <c r="AJ516" s="5">
        <f t="shared" si="199"/>
        <v>10672400.741240012</v>
      </c>
      <c r="AK516" s="7">
        <f t="shared" si="197"/>
        <v>0.97502530897018391</v>
      </c>
      <c r="AL516" s="17">
        <f>MIN(AC516,'What-If Analysis'!$B$2)</f>
        <v>9.4E-2</v>
      </c>
      <c r="AM516">
        <f>AE516*(1+'What-If Analysis'!$B$3)</f>
        <v>15.600000000000001</v>
      </c>
      <c r="AN516">
        <f>Y516*(1+'What-If Analysis'!$B$4)</f>
        <v>274.68100000000004</v>
      </c>
      <c r="AO516">
        <f t="shared" si="198"/>
        <v>5106.893688000001</v>
      </c>
    </row>
    <row r="517" spans="1:41" x14ac:dyDescent="0.3">
      <c r="A517" t="s">
        <v>505</v>
      </c>
      <c r="B517" s="3">
        <v>45523</v>
      </c>
      <c r="C517" s="3">
        <f t="shared" si="179"/>
        <v>45523</v>
      </c>
      <c r="D517" s="3">
        <v>45542</v>
      </c>
      <c r="E517" s="3">
        <f t="shared" si="180"/>
        <v>45542</v>
      </c>
      <c r="F517" s="16">
        <f t="shared" si="181"/>
        <v>19</v>
      </c>
      <c r="G517" s="16">
        <f>IF(Data!F454&lt;=7,1,0)</f>
        <v>1</v>
      </c>
      <c r="H517" s="5" t="str">
        <f t="shared" si="182"/>
        <v>08-2024</v>
      </c>
      <c r="I517" s="5" t="str">
        <f t="shared" si="183"/>
        <v>Q3-2024</v>
      </c>
      <c r="J517" s="3">
        <f t="shared" si="184"/>
        <v>44936</v>
      </c>
      <c r="K517" s="5" t="str">
        <f t="shared" si="185"/>
        <v>01-2023</v>
      </c>
      <c r="L517" t="s">
        <v>649</v>
      </c>
      <c r="M517" t="s">
        <v>657</v>
      </c>
      <c r="N517" t="s">
        <v>679</v>
      </c>
      <c r="O517" t="str">
        <f t="shared" si="186"/>
        <v>Lyon</v>
      </c>
      <c r="P517" t="s">
        <v>701</v>
      </c>
      <c r="Q517" t="s">
        <v>711</v>
      </c>
      <c r="R517" t="str">
        <f t="shared" si="187"/>
        <v>Direct</v>
      </c>
      <c r="S517" t="s">
        <v>713</v>
      </c>
      <c r="T517" t="str">
        <f t="shared" si="178"/>
        <v>J. Njeri</v>
      </c>
      <c r="U517" t="s">
        <v>727</v>
      </c>
      <c r="V517" t="str">
        <f t="shared" si="188"/>
        <v>Low</v>
      </c>
      <c r="W517" t="s">
        <v>1224</v>
      </c>
      <c r="X517" t="str">
        <f t="shared" si="189"/>
        <v>C</v>
      </c>
      <c r="Y517" s="5">
        <v>297.58999999999997</v>
      </c>
      <c r="Z517" s="5">
        <v>666.41</v>
      </c>
      <c r="AA517" s="5">
        <f t="shared" si="190"/>
        <v>666.41</v>
      </c>
      <c r="AB517" s="7">
        <v>0</v>
      </c>
      <c r="AC517" s="7">
        <f t="shared" si="191"/>
        <v>0</v>
      </c>
      <c r="AD517" s="16">
        <f t="shared" si="192"/>
        <v>0</v>
      </c>
      <c r="AE517" s="16">
        <v>10</v>
      </c>
      <c r="AF517" s="5">
        <f t="shared" si="193"/>
        <v>6664.0999999999995</v>
      </c>
      <c r="AG517">
        <f t="shared" si="194"/>
        <v>2975.8999999999996</v>
      </c>
      <c r="AH517" s="5">
        <f t="shared" si="195"/>
        <v>3688.2</v>
      </c>
      <c r="AI517" s="5">
        <f t="shared" si="196"/>
        <v>0.55344307558409989</v>
      </c>
      <c r="AJ517" s="5">
        <f t="shared" si="199"/>
        <v>10679064.841240011</v>
      </c>
      <c r="AK517" s="7">
        <f t="shared" si="197"/>
        <v>0.97563413788497533</v>
      </c>
      <c r="AL517" s="17">
        <f>MIN(AC517,'What-If Analysis'!$B$2)</f>
        <v>0</v>
      </c>
      <c r="AM517">
        <f>AE517*(1+'What-If Analysis'!$B$3)</f>
        <v>13</v>
      </c>
      <c r="AN517">
        <f>Y517*(1+'What-If Analysis'!$B$4)</f>
        <v>327.34899999999999</v>
      </c>
      <c r="AO517">
        <f t="shared" si="198"/>
        <v>8663.33</v>
      </c>
    </row>
    <row r="518" spans="1:41" x14ac:dyDescent="0.3">
      <c r="A518" t="s">
        <v>384</v>
      </c>
      <c r="B518" s="3">
        <v>45286</v>
      </c>
      <c r="C518" s="3">
        <f t="shared" si="179"/>
        <v>45286</v>
      </c>
      <c r="D518" s="3">
        <v>45294</v>
      </c>
      <c r="E518" s="3">
        <f t="shared" si="180"/>
        <v>45294</v>
      </c>
      <c r="F518" s="16">
        <f t="shared" si="181"/>
        <v>8</v>
      </c>
      <c r="G518" s="16">
        <f>IF(Data!F523&lt;=7,1,0)</f>
        <v>1</v>
      </c>
      <c r="H518" s="5" t="str">
        <f t="shared" si="182"/>
        <v>12-2023</v>
      </c>
      <c r="I518" s="5" t="str">
        <f t="shared" si="183"/>
        <v>Q4-2023</v>
      </c>
      <c r="J518" s="3">
        <f t="shared" si="184"/>
        <v>44936</v>
      </c>
      <c r="K518" s="5" t="str">
        <f t="shared" si="185"/>
        <v>01-2023</v>
      </c>
      <c r="L518" t="s">
        <v>649</v>
      </c>
      <c r="M518" t="s">
        <v>657</v>
      </c>
      <c r="N518" t="s">
        <v>679</v>
      </c>
      <c r="O518" t="str">
        <f t="shared" si="186"/>
        <v>Lyon</v>
      </c>
      <c r="P518" t="s">
        <v>705</v>
      </c>
      <c r="Q518" t="s">
        <v>707</v>
      </c>
      <c r="R518" t="str">
        <f t="shared" si="187"/>
        <v>Retail</v>
      </c>
      <c r="S518" t="s">
        <v>724</v>
      </c>
      <c r="T518" t="str">
        <f t="shared" si="178"/>
        <v>M. Rossi</v>
      </c>
      <c r="U518" t="s">
        <v>731</v>
      </c>
      <c r="V518" t="str">
        <f t="shared" si="188"/>
        <v>Low</v>
      </c>
      <c r="W518" t="s">
        <v>1104</v>
      </c>
      <c r="X518" t="str">
        <f t="shared" si="189"/>
        <v>C</v>
      </c>
      <c r="Y518" s="5">
        <v>492.75</v>
      </c>
      <c r="Z518" s="5">
        <v>731.29</v>
      </c>
      <c r="AA518" s="5">
        <f t="shared" si="190"/>
        <v>731.29</v>
      </c>
      <c r="AB518" s="7">
        <v>5.8000000000000003E-2</v>
      </c>
      <c r="AC518" s="7">
        <f t="shared" si="191"/>
        <v>5.8000000000000003E-2</v>
      </c>
      <c r="AD518" s="16">
        <f t="shared" si="192"/>
        <v>0</v>
      </c>
      <c r="AE518" s="16">
        <v>6</v>
      </c>
      <c r="AF518" s="5">
        <f t="shared" si="193"/>
        <v>4133.25108</v>
      </c>
      <c r="AG518">
        <f t="shared" si="194"/>
        <v>2956.5</v>
      </c>
      <c r="AH518" s="5">
        <f t="shared" si="195"/>
        <v>1176.75108</v>
      </c>
      <c r="AI518" s="5">
        <f t="shared" si="196"/>
        <v>0.28470350753528384</v>
      </c>
      <c r="AJ518" s="5">
        <f t="shared" si="199"/>
        <v>10683198.092320012</v>
      </c>
      <c r="AK518" s="7">
        <f t="shared" si="197"/>
        <v>0.97601174968095639</v>
      </c>
      <c r="AL518" s="17">
        <f>MIN(AC518,'What-If Analysis'!$B$2)</f>
        <v>5.8000000000000003E-2</v>
      </c>
      <c r="AM518">
        <f>AE518*(1+'What-If Analysis'!$B$3)</f>
        <v>7.8000000000000007</v>
      </c>
      <c r="AN518">
        <f>Y518*(1+'What-If Analysis'!$B$4)</f>
        <v>542.02500000000009</v>
      </c>
      <c r="AO518">
        <f t="shared" si="198"/>
        <v>5373.226404</v>
      </c>
    </row>
    <row r="519" spans="1:41" x14ac:dyDescent="0.3">
      <c r="A519" t="s">
        <v>457</v>
      </c>
      <c r="B519" s="3">
        <v>45526</v>
      </c>
      <c r="C519" s="3">
        <f t="shared" si="179"/>
        <v>45526</v>
      </c>
      <c r="D519" s="3">
        <v>45539</v>
      </c>
      <c r="E519" s="3">
        <f t="shared" si="180"/>
        <v>45539</v>
      </c>
      <c r="F519" s="16">
        <f t="shared" si="181"/>
        <v>13</v>
      </c>
      <c r="G519" s="16">
        <f>IF(Data!F467&lt;=7,1,0)</f>
        <v>0</v>
      </c>
      <c r="H519" s="5" t="str">
        <f t="shared" si="182"/>
        <v>08-2024</v>
      </c>
      <c r="I519" s="5" t="str">
        <f t="shared" si="183"/>
        <v>Q3-2024</v>
      </c>
      <c r="J519" s="3">
        <f t="shared" si="184"/>
        <v>44947</v>
      </c>
      <c r="K519" s="5" t="str">
        <f t="shared" si="185"/>
        <v>01-2023</v>
      </c>
      <c r="L519" t="s">
        <v>649</v>
      </c>
      <c r="M519" t="s">
        <v>656</v>
      </c>
      <c r="N519" t="s">
        <v>698</v>
      </c>
      <c r="O519" t="str">
        <f t="shared" si="186"/>
        <v>Frankfurt</v>
      </c>
      <c r="P519" t="s">
        <v>703</v>
      </c>
      <c r="Q519" t="s">
        <v>707</v>
      </c>
      <c r="R519" t="str">
        <f t="shared" si="187"/>
        <v>Retail</v>
      </c>
      <c r="S519" t="s">
        <v>716</v>
      </c>
      <c r="T519" t="str">
        <f t="shared" si="178"/>
        <v>L. Okafor</v>
      </c>
      <c r="U519" t="s">
        <v>728</v>
      </c>
      <c r="V519" t="str">
        <f t="shared" si="188"/>
        <v>Low</v>
      </c>
      <c r="W519" t="s">
        <v>1176</v>
      </c>
      <c r="X519" t="str">
        <f t="shared" si="189"/>
        <v>C</v>
      </c>
      <c r="Y519" s="5">
        <v>90.04</v>
      </c>
      <c r="Z519" s="5">
        <v>194.62</v>
      </c>
      <c r="AA519" s="5">
        <f t="shared" si="190"/>
        <v>194.62</v>
      </c>
      <c r="AB519" s="7">
        <v>4.2999999999999997E-2</v>
      </c>
      <c r="AC519" s="7">
        <f t="shared" si="191"/>
        <v>4.2999999999999997E-2</v>
      </c>
      <c r="AD519" s="16">
        <f t="shared" si="192"/>
        <v>0</v>
      </c>
      <c r="AE519" s="16">
        <v>32</v>
      </c>
      <c r="AF519" s="5">
        <f t="shared" si="193"/>
        <v>5960.04288</v>
      </c>
      <c r="AG519">
        <f t="shared" si="194"/>
        <v>2881.28</v>
      </c>
      <c r="AH519" s="5">
        <f t="shared" si="195"/>
        <v>3078.7628799999998</v>
      </c>
      <c r="AI519" s="5">
        <f t="shared" si="196"/>
        <v>0.51656723650954672</v>
      </c>
      <c r="AJ519" s="5">
        <f t="shared" si="199"/>
        <v>10689158.135200012</v>
      </c>
      <c r="AK519" s="7">
        <f t="shared" si="197"/>
        <v>0.97655625628180887</v>
      </c>
      <c r="AL519" s="17">
        <f>MIN(AC519,'What-If Analysis'!$B$2)</f>
        <v>4.2999999999999997E-2</v>
      </c>
      <c r="AM519">
        <f>AE519*(1+'What-If Analysis'!$B$3)</f>
        <v>41.6</v>
      </c>
      <c r="AN519">
        <f>Y519*(1+'What-If Analysis'!$B$4)</f>
        <v>99.044000000000011</v>
      </c>
      <c r="AO519">
        <f t="shared" si="198"/>
        <v>7748.0557440000002</v>
      </c>
    </row>
    <row r="520" spans="1:41" x14ac:dyDescent="0.3">
      <c r="A520" t="s">
        <v>268</v>
      </c>
      <c r="B520" s="3">
        <v>45592</v>
      </c>
      <c r="C520" s="3">
        <f t="shared" si="179"/>
        <v>45592</v>
      </c>
      <c r="D520" s="3">
        <v>45616</v>
      </c>
      <c r="E520" s="3">
        <f t="shared" si="180"/>
        <v>45616</v>
      </c>
      <c r="F520" s="16">
        <f t="shared" si="181"/>
        <v>24</v>
      </c>
      <c r="G520" s="16">
        <f>IF(Data!F458&lt;=7,1,0)</f>
        <v>0</v>
      </c>
      <c r="H520" s="5" t="str">
        <f t="shared" si="182"/>
        <v>10-2024</v>
      </c>
      <c r="I520" s="5" t="str">
        <f t="shared" si="183"/>
        <v>Q4-2024</v>
      </c>
      <c r="J520" s="3">
        <f t="shared" si="184"/>
        <v>44988</v>
      </c>
      <c r="K520" s="5" t="str">
        <f t="shared" si="185"/>
        <v>03-2023</v>
      </c>
      <c r="L520" t="s">
        <v>647</v>
      </c>
      <c r="M520" t="s">
        <v>652</v>
      </c>
      <c r="N520" t="s">
        <v>694</v>
      </c>
      <c r="O520" t="str">
        <f t="shared" si="186"/>
        <v>Nagoya</v>
      </c>
      <c r="P520" t="s">
        <v>703</v>
      </c>
      <c r="Q520" t="s">
        <v>708</v>
      </c>
      <c r="R520" t="str">
        <f t="shared" si="187"/>
        <v>Online</v>
      </c>
      <c r="S520" t="s">
        <v>722</v>
      </c>
      <c r="T520" t="str">
        <f t="shared" si="178"/>
        <v>H. Kim</v>
      </c>
      <c r="U520" t="s">
        <v>732</v>
      </c>
      <c r="V520" t="str">
        <f t="shared" si="188"/>
        <v>Low</v>
      </c>
      <c r="W520" t="s">
        <v>988</v>
      </c>
      <c r="X520" t="str">
        <f t="shared" si="189"/>
        <v>C</v>
      </c>
      <c r="Y520" s="5">
        <v>317.25</v>
      </c>
      <c r="Z520" s="5">
        <v>758.92</v>
      </c>
      <c r="AA520" s="5">
        <f t="shared" si="190"/>
        <v>758.92</v>
      </c>
      <c r="AB520" s="7">
        <v>5.2999999999999999E-2</v>
      </c>
      <c r="AC520" s="7">
        <f t="shared" si="191"/>
        <v>5.2999999999999999E-2</v>
      </c>
      <c r="AD520" s="16">
        <f t="shared" si="192"/>
        <v>0</v>
      </c>
      <c r="AE520" s="16">
        <v>9</v>
      </c>
      <c r="AF520" s="5">
        <f t="shared" si="193"/>
        <v>6468.2751599999992</v>
      </c>
      <c r="AG520">
        <f t="shared" si="194"/>
        <v>2855.25</v>
      </c>
      <c r="AH520" s="5">
        <f t="shared" si="195"/>
        <v>3613.0251599999992</v>
      </c>
      <c r="AI520" s="5">
        <f t="shared" si="196"/>
        <v>0.5585762928489888</v>
      </c>
      <c r="AJ520" s="5">
        <f t="shared" si="199"/>
        <v>10695626.410360012</v>
      </c>
      <c r="AK520" s="7">
        <f t="shared" si="197"/>
        <v>0.97714719473504852</v>
      </c>
      <c r="AL520" s="17">
        <f>MIN(AC520,'What-If Analysis'!$B$2)</f>
        <v>5.2999999999999999E-2</v>
      </c>
      <c r="AM520">
        <f>AE520*(1+'What-If Analysis'!$B$3)</f>
        <v>11.700000000000001</v>
      </c>
      <c r="AN520">
        <f>Y520*(1+'What-If Analysis'!$B$4)</f>
        <v>348.97500000000002</v>
      </c>
      <c r="AO520">
        <f t="shared" si="198"/>
        <v>8408.7577079999992</v>
      </c>
    </row>
    <row r="521" spans="1:41" x14ac:dyDescent="0.3">
      <c r="A521" t="s">
        <v>618</v>
      </c>
      <c r="B521" s="3">
        <v>45026</v>
      </c>
      <c r="C521" s="3">
        <f t="shared" si="179"/>
        <v>45026</v>
      </c>
      <c r="D521" s="3">
        <v>45041</v>
      </c>
      <c r="E521" s="3">
        <f t="shared" si="180"/>
        <v>45041</v>
      </c>
      <c r="F521" s="16">
        <f t="shared" si="181"/>
        <v>15</v>
      </c>
      <c r="G521" s="16">
        <f>IF(Data!F479&lt;=7,1,0)</f>
        <v>1</v>
      </c>
      <c r="H521" s="5" t="str">
        <f t="shared" si="182"/>
        <v>04-2023</v>
      </c>
      <c r="I521" s="5" t="str">
        <f t="shared" si="183"/>
        <v>Q2-2023</v>
      </c>
      <c r="J521" s="3">
        <f t="shared" si="184"/>
        <v>44945</v>
      </c>
      <c r="K521" s="5" t="str">
        <f t="shared" si="185"/>
        <v>01-2023</v>
      </c>
      <c r="L521" t="s">
        <v>649</v>
      </c>
      <c r="M521" t="s">
        <v>658</v>
      </c>
      <c r="N521" t="s">
        <v>683</v>
      </c>
      <c r="O521" t="str">
        <f t="shared" si="186"/>
        <v>London</v>
      </c>
      <c r="P521" t="s">
        <v>705</v>
      </c>
      <c r="Q521" t="s">
        <v>707</v>
      </c>
      <c r="R521" t="str">
        <f t="shared" si="187"/>
        <v>Retail</v>
      </c>
      <c r="S521" t="s">
        <v>726</v>
      </c>
      <c r="T521" t="str">
        <f t="shared" si="178"/>
        <v>D. Smith</v>
      </c>
      <c r="U521" t="s">
        <v>728</v>
      </c>
      <c r="V521" t="str">
        <f t="shared" si="188"/>
        <v>Medium</v>
      </c>
      <c r="W521" t="s">
        <v>1336</v>
      </c>
      <c r="X521" t="str">
        <f t="shared" si="189"/>
        <v>C</v>
      </c>
      <c r="Y521" s="5">
        <v>405.66</v>
      </c>
      <c r="Z521" s="5">
        <v>962.51</v>
      </c>
      <c r="AA521" s="5">
        <f t="shared" si="190"/>
        <v>962.51</v>
      </c>
      <c r="AB521" s="7">
        <v>0.19</v>
      </c>
      <c r="AC521" s="7">
        <f t="shared" si="191"/>
        <v>0.19</v>
      </c>
      <c r="AD521" s="16">
        <f t="shared" si="192"/>
        <v>0</v>
      </c>
      <c r="AE521" s="16">
        <v>7</v>
      </c>
      <c r="AF521" s="5">
        <f t="shared" si="193"/>
        <v>5457.4317000000001</v>
      </c>
      <c r="AG521">
        <f t="shared" si="194"/>
        <v>2839.6200000000003</v>
      </c>
      <c r="AH521" s="5">
        <f t="shared" si="195"/>
        <v>2617.8116999999997</v>
      </c>
      <c r="AI521" s="5">
        <f t="shared" si="196"/>
        <v>0.47967832561239376</v>
      </c>
      <c r="AJ521" s="5">
        <f t="shared" si="199"/>
        <v>10701083.842060013</v>
      </c>
      <c r="AK521" s="7">
        <f t="shared" si="197"/>
        <v>0.97764578302445893</v>
      </c>
      <c r="AL521" s="17">
        <f>MIN(AC521,'What-If Analysis'!$B$2)</f>
        <v>0.19</v>
      </c>
      <c r="AM521">
        <f>AE521*(1+'What-If Analysis'!$B$3)</f>
        <v>9.1</v>
      </c>
      <c r="AN521">
        <f>Y521*(1+'What-If Analysis'!$B$4)</f>
        <v>446.22600000000006</v>
      </c>
      <c r="AO521">
        <f t="shared" si="198"/>
        <v>7094.6612100000011</v>
      </c>
    </row>
    <row r="522" spans="1:41" x14ac:dyDescent="0.3">
      <c r="A522" t="s">
        <v>54</v>
      </c>
      <c r="B522" s="3">
        <v>45094</v>
      </c>
      <c r="C522" s="3">
        <f t="shared" si="179"/>
        <v>45094</v>
      </c>
      <c r="D522" s="3">
        <v>45101</v>
      </c>
      <c r="E522" s="3">
        <f t="shared" si="180"/>
        <v>45101</v>
      </c>
      <c r="F522" s="16">
        <f t="shared" si="181"/>
        <v>7</v>
      </c>
      <c r="G522" s="16">
        <f>IF(Data!F540&lt;=7,1,0)</f>
        <v>0</v>
      </c>
      <c r="H522" s="5" t="str">
        <f t="shared" si="182"/>
        <v>06-2023</v>
      </c>
      <c r="I522" s="5" t="str">
        <f t="shared" si="183"/>
        <v>Q2-2023</v>
      </c>
      <c r="J522" s="3">
        <f t="shared" si="184"/>
        <v>44939</v>
      </c>
      <c r="K522" s="5" t="str">
        <f t="shared" si="185"/>
        <v>01-2023</v>
      </c>
      <c r="L522" t="s">
        <v>648</v>
      </c>
      <c r="M522" t="s">
        <v>660</v>
      </c>
      <c r="N522" t="s">
        <v>686</v>
      </c>
      <c r="O522" t="str">
        <f t="shared" si="186"/>
        <v>San Francisco</v>
      </c>
      <c r="P522" t="s">
        <v>701</v>
      </c>
      <c r="Q522" t="s">
        <v>707</v>
      </c>
      <c r="R522" t="str">
        <f t="shared" si="187"/>
        <v>Retail</v>
      </c>
      <c r="S522" t="s">
        <v>714</v>
      </c>
      <c r="T522" t="str">
        <f t="shared" si="178"/>
        <v>I. Johnson</v>
      </c>
      <c r="U522" t="s">
        <v>728</v>
      </c>
      <c r="V522" t="str">
        <f t="shared" si="188"/>
        <v>Low</v>
      </c>
      <c r="W522" t="s">
        <v>773</v>
      </c>
      <c r="X522" t="str">
        <f t="shared" si="189"/>
        <v>C</v>
      </c>
      <c r="Y522" s="5">
        <v>313.99</v>
      </c>
      <c r="Z522" s="5">
        <v>454.42</v>
      </c>
      <c r="AA522" s="5">
        <f t="shared" si="190"/>
        <v>454.42</v>
      </c>
      <c r="AB522" s="7">
        <v>0.129</v>
      </c>
      <c r="AC522" s="7">
        <f t="shared" si="191"/>
        <v>0.129</v>
      </c>
      <c r="AD522" s="16">
        <f t="shared" si="192"/>
        <v>0</v>
      </c>
      <c r="AE522" s="16">
        <v>9</v>
      </c>
      <c r="AF522" s="5">
        <f t="shared" si="193"/>
        <v>3562.1983800000003</v>
      </c>
      <c r="AG522">
        <f t="shared" si="194"/>
        <v>2825.91</v>
      </c>
      <c r="AH522" s="5">
        <f t="shared" si="195"/>
        <v>736.28838000000042</v>
      </c>
      <c r="AI522" s="5">
        <f t="shared" si="196"/>
        <v>0.20669493988147858</v>
      </c>
      <c r="AJ522" s="5">
        <f t="shared" si="199"/>
        <v>10704646.040440014</v>
      </c>
      <c r="AK522" s="7">
        <f t="shared" si="197"/>
        <v>0.97797122372522383</v>
      </c>
      <c r="AL522" s="17">
        <f>MIN(AC522,'What-If Analysis'!$B$2)</f>
        <v>0.129</v>
      </c>
      <c r="AM522">
        <f>AE522*(1+'What-If Analysis'!$B$3)</f>
        <v>11.700000000000001</v>
      </c>
      <c r="AN522">
        <f>Y522*(1+'What-If Analysis'!$B$4)</f>
        <v>345.38900000000001</v>
      </c>
      <c r="AO522">
        <f t="shared" si="198"/>
        <v>4630.8578940000007</v>
      </c>
    </row>
    <row r="523" spans="1:41" x14ac:dyDescent="0.3">
      <c r="A523" t="s">
        <v>318</v>
      </c>
      <c r="B523" s="3">
        <v>45462</v>
      </c>
      <c r="C523" s="3">
        <f t="shared" si="179"/>
        <v>45462</v>
      </c>
      <c r="D523" s="3">
        <v>45463</v>
      </c>
      <c r="E523" s="3">
        <f t="shared" si="180"/>
        <v>45463</v>
      </c>
      <c r="F523" s="16">
        <f t="shared" si="181"/>
        <v>1</v>
      </c>
      <c r="G523" s="16">
        <f>IF(Data!F468&lt;=7,1,0)</f>
        <v>0</v>
      </c>
      <c r="H523" s="5" t="str">
        <f t="shared" si="182"/>
        <v>06-2024</v>
      </c>
      <c r="I523" s="5" t="str">
        <f t="shared" si="183"/>
        <v>Q2-2024</v>
      </c>
      <c r="J523" s="3">
        <f t="shared" si="184"/>
        <v>44946</v>
      </c>
      <c r="K523" s="5" t="str">
        <f t="shared" si="185"/>
        <v>01-2023</v>
      </c>
      <c r="L523" t="s">
        <v>646</v>
      </c>
      <c r="M523" t="s">
        <v>650</v>
      </c>
      <c r="N523" t="s">
        <v>662</v>
      </c>
      <c r="O523" t="str">
        <f t="shared" si="186"/>
        <v>Kisumu</v>
      </c>
      <c r="P523" t="s">
        <v>705</v>
      </c>
      <c r="Q523" t="s">
        <v>711</v>
      </c>
      <c r="R523" t="str">
        <f t="shared" si="187"/>
        <v>Direct</v>
      </c>
      <c r="S523" t="s">
        <v>713</v>
      </c>
      <c r="T523" t="str">
        <f t="shared" si="178"/>
        <v>J. Njeri</v>
      </c>
      <c r="U523" t="s">
        <v>731</v>
      </c>
      <c r="V523" t="str">
        <f t="shared" si="188"/>
        <v>Low</v>
      </c>
      <c r="W523" t="s">
        <v>1038</v>
      </c>
      <c r="X523" t="str">
        <f t="shared" si="189"/>
        <v>C</v>
      </c>
      <c r="Y523" s="5">
        <v>231.63</v>
      </c>
      <c r="Z523" s="5">
        <v>537.39</v>
      </c>
      <c r="AA523" s="5">
        <f t="shared" si="190"/>
        <v>537.39</v>
      </c>
      <c r="AB523" s="7">
        <v>0.08</v>
      </c>
      <c r="AC523" s="7">
        <f t="shared" si="191"/>
        <v>0.08</v>
      </c>
      <c r="AD523" s="16">
        <f t="shared" si="192"/>
        <v>0</v>
      </c>
      <c r="AE523" s="16">
        <v>12</v>
      </c>
      <c r="AF523" s="5">
        <f t="shared" si="193"/>
        <v>5932.7856000000002</v>
      </c>
      <c r="AG523">
        <f t="shared" si="194"/>
        <v>2779.56</v>
      </c>
      <c r="AH523" s="5">
        <f t="shared" si="195"/>
        <v>3153.2256000000002</v>
      </c>
      <c r="AI523" s="5">
        <f t="shared" si="196"/>
        <v>0.53149158129024587</v>
      </c>
      <c r="AJ523" s="5">
        <f t="shared" si="199"/>
        <v>10710578.826040013</v>
      </c>
      <c r="AK523" s="7">
        <f t="shared" si="197"/>
        <v>0.97851324011431429</v>
      </c>
      <c r="AL523" s="17">
        <f>MIN(AC523,'What-If Analysis'!$B$2)</f>
        <v>0.08</v>
      </c>
      <c r="AM523">
        <f>AE523*(1+'What-If Analysis'!$B$3)</f>
        <v>15.600000000000001</v>
      </c>
      <c r="AN523">
        <f>Y523*(1+'What-If Analysis'!$B$4)</f>
        <v>254.79300000000001</v>
      </c>
      <c r="AO523">
        <f t="shared" si="198"/>
        <v>7712.6212800000003</v>
      </c>
    </row>
    <row r="524" spans="1:41" x14ac:dyDescent="0.3">
      <c r="A524" t="s">
        <v>450</v>
      </c>
      <c r="B524" s="3">
        <v>45650</v>
      </c>
      <c r="C524" s="3">
        <f t="shared" si="179"/>
        <v>45650</v>
      </c>
      <c r="D524" s="3">
        <v>45670</v>
      </c>
      <c r="E524" s="3">
        <f t="shared" si="180"/>
        <v>45670</v>
      </c>
      <c r="F524" s="16">
        <f t="shared" si="181"/>
        <v>20</v>
      </c>
      <c r="G524" s="16">
        <f>IF(Data!F476&lt;=7,1,0)</f>
        <v>0</v>
      </c>
      <c r="H524" s="5" t="str">
        <f t="shared" si="182"/>
        <v>12-2024</v>
      </c>
      <c r="I524" s="5" t="str">
        <f t="shared" si="183"/>
        <v>Q4-2024</v>
      </c>
      <c r="J524" s="3">
        <f t="shared" si="184"/>
        <v>44955</v>
      </c>
      <c r="K524" s="5" t="str">
        <f t="shared" si="185"/>
        <v>01-2023</v>
      </c>
      <c r="L524" t="s">
        <v>647</v>
      </c>
      <c r="M524" t="s">
        <v>654</v>
      </c>
      <c r="N524" t="s">
        <v>668</v>
      </c>
      <c r="O524" t="str">
        <f t="shared" si="186"/>
        <v>Bengaluru</v>
      </c>
      <c r="P524" t="s">
        <v>701</v>
      </c>
      <c r="Q524" t="s">
        <v>709</v>
      </c>
      <c r="R524" t="str">
        <f t="shared" si="187"/>
        <v>Marketplace</v>
      </c>
      <c r="S524" t="s">
        <v>726</v>
      </c>
      <c r="T524" t="str">
        <f t="shared" si="178"/>
        <v>D. Smith</v>
      </c>
      <c r="U524" t="s">
        <v>729</v>
      </c>
      <c r="V524" t="str">
        <f t="shared" si="188"/>
        <v>Low</v>
      </c>
      <c r="W524" t="s">
        <v>1169</v>
      </c>
      <c r="X524" t="str">
        <f t="shared" si="189"/>
        <v>C</v>
      </c>
      <c r="Y524" s="5">
        <v>126.15</v>
      </c>
      <c r="Z524" s="5">
        <v>284.23</v>
      </c>
      <c r="AA524" s="5">
        <f t="shared" si="190"/>
        <v>284.23</v>
      </c>
      <c r="AB524" s="7">
        <v>0.113</v>
      </c>
      <c r="AC524" s="7">
        <f t="shared" si="191"/>
        <v>0.113</v>
      </c>
      <c r="AD524" s="16">
        <f t="shared" si="192"/>
        <v>0</v>
      </c>
      <c r="AE524" s="16">
        <v>22</v>
      </c>
      <c r="AF524" s="5">
        <f t="shared" si="193"/>
        <v>5546.4642200000008</v>
      </c>
      <c r="AG524">
        <f t="shared" si="194"/>
        <v>2775.3</v>
      </c>
      <c r="AH524" s="5">
        <f t="shared" si="195"/>
        <v>2771.1642200000006</v>
      </c>
      <c r="AI524" s="5">
        <f t="shared" si="196"/>
        <v>0.49962716968541088</v>
      </c>
      <c r="AJ524" s="5">
        <f t="shared" si="199"/>
        <v>10716125.290260013</v>
      </c>
      <c r="AK524" s="7">
        <f t="shared" si="197"/>
        <v>0.97901996237118205</v>
      </c>
      <c r="AL524" s="17">
        <f>MIN(AC524,'What-If Analysis'!$B$2)</f>
        <v>0.113</v>
      </c>
      <c r="AM524">
        <f>AE524*(1+'What-If Analysis'!$B$3)</f>
        <v>28.6</v>
      </c>
      <c r="AN524">
        <f>Y524*(1+'What-If Analysis'!$B$4)</f>
        <v>138.76500000000001</v>
      </c>
      <c r="AO524">
        <f t="shared" si="198"/>
        <v>7210.4034860000011</v>
      </c>
    </row>
    <row r="525" spans="1:41" x14ac:dyDescent="0.3">
      <c r="A525" t="s">
        <v>72</v>
      </c>
      <c r="B525" s="3">
        <v>45643</v>
      </c>
      <c r="C525" s="3">
        <f t="shared" si="179"/>
        <v>45643</v>
      </c>
      <c r="D525" s="3">
        <v>45644</v>
      </c>
      <c r="E525" s="3">
        <f t="shared" si="180"/>
        <v>45644</v>
      </c>
      <c r="F525" s="16">
        <f t="shared" si="181"/>
        <v>1</v>
      </c>
      <c r="G525" s="16">
        <f>IF(Data!F499&lt;=7,1,0)</f>
        <v>1</v>
      </c>
      <c r="H525" s="5" t="str">
        <f t="shared" si="182"/>
        <v>12-2024</v>
      </c>
      <c r="I525" s="5" t="str">
        <f t="shared" si="183"/>
        <v>Q4-2024</v>
      </c>
      <c r="J525" s="3">
        <f t="shared" si="184"/>
        <v>44947</v>
      </c>
      <c r="K525" s="5" t="str">
        <f t="shared" si="185"/>
        <v>01-2023</v>
      </c>
      <c r="L525" t="s">
        <v>649</v>
      </c>
      <c r="M525" t="s">
        <v>656</v>
      </c>
      <c r="N525" t="s">
        <v>684</v>
      </c>
      <c r="O525" t="str">
        <f t="shared" si="186"/>
        <v>Munich</v>
      </c>
      <c r="P525" t="s">
        <v>702</v>
      </c>
      <c r="Q525" t="s">
        <v>707</v>
      </c>
      <c r="R525" t="str">
        <f t="shared" si="187"/>
        <v>Retail</v>
      </c>
      <c r="S525" t="s">
        <v>716</v>
      </c>
      <c r="T525" t="str">
        <f t="shared" si="178"/>
        <v>L. Okafor</v>
      </c>
      <c r="U525" t="s">
        <v>733</v>
      </c>
      <c r="V525" t="str">
        <f t="shared" si="188"/>
        <v>Low</v>
      </c>
      <c r="W525" t="s">
        <v>791</v>
      </c>
      <c r="X525" t="str">
        <f t="shared" si="189"/>
        <v>C</v>
      </c>
      <c r="Y525" s="5">
        <v>346.82</v>
      </c>
      <c r="Z525" s="5">
        <v>701.95</v>
      </c>
      <c r="AA525" s="5">
        <f t="shared" si="190"/>
        <v>701.95</v>
      </c>
      <c r="AB525" s="7">
        <v>0.14699999999999999</v>
      </c>
      <c r="AC525" s="7">
        <f t="shared" si="191"/>
        <v>0.14699999999999999</v>
      </c>
      <c r="AD525" s="16">
        <f t="shared" si="192"/>
        <v>0</v>
      </c>
      <c r="AE525" s="16">
        <v>8</v>
      </c>
      <c r="AF525" s="5">
        <f t="shared" si="193"/>
        <v>4790.1068000000005</v>
      </c>
      <c r="AG525">
        <f t="shared" si="194"/>
        <v>2774.56</v>
      </c>
      <c r="AH525" s="5">
        <f t="shared" si="195"/>
        <v>2015.5468000000005</v>
      </c>
      <c r="AI525" s="5">
        <f t="shared" si="196"/>
        <v>0.42077283120284509</v>
      </c>
      <c r="AJ525" s="5">
        <f t="shared" si="199"/>
        <v>10720915.397060012</v>
      </c>
      <c r="AK525" s="7">
        <f t="shared" si="197"/>
        <v>0.97945758418429685</v>
      </c>
      <c r="AL525" s="17">
        <f>MIN(AC525,'What-If Analysis'!$B$2)</f>
        <v>0.14699999999999999</v>
      </c>
      <c r="AM525">
        <f>AE525*(1+'What-If Analysis'!$B$3)</f>
        <v>10.4</v>
      </c>
      <c r="AN525">
        <f>Y525*(1+'What-If Analysis'!$B$4)</f>
        <v>381.50200000000001</v>
      </c>
      <c r="AO525">
        <f t="shared" si="198"/>
        <v>6227.1388400000005</v>
      </c>
    </row>
    <row r="526" spans="1:41" x14ac:dyDescent="0.3">
      <c r="A526" t="s">
        <v>245</v>
      </c>
      <c r="B526" s="3">
        <v>45771</v>
      </c>
      <c r="C526" s="3">
        <f t="shared" si="179"/>
        <v>45771</v>
      </c>
      <c r="D526" s="3">
        <v>45783</v>
      </c>
      <c r="E526" s="3">
        <f t="shared" si="180"/>
        <v>45783</v>
      </c>
      <c r="F526" s="16">
        <f t="shared" si="181"/>
        <v>12</v>
      </c>
      <c r="G526" s="16">
        <f>IF(Data!F469&lt;=7,1,0)</f>
        <v>0</v>
      </c>
      <c r="H526" s="5" t="str">
        <f t="shared" si="182"/>
        <v>04-2025</v>
      </c>
      <c r="I526" s="5" t="str">
        <f t="shared" si="183"/>
        <v>Q2-2025</v>
      </c>
      <c r="J526" s="3">
        <f t="shared" si="184"/>
        <v>44955</v>
      </c>
      <c r="K526" s="5" t="str">
        <f t="shared" si="185"/>
        <v>01-2023</v>
      </c>
      <c r="L526" t="s">
        <v>648</v>
      </c>
      <c r="M526" t="s">
        <v>655</v>
      </c>
      <c r="N526" t="s">
        <v>672</v>
      </c>
      <c r="O526" t="str">
        <f t="shared" si="186"/>
        <v>Brasília</v>
      </c>
      <c r="P526" t="s">
        <v>704</v>
      </c>
      <c r="Q526" t="s">
        <v>708</v>
      </c>
      <c r="R526" t="str">
        <f t="shared" si="187"/>
        <v>Online</v>
      </c>
      <c r="S526" t="s">
        <v>712</v>
      </c>
      <c r="T526" t="str">
        <f t="shared" si="178"/>
        <v>C. Otieno</v>
      </c>
      <c r="U526" t="s">
        <v>730</v>
      </c>
      <c r="V526" t="str">
        <f t="shared" si="188"/>
        <v>Medium</v>
      </c>
      <c r="W526" t="s">
        <v>965</v>
      </c>
      <c r="X526" t="str">
        <f t="shared" si="189"/>
        <v>C</v>
      </c>
      <c r="Y526" s="5">
        <v>394.13</v>
      </c>
      <c r="Z526" s="5">
        <v>932.29</v>
      </c>
      <c r="AA526" s="5">
        <f t="shared" si="190"/>
        <v>932.29</v>
      </c>
      <c r="AB526" s="7">
        <v>0.109</v>
      </c>
      <c r="AC526" s="7">
        <f t="shared" si="191"/>
        <v>0.109</v>
      </c>
      <c r="AD526" s="16">
        <f t="shared" si="192"/>
        <v>0</v>
      </c>
      <c r="AE526" s="16">
        <v>7</v>
      </c>
      <c r="AF526" s="5">
        <f t="shared" si="193"/>
        <v>5814.6927299999998</v>
      </c>
      <c r="AG526">
        <f t="shared" si="194"/>
        <v>2758.91</v>
      </c>
      <c r="AH526" s="5">
        <f t="shared" si="195"/>
        <v>3055.7827299999999</v>
      </c>
      <c r="AI526" s="5">
        <f t="shared" si="196"/>
        <v>0.5255278089303268</v>
      </c>
      <c r="AJ526" s="5">
        <f t="shared" si="199"/>
        <v>10726730.089790013</v>
      </c>
      <c r="AK526" s="7">
        <f t="shared" si="197"/>
        <v>0.97998881166657525</v>
      </c>
      <c r="AL526" s="17">
        <f>MIN(AC526,'What-If Analysis'!$B$2)</f>
        <v>0.109</v>
      </c>
      <c r="AM526">
        <f>AE526*(1+'What-If Analysis'!$B$3)</f>
        <v>9.1</v>
      </c>
      <c r="AN526">
        <f>Y526*(1+'What-If Analysis'!$B$4)</f>
        <v>433.54300000000001</v>
      </c>
      <c r="AO526">
        <f t="shared" si="198"/>
        <v>7559.1005489999998</v>
      </c>
    </row>
    <row r="527" spans="1:41" x14ac:dyDescent="0.3">
      <c r="A527" t="s">
        <v>253</v>
      </c>
      <c r="B527" s="3">
        <v>45381</v>
      </c>
      <c r="C527" s="3">
        <f t="shared" si="179"/>
        <v>45381</v>
      </c>
      <c r="D527" s="3">
        <v>45406</v>
      </c>
      <c r="E527" s="3">
        <f t="shared" si="180"/>
        <v>45406</v>
      </c>
      <c r="F527" s="16">
        <f t="shared" si="181"/>
        <v>25</v>
      </c>
      <c r="G527" s="16">
        <f>IF(Data!F535&lt;=7,1,0)</f>
        <v>0</v>
      </c>
      <c r="H527" s="5" t="str">
        <f t="shared" si="182"/>
        <v>03-2024</v>
      </c>
      <c r="I527" s="5" t="str">
        <f t="shared" si="183"/>
        <v>Q1-2024</v>
      </c>
      <c r="J527" s="3">
        <f t="shared" si="184"/>
        <v>44939</v>
      </c>
      <c r="K527" s="5" t="str">
        <f t="shared" si="185"/>
        <v>01-2023</v>
      </c>
      <c r="L527" t="s">
        <v>648</v>
      </c>
      <c r="M527" t="s">
        <v>660</v>
      </c>
      <c r="N527" t="s">
        <v>697</v>
      </c>
      <c r="O527" t="str">
        <f t="shared" si="186"/>
        <v>Austin</v>
      </c>
      <c r="P527" t="s">
        <v>703</v>
      </c>
      <c r="Q527" t="s">
        <v>708</v>
      </c>
      <c r="R527" t="str">
        <f t="shared" si="187"/>
        <v>Online</v>
      </c>
      <c r="S527" t="s">
        <v>715</v>
      </c>
      <c r="T527" t="str">
        <f t="shared" si="178"/>
        <v>G. Dubois</v>
      </c>
      <c r="U527" t="s">
        <v>731</v>
      </c>
      <c r="V527" t="str">
        <f t="shared" si="188"/>
        <v>Low</v>
      </c>
      <c r="W527" t="s">
        <v>973</v>
      </c>
      <c r="X527" t="str">
        <f t="shared" si="189"/>
        <v>C</v>
      </c>
      <c r="Y527" s="5">
        <v>160.82</v>
      </c>
      <c r="Z527" s="5">
        <v>258.52</v>
      </c>
      <c r="AA527" s="5">
        <f t="shared" si="190"/>
        <v>258.52</v>
      </c>
      <c r="AB527" s="7">
        <v>0.13</v>
      </c>
      <c r="AC527" s="7">
        <f t="shared" si="191"/>
        <v>0.13</v>
      </c>
      <c r="AD527" s="16">
        <f t="shared" si="192"/>
        <v>0</v>
      </c>
      <c r="AE527" s="16">
        <v>17</v>
      </c>
      <c r="AF527" s="5">
        <f t="shared" si="193"/>
        <v>3823.5108</v>
      </c>
      <c r="AG527">
        <f t="shared" si="194"/>
        <v>2733.94</v>
      </c>
      <c r="AH527" s="5">
        <f t="shared" si="195"/>
        <v>1089.5708</v>
      </c>
      <c r="AI527" s="5">
        <f t="shared" si="196"/>
        <v>0.28496605789631874</v>
      </c>
      <c r="AJ527" s="5">
        <f t="shared" si="199"/>
        <v>10730553.600590013</v>
      </c>
      <c r="AK527" s="7">
        <f t="shared" si="197"/>
        <v>0.98033812574215295</v>
      </c>
      <c r="AL527" s="17">
        <f>MIN(AC527,'What-If Analysis'!$B$2)</f>
        <v>0.13</v>
      </c>
      <c r="AM527">
        <f>AE527*(1+'What-If Analysis'!$B$3)</f>
        <v>22.1</v>
      </c>
      <c r="AN527">
        <f>Y527*(1+'What-If Analysis'!$B$4)</f>
        <v>176.90200000000002</v>
      </c>
      <c r="AO527">
        <f t="shared" si="198"/>
        <v>4970.5640400000002</v>
      </c>
    </row>
    <row r="528" spans="1:41" x14ac:dyDescent="0.3">
      <c r="A528" t="s">
        <v>310</v>
      </c>
      <c r="B528" s="3">
        <v>45353</v>
      </c>
      <c r="C528" s="3">
        <f t="shared" si="179"/>
        <v>45353</v>
      </c>
      <c r="D528" s="3">
        <v>45367</v>
      </c>
      <c r="E528" s="3">
        <f t="shared" si="180"/>
        <v>45367</v>
      </c>
      <c r="F528" s="16">
        <f t="shared" si="181"/>
        <v>14</v>
      </c>
      <c r="G528" s="16">
        <f>IF(Data!F518&lt;=7,1,0)</f>
        <v>0</v>
      </c>
      <c r="H528" s="5" t="str">
        <f t="shared" si="182"/>
        <v>03-2024</v>
      </c>
      <c r="I528" s="5" t="str">
        <f t="shared" si="183"/>
        <v>Q1-2024</v>
      </c>
      <c r="J528" s="3">
        <f t="shared" si="184"/>
        <v>44928</v>
      </c>
      <c r="K528" s="5" t="str">
        <f t="shared" si="185"/>
        <v>01-2023</v>
      </c>
      <c r="L528" t="s">
        <v>648</v>
      </c>
      <c r="M528" t="s">
        <v>653</v>
      </c>
      <c r="N528" t="s">
        <v>688</v>
      </c>
      <c r="O528" t="str">
        <f t="shared" si="186"/>
        <v>Vancouver</v>
      </c>
      <c r="P528" t="s">
        <v>703</v>
      </c>
      <c r="Q528" t="s">
        <v>711</v>
      </c>
      <c r="R528" t="str">
        <f t="shared" si="187"/>
        <v>Direct</v>
      </c>
      <c r="S528" t="s">
        <v>719</v>
      </c>
      <c r="T528" t="str">
        <f t="shared" si="178"/>
        <v>O. Wang</v>
      </c>
      <c r="U528" t="s">
        <v>728</v>
      </c>
      <c r="V528" t="str">
        <f t="shared" si="188"/>
        <v>Low</v>
      </c>
      <c r="W528" t="s">
        <v>1030</v>
      </c>
      <c r="X528" t="str">
        <f t="shared" si="189"/>
        <v>C</v>
      </c>
      <c r="Y528" s="5">
        <v>248.24</v>
      </c>
      <c r="Z528" s="5">
        <v>464.05</v>
      </c>
      <c r="AA528" s="5">
        <f t="shared" si="190"/>
        <v>464.05</v>
      </c>
      <c r="AB528" s="7">
        <v>0.16900000000000001</v>
      </c>
      <c r="AC528" s="7">
        <f t="shared" si="191"/>
        <v>0.16900000000000001</v>
      </c>
      <c r="AD528" s="16">
        <f t="shared" si="192"/>
        <v>0</v>
      </c>
      <c r="AE528" s="16">
        <v>11</v>
      </c>
      <c r="AF528" s="5">
        <f t="shared" si="193"/>
        <v>4241.88105</v>
      </c>
      <c r="AG528">
        <f t="shared" si="194"/>
        <v>2730.6400000000003</v>
      </c>
      <c r="AH528" s="5">
        <f t="shared" si="195"/>
        <v>1511.2410499999996</v>
      </c>
      <c r="AI528" s="5">
        <f t="shared" si="196"/>
        <v>0.3562667203975462</v>
      </c>
      <c r="AJ528" s="5">
        <f t="shared" si="199"/>
        <v>10734795.481640013</v>
      </c>
      <c r="AK528" s="7">
        <f t="shared" si="197"/>
        <v>0.98072566191903288</v>
      </c>
      <c r="AL528" s="17">
        <f>MIN(AC528,'What-If Analysis'!$B$2)</f>
        <v>0.16900000000000001</v>
      </c>
      <c r="AM528">
        <f>AE528*(1+'What-If Analysis'!$B$3)</f>
        <v>14.3</v>
      </c>
      <c r="AN528">
        <f>Y528*(1+'What-If Analysis'!$B$4)</f>
        <v>273.06400000000002</v>
      </c>
      <c r="AO528">
        <f t="shared" si="198"/>
        <v>5514.4453650000005</v>
      </c>
    </row>
    <row r="529" spans="1:41" x14ac:dyDescent="0.3">
      <c r="A529" t="s">
        <v>525</v>
      </c>
      <c r="B529" s="3">
        <v>45353</v>
      </c>
      <c r="C529" s="3">
        <f t="shared" si="179"/>
        <v>45353</v>
      </c>
      <c r="D529" s="3">
        <v>45374</v>
      </c>
      <c r="E529" s="3">
        <f t="shared" si="180"/>
        <v>45374</v>
      </c>
      <c r="F529" s="16">
        <f t="shared" si="181"/>
        <v>21</v>
      </c>
      <c r="G529" s="16">
        <f>IF(Data!F541&lt;=7,1,0)</f>
        <v>1</v>
      </c>
      <c r="H529" s="5" t="str">
        <f t="shared" si="182"/>
        <v>03-2024</v>
      </c>
      <c r="I529" s="5" t="str">
        <f t="shared" si="183"/>
        <v>Q1-2024</v>
      </c>
      <c r="J529" s="3">
        <f t="shared" si="184"/>
        <v>44939</v>
      </c>
      <c r="K529" s="5" t="str">
        <f t="shared" si="185"/>
        <v>01-2023</v>
      </c>
      <c r="L529" t="s">
        <v>648</v>
      </c>
      <c r="M529" t="s">
        <v>660</v>
      </c>
      <c r="N529" t="s">
        <v>677</v>
      </c>
      <c r="O529" t="str">
        <f t="shared" si="186"/>
        <v>Chicago</v>
      </c>
      <c r="P529" t="s">
        <v>705</v>
      </c>
      <c r="Q529" t="s">
        <v>708</v>
      </c>
      <c r="R529" t="str">
        <f t="shared" si="187"/>
        <v>Online</v>
      </c>
      <c r="S529" t="s">
        <v>721</v>
      </c>
      <c r="T529" t="str">
        <f t="shared" ref="T529:T592" si="200">IF(S529="",_xlfn.XLOOKUP(L529,L:L,S:S),S529)</f>
        <v>F. Müller</v>
      </c>
      <c r="U529" t="s">
        <v>727</v>
      </c>
      <c r="V529" t="str">
        <f t="shared" si="188"/>
        <v>Low</v>
      </c>
      <c r="W529" t="s">
        <v>1244</v>
      </c>
      <c r="X529" t="str">
        <f t="shared" si="189"/>
        <v>C</v>
      </c>
      <c r="Y529" s="5">
        <v>225.01</v>
      </c>
      <c r="Z529" s="5">
        <v>333.48</v>
      </c>
      <c r="AA529" s="5">
        <f t="shared" si="190"/>
        <v>333.48</v>
      </c>
      <c r="AB529" s="7">
        <v>0.11899999999999999</v>
      </c>
      <c r="AC529" s="7">
        <f t="shared" si="191"/>
        <v>0.11899999999999999</v>
      </c>
      <c r="AD529" s="16">
        <f t="shared" si="192"/>
        <v>0</v>
      </c>
      <c r="AE529" s="16">
        <v>12</v>
      </c>
      <c r="AF529" s="5">
        <f t="shared" si="193"/>
        <v>3525.5505600000001</v>
      </c>
      <c r="AG529">
        <f t="shared" si="194"/>
        <v>2700.12</v>
      </c>
      <c r="AH529" s="5">
        <f t="shared" si="195"/>
        <v>825.43056000000024</v>
      </c>
      <c r="AI529" s="5">
        <f t="shared" si="196"/>
        <v>0.23412813004729685</v>
      </c>
      <c r="AJ529" s="5">
        <f t="shared" si="199"/>
        <v>10738321.032200012</v>
      </c>
      <c r="AK529" s="7">
        <f t="shared" si="197"/>
        <v>0.98104775449289683</v>
      </c>
      <c r="AL529" s="17">
        <f>MIN(AC529,'What-If Analysis'!$B$2)</f>
        <v>0.11899999999999999</v>
      </c>
      <c r="AM529">
        <f>AE529*(1+'What-If Analysis'!$B$3)</f>
        <v>15.600000000000001</v>
      </c>
      <c r="AN529">
        <f>Y529*(1+'What-If Analysis'!$B$4)</f>
        <v>247.51100000000002</v>
      </c>
      <c r="AO529">
        <f t="shared" si="198"/>
        <v>4583.2157280000001</v>
      </c>
    </row>
    <row r="530" spans="1:41" x14ac:dyDescent="0.3">
      <c r="A530" t="s">
        <v>341</v>
      </c>
      <c r="B530" s="3">
        <v>45087</v>
      </c>
      <c r="C530" s="3">
        <f t="shared" si="179"/>
        <v>45087</v>
      </c>
      <c r="D530" s="3">
        <v>45095</v>
      </c>
      <c r="E530" s="3">
        <f t="shared" si="180"/>
        <v>45095</v>
      </c>
      <c r="F530" s="16">
        <f t="shared" si="181"/>
        <v>8</v>
      </c>
      <c r="G530" s="16">
        <f>IF(Data!F536&lt;=7,1,0)</f>
        <v>0</v>
      </c>
      <c r="H530" s="5" t="str">
        <f t="shared" si="182"/>
        <v>06-2023</v>
      </c>
      <c r="I530" s="5" t="str">
        <f t="shared" si="183"/>
        <v>Q2-2023</v>
      </c>
      <c r="J530" s="3">
        <f t="shared" si="184"/>
        <v>44946</v>
      </c>
      <c r="K530" s="5" t="str">
        <f t="shared" si="185"/>
        <v>01-2023</v>
      </c>
      <c r="L530" t="s">
        <v>646</v>
      </c>
      <c r="M530" t="s">
        <v>650</v>
      </c>
      <c r="N530" t="s">
        <v>678</v>
      </c>
      <c r="O530" t="str">
        <f t="shared" si="186"/>
        <v>Nakuru</v>
      </c>
      <c r="P530" t="s">
        <v>706</v>
      </c>
      <c r="Q530" t="s">
        <v>711</v>
      </c>
      <c r="R530" t="str">
        <f t="shared" si="187"/>
        <v>Direct</v>
      </c>
      <c r="S530" t="s">
        <v>722</v>
      </c>
      <c r="T530" t="str">
        <f t="shared" si="200"/>
        <v>H. Kim</v>
      </c>
      <c r="U530" t="s">
        <v>730</v>
      </c>
      <c r="V530" t="str">
        <f t="shared" si="188"/>
        <v>Medium</v>
      </c>
      <c r="W530" t="s">
        <v>1061</v>
      </c>
      <c r="X530" t="str">
        <f t="shared" si="189"/>
        <v>C</v>
      </c>
      <c r="Y530" s="5">
        <v>894.23</v>
      </c>
      <c r="Z530" s="5">
        <v>1421.55</v>
      </c>
      <c r="AA530" s="5">
        <f t="shared" si="190"/>
        <v>1421.55</v>
      </c>
      <c r="AB530" s="7">
        <v>0.109</v>
      </c>
      <c r="AC530" s="7">
        <f t="shared" si="191"/>
        <v>0.109</v>
      </c>
      <c r="AD530" s="16">
        <f t="shared" si="192"/>
        <v>0</v>
      </c>
      <c r="AE530" s="16">
        <v>3</v>
      </c>
      <c r="AF530" s="5">
        <f t="shared" si="193"/>
        <v>3799.8031499999997</v>
      </c>
      <c r="AG530">
        <f t="shared" si="194"/>
        <v>2682.69</v>
      </c>
      <c r="AH530" s="5">
        <f t="shared" si="195"/>
        <v>1117.1131499999997</v>
      </c>
      <c r="AI530" s="5">
        <f t="shared" si="196"/>
        <v>0.29399237431549574</v>
      </c>
      <c r="AJ530" s="5">
        <f t="shared" si="199"/>
        <v>10742120.835350012</v>
      </c>
      <c r="AK530" s="7">
        <f t="shared" si="197"/>
        <v>0.9813949026491724</v>
      </c>
      <c r="AL530" s="17">
        <f>MIN(AC530,'What-If Analysis'!$B$2)</f>
        <v>0.109</v>
      </c>
      <c r="AM530">
        <f>AE530*(1+'What-If Analysis'!$B$3)</f>
        <v>3.9000000000000004</v>
      </c>
      <c r="AN530">
        <f>Y530*(1+'What-If Analysis'!$B$4)</f>
        <v>983.65300000000013</v>
      </c>
      <c r="AO530">
        <f t="shared" si="198"/>
        <v>4939.744095</v>
      </c>
    </row>
    <row r="531" spans="1:41" x14ac:dyDescent="0.3">
      <c r="A531" t="s">
        <v>68</v>
      </c>
      <c r="B531" s="3">
        <v>45678</v>
      </c>
      <c r="C531" s="3">
        <f t="shared" si="179"/>
        <v>45678</v>
      </c>
      <c r="D531" s="3">
        <v>45704</v>
      </c>
      <c r="E531" s="3">
        <f t="shared" si="180"/>
        <v>45704</v>
      </c>
      <c r="F531" s="16">
        <f t="shared" si="181"/>
        <v>26</v>
      </c>
      <c r="G531" s="16">
        <f>IF(Data!F560&lt;=7,1,0)</f>
        <v>0</v>
      </c>
      <c r="H531" s="5" t="str">
        <f t="shared" si="182"/>
        <v>01-2025</v>
      </c>
      <c r="I531" s="5" t="str">
        <f t="shared" si="183"/>
        <v>Q1-2025</v>
      </c>
      <c r="J531" s="3">
        <f t="shared" si="184"/>
        <v>44936</v>
      </c>
      <c r="K531" s="5" t="str">
        <f t="shared" si="185"/>
        <v>01-2023</v>
      </c>
      <c r="L531" t="s">
        <v>649</v>
      </c>
      <c r="M531" t="s">
        <v>657</v>
      </c>
      <c r="N531" t="s">
        <v>679</v>
      </c>
      <c r="O531" t="str">
        <f t="shared" si="186"/>
        <v>Lyon</v>
      </c>
      <c r="P531" t="s">
        <v>701</v>
      </c>
      <c r="Q531" t="s">
        <v>710</v>
      </c>
      <c r="R531" t="str">
        <f t="shared" si="187"/>
        <v>Distributor</v>
      </c>
      <c r="S531" t="s">
        <v>719</v>
      </c>
      <c r="T531" t="str">
        <f t="shared" si="200"/>
        <v>O. Wang</v>
      </c>
      <c r="U531" t="s">
        <v>731</v>
      </c>
      <c r="V531" t="str">
        <f t="shared" si="188"/>
        <v>Low</v>
      </c>
      <c r="W531" t="s">
        <v>787</v>
      </c>
      <c r="X531" t="str">
        <f t="shared" si="189"/>
        <v>C</v>
      </c>
      <c r="Y531" s="5">
        <v>204.11</v>
      </c>
      <c r="Z531" s="5">
        <v>236.87</v>
      </c>
      <c r="AA531" s="5">
        <f t="shared" si="190"/>
        <v>236.87</v>
      </c>
      <c r="AB531" s="7">
        <v>0.182</v>
      </c>
      <c r="AC531" s="7">
        <f t="shared" si="191"/>
        <v>0.182</v>
      </c>
      <c r="AD531" s="16">
        <f t="shared" si="192"/>
        <v>0</v>
      </c>
      <c r="AE531" s="16">
        <v>13</v>
      </c>
      <c r="AF531" s="5">
        <f t="shared" si="193"/>
        <v>2518.8755800000004</v>
      </c>
      <c r="AG531">
        <f t="shared" si="194"/>
        <v>2653.4300000000003</v>
      </c>
      <c r="AH531" s="5">
        <f t="shared" si="195"/>
        <v>134.55441999999994</v>
      </c>
      <c r="AI531" s="5">
        <f t="shared" si="196"/>
        <v>5.3418446337075494E-2</v>
      </c>
      <c r="AJ531" s="5">
        <f t="shared" si="199"/>
        <v>10744639.710930012</v>
      </c>
      <c r="AK531" s="7">
        <f t="shared" si="197"/>
        <v>0.98162502588949974</v>
      </c>
      <c r="AL531" s="17">
        <f>MIN(AC531,'What-If Analysis'!$B$2)</f>
        <v>0.182</v>
      </c>
      <c r="AM531">
        <f>AE531*(1+'What-If Analysis'!$B$3)</f>
        <v>16.900000000000002</v>
      </c>
      <c r="AN531">
        <f>Y531*(1+'What-If Analysis'!$B$4)</f>
        <v>224.52100000000004</v>
      </c>
      <c r="AO531">
        <f t="shared" si="198"/>
        <v>3274.5382540000005</v>
      </c>
    </row>
    <row r="532" spans="1:41" x14ac:dyDescent="0.3">
      <c r="A532" t="s">
        <v>560</v>
      </c>
      <c r="B532" s="3">
        <v>45355</v>
      </c>
      <c r="C532" s="3">
        <f t="shared" si="179"/>
        <v>45355</v>
      </c>
      <c r="D532" s="3">
        <v>45367</v>
      </c>
      <c r="E532" s="3">
        <f t="shared" si="180"/>
        <v>45367</v>
      </c>
      <c r="F532" s="16">
        <f t="shared" si="181"/>
        <v>12</v>
      </c>
      <c r="G532" s="16">
        <f>IF(Data!F497&lt;=7,1,0)</f>
        <v>0</v>
      </c>
      <c r="H532" s="5" t="str">
        <f t="shared" si="182"/>
        <v>03-2024</v>
      </c>
      <c r="I532" s="5" t="str">
        <f t="shared" si="183"/>
        <v>Q1-2024</v>
      </c>
      <c r="J532" s="3">
        <f t="shared" si="184"/>
        <v>44933</v>
      </c>
      <c r="K532" s="5" t="str">
        <f t="shared" si="185"/>
        <v>01-2023</v>
      </c>
      <c r="L532" t="s">
        <v>646</v>
      </c>
      <c r="M532" t="s">
        <v>661</v>
      </c>
      <c r="N532" t="s">
        <v>682</v>
      </c>
      <c r="O532" t="str">
        <f t="shared" si="186"/>
        <v>Johannesburg</v>
      </c>
      <c r="P532" t="s">
        <v>706</v>
      </c>
      <c r="Q532" t="s">
        <v>710</v>
      </c>
      <c r="R532" t="str">
        <f t="shared" si="187"/>
        <v>Distributor</v>
      </c>
      <c r="S532" t="s">
        <v>724</v>
      </c>
      <c r="T532" t="str">
        <f t="shared" si="200"/>
        <v>M. Rossi</v>
      </c>
      <c r="U532" t="s">
        <v>732</v>
      </c>
      <c r="V532" t="str">
        <f t="shared" si="188"/>
        <v>Medium</v>
      </c>
      <c r="W532" t="s">
        <v>1278</v>
      </c>
      <c r="X532" t="str">
        <f t="shared" si="189"/>
        <v>C</v>
      </c>
      <c r="Y532" s="5">
        <v>441.08</v>
      </c>
      <c r="Z532" s="5">
        <v>1054.29</v>
      </c>
      <c r="AA532" s="5">
        <f t="shared" si="190"/>
        <v>1054.29</v>
      </c>
      <c r="AB532" s="7">
        <v>0.23699999999999999</v>
      </c>
      <c r="AC532" s="7">
        <f t="shared" si="191"/>
        <v>0.23699999999999999</v>
      </c>
      <c r="AD532" s="16">
        <f t="shared" si="192"/>
        <v>1</v>
      </c>
      <c r="AE532" s="16">
        <v>6</v>
      </c>
      <c r="AF532" s="5">
        <f t="shared" si="193"/>
        <v>4826.5396199999996</v>
      </c>
      <c r="AG532">
        <f t="shared" si="194"/>
        <v>2646.48</v>
      </c>
      <c r="AH532" s="5">
        <f t="shared" si="195"/>
        <v>2180.0596199999995</v>
      </c>
      <c r="AI532" s="5">
        <f t="shared" si="196"/>
        <v>0.45168169985932899</v>
      </c>
      <c r="AJ532" s="5">
        <f t="shared" si="199"/>
        <v>10749466.250550013</v>
      </c>
      <c r="AK532" s="7">
        <f t="shared" si="197"/>
        <v>0.9820659761872208</v>
      </c>
      <c r="AL532" s="17">
        <f>MIN(AC532,'What-If Analysis'!$B$2)</f>
        <v>0.2</v>
      </c>
      <c r="AM532">
        <f>AE532*(1+'What-If Analysis'!$B$3)</f>
        <v>7.8000000000000007</v>
      </c>
      <c r="AN532">
        <f>Y532*(1+'What-If Analysis'!$B$4)</f>
        <v>485.18800000000005</v>
      </c>
      <c r="AO532">
        <f t="shared" si="198"/>
        <v>6578.7696000000014</v>
      </c>
    </row>
    <row r="533" spans="1:41" x14ac:dyDescent="0.3">
      <c r="A533" t="s">
        <v>595</v>
      </c>
      <c r="B533" s="3">
        <v>45080</v>
      </c>
      <c r="C533" s="3">
        <f t="shared" si="179"/>
        <v>45080</v>
      </c>
      <c r="D533" s="3">
        <v>45108</v>
      </c>
      <c r="E533" s="3">
        <f t="shared" si="180"/>
        <v>45108</v>
      </c>
      <c r="F533" s="16">
        <f t="shared" si="181"/>
        <v>28</v>
      </c>
      <c r="G533" s="16">
        <f>IF(Data!F462&lt;=7,1,0)</f>
        <v>0</v>
      </c>
      <c r="H533" s="5" t="str">
        <f t="shared" si="182"/>
        <v>06-2023</v>
      </c>
      <c r="I533" s="5" t="str">
        <f t="shared" si="183"/>
        <v>Q2-2023</v>
      </c>
      <c r="J533" s="3">
        <f t="shared" si="184"/>
        <v>44955</v>
      </c>
      <c r="K533" s="5" t="str">
        <f t="shared" si="185"/>
        <v>01-2023</v>
      </c>
      <c r="L533" t="s">
        <v>648</v>
      </c>
      <c r="M533" t="s">
        <v>655</v>
      </c>
      <c r="N533" t="s">
        <v>672</v>
      </c>
      <c r="O533" t="str">
        <f t="shared" si="186"/>
        <v>Brasília</v>
      </c>
      <c r="P533" t="s">
        <v>705</v>
      </c>
      <c r="Q533" t="s">
        <v>709</v>
      </c>
      <c r="R533" t="str">
        <f t="shared" si="187"/>
        <v>Marketplace</v>
      </c>
      <c r="S533" t="s">
        <v>720</v>
      </c>
      <c r="T533" t="str">
        <f t="shared" si="200"/>
        <v>A. Patel</v>
      </c>
      <c r="U533" t="s">
        <v>727</v>
      </c>
      <c r="V533" t="str">
        <f t="shared" si="188"/>
        <v>High</v>
      </c>
      <c r="W533" t="s">
        <v>1313</v>
      </c>
      <c r="X533" t="str">
        <f t="shared" si="189"/>
        <v>C</v>
      </c>
      <c r="Y533" s="5">
        <v>860.4</v>
      </c>
      <c r="Z533" s="5">
        <v>2066.6</v>
      </c>
      <c r="AA533" s="5">
        <f t="shared" si="190"/>
        <v>2066.6</v>
      </c>
      <c r="AB533" s="7">
        <v>0.01</v>
      </c>
      <c r="AC533" s="7">
        <f t="shared" si="191"/>
        <v>0.01</v>
      </c>
      <c r="AD533" s="16">
        <f t="shared" si="192"/>
        <v>0</v>
      </c>
      <c r="AE533" s="16">
        <v>3</v>
      </c>
      <c r="AF533" s="5">
        <f t="shared" si="193"/>
        <v>6137.8019999999988</v>
      </c>
      <c r="AG533">
        <f t="shared" si="194"/>
        <v>2581.1999999999998</v>
      </c>
      <c r="AH533" s="5">
        <f t="shared" si="195"/>
        <v>3556.601999999999</v>
      </c>
      <c r="AI533" s="5">
        <f t="shared" si="196"/>
        <v>0.57945857491004105</v>
      </c>
      <c r="AJ533" s="5">
        <f t="shared" si="199"/>
        <v>10755604.052550012</v>
      </c>
      <c r="AK533" s="7">
        <f t="shared" si="197"/>
        <v>0.98262672277428642</v>
      </c>
      <c r="AL533" s="17">
        <f>MIN(AC533,'What-If Analysis'!$B$2)</f>
        <v>0.01</v>
      </c>
      <c r="AM533">
        <f>AE533*(1+'What-If Analysis'!$B$3)</f>
        <v>3.9000000000000004</v>
      </c>
      <c r="AN533">
        <f>Y533*(1+'What-If Analysis'!$B$4)</f>
        <v>946.44</v>
      </c>
      <c r="AO533">
        <f t="shared" si="198"/>
        <v>7979.142600000001</v>
      </c>
    </row>
    <row r="534" spans="1:41" x14ac:dyDescent="0.3">
      <c r="A534" t="s">
        <v>598</v>
      </c>
      <c r="B534" s="3">
        <v>45507</v>
      </c>
      <c r="C534" s="3">
        <f t="shared" si="179"/>
        <v>45507</v>
      </c>
      <c r="D534" s="3">
        <v>45513</v>
      </c>
      <c r="E534" s="3">
        <f t="shared" si="180"/>
        <v>45513</v>
      </c>
      <c r="F534" s="16">
        <f t="shared" si="181"/>
        <v>6</v>
      </c>
      <c r="G534" s="16">
        <f>IF(Data!F534&lt;=7,1,0)</f>
        <v>1</v>
      </c>
      <c r="H534" s="5" t="str">
        <f t="shared" si="182"/>
        <v>08-2024</v>
      </c>
      <c r="I534" s="5" t="str">
        <f t="shared" si="183"/>
        <v>Q3-2024</v>
      </c>
      <c r="J534" s="3">
        <f t="shared" si="184"/>
        <v>44946</v>
      </c>
      <c r="K534" s="5" t="str">
        <f t="shared" si="185"/>
        <v>01-2023</v>
      </c>
      <c r="L534" t="s">
        <v>646</v>
      </c>
      <c r="M534" t="s">
        <v>650</v>
      </c>
      <c r="N534" t="s">
        <v>675</v>
      </c>
      <c r="O534" t="str">
        <f t="shared" si="186"/>
        <v>Mombasa</v>
      </c>
      <c r="P534" t="s">
        <v>704</v>
      </c>
      <c r="Q534" t="s">
        <v>709</v>
      </c>
      <c r="R534" t="str">
        <f t="shared" si="187"/>
        <v>Marketplace</v>
      </c>
      <c r="S534" t="s">
        <v>722</v>
      </c>
      <c r="T534" t="str">
        <f t="shared" si="200"/>
        <v>H. Kim</v>
      </c>
      <c r="U534" t="s">
        <v>731</v>
      </c>
      <c r="V534" t="str">
        <f t="shared" si="188"/>
        <v>Medium</v>
      </c>
      <c r="W534" t="s">
        <v>1316</v>
      </c>
      <c r="X534" t="str">
        <f t="shared" si="189"/>
        <v>C</v>
      </c>
      <c r="Y534" s="5">
        <v>643.21</v>
      </c>
      <c r="Z534" s="5">
        <v>1112.81</v>
      </c>
      <c r="AA534" s="5">
        <f t="shared" si="190"/>
        <v>1112.81</v>
      </c>
      <c r="AB534" s="7">
        <v>0.14099999999999999</v>
      </c>
      <c r="AC534" s="7">
        <f t="shared" si="191"/>
        <v>0.14099999999999999</v>
      </c>
      <c r="AD534" s="16">
        <f t="shared" si="192"/>
        <v>0</v>
      </c>
      <c r="AE534" s="16">
        <v>4</v>
      </c>
      <c r="AF534" s="5">
        <f t="shared" si="193"/>
        <v>3823.6151599999998</v>
      </c>
      <c r="AG534">
        <f t="shared" si="194"/>
        <v>2572.84</v>
      </c>
      <c r="AH534" s="5">
        <f t="shared" si="195"/>
        <v>1250.7751599999997</v>
      </c>
      <c r="AI534" s="5">
        <f t="shared" si="196"/>
        <v>0.32711847496702562</v>
      </c>
      <c r="AJ534" s="5">
        <f t="shared" si="199"/>
        <v>10759427.667710012</v>
      </c>
      <c r="AK534" s="7">
        <f t="shared" si="197"/>
        <v>0.9829760463841426</v>
      </c>
      <c r="AL534" s="17">
        <f>MIN(AC534,'What-If Analysis'!$B$2)</f>
        <v>0.14099999999999999</v>
      </c>
      <c r="AM534">
        <f>AE534*(1+'What-If Analysis'!$B$3)</f>
        <v>5.2</v>
      </c>
      <c r="AN534">
        <f>Y534*(1+'What-If Analysis'!$B$4)</f>
        <v>707.53100000000006</v>
      </c>
      <c r="AO534">
        <f t="shared" si="198"/>
        <v>4970.6997080000001</v>
      </c>
    </row>
    <row r="535" spans="1:41" x14ac:dyDescent="0.3">
      <c r="A535" t="s">
        <v>97</v>
      </c>
      <c r="B535" s="3">
        <v>45791</v>
      </c>
      <c r="C535" s="3">
        <f t="shared" si="179"/>
        <v>45791</v>
      </c>
      <c r="D535" s="3">
        <v>45801</v>
      </c>
      <c r="E535" s="3">
        <f t="shared" si="180"/>
        <v>45801</v>
      </c>
      <c r="F535" s="16">
        <f t="shared" si="181"/>
        <v>10</v>
      </c>
      <c r="G535" s="16">
        <f>IF(Data!F481&lt;=7,1,0)</f>
        <v>1</v>
      </c>
      <c r="H535" s="5" t="str">
        <f t="shared" si="182"/>
        <v>05-2025</v>
      </c>
      <c r="I535" s="5" t="str">
        <f t="shared" si="183"/>
        <v>Q2-2025</v>
      </c>
      <c r="J535" s="3">
        <f t="shared" si="184"/>
        <v>44936</v>
      </c>
      <c r="K535" s="5" t="str">
        <f t="shared" si="185"/>
        <v>01-2023</v>
      </c>
      <c r="L535" t="s">
        <v>649</v>
      </c>
      <c r="M535" t="s">
        <v>657</v>
      </c>
      <c r="N535" t="s">
        <v>690</v>
      </c>
      <c r="O535" t="str">
        <f t="shared" si="186"/>
        <v>Paris</v>
      </c>
      <c r="P535" t="s">
        <v>705</v>
      </c>
      <c r="Q535" t="s">
        <v>709</v>
      </c>
      <c r="R535" t="str">
        <f t="shared" si="187"/>
        <v>Marketplace</v>
      </c>
      <c r="S535" t="s">
        <v>723</v>
      </c>
      <c r="T535" t="str">
        <f t="shared" si="200"/>
        <v>K. Singh</v>
      </c>
      <c r="U535" t="s">
        <v>727</v>
      </c>
      <c r="V535" t="str">
        <f t="shared" si="188"/>
        <v>Low</v>
      </c>
      <c r="W535" t="s">
        <v>816</v>
      </c>
      <c r="X535" t="str">
        <f t="shared" si="189"/>
        <v>C</v>
      </c>
      <c r="Y535" s="5">
        <v>170.39</v>
      </c>
      <c r="Z535" s="5">
        <v>388.04</v>
      </c>
      <c r="AA535" s="5">
        <f t="shared" si="190"/>
        <v>388.04</v>
      </c>
      <c r="AB535" s="7">
        <v>8.4000000000000005E-2</v>
      </c>
      <c r="AC535" s="7">
        <f t="shared" si="191"/>
        <v>8.4000000000000005E-2</v>
      </c>
      <c r="AD535" s="16">
        <f t="shared" si="192"/>
        <v>0</v>
      </c>
      <c r="AE535" s="16">
        <v>15</v>
      </c>
      <c r="AF535" s="5">
        <f t="shared" si="193"/>
        <v>5331.6696000000002</v>
      </c>
      <c r="AG535">
        <f t="shared" si="194"/>
        <v>2555.85</v>
      </c>
      <c r="AH535" s="5">
        <f t="shared" si="195"/>
        <v>2775.8196000000003</v>
      </c>
      <c r="AI535" s="5">
        <f t="shared" si="196"/>
        <v>0.52062858508711796</v>
      </c>
      <c r="AJ535" s="5">
        <f t="shared" si="199"/>
        <v>10764759.337310012</v>
      </c>
      <c r="AK535" s="7">
        <f t="shared" si="197"/>
        <v>0.98346314510964117</v>
      </c>
      <c r="AL535" s="17">
        <f>MIN(AC535,'What-If Analysis'!$B$2)</f>
        <v>8.4000000000000005E-2</v>
      </c>
      <c r="AM535">
        <f>AE535*(1+'What-If Analysis'!$B$3)</f>
        <v>19.5</v>
      </c>
      <c r="AN535">
        <f>Y535*(1+'What-If Analysis'!$B$4)</f>
        <v>187.429</v>
      </c>
      <c r="AO535">
        <f t="shared" si="198"/>
        <v>6931.1704800000007</v>
      </c>
    </row>
    <row r="536" spans="1:41" x14ac:dyDescent="0.3">
      <c r="A536" t="s">
        <v>272</v>
      </c>
      <c r="B536" s="3">
        <v>45835</v>
      </c>
      <c r="C536" s="3">
        <f t="shared" si="179"/>
        <v>45835</v>
      </c>
      <c r="D536" s="3">
        <v>45843</v>
      </c>
      <c r="E536" s="3">
        <f t="shared" si="180"/>
        <v>45843</v>
      </c>
      <c r="F536" s="16">
        <f t="shared" si="181"/>
        <v>8</v>
      </c>
      <c r="G536" s="16">
        <f>IF(Data!F515&lt;=7,1,0)</f>
        <v>0</v>
      </c>
      <c r="H536" s="5" t="str">
        <f t="shared" si="182"/>
        <v>06-2025</v>
      </c>
      <c r="I536" s="5" t="str">
        <f t="shared" si="183"/>
        <v>Q2-2025</v>
      </c>
      <c r="J536" s="3">
        <f t="shared" si="184"/>
        <v>44947</v>
      </c>
      <c r="K536" s="5" t="str">
        <f t="shared" si="185"/>
        <v>01-2023</v>
      </c>
      <c r="L536" t="s">
        <v>649</v>
      </c>
      <c r="M536" t="s">
        <v>656</v>
      </c>
      <c r="N536" t="s">
        <v>684</v>
      </c>
      <c r="O536" t="str">
        <f t="shared" si="186"/>
        <v>Munich</v>
      </c>
      <c r="P536" t="s">
        <v>705</v>
      </c>
      <c r="Q536" t="s">
        <v>711</v>
      </c>
      <c r="R536" t="str">
        <f t="shared" si="187"/>
        <v>Direct</v>
      </c>
      <c r="S536" t="s">
        <v>715</v>
      </c>
      <c r="T536" t="str">
        <f t="shared" si="200"/>
        <v>G. Dubois</v>
      </c>
      <c r="U536" t="s">
        <v>732</v>
      </c>
      <c r="V536" t="str">
        <f t="shared" si="188"/>
        <v>Low</v>
      </c>
      <c r="W536" t="s">
        <v>992</v>
      </c>
      <c r="X536" t="str">
        <f t="shared" si="189"/>
        <v>C</v>
      </c>
      <c r="Y536" s="5">
        <v>314.93</v>
      </c>
      <c r="Z536" s="5">
        <v>687.95</v>
      </c>
      <c r="AA536" s="5">
        <f t="shared" si="190"/>
        <v>687.95</v>
      </c>
      <c r="AB536" s="7">
        <v>0.20499999999999999</v>
      </c>
      <c r="AC536" s="7">
        <f t="shared" si="191"/>
        <v>0.20499999999999999</v>
      </c>
      <c r="AD536" s="16">
        <f t="shared" si="192"/>
        <v>1</v>
      </c>
      <c r="AE536" s="16">
        <v>8</v>
      </c>
      <c r="AF536" s="5">
        <f t="shared" si="193"/>
        <v>4375.3620000000001</v>
      </c>
      <c r="AG536">
        <f t="shared" si="194"/>
        <v>2519.44</v>
      </c>
      <c r="AH536" s="5">
        <f t="shared" si="195"/>
        <v>1855.922</v>
      </c>
      <c r="AI536" s="5">
        <f t="shared" si="196"/>
        <v>0.424175645352316</v>
      </c>
      <c r="AJ536" s="5">
        <f t="shared" si="199"/>
        <v>10769134.699310012</v>
      </c>
      <c r="AK536" s="7">
        <f t="shared" si="197"/>
        <v>0.98386287604079159</v>
      </c>
      <c r="AL536" s="17">
        <f>MIN(AC536,'What-If Analysis'!$B$2)</f>
        <v>0.2</v>
      </c>
      <c r="AM536">
        <f>AE536*(1+'What-If Analysis'!$B$3)</f>
        <v>10.4</v>
      </c>
      <c r="AN536">
        <f>Y536*(1+'What-If Analysis'!$B$4)</f>
        <v>346.42300000000006</v>
      </c>
      <c r="AO536">
        <f t="shared" si="198"/>
        <v>5723.7440000000006</v>
      </c>
    </row>
    <row r="537" spans="1:41" x14ac:dyDescent="0.3">
      <c r="A537" t="s">
        <v>15</v>
      </c>
      <c r="B537" s="3">
        <v>45362</v>
      </c>
      <c r="C537" s="3">
        <f t="shared" si="179"/>
        <v>45362</v>
      </c>
      <c r="D537" s="3">
        <v>45388</v>
      </c>
      <c r="E537" s="3">
        <f t="shared" si="180"/>
        <v>45388</v>
      </c>
      <c r="F537" s="16">
        <f t="shared" si="181"/>
        <v>26</v>
      </c>
      <c r="G537" s="16">
        <f>IF(Data!F494&lt;=7,1,0)</f>
        <v>0</v>
      </c>
      <c r="H537" s="5" t="str">
        <f t="shared" si="182"/>
        <v>03-2024</v>
      </c>
      <c r="I537" s="5" t="str">
        <f t="shared" si="183"/>
        <v>Q1-2024</v>
      </c>
      <c r="J537" s="3">
        <f t="shared" si="184"/>
        <v>44946</v>
      </c>
      <c r="K537" s="5" t="str">
        <f t="shared" si="185"/>
        <v>01-2023</v>
      </c>
      <c r="L537" t="s">
        <v>646</v>
      </c>
      <c r="M537" t="s">
        <v>650</v>
      </c>
      <c r="N537" t="s">
        <v>662</v>
      </c>
      <c r="O537" t="str">
        <f t="shared" si="186"/>
        <v>Kisumu</v>
      </c>
      <c r="P537" t="s">
        <v>701</v>
      </c>
      <c r="Q537" t="s">
        <v>707</v>
      </c>
      <c r="R537" t="str">
        <f t="shared" si="187"/>
        <v>Retail</v>
      </c>
      <c r="S537" t="s">
        <v>712</v>
      </c>
      <c r="T537" t="str">
        <f t="shared" si="200"/>
        <v>C. Otieno</v>
      </c>
      <c r="U537" t="s">
        <v>727</v>
      </c>
      <c r="V537" t="str">
        <f t="shared" si="188"/>
        <v>Low</v>
      </c>
      <c r="W537" t="s">
        <v>734</v>
      </c>
      <c r="X537" t="str">
        <f t="shared" si="189"/>
        <v>C</v>
      </c>
      <c r="Y537" s="5">
        <v>279.24</v>
      </c>
      <c r="Z537" s="5">
        <v>608.9</v>
      </c>
      <c r="AA537" s="5">
        <f t="shared" si="190"/>
        <v>608.9</v>
      </c>
      <c r="AB537" s="7">
        <v>0.112</v>
      </c>
      <c r="AC537" s="7">
        <f t="shared" si="191"/>
        <v>0.112</v>
      </c>
      <c r="AD537" s="16">
        <f t="shared" si="192"/>
        <v>0</v>
      </c>
      <c r="AE537" s="16">
        <v>9</v>
      </c>
      <c r="AF537" s="5">
        <f t="shared" si="193"/>
        <v>4866.3287999999993</v>
      </c>
      <c r="AG537">
        <f t="shared" si="194"/>
        <v>2513.16</v>
      </c>
      <c r="AH537" s="5">
        <f t="shared" si="195"/>
        <v>2353.1687999999995</v>
      </c>
      <c r="AI537" s="5">
        <f t="shared" si="196"/>
        <v>0.48356140670149533</v>
      </c>
      <c r="AJ537" s="5">
        <f t="shared" si="199"/>
        <v>10774001.028110012</v>
      </c>
      <c r="AK537" s="7">
        <f t="shared" si="197"/>
        <v>0.98430746145852577</v>
      </c>
      <c r="AL537" s="17">
        <f>MIN(AC537,'What-If Analysis'!$B$2)</f>
        <v>0.112</v>
      </c>
      <c r="AM537">
        <f>AE537*(1+'What-If Analysis'!$B$3)</f>
        <v>11.700000000000001</v>
      </c>
      <c r="AN537">
        <f>Y537*(1+'What-If Analysis'!$B$4)</f>
        <v>307.16400000000004</v>
      </c>
      <c r="AO537">
        <f t="shared" si="198"/>
        <v>6326.2274400000006</v>
      </c>
    </row>
    <row r="538" spans="1:41" x14ac:dyDescent="0.3">
      <c r="A538" t="s">
        <v>417</v>
      </c>
      <c r="B538" s="3">
        <v>45497</v>
      </c>
      <c r="C538" s="3">
        <f t="shared" si="179"/>
        <v>45497</v>
      </c>
      <c r="D538" s="3">
        <v>45512</v>
      </c>
      <c r="E538" s="3">
        <f t="shared" si="180"/>
        <v>45512</v>
      </c>
      <c r="F538" s="16">
        <f t="shared" si="181"/>
        <v>15</v>
      </c>
      <c r="G538" s="16">
        <f>IF(Data!F485&lt;=7,1,0)</f>
        <v>0</v>
      </c>
      <c r="H538" s="5" t="str">
        <f t="shared" si="182"/>
        <v>07-2024</v>
      </c>
      <c r="I538" s="5" t="str">
        <f t="shared" si="183"/>
        <v>Q3-2024</v>
      </c>
      <c r="J538" s="3">
        <f t="shared" si="184"/>
        <v>44936</v>
      </c>
      <c r="K538" s="5" t="str">
        <f t="shared" si="185"/>
        <v>01-2023</v>
      </c>
      <c r="L538" t="s">
        <v>649</v>
      </c>
      <c r="M538" t="s">
        <v>657</v>
      </c>
      <c r="N538" t="s">
        <v>673</v>
      </c>
      <c r="O538" t="str">
        <f t="shared" si="186"/>
        <v>Marseille</v>
      </c>
      <c r="P538" t="s">
        <v>706</v>
      </c>
      <c r="Q538" t="s">
        <v>709</v>
      </c>
      <c r="R538" t="str">
        <f t="shared" si="187"/>
        <v>Marketplace</v>
      </c>
      <c r="S538" t="s">
        <v>722</v>
      </c>
      <c r="T538" t="str">
        <f t="shared" si="200"/>
        <v>H. Kim</v>
      </c>
      <c r="U538" t="s">
        <v>731</v>
      </c>
      <c r="V538" t="str">
        <f t="shared" si="188"/>
        <v>Medium</v>
      </c>
      <c r="W538" t="s">
        <v>1136</v>
      </c>
      <c r="X538" t="str">
        <f t="shared" si="189"/>
        <v>C</v>
      </c>
      <c r="Y538" s="5">
        <v>501.5</v>
      </c>
      <c r="Z538" s="5">
        <v>1201.47</v>
      </c>
      <c r="AA538" s="5">
        <f t="shared" si="190"/>
        <v>1201.47</v>
      </c>
      <c r="AB538" s="7">
        <v>0.126</v>
      </c>
      <c r="AC538" s="7">
        <f t="shared" si="191"/>
        <v>0.126</v>
      </c>
      <c r="AD538" s="16">
        <f t="shared" si="192"/>
        <v>0</v>
      </c>
      <c r="AE538" s="16">
        <v>5</v>
      </c>
      <c r="AF538" s="5">
        <f t="shared" si="193"/>
        <v>5250.4239000000007</v>
      </c>
      <c r="AG538">
        <f t="shared" si="194"/>
        <v>2507.5</v>
      </c>
      <c r="AH538" s="5">
        <f t="shared" si="195"/>
        <v>2742.9239000000007</v>
      </c>
      <c r="AI538" s="5">
        <f t="shared" si="196"/>
        <v>0.52241951359394057</v>
      </c>
      <c r="AJ538" s="5">
        <f t="shared" si="199"/>
        <v>10779251.452010013</v>
      </c>
      <c r="AK538" s="7">
        <f t="shared" si="197"/>
        <v>0.9847871376166315</v>
      </c>
      <c r="AL538" s="17">
        <f>MIN(AC538,'What-If Analysis'!$B$2)</f>
        <v>0.126</v>
      </c>
      <c r="AM538">
        <f>AE538*(1+'What-If Analysis'!$B$3)</f>
        <v>6.5</v>
      </c>
      <c r="AN538">
        <f>Y538*(1+'What-If Analysis'!$B$4)</f>
        <v>551.65000000000009</v>
      </c>
      <c r="AO538">
        <f t="shared" si="198"/>
        <v>6825.5510700000004</v>
      </c>
    </row>
    <row r="539" spans="1:41" x14ac:dyDescent="0.3">
      <c r="A539" t="s">
        <v>641</v>
      </c>
      <c r="B539" s="3">
        <v>45141</v>
      </c>
      <c r="C539" s="3">
        <f t="shared" si="179"/>
        <v>45141</v>
      </c>
      <c r="D539" s="3">
        <v>45168</v>
      </c>
      <c r="E539" s="3">
        <f t="shared" si="180"/>
        <v>45168</v>
      </c>
      <c r="F539" s="16">
        <f t="shared" si="181"/>
        <v>27</v>
      </c>
      <c r="G539" s="16">
        <f>IF(Data!F490&lt;=7,1,0)</f>
        <v>0</v>
      </c>
      <c r="H539" s="5" t="str">
        <f t="shared" si="182"/>
        <v>08-2023</v>
      </c>
      <c r="I539" s="5" t="str">
        <f t="shared" si="183"/>
        <v>Q3-2023</v>
      </c>
      <c r="J539" s="3">
        <f t="shared" si="184"/>
        <v>44938</v>
      </c>
      <c r="K539" s="5" t="str">
        <f t="shared" si="185"/>
        <v>01-2023</v>
      </c>
      <c r="L539" t="s">
        <v>647</v>
      </c>
      <c r="M539" t="s">
        <v>659</v>
      </c>
      <c r="N539" t="s">
        <v>685</v>
      </c>
      <c r="O539" t="str">
        <f t="shared" si="186"/>
        <v>Shanghai</v>
      </c>
      <c r="P539" t="s">
        <v>704</v>
      </c>
      <c r="Q539" t="s">
        <v>710</v>
      </c>
      <c r="R539" t="str">
        <f t="shared" si="187"/>
        <v>Distributor</v>
      </c>
      <c r="S539" t="s">
        <v>725</v>
      </c>
      <c r="T539" t="str">
        <f t="shared" si="200"/>
        <v>N. Brown</v>
      </c>
      <c r="U539" t="s">
        <v>732</v>
      </c>
      <c r="V539" t="str">
        <f t="shared" si="188"/>
        <v>Low</v>
      </c>
      <c r="W539" t="s">
        <v>1359</v>
      </c>
      <c r="X539" t="str">
        <f t="shared" si="189"/>
        <v>C</v>
      </c>
      <c r="Y539" s="5">
        <v>226.04</v>
      </c>
      <c r="Z539" s="5">
        <v>545.72</v>
      </c>
      <c r="AA539" s="5">
        <f t="shared" si="190"/>
        <v>545.72</v>
      </c>
      <c r="AB539" s="7">
        <v>0.151</v>
      </c>
      <c r="AC539" s="7">
        <f t="shared" si="191"/>
        <v>0.151</v>
      </c>
      <c r="AD539" s="16">
        <f t="shared" si="192"/>
        <v>0</v>
      </c>
      <c r="AE539" s="16">
        <v>11</v>
      </c>
      <c r="AF539" s="5">
        <f t="shared" si="193"/>
        <v>5096.4790800000001</v>
      </c>
      <c r="AG539">
        <f t="shared" si="194"/>
        <v>2486.44</v>
      </c>
      <c r="AH539" s="5">
        <f t="shared" si="195"/>
        <v>2610.03908</v>
      </c>
      <c r="AI539" s="5">
        <f t="shared" si="196"/>
        <v>0.51212592831834014</v>
      </c>
      <c r="AJ539" s="5">
        <f t="shared" si="199"/>
        <v>10784347.931090014</v>
      </c>
      <c r="AK539" s="7">
        <f t="shared" si="197"/>
        <v>0.98525274945131791</v>
      </c>
      <c r="AL539" s="17">
        <f>MIN(AC539,'What-If Analysis'!$B$2)</f>
        <v>0.151</v>
      </c>
      <c r="AM539">
        <f>AE539*(1+'What-If Analysis'!$B$3)</f>
        <v>14.3</v>
      </c>
      <c r="AN539">
        <f>Y539*(1+'What-If Analysis'!$B$4)</f>
        <v>248.64400000000001</v>
      </c>
      <c r="AO539">
        <f t="shared" si="198"/>
        <v>6625.4228040000007</v>
      </c>
    </row>
    <row r="540" spans="1:41" x14ac:dyDescent="0.3">
      <c r="A540" t="s">
        <v>509</v>
      </c>
      <c r="B540" s="3">
        <v>45508</v>
      </c>
      <c r="C540" s="3">
        <f t="shared" si="179"/>
        <v>45508</v>
      </c>
      <c r="D540" s="3">
        <v>45521</v>
      </c>
      <c r="E540" s="3">
        <f t="shared" si="180"/>
        <v>45521</v>
      </c>
      <c r="F540" s="16">
        <f t="shared" si="181"/>
        <v>13</v>
      </c>
      <c r="G540" s="16">
        <f>IF(Data!F503&lt;=7,1,0)</f>
        <v>0</v>
      </c>
      <c r="H540" s="5" t="str">
        <f t="shared" si="182"/>
        <v>08-2024</v>
      </c>
      <c r="I540" s="5" t="str">
        <f t="shared" si="183"/>
        <v>Q3-2024</v>
      </c>
      <c r="J540" s="3">
        <f t="shared" si="184"/>
        <v>44939</v>
      </c>
      <c r="K540" s="5" t="str">
        <f t="shared" si="185"/>
        <v>01-2023</v>
      </c>
      <c r="L540" t="s">
        <v>648</v>
      </c>
      <c r="M540" t="s">
        <v>660</v>
      </c>
      <c r="N540" t="s">
        <v>697</v>
      </c>
      <c r="O540" t="str">
        <f t="shared" si="186"/>
        <v>Austin</v>
      </c>
      <c r="P540" t="s">
        <v>704</v>
      </c>
      <c r="Q540" t="s">
        <v>707</v>
      </c>
      <c r="R540" t="str">
        <f t="shared" si="187"/>
        <v>Retail</v>
      </c>
      <c r="S540" t="s">
        <v>726</v>
      </c>
      <c r="T540" t="str">
        <f t="shared" si="200"/>
        <v>D. Smith</v>
      </c>
      <c r="U540" t="s">
        <v>732</v>
      </c>
      <c r="V540" t="str">
        <f t="shared" si="188"/>
        <v>Low</v>
      </c>
      <c r="W540" t="s">
        <v>1228</v>
      </c>
      <c r="X540" t="str">
        <f t="shared" si="189"/>
        <v>C</v>
      </c>
      <c r="Y540" s="5">
        <v>352.79</v>
      </c>
      <c r="Z540" s="5">
        <v>754.22</v>
      </c>
      <c r="AA540" s="5">
        <f t="shared" si="190"/>
        <v>754.22</v>
      </c>
      <c r="AB540" s="7">
        <v>0.113</v>
      </c>
      <c r="AC540" s="7">
        <f t="shared" si="191"/>
        <v>0.113</v>
      </c>
      <c r="AD540" s="16">
        <f t="shared" si="192"/>
        <v>0</v>
      </c>
      <c r="AE540" s="16">
        <v>7</v>
      </c>
      <c r="AF540" s="5">
        <f t="shared" si="193"/>
        <v>4682.9519799999998</v>
      </c>
      <c r="AG540">
        <f t="shared" si="194"/>
        <v>2469.5300000000002</v>
      </c>
      <c r="AH540" s="5">
        <f t="shared" si="195"/>
        <v>2213.4219799999996</v>
      </c>
      <c r="AI540" s="5">
        <f t="shared" si="196"/>
        <v>0.47265528014233443</v>
      </c>
      <c r="AJ540" s="5">
        <f t="shared" si="199"/>
        <v>10789030.883070014</v>
      </c>
      <c r="AK540" s="7">
        <f t="shared" si="197"/>
        <v>0.98568058165251593</v>
      </c>
      <c r="AL540" s="17">
        <f>MIN(AC540,'What-If Analysis'!$B$2)</f>
        <v>0.113</v>
      </c>
      <c r="AM540">
        <f>AE540*(1+'What-If Analysis'!$B$3)</f>
        <v>9.1</v>
      </c>
      <c r="AN540">
        <f>Y540*(1+'What-If Analysis'!$B$4)</f>
        <v>388.06900000000007</v>
      </c>
      <c r="AO540">
        <f t="shared" si="198"/>
        <v>6087.8375740000001</v>
      </c>
    </row>
    <row r="541" spans="1:41" x14ac:dyDescent="0.3">
      <c r="A541" t="s">
        <v>148</v>
      </c>
      <c r="B541" s="3">
        <v>45666</v>
      </c>
      <c r="C541" s="3">
        <f t="shared" si="179"/>
        <v>45666</v>
      </c>
      <c r="D541" s="3">
        <v>45672</v>
      </c>
      <c r="E541" s="3">
        <f t="shared" si="180"/>
        <v>45672</v>
      </c>
      <c r="F541" s="16">
        <f t="shared" si="181"/>
        <v>6</v>
      </c>
      <c r="G541" s="16">
        <f>IF(Data!F542&lt;=7,1,0)</f>
        <v>0</v>
      </c>
      <c r="H541" s="5" t="str">
        <f t="shared" si="182"/>
        <v>01-2025</v>
      </c>
      <c r="I541" s="5" t="str">
        <f t="shared" si="183"/>
        <v>Q1-2025</v>
      </c>
      <c r="J541" s="3">
        <f t="shared" si="184"/>
        <v>44938</v>
      </c>
      <c r="K541" s="5" t="str">
        <f t="shared" si="185"/>
        <v>01-2023</v>
      </c>
      <c r="L541" t="s">
        <v>647</v>
      </c>
      <c r="M541" t="s">
        <v>659</v>
      </c>
      <c r="N541" t="s">
        <v>699</v>
      </c>
      <c r="O541" t="str">
        <f t="shared" si="186"/>
        <v>Beijing</v>
      </c>
      <c r="P541" t="s">
        <v>702</v>
      </c>
      <c r="Q541" t="s">
        <v>708</v>
      </c>
      <c r="R541" t="str">
        <f t="shared" si="187"/>
        <v>Online</v>
      </c>
      <c r="S541" t="s">
        <v>712</v>
      </c>
      <c r="T541" t="str">
        <f t="shared" si="200"/>
        <v>C. Otieno</v>
      </c>
      <c r="U541" t="s">
        <v>730</v>
      </c>
      <c r="V541" t="str">
        <f t="shared" si="188"/>
        <v>Low</v>
      </c>
      <c r="W541" t="s">
        <v>867</v>
      </c>
      <c r="X541" t="str">
        <f t="shared" si="189"/>
        <v>C</v>
      </c>
      <c r="Y541" s="5">
        <v>304.77999999999997</v>
      </c>
      <c r="Z541" s="5">
        <v>537.27</v>
      </c>
      <c r="AA541" s="5">
        <f t="shared" si="190"/>
        <v>537.27</v>
      </c>
      <c r="AB541" s="7">
        <v>0.187</v>
      </c>
      <c r="AC541" s="7">
        <f t="shared" si="191"/>
        <v>0.187</v>
      </c>
      <c r="AD541" s="16">
        <f t="shared" si="192"/>
        <v>0</v>
      </c>
      <c r="AE541" s="16">
        <v>8</v>
      </c>
      <c r="AF541" s="5">
        <f t="shared" si="193"/>
        <v>3494.4040799999998</v>
      </c>
      <c r="AG541">
        <f t="shared" si="194"/>
        <v>2438.2399999999998</v>
      </c>
      <c r="AH541" s="5">
        <f t="shared" si="195"/>
        <v>1056.16408</v>
      </c>
      <c r="AI541" s="5">
        <f t="shared" si="196"/>
        <v>0.3022444044307549</v>
      </c>
      <c r="AJ541" s="5">
        <f t="shared" si="199"/>
        <v>10792525.287150014</v>
      </c>
      <c r="AK541" s="7">
        <f t="shared" si="197"/>
        <v>0.98599982869920932</v>
      </c>
      <c r="AL541" s="17">
        <f>MIN(AC541,'What-If Analysis'!$B$2)</f>
        <v>0.187</v>
      </c>
      <c r="AM541">
        <f>AE541*(1+'What-If Analysis'!$B$3)</f>
        <v>10.4</v>
      </c>
      <c r="AN541">
        <f>Y541*(1+'What-If Analysis'!$B$4)</f>
        <v>335.25799999999998</v>
      </c>
      <c r="AO541">
        <f t="shared" si="198"/>
        <v>4542.7253039999996</v>
      </c>
    </row>
    <row r="542" spans="1:41" x14ac:dyDescent="0.3">
      <c r="A542" t="s">
        <v>236</v>
      </c>
      <c r="B542" s="3">
        <v>45164</v>
      </c>
      <c r="C542" s="3">
        <f t="shared" si="179"/>
        <v>45164</v>
      </c>
      <c r="D542" s="3">
        <v>45179</v>
      </c>
      <c r="E542" s="3">
        <f t="shared" si="180"/>
        <v>45179</v>
      </c>
      <c r="F542" s="16">
        <f t="shared" si="181"/>
        <v>15</v>
      </c>
      <c r="G542" s="16">
        <f>IF(Data!F509&lt;=7,1,0)</f>
        <v>0</v>
      </c>
      <c r="H542" s="5" t="str">
        <f t="shared" si="182"/>
        <v>08-2023</v>
      </c>
      <c r="I542" s="5" t="str">
        <f t="shared" si="183"/>
        <v>Q3-2023</v>
      </c>
      <c r="J542" s="3">
        <f t="shared" si="184"/>
        <v>44933</v>
      </c>
      <c r="K542" s="5" t="str">
        <f t="shared" si="185"/>
        <v>01-2023</v>
      </c>
      <c r="L542" t="s">
        <v>646</v>
      </c>
      <c r="M542" t="s">
        <v>661</v>
      </c>
      <c r="N542" t="s">
        <v>695</v>
      </c>
      <c r="O542" t="str">
        <f t="shared" si="186"/>
        <v>Cape Town</v>
      </c>
      <c r="P542" t="s">
        <v>703</v>
      </c>
      <c r="Q542" t="s">
        <v>711</v>
      </c>
      <c r="R542" t="str">
        <f t="shared" si="187"/>
        <v>Direct</v>
      </c>
      <c r="S542" t="s">
        <v>725</v>
      </c>
      <c r="T542" t="str">
        <f t="shared" si="200"/>
        <v>N. Brown</v>
      </c>
      <c r="U542" t="s">
        <v>727</v>
      </c>
      <c r="V542" t="str">
        <f t="shared" si="188"/>
        <v>Low</v>
      </c>
      <c r="W542" t="s">
        <v>956</v>
      </c>
      <c r="X542" t="str">
        <f t="shared" si="189"/>
        <v>C</v>
      </c>
      <c r="Y542" s="5">
        <v>241.14</v>
      </c>
      <c r="Z542" s="5">
        <v>496.52</v>
      </c>
      <c r="AA542" s="5">
        <f t="shared" si="190"/>
        <v>496.52</v>
      </c>
      <c r="AB542" s="7">
        <v>9.2999999999999999E-2</v>
      </c>
      <c r="AC542" s="7">
        <f t="shared" si="191"/>
        <v>9.2999999999999999E-2</v>
      </c>
      <c r="AD542" s="16">
        <f t="shared" si="192"/>
        <v>0</v>
      </c>
      <c r="AE542" s="16">
        <v>10</v>
      </c>
      <c r="AF542" s="5">
        <f t="shared" si="193"/>
        <v>4503.4363999999996</v>
      </c>
      <c r="AG542">
        <f t="shared" si="194"/>
        <v>2411.3999999999996</v>
      </c>
      <c r="AH542" s="5">
        <f t="shared" si="195"/>
        <v>2092.0364</v>
      </c>
      <c r="AI542" s="5">
        <f t="shared" si="196"/>
        <v>0.46454223268257994</v>
      </c>
      <c r="AJ542" s="5">
        <f t="shared" si="199"/>
        <v>10797028.723550014</v>
      </c>
      <c r="AK542" s="7">
        <f t="shared" si="197"/>
        <v>0.98641126044486793</v>
      </c>
      <c r="AL542" s="17">
        <f>MIN(AC542,'What-If Analysis'!$B$2)</f>
        <v>9.2999999999999999E-2</v>
      </c>
      <c r="AM542">
        <f>AE542*(1+'What-If Analysis'!$B$3)</f>
        <v>13</v>
      </c>
      <c r="AN542">
        <f>Y542*(1+'What-If Analysis'!$B$4)</f>
        <v>265.25400000000002</v>
      </c>
      <c r="AO542">
        <f t="shared" si="198"/>
        <v>5854.4673200000007</v>
      </c>
    </row>
    <row r="543" spans="1:41" x14ac:dyDescent="0.3">
      <c r="A543" t="s">
        <v>348</v>
      </c>
      <c r="B543" s="3">
        <v>45774</v>
      </c>
      <c r="C543" s="3">
        <f t="shared" si="179"/>
        <v>45774</v>
      </c>
      <c r="D543" s="3">
        <v>45804</v>
      </c>
      <c r="E543" s="3">
        <f t="shared" si="180"/>
        <v>45804</v>
      </c>
      <c r="F543" s="16">
        <f t="shared" si="181"/>
        <v>30</v>
      </c>
      <c r="G543" s="16">
        <f>IF(Data!F495&lt;=7,1,0)</f>
        <v>0</v>
      </c>
      <c r="H543" s="5" t="str">
        <f t="shared" si="182"/>
        <v>04-2025</v>
      </c>
      <c r="I543" s="5" t="str">
        <f t="shared" si="183"/>
        <v>Q2-2025</v>
      </c>
      <c r="J543" s="3">
        <f t="shared" si="184"/>
        <v>44955</v>
      </c>
      <c r="K543" s="5" t="str">
        <f t="shared" si="185"/>
        <v>01-2023</v>
      </c>
      <c r="L543" t="s">
        <v>647</v>
      </c>
      <c r="M543" t="s">
        <v>654</v>
      </c>
      <c r="O543" t="str">
        <f t="shared" si="186"/>
        <v>Delhi</v>
      </c>
      <c r="P543" t="s">
        <v>706</v>
      </c>
      <c r="Q543" t="s">
        <v>709</v>
      </c>
      <c r="R543" t="str">
        <f t="shared" si="187"/>
        <v>Marketplace</v>
      </c>
      <c r="S543" t="s">
        <v>722</v>
      </c>
      <c r="T543" t="str">
        <f t="shared" si="200"/>
        <v>H. Kim</v>
      </c>
      <c r="U543" t="s">
        <v>730</v>
      </c>
      <c r="V543" t="str">
        <f t="shared" si="188"/>
        <v>Medium</v>
      </c>
      <c r="W543" t="s">
        <v>1068</v>
      </c>
      <c r="X543" t="str">
        <f t="shared" si="189"/>
        <v>C</v>
      </c>
      <c r="Y543" s="5">
        <v>481.32</v>
      </c>
      <c r="Z543" s="5">
        <v>1135.99</v>
      </c>
      <c r="AA543" s="5">
        <f t="shared" si="190"/>
        <v>1135.99</v>
      </c>
      <c r="AB543" s="7">
        <v>0.14499999999999999</v>
      </c>
      <c r="AC543" s="7">
        <f t="shared" si="191"/>
        <v>0.14499999999999999</v>
      </c>
      <c r="AD543" s="16">
        <f t="shared" si="192"/>
        <v>0</v>
      </c>
      <c r="AE543" s="16">
        <v>5</v>
      </c>
      <c r="AF543" s="5">
        <f t="shared" si="193"/>
        <v>4856.35725</v>
      </c>
      <c r="AG543">
        <f t="shared" si="194"/>
        <v>2406.6</v>
      </c>
      <c r="AH543" s="5">
        <f t="shared" si="195"/>
        <v>2449.7572500000001</v>
      </c>
      <c r="AI543" s="5">
        <f t="shared" si="196"/>
        <v>0.50444337677175621</v>
      </c>
      <c r="AJ543" s="5">
        <f t="shared" si="199"/>
        <v>10801885.080800014</v>
      </c>
      <c r="AK543" s="7">
        <f t="shared" si="197"/>
        <v>0.98685493486667386</v>
      </c>
      <c r="AL543" s="17">
        <f>MIN(AC543,'What-If Analysis'!$B$2)</f>
        <v>0.14499999999999999</v>
      </c>
      <c r="AM543">
        <f>AE543*(1+'What-If Analysis'!$B$3)</f>
        <v>6.5</v>
      </c>
      <c r="AN543">
        <f>Y543*(1+'What-If Analysis'!$B$4)</f>
        <v>529.452</v>
      </c>
      <c r="AO543">
        <f t="shared" si="198"/>
        <v>6313.2644250000003</v>
      </c>
    </row>
    <row r="544" spans="1:41" x14ac:dyDescent="0.3">
      <c r="A544" t="s">
        <v>495</v>
      </c>
      <c r="B544" s="3">
        <v>45538</v>
      </c>
      <c r="C544" s="3">
        <f t="shared" si="179"/>
        <v>45538</v>
      </c>
      <c r="D544" s="3">
        <v>45542</v>
      </c>
      <c r="E544" s="3">
        <f t="shared" si="180"/>
        <v>45542</v>
      </c>
      <c r="F544" s="16">
        <f t="shared" si="181"/>
        <v>4</v>
      </c>
      <c r="G544" s="16">
        <f>IF(Data!F500&lt;=7,1,0)</f>
        <v>0</v>
      </c>
      <c r="H544" s="5" t="str">
        <f t="shared" si="182"/>
        <v>09-2024</v>
      </c>
      <c r="I544" s="5" t="str">
        <f t="shared" si="183"/>
        <v>Q3-2024</v>
      </c>
      <c r="J544" s="3">
        <f t="shared" si="184"/>
        <v>44988</v>
      </c>
      <c r="K544" s="5" t="str">
        <f t="shared" si="185"/>
        <v>03-2023</v>
      </c>
      <c r="L544" t="s">
        <v>647</v>
      </c>
      <c r="M544" t="s">
        <v>652</v>
      </c>
      <c r="N544" t="s">
        <v>689</v>
      </c>
      <c r="O544" t="str">
        <f t="shared" si="186"/>
        <v>Tokyo</v>
      </c>
      <c r="P544" t="s">
        <v>705</v>
      </c>
      <c r="Q544" t="s">
        <v>710</v>
      </c>
      <c r="R544" t="str">
        <f t="shared" si="187"/>
        <v>Distributor</v>
      </c>
      <c r="S544" t="s">
        <v>725</v>
      </c>
      <c r="T544" t="str">
        <f t="shared" si="200"/>
        <v>N. Brown</v>
      </c>
      <c r="U544" t="s">
        <v>728</v>
      </c>
      <c r="V544" t="str">
        <f t="shared" si="188"/>
        <v>Low</v>
      </c>
      <c r="W544" t="s">
        <v>1214</v>
      </c>
      <c r="X544" t="str">
        <f t="shared" si="189"/>
        <v>C</v>
      </c>
      <c r="Y544" s="5">
        <v>43.23</v>
      </c>
      <c r="Z544" s="5">
        <v>94.78</v>
      </c>
      <c r="AA544" s="5">
        <f t="shared" si="190"/>
        <v>94.78</v>
      </c>
      <c r="AB544" s="7">
        <v>9.0999999999999998E-2</v>
      </c>
      <c r="AC544" s="7">
        <f t="shared" si="191"/>
        <v>9.0999999999999998E-2</v>
      </c>
      <c r="AD544" s="16">
        <f t="shared" si="192"/>
        <v>0</v>
      </c>
      <c r="AE544" s="16">
        <v>55</v>
      </c>
      <c r="AF544" s="5">
        <f t="shared" si="193"/>
        <v>4738.5261</v>
      </c>
      <c r="AG544">
        <f t="shared" si="194"/>
        <v>2377.6499999999996</v>
      </c>
      <c r="AH544" s="5">
        <f t="shared" si="195"/>
        <v>2360.8761000000004</v>
      </c>
      <c r="AI544" s="5">
        <f t="shared" si="196"/>
        <v>0.49823005090127082</v>
      </c>
      <c r="AJ544" s="5">
        <f t="shared" si="199"/>
        <v>10806623.606900014</v>
      </c>
      <c r="AK544" s="7">
        <f t="shared" si="197"/>
        <v>0.98728784429227878</v>
      </c>
      <c r="AL544" s="17">
        <f>MIN(AC544,'What-If Analysis'!$B$2)</f>
        <v>9.0999999999999998E-2</v>
      </c>
      <c r="AM544">
        <f>AE544*(1+'What-If Analysis'!$B$3)</f>
        <v>71.5</v>
      </c>
      <c r="AN544">
        <f>Y544*(1+'What-If Analysis'!$B$4)</f>
        <v>47.552999999999997</v>
      </c>
      <c r="AO544">
        <f t="shared" si="198"/>
        <v>6160.0839300000007</v>
      </c>
    </row>
    <row r="545" spans="1:41" x14ac:dyDescent="0.3">
      <c r="A545" t="s">
        <v>448</v>
      </c>
      <c r="B545" s="3">
        <v>45542</v>
      </c>
      <c r="C545" s="3">
        <f t="shared" si="179"/>
        <v>45542</v>
      </c>
      <c r="D545" s="3">
        <v>45553</v>
      </c>
      <c r="E545" s="3">
        <f t="shared" si="180"/>
        <v>45553</v>
      </c>
      <c r="F545" s="16">
        <f t="shared" si="181"/>
        <v>11</v>
      </c>
      <c r="G545" s="16">
        <f>IF(Data!F573&lt;=7,1,0)</f>
        <v>0</v>
      </c>
      <c r="H545" s="5" t="str">
        <f t="shared" si="182"/>
        <v>09-2024</v>
      </c>
      <c r="I545" s="5" t="str">
        <f t="shared" si="183"/>
        <v>Q3-2024</v>
      </c>
      <c r="J545" s="3">
        <f t="shared" si="184"/>
        <v>44938</v>
      </c>
      <c r="K545" s="5" t="str">
        <f t="shared" si="185"/>
        <v>01-2023</v>
      </c>
      <c r="L545" t="s">
        <v>647</v>
      </c>
      <c r="M545" t="s">
        <v>659</v>
      </c>
      <c r="N545" t="s">
        <v>699</v>
      </c>
      <c r="O545" t="str">
        <f t="shared" si="186"/>
        <v>Beijing</v>
      </c>
      <c r="P545" t="s">
        <v>704</v>
      </c>
      <c r="Q545" t="s">
        <v>710</v>
      </c>
      <c r="R545" t="str">
        <f t="shared" si="187"/>
        <v>Distributor</v>
      </c>
      <c r="S545" t="s">
        <v>719</v>
      </c>
      <c r="T545" t="str">
        <f t="shared" si="200"/>
        <v>O. Wang</v>
      </c>
      <c r="U545" t="s">
        <v>729</v>
      </c>
      <c r="V545" t="str">
        <f t="shared" si="188"/>
        <v>Low</v>
      </c>
      <c r="W545" t="s">
        <v>1167</v>
      </c>
      <c r="X545" t="str">
        <f t="shared" si="189"/>
        <v>C</v>
      </c>
      <c r="Y545" s="5">
        <v>181.74</v>
      </c>
      <c r="Z545" s="5">
        <v>190.84</v>
      </c>
      <c r="AA545" s="5">
        <f t="shared" si="190"/>
        <v>190.84</v>
      </c>
      <c r="AB545" s="7">
        <v>0.214</v>
      </c>
      <c r="AC545" s="7">
        <f t="shared" si="191"/>
        <v>0.214</v>
      </c>
      <c r="AD545" s="16">
        <f t="shared" si="192"/>
        <v>1</v>
      </c>
      <c r="AE545" s="16">
        <v>13</v>
      </c>
      <c r="AF545" s="5">
        <f t="shared" si="193"/>
        <v>1950.0031200000001</v>
      </c>
      <c r="AG545">
        <f t="shared" si="194"/>
        <v>2362.62</v>
      </c>
      <c r="AH545" s="5">
        <f t="shared" si="195"/>
        <v>412.61687999999981</v>
      </c>
      <c r="AI545" s="5">
        <f t="shared" si="196"/>
        <v>0.21159806144310159</v>
      </c>
      <c r="AJ545" s="5">
        <f t="shared" si="199"/>
        <v>10808573.610020014</v>
      </c>
      <c r="AK545" s="7">
        <f t="shared" si="197"/>
        <v>0.9874659956230496</v>
      </c>
      <c r="AL545" s="17">
        <f>MIN(AC545,'What-If Analysis'!$B$2)</f>
        <v>0.2</v>
      </c>
      <c r="AM545">
        <f>AE545*(1+'What-If Analysis'!$B$3)</f>
        <v>16.900000000000002</v>
      </c>
      <c r="AN545">
        <f>Y545*(1+'What-If Analysis'!$B$4)</f>
        <v>199.91400000000002</v>
      </c>
      <c r="AO545">
        <f t="shared" si="198"/>
        <v>2580.1568000000007</v>
      </c>
    </row>
    <row r="546" spans="1:41" x14ac:dyDescent="0.3">
      <c r="A546" t="s">
        <v>311</v>
      </c>
      <c r="B546" s="3">
        <v>45097</v>
      </c>
      <c r="C546" s="3">
        <f t="shared" si="179"/>
        <v>45097</v>
      </c>
      <c r="D546" s="3">
        <v>45115</v>
      </c>
      <c r="E546" s="3">
        <f t="shared" si="180"/>
        <v>45115</v>
      </c>
      <c r="F546" s="16">
        <f t="shared" si="181"/>
        <v>18</v>
      </c>
      <c r="G546" s="16">
        <f>IF(Data!F545&lt;=7,1,0)</f>
        <v>0</v>
      </c>
      <c r="H546" s="5" t="str">
        <f t="shared" si="182"/>
        <v>06-2023</v>
      </c>
      <c r="I546" s="5" t="str">
        <f t="shared" si="183"/>
        <v>Q2-2023</v>
      </c>
      <c r="J546" s="3">
        <f t="shared" si="184"/>
        <v>44939</v>
      </c>
      <c r="K546" s="5" t="str">
        <f t="shared" si="185"/>
        <v>01-2023</v>
      </c>
      <c r="L546" t="s">
        <v>648</v>
      </c>
      <c r="M546" t="s">
        <v>660</v>
      </c>
      <c r="N546" t="s">
        <v>697</v>
      </c>
      <c r="O546" t="str">
        <f t="shared" si="186"/>
        <v>Austin</v>
      </c>
      <c r="P546" t="s">
        <v>703</v>
      </c>
      <c r="Q546" t="s">
        <v>711</v>
      </c>
      <c r="R546" t="str">
        <f t="shared" si="187"/>
        <v>Direct</v>
      </c>
      <c r="S546" t="s">
        <v>721</v>
      </c>
      <c r="T546" t="str">
        <f t="shared" si="200"/>
        <v>F. Müller</v>
      </c>
      <c r="U546" t="s">
        <v>732</v>
      </c>
      <c r="V546" t="str">
        <f t="shared" si="188"/>
        <v>Low</v>
      </c>
      <c r="W546" t="s">
        <v>1031</v>
      </c>
      <c r="X546" t="str">
        <f t="shared" si="189"/>
        <v>C</v>
      </c>
      <c r="Y546" s="5">
        <v>337</v>
      </c>
      <c r="Z546" s="5">
        <v>511.03</v>
      </c>
      <c r="AA546" s="5">
        <f t="shared" si="190"/>
        <v>511.03</v>
      </c>
      <c r="AB546" s="7">
        <v>0.108</v>
      </c>
      <c r="AC546" s="7">
        <f t="shared" si="191"/>
        <v>0.108</v>
      </c>
      <c r="AD546" s="16">
        <f t="shared" si="192"/>
        <v>0</v>
      </c>
      <c r="AE546" s="16">
        <v>7</v>
      </c>
      <c r="AF546" s="5">
        <f t="shared" si="193"/>
        <v>3190.8713200000002</v>
      </c>
      <c r="AG546">
        <f t="shared" si="194"/>
        <v>2359</v>
      </c>
      <c r="AH546" s="5">
        <f t="shared" si="195"/>
        <v>831.8713200000002</v>
      </c>
      <c r="AI546" s="5">
        <f t="shared" si="196"/>
        <v>0.26070349963219458</v>
      </c>
      <c r="AJ546" s="5">
        <f t="shared" si="199"/>
        <v>10811764.481340013</v>
      </c>
      <c r="AK546" s="7">
        <f t="shared" si="197"/>
        <v>0.98775751206532902</v>
      </c>
      <c r="AL546" s="17">
        <f>MIN(AC546,'What-If Analysis'!$B$2)</f>
        <v>0.108</v>
      </c>
      <c r="AM546">
        <f>AE546*(1+'What-If Analysis'!$B$3)</f>
        <v>9.1</v>
      </c>
      <c r="AN546">
        <f>Y546*(1+'What-If Analysis'!$B$4)</f>
        <v>370.70000000000005</v>
      </c>
      <c r="AO546">
        <f t="shared" si="198"/>
        <v>4148.1327160000001</v>
      </c>
    </row>
    <row r="547" spans="1:41" x14ac:dyDescent="0.3">
      <c r="A547" t="s">
        <v>21</v>
      </c>
      <c r="B547" s="3">
        <v>45653</v>
      </c>
      <c r="C547" s="3">
        <f t="shared" si="179"/>
        <v>45653</v>
      </c>
      <c r="D547" s="3">
        <v>45671</v>
      </c>
      <c r="E547" s="3">
        <f t="shared" si="180"/>
        <v>45671</v>
      </c>
      <c r="F547" s="16">
        <f t="shared" si="181"/>
        <v>18</v>
      </c>
      <c r="G547" s="16">
        <f>IF(Data!F551&lt;=7,1,0)</f>
        <v>0</v>
      </c>
      <c r="H547" s="5" t="str">
        <f t="shared" si="182"/>
        <v>12-2024</v>
      </c>
      <c r="I547" s="5" t="str">
        <f t="shared" si="183"/>
        <v>Q4-2024</v>
      </c>
      <c r="J547" s="3">
        <f t="shared" si="184"/>
        <v>44955</v>
      </c>
      <c r="K547" s="5" t="str">
        <f t="shared" si="185"/>
        <v>01-2023</v>
      </c>
      <c r="L547" t="s">
        <v>647</v>
      </c>
      <c r="M547" t="s">
        <v>654</v>
      </c>
      <c r="N547" t="s">
        <v>668</v>
      </c>
      <c r="O547" t="str">
        <f t="shared" si="186"/>
        <v>Bengaluru</v>
      </c>
      <c r="P547" t="s">
        <v>705</v>
      </c>
      <c r="Q547" t="s">
        <v>709</v>
      </c>
      <c r="R547" t="str">
        <f t="shared" si="187"/>
        <v>Marketplace</v>
      </c>
      <c r="S547" t="s">
        <v>718</v>
      </c>
      <c r="T547" t="str">
        <f t="shared" si="200"/>
        <v>E. Garcia</v>
      </c>
      <c r="U547" t="s">
        <v>732</v>
      </c>
      <c r="V547" t="str">
        <f t="shared" si="188"/>
        <v>Medium</v>
      </c>
      <c r="W547" t="s">
        <v>740</v>
      </c>
      <c r="X547" t="str">
        <f t="shared" si="189"/>
        <v>C</v>
      </c>
      <c r="Y547" s="5">
        <v>586.07000000000005</v>
      </c>
      <c r="Z547" s="5">
        <v>845.97</v>
      </c>
      <c r="AA547" s="5">
        <f t="shared" si="190"/>
        <v>845.97</v>
      </c>
      <c r="AB547" s="7">
        <v>0.14699999999999999</v>
      </c>
      <c r="AC547" s="7">
        <f t="shared" si="191"/>
        <v>0.14699999999999999</v>
      </c>
      <c r="AD547" s="16">
        <f t="shared" si="192"/>
        <v>0</v>
      </c>
      <c r="AE547" s="16">
        <v>4</v>
      </c>
      <c r="AF547" s="5">
        <f t="shared" si="193"/>
        <v>2886.4496399999998</v>
      </c>
      <c r="AG547">
        <f t="shared" si="194"/>
        <v>2344.2800000000002</v>
      </c>
      <c r="AH547" s="5">
        <f t="shared" si="195"/>
        <v>542.16963999999962</v>
      </c>
      <c r="AI547" s="5">
        <f t="shared" si="196"/>
        <v>0.18783270370862928</v>
      </c>
      <c r="AJ547" s="5">
        <f t="shared" si="199"/>
        <v>10814650.930980014</v>
      </c>
      <c r="AK547" s="7">
        <f t="shared" si="197"/>
        <v>0.98802121669189846</v>
      </c>
      <c r="AL547" s="17">
        <f>MIN(AC547,'What-If Analysis'!$B$2)</f>
        <v>0.14699999999999999</v>
      </c>
      <c r="AM547">
        <f>AE547*(1+'What-If Analysis'!$B$3)</f>
        <v>5.2</v>
      </c>
      <c r="AN547">
        <f>Y547*(1+'What-If Analysis'!$B$4)</f>
        <v>644.67700000000013</v>
      </c>
      <c r="AO547">
        <f t="shared" si="198"/>
        <v>3752.3845319999996</v>
      </c>
    </row>
    <row r="548" spans="1:41" x14ac:dyDescent="0.3">
      <c r="A548" t="s">
        <v>593</v>
      </c>
      <c r="B548" s="3">
        <v>45607</v>
      </c>
      <c r="C548" s="3">
        <f t="shared" si="179"/>
        <v>45607</v>
      </c>
      <c r="D548" s="3">
        <v>45620</v>
      </c>
      <c r="E548" s="3">
        <f t="shared" si="180"/>
        <v>45620</v>
      </c>
      <c r="F548" s="16">
        <f t="shared" si="181"/>
        <v>13</v>
      </c>
      <c r="G548" s="16">
        <f>IF(Data!F517&lt;=7,1,0)</f>
        <v>0</v>
      </c>
      <c r="H548" s="5" t="str">
        <f t="shared" si="182"/>
        <v>11-2024</v>
      </c>
      <c r="I548" s="5" t="str">
        <f t="shared" si="183"/>
        <v>Q4-2024</v>
      </c>
      <c r="J548" s="3">
        <f t="shared" si="184"/>
        <v>44945</v>
      </c>
      <c r="K548" s="5" t="str">
        <f t="shared" si="185"/>
        <v>01-2023</v>
      </c>
      <c r="L548" t="s">
        <v>649</v>
      </c>
      <c r="M548" t="s">
        <v>658</v>
      </c>
      <c r="N548" t="s">
        <v>683</v>
      </c>
      <c r="O548" t="str">
        <f t="shared" si="186"/>
        <v>London</v>
      </c>
      <c r="P548" t="s">
        <v>701</v>
      </c>
      <c r="Q548" t="s">
        <v>707</v>
      </c>
      <c r="R548" t="str">
        <f t="shared" si="187"/>
        <v>Retail</v>
      </c>
      <c r="S548" t="s">
        <v>718</v>
      </c>
      <c r="T548" t="str">
        <f t="shared" si="200"/>
        <v>E. Garcia</v>
      </c>
      <c r="U548" t="s">
        <v>729</v>
      </c>
      <c r="V548" t="str">
        <f t="shared" si="188"/>
        <v>Low</v>
      </c>
      <c r="W548" t="s">
        <v>1311</v>
      </c>
      <c r="X548" t="str">
        <f t="shared" si="189"/>
        <v>C</v>
      </c>
      <c r="Y548" s="5">
        <v>164.53</v>
      </c>
      <c r="Z548" s="5">
        <v>327.72</v>
      </c>
      <c r="AA548" s="5">
        <f t="shared" si="190"/>
        <v>327.72</v>
      </c>
      <c r="AB548" s="7">
        <v>6.7000000000000004E-2</v>
      </c>
      <c r="AC548" s="7">
        <f t="shared" si="191"/>
        <v>6.7000000000000004E-2</v>
      </c>
      <c r="AD548" s="16">
        <f t="shared" si="192"/>
        <v>0</v>
      </c>
      <c r="AE548" s="16">
        <v>14</v>
      </c>
      <c r="AF548" s="5">
        <f t="shared" si="193"/>
        <v>4280.6786400000001</v>
      </c>
      <c r="AG548">
        <f t="shared" si="194"/>
        <v>2303.42</v>
      </c>
      <c r="AH548" s="5">
        <f t="shared" si="195"/>
        <v>1977.25864</v>
      </c>
      <c r="AI548" s="5">
        <f t="shared" si="196"/>
        <v>0.46190307805960412</v>
      </c>
      <c r="AJ548" s="5">
        <f t="shared" si="199"/>
        <v>10818931.609620014</v>
      </c>
      <c r="AK548" s="7">
        <f t="shared" si="197"/>
        <v>0.98841229739761449</v>
      </c>
      <c r="AL548" s="17">
        <f>MIN(AC548,'What-If Analysis'!$B$2)</f>
        <v>6.7000000000000004E-2</v>
      </c>
      <c r="AM548">
        <f>AE548*(1+'What-If Analysis'!$B$3)</f>
        <v>18.2</v>
      </c>
      <c r="AN548">
        <f>Y548*(1+'What-If Analysis'!$B$4)</f>
        <v>180.983</v>
      </c>
      <c r="AO548">
        <f t="shared" si="198"/>
        <v>5564.8822319999999</v>
      </c>
    </row>
    <row r="549" spans="1:41" x14ac:dyDescent="0.3">
      <c r="A549" t="s">
        <v>522</v>
      </c>
      <c r="B549" s="3">
        <v>45029</v>
      </c>
      <c r="C549" s="3">
        <f t="shared" si="179"/>
        <v>45029</v>
      </c>
      <c r="D549" s="3">
        <v>45036</v>
      </c>
      <c r="E549" s="3">
        <f t="shared" si="180"/>
        <v>45036</v>
      </c>
      <c r="F549" s="16">
        <f t="shared" si="181"/>
        <v>7</v>
      </c>
      <c r="G549" s="16">
        <f>IF(Data!F532&lt;=7,1,0)</f>
        <v>0</v>
      </c>
      <c r="H549" s="5" t="str">
        <f t="shared" si="182"/>
        <v>04-2023</v>
      </c>
      <c r="I549" s="5" t="str">
        <f t="shared" si="183"/>
        <v>Q2-2023</v>
      </c>
      <c r="J549" s="3">
        <f t="shared" si="184"/>
        <v>44936</v>
      </c>
      <c r="K549" s="5" t="str">
        <f t="shared" si="185"/>
        <v>01-2023</v>
      </c>
      <c r="L549" t="s">
        <v>649</v>
      </c>
      <c r="M549" t="s">
        <v>657</v>
      </c>
      <c r="N549" t="s">
        <v>679</v>
      </c>
      <c r="O549" t="str">
        <f t="shared" si="186"/>
        <v>Lyon</v>
      </c>
      <c r="P549" t="s">
        <v>705</v>
      </c>
      <c r="Q549" t="s">
        <v>708</v>
      </c>
      <c r="R549" t="str">
        <f t="shared" si="187"/>
        <v>Online</v>
      </c>
      <c r="S549" t="s">
        <v>720</v>
      </c>
      <c r="T549" t="str">
        <f t="shared" si="200"/>
        <v>A. Patel</v>
      </c>
      <c r="U549" t="s">
        <v>731</v>
      </c>
      <c r="V549" t="str">
        <f t="shared" si="188"/>
        <v>Low</v>
      </c>
      <c r="W549" t="s">
        <v>1241</v>
      </c>
      <c r="X549" t="str">
        <f t="shared" si="189"/>
        <v>C</v>
      </c>
      <c r="Y549" s="5">
        <v>227.02</v>
      </c>
      <c r="Z549" s="5">
        <v>434.72</v>
      </c>
      <c r="AA549" s="5">
        <f t="shared" si="190"/>
        <v>434.72</v>
      </c>
      <c r="AB549" s="7">
        <v>9.8000000000000004E-2</v>
      </c>
      <c r="AC549" s="7">
        <f t="shared" si="191"/>
        <v>9.8000000000000004E-2</v>
      </c>
      <c r="AD549" s="16">
        <f t="shared" si="192"/>
        <v>0</v>
      </c>
      <c r="AE549" s="16">
        <v>10</v>
      </c>
      <c r="AF549" s="5">
        <f t="shared" si="193"/>
        <v>3921.1744000000008</v>
      </c>
      <c r="AG549">
        <f t="shared" si="194"/>
        <v>2270.2000000000003</v>
      </c>
      <c r="AH549" s="5">
        <f t="shared" si="195"/>
        <v>1650.9744000000005</v>
      </c>
      <c r="AI549" s="5">
        <f t="shared" si="196"/>
        <v>0.42104079838938052</v>
      </c>
      <c r="AJ549" s="5">
        <f t="shared" si="199"/>
        <v>10822852.784020014</v>
      </c>
      <c r="AK549" s="7">
        <f t="shared" si="197"/>
        <v>0.98877053397189452</v>
      </c>
      <c r="AL549" s="17">
        <f>MIN(AC549,'What-If Analysis'!$B$2)</f>
        <v>9.8000000000000004E-2</v>
      </c>
      <c r="AM549">
        <f>AE549*(1+'What-If Analysis'!$B$3)</f>
        <v>13</v>
      </c>
      <c r="AN549">
        <f>Y549*(1+'What-If Analysis'!$B$4)</f>
        <v>249.72200000000004</v>
      </c>
      <c r="AO549">
        <f t="shared" si="198"/>
        <v>5097.5267200000008</v>
      </c>
    </row>
    <row r="550" spans="1:41" x14ac:dyDescent="0.3">
      <c r="A550" t="s">
        <v>20</v>
      </c>
      <c r="B550" s="3">
        <v>44928</v>
      </c>
      <c r="C550" s="3">
        <f t="shared" si="179"/>
        <v>44928</v>
      </c>
      <c r="D550" s="3">
        <v>44931</v>
      </c>
      <c r="E550" s="3">
        <f t="shared" si="180"/>
        <v>44931</v>
      </c>
      <c r="F550" s="16">
        <f t="shared" si="181"/>
        <v>3</v>
      </c>
      <c r="G550" s="16">
        <f>IF(Data!F521&lt;=7,1,0)</f>
        <v>0</v>
      </c>
      <c r="H550" s="5" t="str">
        <f t="shared" si="182"/>
        <v>01-2023</v>
      </c>
      <c r="I550" s="5" t="str">
        <f t="shared" si="183"/>
        <v>Q1-2023</v>
      </c>
      <c r="J550" s="3">
        <f t="shared" si="184"/>
        <v>44928</v>
      </c>
      <c r="K550" s="5" t="str">
        <f t="shared" si="185"/>
        <v>01-2023</v>
      </c>
      <c r="L550" t="s">
        <v>648</v>
      </c>
      <c r="M550" t="s">
        <v>653</v>
      </c>
      <c r="N550" t="s">
        <v>667</v>
      </c>
      <c r="O550" t="str">
        <f t="shared" si="186"/>
        <v>Toronto</v>
      </c>
      <c r="P550" t="s">
        <v>701</v>
      </c>
      <c r="Q550" t="s">
        <v>710</v>
      </c>
      <c r="R550" t="str">
        <f t="shared" si="187"/>
        <v>Distributor</v>
      </c>
      <c r="S550" t="s">
        <v>717</v>
      </c>
      <c r="T550" t="str">
        <f t="shared" si="200"/>
        <v>B. Chen</v>
      </c>
      <c r="U550" t="s">
        <v>731</v>
      </c>
      <c r="V550" t="str">
        <f t="shared" si="188"/>
        <v>Low</v>
      </c>
      <c r="W550" t="s">
        <v>739</v>
      </c>
      <c r="X550" t="str">
        <f t="shared" si="189"/>
        <v>C</v>
      </c>
      <c r="Y550" s="5">
        <v>315.87</v>
      </c>
      <c r="Z550" s="5">
        <v>591.67999999999995</v>
      </c>
      <c r="AA550" s="5">
        <f t="shared" si="190"/>
        <v>591.67999999999995</v>
      </c>
      <c r="AB550" s="7">
        <v>0</v>
      </c>
      <c r="AC550" s="7">
        <f t="shared" si="191"/>
        <v>0</v>
      </c>
      <c r="AD550" s="16">
        <f t="shared" si="192"/>
        <v>0</v>
      </c>
      <c r="AE550" s="16">
        <v>7</v>
      </c>
      <c r="AF550" s="5">
        <f t="shared" si="193"/>
        <v>4141.7599999999993</v>
      </c>
      <c r="AG550">
        <f t="shared" si="194"/>
        <v>2211.09</v>
      </c>
      <c r="AH550" s="5">
        <f t="shared" si="195"/>
        <v>1930.6699999999992</v>
      </c>
      <c r="AI550" s="5">
        <f t="shared" si="196"/>
        <v>0.46614724175229844</v>
      </c>
      <c r="AJ550" s="5">
        <f t="shared" si="199"/>
        <v>10826994.544020014</v>
      </c>
      <c r="AK550" s="7">
        <f t="shared" si="197"/>
        <v>0.98914892313864267</v>
      </c>
      <c r="AL550" s="17">
        <f>MIN(AC550,'What-If Analysis'!$B$2)</f>
        <v>0</v>
      </c>
      <c r="AM550">
        <f>AE550*(1+'What-If Analysis'!$B$3)</f>
        <v>9.1</v>
      </c>
      <c r="AN550">
        <f>Y550*(1+'What-If Analysis'!$B$4)</f>
        <v>347.45700000000005</v>
      </c>
      <c r="AO550">
        <f t="shared" si="198"/>
        <v>5384.2879999999996</v>
      </c>
    </row>
    <row r="551" spans="1:41" x14ac:dyDescent="0.3">
      <c r="A551" t="s">
        <v>129</v>
      </c>
      <c r="B551" s="3">
        <v>45250</v>
      </c>
      <c r="C551" s="3">
        <f t="shared" si="179"/>
        <v>45250</v>
      </c>
      <c r="D551" s="3">
        <v>45265</v>
      </c>
      <c r="E551" s="3">
        <f t="shared" si="180"/>
        <v>45265</v>
      </c>
      <c r="F551" s="16">
        <f t="shared" si="181"/>
        <v>15</v>
      </c>
      <c r="G551" s="16">
        <f>IF(Data!F586&lt;=7,1,0)</f>
        <v>0</v>
      </c>
      <c r="H551" s="5" t="str">
        <f t="shared" si="182"/>
        <v>11-2023</v>
      </c>
      <c r="I551" s="5" t="str">
        <f t="shared" si="183"/>
        <v>Q4-2023</v>
      </c>
      <c r="J551" s="3">
        <f t="shared" si="184"/>
        <v>44988</v>
      </c>
      <c r="K551" s="5" t="str">
        <f t="shared" si="185"/>
        <v>03-2023</v>
      </c>
      <c r="L551" t="s">
        <v>647</v>
      </c>
      <c r="M551" t="s">
        <v>652</v>
      </c>
      <c r="N551" t="s">
        <v>689</v>
      </c>
      <c r="O551" t="str">
        <f t="shared" si="186"/>
        <v>Tokyo</v>
      </c>
      <c r="P551" t="s">
        <v>706</v>
      </c>
      <c r="Q551" t="s">
        <v>707</v>
      </c>
      <c r="R551" t="str">
        <f t="shared" si="187"/>
        <v>Retail</v>
      </c>
      <c r="S551" t="s">
        <v>716</v>
      </c>
      <c r="T551" t="str">
        <f t="shared" si="200"/>
        <v>L. Okafor</v>
      </c>
      <c r="U551" t="s">
        <v>729</v>
      </c>
      <c r="V551" t="str">
        <f t="shared" si="188"/>
        <v>Low</v>
      </c>
      <c r="W551" t="s">
        <v>848</v>
      </c>
      <c r="X551" t="str">
        <f t="shared" si="189"/>
        <v>C</v>
      </c>
      <c r="Y551" s="5">
        <v>354.24</v>
      </c>
      <c r="Z551" s="5">
        <v>249.87</v>
      </c>
      <c r="AA551" s="5">
        <f t="shared" si="190"/>
        <v>249.87</v>
      </c>
      <c r="AB551" s="7">
        <v>0</v>
      </c>
      <c r="AC551" s="7">
        <f t="shared" si="191"/>
        <v>0</v>
      </c>
      <c r="AD551" s="16">
        <f t="shared" si="192"/>
        <v>0</v>
      </c>
      <c r="AE551" s="16">
        <v>6</v>
      </c>
      <c r="AF551" s="5">
        <f t="shared" si="193"/>
        <v>1499.22</v>
      </c>
      <c r="AG551">
        <f t="shared" si="194"/>
        <v>2125.44</v>
      </c>
      <c r="AH551" s="5">
        <f t="shared" si="195"/>
        <v>626.22</v>
      </c>
      <c r="AI551" s="5">
        <f t="shared" si="196"/>
        <v>0.41769720254532355</v>
      </c>
      <c r="AJ551" s="5">
        <f t="shared" si="199"/>
        <v>10828493.764020015</v>
      </c>
      <c r="AK551" s="7">
        <f t="shared" si="197"/>
        <v>0.98928589114416998</v>
      </c>
      <c r="AL551" s="17">
        <f>MIN(AC551,'What-If Analysis'!$B$2)</f>
        <v>0</v>
      </c>
      <c r="AM551">
        <f>AE551*(1+'What-If Analysis'!$B$3)</f>
        <v>7.8000000000000007</v>
      </c>
      <c r="AN551">
        <f>Y551*(1+'What-If Analysis'!$B$4)</f>
        <v>389.66400000000004</v>
      </c>
      <c r="AO551">
        <f t="shared" si="198"/>
        <v>1948.9860000000001</v>
      </c>
    </row>
    <row r="552" spans="1:41" x14ac:dyDescent="0.3">
      <c r="A552" t="s">
        <v>453</v>
      </c>
      <c r="B552" s="3">
        <v>44978</v>
      </c>
      <c r="C552" s="3">
        <f t="shared" si="179"/>
        <v>44978</v>
      </c>
      <c r="D552" s="3">
        <v>44997</v>
      </c>
      <c r="E552" s="3">
        <f t="shared" si="180"/>
        <v>44997</v>
      </c>
      <c r="F552" s="16">
        <f t="shared" si="181"/>
        <v>19</v>
      </c>
      <c r="G552" s="16">
        <f>IF(Data!F553&lt;=7,1,0)</f>
        <v>0</v>
      </c>
      <c r="H552" s="5" t="str">
        <f t="shared" si="182"/>
        <v>02-2023</v>
      </c>
      <c r="I552" s="5" t="str">
        <f t="shared" si="183"/>
        <v>Q1-2023</v>
      </c>
      <c r="J552" s="3">
        <f t="shared" si="184"/>
        <v>44946</v>
      </c>
      <c r="K552" s="5" t="str">
        <f t="shared" si="185"/>
        <v>01-2023</v>
      </c>
      <c r="L552" t="s">
        <v>646</v>
      </c>
      <c r="M552" t="s">
        <v>650</v>
      </c>
      <c r="N552" t="s">
        <v>678</v>
      </c>
      <c r="O552" t="str">
        <f t="shared" si="186"/>
        <v>Nakuru</v>
      </c>
      <c r="P552" t="s">
        <v>701</v>
      </c>
      <c r="Q552" t="s">
        <v>708</v>
      </c>
      <c r="R552" t="str">
        <f t="shared" si="187"/>
        <v>Online</v>
      </c>
      <c r="S552" t="s">
        <v>721</v>
      </c>
      <c r="T552" t="str">
        <f t="shared" si="200"/>
        <v>F. Müller</v>
      </c>
      <c r="U552" t="s">
        <v>729</v>
      </c>
      <c r="V552" t="str">
        <f t="shared" si="188"/>
        <v>Low</v>
      </c>
      <c r="W552" t="s">
        <v>1172</v>
      </c>
      <c r="X552" t="str">
        <f t="shared" si="189"/>
        <v>C</v>
      </c>
      <c r="Y552" s="5">
        <v>352.65</v>
      </c>
      <c r="Z552" s="5">
        <v>485.86</v>
      </c>
      <c r="AA552" s="5">
        <f t="shared" si="190"/>
        <v>485.86</v>
      </c>
      <c r="AB552" s="7">
        <v>4.1000000000000002E-2</v>
      </c>
      <c r="AC552" s="7">
        <f t="shared" si="191"/>
        <v>4.1000000000000002E-2</v>
      </c>
      <c r="AD552" s="16">
        <f t="shared" si="192"/>
        <v>0</v>
      </c>
      <c r="AE552" s="16">
        <v>6</v>
      </c>
      <c r="AF552" s="5">
        <f t="shared" si="193"/>
        <v>2795.6384399999997</v>
      </c>
      <c r="AG552">
        <f t="shared" si="194"/>
        <v>2115.8999999999996</v>
      </c>
      <c r="AH552" s="5">
        <f t="shared" si="195"/>
        <v>679.73844000000008</v>
      </c>
      <c r="AI552" s="5">
        <f t="shared" si="196"/>
        <v>0.24314247159943908</v>
      </c>
      <c r="AJ552" s="5">
        <f t="shared" si="199"/>
        <v>10831289.402460014</v>
      </c>
      <c r="AK552" s="7">
        <f t="shared" si="197"/>
        <v>0.98954129930394763</v>
      </c>
      <c r="AL552" s="17">
        <f>MIN(AC552,'What-If Analysis'!$B$2)</f>
        <v>4.1000000000000002E-2</v>
      </c>
      <c r="AM552">
        <f>AE552*(1+'What-If Analysis'!$B$3)</f>
        <v>7.8000000000000007</v>
      </c>
      <c r="AN552">
        <f>Y552*(1+'What-If Analysis'!$B$4)</f>
        <v>387.91500000000002</v>
      </c>
      <c r="AO552">
        <f t="shared" si="198"/>
        <v>3634.3299720000005</v>
      </c>
    </row>
    <row r="553" spans="1:41" x14ac:dyDescent="0.3">
      <c r="A553" t="s">
        <v>579</v>
      </c>
      <c r="B553" s="3">
        <v>45315</v>
      </c>
      <c r="C553" s="3">
        <f t="shared" si="179"/>
        <v>45315</v>
      </c>
      <c r="D553" s="3">
        <v>45326</v>
      </c>
      <c r="E553" s="3">
        <f t="shared" si="180"/>
        <v>45326</v>
      </c>
      <c r="F553" s="16">
        <f t="shared" si="181"/>
        <v>11</v>
      </c>
      <c r="G553" s="16">
        <f>IF(Data!F519&lt;=7,1,0)</f>
        <v>0</v>
      </c>
      <c r="H553" s="5" t="str">
        <f t="shared" si="182"/>
        <v>01-2024</v>
      </c>
      <c r="I553" s="5" t="str">
        <f t="shared" si="183"/>
        <v>Q1-2024</v>
      </c>
      <c r="J553" s="3">
        <f t="shared" si="184"/>
        <v>44945</v>
      </c>
      <c r="K553" s="5" t="str">
        <f t="shared" si="185"/>
        <v>01-2023</v>
      </c>
      <c r="L553" t="s">
        <v>649</v>
      </c>
      <c r="M553" t="s">
        <v>658</v>
      </c>
      <c r="N553" t="s">
        <v>693</v>
      </c>
      <c r="O553" t="str">
        <f t="shared" si="186"/>
        <v>Manchester</v>
      </c>
      <c r="P553" t="s">
        <v>704</v>
      </c>
      <c r="Q553" t="s">
        <v>707</v>
      </c>
      <c r="R553" t="str">
        <f t="shared" si="187"/>
        <v>Retail</v>
      </c>
      <c r="S553" t="s">
        <v>717</v>
      </c>
      <c r="T553" t="str">
        <f t="shared" si="200"/>
        <v>B. Chen</v>
      </c>
      <c r="U553" t="s">
        <v>731</v>
      </c>
      <c r="V553" t="str">
        <f t="shared" si="188"/>
        <v>Medium</v>
      </c>
      <c r="W553" t="s">
        <v>1297</v>
      </c>
      <c r="X553" t="str">
        <f t="shared" si="189"/>
        <v>C</v>
      </c>
      <c r="Y553" s="5">
        <v>525.34</v>
      </c>
      <c r="Z553" s="5">
        <v>1233.79</v>
      </c>
      <c r="AA553" s="5">
        <f t="shared" si="190"/>
        <v>1233.79</v>
      </c>
      <c r="AB553" s="7">
        <v>0.14299999999999999</v>
      </c>
      <c r="AC553" s="7">
        <f t="shared" si="191"/>
        <v>0.14299999999999999</v>
      </c>
      <c r="AD553" s="16">
        <f t="shared" si="192"/>
        <v>0</v>
      </c>
      <c r="AE553" s="16">
        <v>4</v>
      </c>
      <c r="AF553" s="5">
        <f t="shared" si="193"/>
        <v>4229.4321199999995</v>
      </c>
      <c r="AG553">
        <f t="shared" si="194"/>
        <v>2101.36</v>
      </c>
      <c r="AH553" s="5">
        <f t="shared" si="195"/>
        <v>2128.0721199999994</v>
      </c>
      <c r="AI553" s="5">
        <f t="shared" si="196"/>
        <v>0.50315788494082736</v>
      </c>
      <c r="AJ553" s="5">
        <f t="shared" si="199"/>
        <v>10835518.834580014</v>
      </c>
      <c r="AK553" s="7">
        <f t="shared" si="197"/>
        <v>0.98992769815267478</v>
      </c>
      <c r="AL553" s="17">
        <f>MIN(AC553,'What-If Analysis'!$B$2)</f>
        <v>0.14299999999999999</v>
      </c>
      <c r="AM553">
        <f>AE553*(1+'What-If Analysis'!$B$3)</f>
        <v>5.2</v>
      </c>
      <c r="AN553">
        <f>Y553*(1+'What-If Analysis'!$B$4)</f>
        <v>577.87400000000014</v>
      </c>
      <c r="AO553">
        <f t="shared" si="198"/>
        <v>5498.2617559999999</v>
      </c>
    </row>
    <row r="554" spans="1:41" x14ac:dyDescent="0.3">
      <c r="A554" t="s">
        <v>623</v>
      </c>
      <c r="B554" s="3">
        <v>45319</v>
      </c>
      <c r="C554" s="3">
        <f t="shared" si="179"/>
        <v>45318</v>
      </c>
      <c r="D554" s="3">
        <v>45318</v>
      </c>
      <c r="E554" s="3">
        <f t="shared" si="180"/>
        <v>45319</v>
      </c>
      <c r="F554" s="16">
        <f t="shared" si="181"/>
        <v>1</v>
      </c>
      <c r="G554" s="16">
        <f>IF(Data!F569&lt;=7,1,0)</f>
        <v>1</v>
      </c>
      <c r="H554" s="5" t="str">
        <f t="shared" si="182"/>
        <v>01-2024</v>
      </c>
      <c r="I554" s="5" t="str">
        <f t="shared" si="183"/>
        <v>Q1-2024</v>
      </c>
      <c r="J554" s="3">
        <f t="shared" si="184"/>
        <v>44933</v>
      </c>
      <c r="K554" s="5" t="str">
        <f t="shared" si="185"/>
        <v>01-2023</v>
      </c>
      <c r="L554" t="s">
        <v>646</v>
      </c>
      <c r="M554" t="s">
        <v>661</v>
      </c>
      <c r="N554" t="s">
        <v>695</v>
      </c>
      <c r="O554" t="str">
        <f t="shared" si="186"/>
        <v>Cape Town</v>
      </c>
      <c r="P554" t="s">
        <v>706</v>
      </c>
      <c r="Q554" t="s">
        <v>711</v>
      </c>
      <c r="R554" t="str">
        <f t="shared" si="187"/>
        <v>Direct</v>
      </c>
      <c r="S554" t="s">
        <v>719</v>
      </c>
      <c r="T554" t="str">
        <f t="shared" si="200"/>
        <v>O. Wang</v>
      </c>
      <c r="U554" t="s">
        <v>727</v>
      </c>
      <c r="V554" t="str">
        <f t="shared" si="188"/>
        <v>Low</v>
      </c>
      <c r="W554" t="s">
        <v>1341</v>
      </c>
      <c r="X554" t="str">
        <f t="shared" si="189"/>
        <v>C</v>
      </c>
      <c r="Y554" s="5">
        <v>109.75</v>
      </c>
      <c r="Z554" s="5">
        <v>124.25</v>
      </c>
      <c r="AA554" s="5">
        <f t="shared" si="190"/>
        <v>124.25</v>
      </c>
      <c r="AB554" s="7">
        <v>0.12</v>
      </c>
      <c r="AC554" s="7">
        <f t="shared" si="191"/>
        <v>0.12</v>
      </c>
      <c r="AD554" s="16">
        <f t="shared" si="192"/>
        <v>0</v>
      </c>
      <c r="AE554" s="16">
        <v>19</v>
      </c>
      <c r="AF554" s="5">
        <f t="shared" si="193"/>
        <v>2077.46</v>
      </c>
      <c r="AG554">
        <f t="shared" si="194"/>
        <v>2085.25</v>
      </c>
      <c r="AH554" s="5">
        <f t="shared" si="195"/>
        <v>7.7899999999999636</v>
      </c>
      <c r="AI554" s="5">
        <f t="shared" si="196"/>
        <v>3.7497713554051405E-3</v>
      </c>
      <c r="AJ554" s="5">
        <f t="shared" si="199"/>
        <v>10837596.294580014</v>
      </c>
      <c r="AK554" s="7">
        <f t="shared" si="197"/>
        <v>0.99011749388162895</v>
      </c>
      <c r="AL554" s="17">
        <f>MIN(AC554,'What-If Analysis'!$B$2)</f>
        <v>0.12</v>
      </c>
      <c r="AM554">
        <f>AE554*(1+'What-If Analysis'!$B$3)</f>
        <v>24.7</v>
      </c>
      <c r="AN554">
        <f>Y554*(1+'What-If Analysis'!$B$4)</f>
        <v>120.72500000000001</v>
      </c>
      <c r="AO554">
        <f t="shared" si="198"/>
        <v>2700.6979999999999</v>
      </c>
    </row>
    <row r="555" spans="1:41" x14ac:dyDescent="0.3">
      <c r="A555" t="s">
        <v>271</v>
      </c>
      <c r="B555" s="3">
        <v>45035</v>
      </c>
      <c r="C555" s="3">
        <f t="shared" si="179"/>
        <v>45035</v>
      </c>
      <c r="D555" s="3">
        <v>45053</v>
      </c>
      <c r="E555" s="3">
        <f t="shared" si="180"/>
        <v>45053</v>
      </c>
      <c r="F555" s="16">
        <f t="shared" si="181"/>
        <v>18</v>
      </c>
      <c r="G555" s="16">
        <f>IF(Data!F561&lt;=7,1,0)</f>
        <v>0</v>
      </c>
      <c r="H555" s="5" t="str">
        <f t="shared" si="182"/>
        <v>04-2023</v>
      </c>
      <c r="I555" s="5" t="str">
        <f t="shared" si="183"/>
        <v>Q2-2023</v>
      </c>
      <c r="J555" s="3">
        <f t="shared" si="184"/>
        <v>44945</v>
      </c>
      <c r="K555" s="5" t="str">
        <f t="shared" si="185"/>
        <v>01-2023</v>
      </c>
      <c r="L555" t="s">
        <v>649</v>
      </c>
      <c r="M555" t="s">
        <v>658</v>
      </c>
      <c r="N555" t="s">
        <v>683</v>
      </c>
      <c r="O555" t="str">
        <f t="shared" si="186"/>
        <v>London</v>
      </c>
      <c r="P555" t="s">
        <v>703</v>
      </c>
      <c r="Q555" t="s">
        <v>711</v>
      </c>
      <c r="R555" t="str">
        <f t="shared" si="187"/>
        <v>Direct</v>
      </c>
      <c r="S555" t="s">
        <v>722</v>
      </c>
      <c r="T555" t="str">
        <f t="shared" si="200"/>
        <v>H. Kim</v>
      </c>
      <c r="U555" t="s">
        <v>729</v>
      </c>
      <c r="V555" t="str">
        <f t="shared" si="188"/>
        <v>Low</v>
      </c>
      <c r="W555" t="s">
        <v>991</v>
      </c>
      <c r="X555" t="str">
        <f t="shared" si="189"/>
        <v>C</v>
      </c>
      <c r="Y555" s="5">
        <v>516.96</v>
      </c>
      <c r="Z555" s="5">
        <v>745.38</v>
      </c>
      <c r="AA555" s="5">
        <f t="shared" si="190"/>
        <v>745.38</v>
      </c>
      <c r="AB555" s="7">
        <v>0.19700000000000001</v>
      </c>
      <c r="AC555" s="7">
        <f t="shared" si="191"/>
        <v>0.19700000000000001</v>
      </c>
      <c r="AD555" s="16">
        <f t="shared" si="192"/>
        <v>0</v>
      </c>
      <c r="AE555" s="16">
        <v>4</v>
      </c>
      <c r="AF555" s="5">
        <f t="shared" si="193"/>
        <v>2394.1605599999998</v>
      </c>
      <c r="AG555">
        <f t="shared" si="194"/>
        <v>2067.84</v>
      </c>
      <c r="AH555" s="5">
        <f t="shared" si="195"/>
        <v>326.32055999999966</v>
      </c>
      <c r="AI555" s="5">
        <f t="shared" si="196"/>
        <v>0.13629852794835101</v>
      </c>
      <c r="AJ555" s="5">
        <f t="shared" si="199"/>
        <v>10839990.455140015</v>
      </c>
      <c r="AK555" s="7">
        <f t="shared" si="197"/>
        <v>0.99033622321876091</v>
      </c>
      <c r="AL555" s="17">
        <f>MIN(AC555,'What-If Analysis'!$B$2)</f>
        <v>0.19700000000000001</v>
      </c>
      <c r="AM555">
        <f>AE555*(1+'What-If Analysis'!$B$3)</f>
        <v>5.2</v>
      </c>
      <c r="AN555">
        <f>Y555*(1+'What-If Analysis'!$B$4)</f>
        <v>568.65600000000006</v>
      </c>
      <c r="AO555">
        <f t="shared" si="198"/>
        <v>3112.4087279999999</v>
      </c>
    </row>
    <row r="556" spans="1:41" x14ac:dyDescent="0.3">
      <c r="A556" t="s">
        <v>332</v>
      </c>
      <c r="B556" s="3">
        <v>45748</v>
      </c>
      <c r="C556" s="3">
        <f t="shared" si="179"/>
        <v>45748</v>
      </c>
      <c r="D556" s="3">
        <v>45774</v>
      </c>
      <c r="E556" s="3">
        <f t="shared" si="180"/>
        <v>45774</v>
      </c>
      <c r="F556" s="16">
        <f t="shared" si="181"/>
        <v>26</v>
      </c>
      <c r="G556" s="16">
        <f>IF(Data!F549&lt;=7,1,0)</f>
        <v>1</v>
      </c>
      <c r="H556" s="5" t="str">
        <f t="shared" si="182"/>
        <v>04-2025</v>
      </c>
      <c r="I556" s="5" t="str">
        <f t="shared" si="183"/>
        <v>Q2-2025</v>
      </c>
      <c r="J556" s="3">
        <f t="shared" si="184"/>
        <v>44939</v>
      </c>
      <c r="K556" s="5" t="str">
        <f t="shared" si="185"/>
        <v>01-2023</v>
      </c>
      <c r="L556" t="s">
        <v>648</v>
      </c>
      <c r="M556" t="s">
        <v>660</v>
      </c>
      <c r="N556" t="s">
        <v>686</v>
      </c>
      <c r="O556" t="str">
        <f t="shared" si="186"/>
        <v>San Francisco</v>
      </c>
      <c r="P556" t="s">
        <v>701</v>
      </c>
      <c r="Q556" t="s">
        <v>711</v>
      </c>
      <c r="R556" t="str">
        <f t="shared" si="187"/>
        <v>Direct</v>
      </c>
      <c r="S556" t="s">
        <v>714</v>
      </c>
      <c r="T556" t="str">
        <f t="shared" si="200"/>
        <v>I. Johnson</v>
      </c>
      <c r="U556" t="s">
        <v>732</v>
      </c>
      <c r="V556" t="str">
        <f t="shared" si="188"/>
        <v>Low</v>
      </c>
      <c r="W556" t="s">
        <v>1052</v>
      </c>
      <c r="X556" t="str">
        <f t="shared" si="189"/>
        <v>C</v>
      </c>
      <c r="Y556" s="5">
        <v>156.55000000000001</v>
      </c>
      <c r="Z556" s="5">
        <v>227.45</v>
      </c>
      <c r="AA556" s="5">
        <f t="shared" si="190"/>
        <v>227.45</v>
      </c>
      <c r="AB556" s="7">
        <v>1.4E-2</v>
      </c>
      <c r="AC556" s="7">
        <f t="shared" si="191"/>
        <v>1.4E-2</v>
      </c>
      <c r="AD556" s="16">
        <f t="shared" si="192"/>
        <v>0</v>
      </c>
      <c r="AE556" s="16">
        <v>13</v>
      </c>
      <c r="AF556" s="5">
        <f t="shared" si="193"/>
        <v>2915.4540999999999</v>
      </c>
      <c r="AG556">
        <f t="shared" si="194"/>
        <v>2035.15</v>
      </c>
      <c r="AH556" s="5">
        <f t="shared" si="195"/>
        <v>880.30409999999983</v>
      </c>
      <c r="AI556" s="5">
        <f t="shared" si="196"/>
        <v>0.3019440779396938</v>
      </c>
      <c r="AJ556" s="5">
        <f t="shared" si="199"/>
        <v>10842905.909240015</v>
      </c>
      <c r="AK556" s="7">
        <f t="shared" si="197"/>
        <v>0.99060257767860205</v>
      </c>
      <c r="AL556" s="17">
        <f>MIN(AC556,'What-If Analysis'!$B$2)</f>
        <v>1.4E-2</v>
      </c>
      <c r="AM556">
        <f>AE556*(1+'What-If Analysis'!$B$3)</f>
        <v>16.900000000000002</v>
      </c>
      <c r="AN556">
        <f>Y556*(1+'What-If Analysis'!$B$4)</f>
        <v>172.20500000000001</v>
      </c>
      <c r="AO556">
        <f t="shared" si="198"/>
        <v>3790.09033</v>
      </c>
    </row>
    <row r="557" spans="1:41" x14ac:dyDescent="0.3">
      <c r="A557" t="s">
        <v>622</v>
      </c>
      <c r="B557" s="3">
        <v>45623</v>
      </c>
      <c r="C557" s="3">
        <f t="shared" si="179"/>
        <v>45623</v>
      </c>
      <c r="D557" s="3">
        <v>45650</v>
      </c>
      <c r="E557" s="3">
        <f t="shared" si="180"/>
        <v>45650</v>
      </c>
      <c r="F557" s="16">
        <f t="shared" si="181"/>
        <v>27</v>
      </c>
      <c r="G557" s="16">
        <f>IF(Data!F554&lt;=7,1,0)</f>
        <v>1</v>
      </c>
      <c r="H557" s="5" t="str">
        <f t="shared" si="182"/>
        <v>11-2024</v>
      </c>
      <c r="I557" s="5" t="str">
        <f t="shared" si="183"/>
        <v>Q4-2024</v>
      </c>
      <c r="J557" s="3">
        <f t="shared" si="184"/>
        <v>44946</v>
      </c>
      <c r="K557" s="5" t="str">
        <f t="shared" si="185"/>
        <v>01-2023</v>
      </c>
      <c r="L557" t="s">
        <v>646</v>
      </c>
      <c r="M557" t="s">
        <v>650</v>
      </c>
      <c r="N557" t="s">
        <v>675</v>
      </c>
      <c r="O557" t="str">
        <f t="shared" si="186"/>
        <v>Mombasa</v>
      </c>
      <c r="P557" t="s">
        <v>701</v>
      </c>
      <c r="Q557" t="s">
        <v>710</v>
      </c>
      <c r="R557" t="str">
        <f t="shared" si="187"/>
        <v>Distributor</v>
      </c>
      <c r="S557" t="s">
        <v>717</v>
      </c>
      <c r="T557" t="str">
        <f t="shared" si="200"/>
        <v>B. Chen</v>
      </c>
      <c r="U557" t="s">
        <v>728</v>
      </c>
      <c r="V557" t="str">
        <f t="shared" si="188"/>
        <v>Low</v>
      </c>
      <c r="W557" t="s">
        <v>1340</v>
      </c>
      <c r="X557" t="str">
        <f t="shared" si="189"/>
        <v>C</v>
      </c>
      <c r="Y557" s="5">
        <v>143.33000000000001</v>
      </c>
      <c r="Z557" s="5">
        <v>233.51</v>
      </c>
      <c r="AA557" s="5">
        <f t="shared" si="190"/>
        <v>233.51</v>
      </c>
      <c r="AB557" s="7">
        <v>0.16300000000000001</v>
      </c>
      <c r="AC557" s="7">
        <f t="shared" si="191"/>
        <v>0.16300000000000001</v>
      </c>
      <c r="AD557" s="16">
        <f t="shared" si="192"/>
        <v>0</v>
      </c>
      <c r="AE557" s="16">
        <v>14</v>
      </c>
      <c r="AF557" s="5">
        <f t="shared" si="193"/>
        <v>2736.27018</v>
      </c>
      <c r="AG557">
        <f t="shared" si="194"/>
        <v>2006.6200000000001</v>
      </c>
      <c r="AH557" s="5">
        <f t="shared" si="195"/>
        <v>729.65017999999986</v>
      </c>
      <c r="AI557" s="5">
        <f t="shared" si="196"/>
        <v>0.26665867476580835</v>
      </c>
      <c r="AJ557" s="5">
        <f t="shared" si="199"/>
        <v>10845642.179420015</v>
      </c>
      <c r="AK557" s="7">
        <f t="shared" si="197"/>
        <v>0.99085256198319915</v>
      </c>
      <c r="AL557" s="17">
        <f>MIN(AC557,'What-If Analysis'!$B$2)</f>
        <v>0.16300000000000001</v>
      </c>
      <c r="AM557">
        <f>AE557*(1+'What-If Analysis'!$B$3)</f>
        <v>18.2</v>
      </c>
      <c r="AN557">
        <f>Y557*(1+'What-If Analysis'!$B$4)</f>
        <v>157.66300000000004</v>
      </c>
      <c r="AO557">
        <f t="shared" si="198"/>
        <v>3557.1512339999995</v>
      </c>
    </row>
    <row r="558" spans="1:41" x14ac:dyDescent="0.3">
      <c r="A558" t="s">
        <v>246</v>
      </c>
      <c r="B558" s="3">
        <v>45538</v>
      </c>
      <c r="C558" s="3">
        <f t="shared" si="179"/>
        <v>45538</v>
      </c>
      <c r="D558" s="3">
        <v>45543</v>
      </c>
      <c r="E558" s="3">
        <f t="shared" si="180"/>
        <v>45543</v>
      </c>
      <c r="F558" s="16">
        <f t="shared" si="181"/>
        <v>5</v>
      </c>
      <c r="G558" s="16">
        <f>IF(Data!F552&lt;=7,1,0)</f>
        <v>0</v>
      </c>
      <c r="H558" s="5" t="str">
        <f t="shared" si="182"/>
        <v>09-2024</v>
      </c>
      <c r="I558" s="5" t="str">
        <f t="shared" si="183"/>
        <v>Q3-2024</v>
      </c>
      <c r="J558" s="3">
        <f t="shared" si="184"/>
        <v>44939</v>
      </c>
      <c r="K558" s="5" t="str">
        <f t="shared" si="185"/>
        <v>01-2023</v>
      </c>
      <c r="L558" t="s">
        <v>646</v>
      </c>
      <c r="M558" t="s">
        <v>651</v>
      </c>
      <c r="N558" t="s">
        <v>665</v>
      </c>
      <c r="O558" t="str">
        <f t="shared" si="186"/>
        <v>Lagos</v>
      </c>
      <c r="P558" t="s">
        <v>705</v>
      </c>
      <c r="Q558" t="s">
        <v>711</v>
      </c>
      <c r="R558" t="str">
        <f t="shared" si="187"/>
        <v>Direct</v>
      </c>
      <c r="S558" t="s">
        <v>723</v>
      </c>
      <c r="T558" t="str">
        <f t="shared" si="200"/>
        <v>K. Singh</v>
      </c>
      <c r="U558" t="s">
        <v>728</v>
      </c>
      <c r="V558" t="str">
        <f t="shared" si="188"/>
        <v>Low</v>
      </c>
      <c r="W558" t="s">
        <v>966</v>
      </c>
      <c r="X558" t="str">
        <f t="shared" si="189"/>
        <v>C</v>
      </c>
      <c r="Y558" s="5">
        <v>197.63</v>
      </c>
      <c r="Z558" s="5">
        <v>325.79000000000002</v>
      </c>
      <c r="AA558" s="5">
        <f t="shared" si="190"/>
        <v>325.79000000000002</v>
      </c>
      <c r="AB558" s="7">
        <v>0.11600000000000001</v>
      </c>
      <c r="AC558" s="7">
        <f t="shared" si="191"/>
        <v>0.11600000000000001</v>
      </c>
      <c r="AD558" s="16">
        <f t="shared" si="192"/>
        <v>0</v>
      </c>
      <c r="AE558" s="16">
        <v>10</v>
      </c>
      <c r="AF558" s="5">
        <f t="shared" si="193"/>
        <v>2879.9836</v>
      </c>
      <c r="AG558">
        <f t="shared" si="194"/>
        <v>1976.3</v>
      </c>
      <c r="AH558" s="5">
        <f t="shared" si="195"/>
        <v>903.68360000000007</v>
      </c>
      <c r="AI558" s="5">
        <f t="shared" si="196"/>
        <v>0.31378081458519419</v>
      </c>
      <c r="AJ558" s="5">
        <f t="shared" si="199"/>
        <v>10848522.163020015</v>
      </c>
      <c r="AK558" s="7">
        <f t="shared" si="197"/>
        <v>0.99111567587551841</v>
      </c>
      <c r="AL558" s="17">
        <f>MIN(AC558,'What-If Analysis'!$B$2)</f>
        <v>0.11600000000000001</v>
      </c>
      <c r="AM558">
        <f>AE558*(1+'What-If Analysis'!$B$3)</f>
        <v>13</v>
      </c>
      <c r="AN558">
        <f>Y558*(1+'What-If Analysis'!$B$4)</f>
        <v>217.393</v>
      </c>
      <c r="AO558">
        <f t="shared" si="198"/>
        <v>3743.9786800000006</v>
      </c>
    </row>
    <row r="559" spans="1:41" x14ac:dyDescent="0.3">
      <c r="A559" t="s">
        <v>540</v>
      </c>
      <c r="B559" s="3">
        <v>45695</v>
      </c>
      <c r="C559" s="3">
        <f t="shared" si="179"/>
        <v>45695</v>
      </c>
      <c r="D559" s="3">
        <v>45704</v>
      </c>
      <c r="E559" s="3">
        <f t="shared" si="180"/>
        <v>45704</v>
      </c>
      <c r="F559" s="16">
        <f t="shared" si="181"/>
        <v>9</v>
      </c>
      <c r="G559" s="16">
        <f>IF(Data!F567&lt;=7,1,0)</f>
        <v>0</v>
      </c>
      <c r="H559" s="5" t="str">
        <f t="shared" si="182"/>
        <v>02-2025</v>
      </c>
      <c r="I559" s="5" t="str">
        <f t="shared" si="183"/>
        <v>Q1-2025</v>
      </c>
      <c r="J559" s="3">
        <f t="shared" si="184"/>
        <v>44939</v>
      </c>
      <c r="K559" s="5" t="str">
        <f t="shared" si="185"/>
        <v>01-2023</v>
      </c>
      <c r="L559" t="s">
        <v>646</v>
      </c>
      <c r="M559" t="s">
        <v>651</v>
      </c>
      <c r="N559" t="s">
        <v>665</v>
      </c>
      <c r="O559" t="str">
        <f t="shared" si="186"/>
        <v>Lagos</v>
      </c>
      <c r="P559" t="s">
        <v>705</v>
      </c>
      <c r="Q559" t="s">
        <v>710</v>
      </c>
      <c r="R559" t="str">
        <f t="shared" si="187"/>
        <v>Distributor</v>
      </c>
      <c r="S559" t="s">
        <v>712</v>
      </c>
      <c r="T559" t="str">
        <f t="shared" si="200"/>
        <v>C. Otieno</v>
      </c>
      <c r="U559" t="s">
        <v>728</v>
      </c>
      <c r="V559" t="str">
        <f t="shared" si="188"/>
        <v>Low</v>
      </c>
      <c r="W559" t="s">
        <v>1259</v>
      </c>
      <c r="X559" t="str">
        <f t="shared" si="189"/>
        <v>C</v>
      </c>
      <c r="Y559" s="5">
        <v>90.68</v>
      </c>
      <c r="Z559" s="5">
        <v>118.17</v>
      </c>
      <c r="AA559" s="5">
        <f t="shared" si="190"/>
        <v>118.17</v>
      </c>
      <c r="AB559" s="7">
        <v>0.13500000000000001</v>
      </c>
      <c r="AC559" s="7">
        <f t="shared" si="191"/>
        <v>0.13500000000000001</v>
      </c>
      <c r="AD559" s="16">
        <f t="shared" si="192"/>
        <v>0</v>
      </c>
      <c r="AE559" s="16">
        <v>21</v>
      </c>
      <c r="AF559" s="5">
        <f t="shared" si="193"/>
        <v>2146.5580500000001</v>
      </c>
      <c r="AG559">
        <f t="shared" si="194"/>
        <v>1904.2800000000002</v>
      </c>
      <c r="AH559" s="5">
        <f t="shared" si="195"/>
        <v>242.27804999999989</v>
      </c>
      <c r="AI559" s="5">
        <f t="shared" si="196"/>
        <v>0.11286815653552899</v>
      </c>
      <c r="AJ559" s="5">
        <f t="shared" si="199"/>
        <v>10850668.721070014</v>
      </c>
      <c r="AK559" s="7">
        <f t="shared" si="197"/>
        <v>0.99131178436850587</v>
      </c>
      <c r="AL559" s="17">
        <f>MIN(AC559,'What-If Analysis'!$B$2)</f>
        <v>0.13500000000000001</v>
      </c>
      <c r="AM559">
        <f>AE559*(1+'What-If Analysis'!$B$3)</f>
        <v>27.3</v>
      </c>
      <c r="AN559">
        <f>Y559*(1+'What-If Analysis'!$B$4)</f>
        <v>99.748000000000019</v>
      </c>
      <c r="AO559">
        <f t="shared" si="198"/>
        <v>2790.5254650000002</v>
      </c>
    </row>
    <row r="560" spans="1:41" x14ac:dyDescent="0.3">
      <c r="A560" t="s">
        <v>43</v>
      </c>
      <c r="B560" s="3">
        <v>45030</v>
      </c>
      <c r="C560" s="3">
        <f t="shared" si="179"/>
        <v>45030</v>
      </c>
      <c r="D560" s="3">
        <v>45060</v>
      </c>
      <c r="E560" s="3">
        <f t="shared" si="180"/>
        <v>45060</v>
      </c>
      <c r="F560" s="16">
        <f t="shared" si="181"/>
        <v>30</v>
      </c>
      <c r="G560" s="16">
        <f>IF(Data!F533&lt;=7,1,0)</f>
        <v>0</v>
      </c>
      <c r="H560" s="5" t="str">
        <f t="shared" si="182"/>
        <v>04-2023</v>
      </c>
      <c r="I560" s="5" t="str">
        <f t="shared" si="183"/>
        <v>Q2-2023</v>
      </c>
      <c r="J560" s="3">
        <f t="shared" si="184"/>
        <v>44946</v>
      </c>
      <c r="K560" s="5" t="str">
        <f t="shared" si="185"/>
        <v>01-2023</v>
      </c>
      <c r="L560" t="s">
        <v>646</v>
      </c>
      <c r="M560" t="s">
        <v>650</v>
      </c>
      <c r="N560" t="s">
        <v>678</v>
      </c>
      <c r="O560" t="str">
        <f t="shared" si="186"/>
        <v>Nakuru</v>
      </c>
      <c r="P560" t="s">
        <v>704</v>
      </c>
      <c r="Q560" t="s">
        <v>709</v>
      </c>
      <c r="R560" t="str">
        <f t="shared" si="187"/>
        <v>Marketplace</v>
      </c>
      <c r="S560" t="s">
        <v>724</v>
      </c>
      <c r="T560" t="str">
        <f t="shared" si="200"/>
        <v>M. Rossi</v>
      </c>
      <c r="U560" t="s">
        <v>730</v>
      </c>
      <c r="V560" t="str">
        <f t="shared" si="188"/>
        <v>Low</v>
      </c>
      <c r="W560" t="s">
        <v>762</v>
      </c>
      <c r="X560" t="str">
        <f t="shared" si="189"/>
        <v>C</v>
      </c>
      <c r="Y560" s="5">
        <v>209.25</v>
      </c>
      <c r="Z560" s="5">
        <v>434.8</v>
      </c>
      <c r="AA560" s="5">
        <f t="shared" si="190"/>
        <v>434.8</v>
      </c>
      <c r="AB560" s="7">
        <v>0</v>
      </c>
      <c r="AC560" s="7">
        <f t="shared" si="191"/>
        <v>0</v>
      </c>
      <c r="AD560" s="16">
        <f t="shared" si="192"/>
        <v>0</v>
      </c>
      <c r="AE560" s="16">
        <v>9</v>
      </c>
      <c r="AF560" s="5">
        <f t="shared" si="193"/>
        <v>3913.2000000000003</v>
      </c>
      <c r="AG560">
        <f t="shared" si="194"/>
        <v>1883.25</v>
      </c>
      <c r="AH560" s="5">
        <f t="shared" si="195"/>
        <v>2029.9500000000003</v>
      </c>
      <c r="AI560" s="5">
        <f t="shared" si="196"/>
        <v>0.51874425022999082</v>
      </c>
      <c r="AJ560" s="5">
        <f t="shared" si="199"/>
        <v>10854581.921070013</v>
      </c>
      <c r="AK560" s="7">
        <f t="shared" si="197"/>
        <v>0.99166929240550439</v>
      </c>
      <c r="AL560" s="17">
        <f>MIN(AC560,'What-If Analysis'!$B$2)</f>
        <v>0</v>
      </c>
      <c r="AM560">
        <f>AE560*(1+'What-If Analysis'!$B$3)</f>
        <v>11.700000000000001</v>
      </c>
      <c r="AN560">
        <f>Y560*(1+'What-If Analysis'!$B$4)</f>
        <v>230.17500000000001</v>
      </c>
      <c r="AO560">
        <f t="shared" si="198"/>
        <v>5087.1600000000008</v>
      </c>
    </row>
    <row r="561" spans="1:41" x14ac:dyDescent="0.3">
      <c r="A561" t="s">
        <v>102</v>
      </c>
      <c r="B561" s="3">
        <v>45876</v>
      </c>
      <c r="C561" s="3">
        <f t="shared" si="179"/>
        <v>45876</v>
      </c>
      <c r="D561" s="3">
        <v>45888</v>
      </c>
      <c r="E561" s="3">
        <f t="shared" si="180"/>
        <v>45888</v>
      </c>
      <c r="F561" s="16">
        <f t="shared" si="181"/>
        <v>12</v>
      </c>
      <c r="G561" s="16">
        <f>IF(Data!F583&lt;=7,1,0)</f>
        <v>0</v>
      </c>
      <c r="H561" s="5" t="str">
        <f t="shared" si="182"/>
        <v>08-2025</v>
      </c>
      <c r="I561" s="5" t="str">
        <f t="shared" si="183"/>
        <v>Q3-2025</v>
      </c>
      <c r="J561" s="3">
        <f t="shared" si="184"/>
        <v>44946</v>
      </c>
      <c r="K561" s="5" t="str">
        <f t="shared" si="185"/>
        <v>01-2023</v>
      </c>
      <c r="L561" t="s">
        <v>646</v>
      </c>
      <c r="M561" t="s">
        <v>650</v>
      </c>
      <c r="N561" t="s">
        <v>678</v>
      </c>
      <c r="O561" t="str">
        <f t="shared" si="186"/>
        <v>Nakuru</v>
      </c>
      <c r="P561" t="s">
        <v>701</v>
      </c>
      <c r="R561" t="str">
        <f t="shared" si="187"/>
        <v>Distributor</v>
      </c>
      <c r="S561" t="s">
        <v>724</v>
      </c>
      <c r="T561" t="str">
        <f t="shared" si="200"/>
        <v>M. Rossi</v>
      </c>
      <c r="U561" t="s">
        <v>727</v>
      </c>
      <c r="V561" t="str">
        <f t="shared" si="188"/>
        <v>Low</v>
      </c>
      <c r="W561" t="s">
        <v>821</v>
      </c>
      <c r="X561" t="str">
        <f t="shared" si="189"/>
        <v>C</v>
      </c>
      <c r="Y561" s="5">
        <v>601.51</v>
      </c>
      <c r="Z561" s="5">
        <v>679.35</v>
      </c>
      <c r="AA561" s="5">
        <f t="shared" si="190"/>
        <v>679.35</v>
      </c>
      <c r="AB561" s="7">
        <v>0.188</v>
      </c>
      <c r="AC561" s="7">
        <f t="shared" si="191"/>
        <v>0.188</v>
      </c>
      <c r="AD561" s="16">
        <f t="shared" si="192"/>
        <v>0</v>
      </c>
      <c r="AE561" s="16">
        <v>3</v>
      </c>
      <c r="AF561" s="5">
        <f t="shared" si="193"/>
        <v>1654.8966000000003</v>
      </c>
      <c r="AG561">
        <f t="shared" si="194"/>
        <v>1804.53</v>
      </c>
      <c r="AH561" s="5">
        <f t="shared" si="195"/>
        <v>149.63339999999971</v>
      </c>
      <c r="AI561" s="5">
        <f t="shared" si="196"/>
        <v>9.0418579626062243E-2</v>
      </c>
      <c r="AJ561" s="5">
        <f t="shared" si="199"/>
        <v>10856236.817670014</v>
      </c>
      <c r="AK561" s="7">
        <f t="shared" si="197"/>
        <v>0.99182048294902414</v>
      </c>
      <c r="AL561" s="17">
        <f>MIN(AC561,'What-If Analysis'!$B$2)</f>
        <v>0.188</v>
      </c>
      <c r="AM561">
        <f>AE561*(1+'What-If Analysis'!$B$3)</f>
        <v>3.9000000000000004</v>
      </c>
      <c r="AN561">
        <f>Y561*(1+'What-If Analysis'!$B$4)</f>
        <v>661.66100000000006</v>
      </c>
      <c r="AO561">
        <f t="shared" si="198"/>
        <v>2151.3655800000001</v>
      </c>
    </row>
    <row r="562" spans="1:41" x14ac:dyDescent="0.3">
      <c r="A562" t="s">
        <v>184</v>
      </c>
      <c r="B562" s="3">
        <v>45574</v>
      </c>
      <c r="C562" s="3">
        <f t="shared" si="179"/>
        <v>45574</v>
      </c>
      <c r="D562" s="3">
        <v>45604</v>
      </c>
      <c r="E562" s="3">
        <f t="shared" si="180"/>
        <v>45604</v>
      </c>
      <c r="F562" s="16">
        <f t="shared" si="181"/>
        <v>30</v>
      </c>
      <c r="G562" s="16">
        <f>IF(Data!F564&lt;=7,1,0)</f>
        <v>1</v>
      </c>
      <c r="H562" s="5" t="str">
        <f t="shared" si="182"/>
        <v>10-2024</v>
      </c>
      <c r="I562" s="5" t="str">
        <f t="shared" si="183"/>
        <v>Q4-2024</v>
      </c>
      <c r="J562" s="3">
        <f t="shared" si="184"/>
        <v>44945</v>
      </c>
      <c r="K562" s="5" t="str">
        <f t="shared" si="185"/>
        <v>01-2023</v>
      </c>
      <c r="L562" t="s">
        <v>649</v>
      </c>
      <c r="M562" t="s">
        <v>658</v>
      </c>
      <c r="N562" t="s">
        <v>693</v>
      </c>
      <c r="O562" t="str">
        <f t="shared" si="186"/>
        <v>Manchester</v>
      </c>
      <c r="P562" t="s">
        <v>705</v>
      </c>
      <c r="Q562" t="s">
        <v>710</v>
      </c>
      <c r="R562" t="str">
        <f t="shared" si="187"/>
        <v>Distributor</v>
      </c>
      <c r="S562" t="s">
        <v>713</v>
      </c>
      <c r="T562" t="str">
        <f t="shared" si="200"/>
        <v>J. Njeri</v>
      </c>
      <c r="U562" t="s">
        <v>727</v>
      </c>
      <c r="V562" t="str">
        <f t="shared" si="188"/>
        <v>Low</v>
      </c>
      <c r="W562" t="s">
        <v>903</v>
      </c>
      <c r="X562" t="str">
        <f t="shared" si="189"/>
        <v>C</v>
      </c>
      <c r="Y562" s="5">
        <v>343.85</v>
      </c>
      <c r="Z562" s="5">
        <v>538.04</v>
      </c>
      <c r="AA562" s="5">
        <f t="shared" si="190"/>
        <v>538.04</v>
      </c>
      <c r="AB562" s="7">
        <v>0.13900000000000001</v>
      </c>
      <c r="AC562" s="7">
        <f t="shared" si="191"/>
        <v>0.13900000000000001</v>
      </c>
      <c r="AD562" s="16">
        <f t="shared" si="192"/>
        <v>0</v>
      </c>
      <c r="AE562" s="16">
        <v>5</v>
      </c>
      <c r="AF562" s="5">
        <f t="shared" si="193"/>
        <v>2316.2621999999997</v>
      </c>
      <c r="AG562">
        <f t="shared" si="194"/>
        <v>1719.25</v>
      </c>
      <c r="AH562" s="5">
        <f t="shared" si="195"/>
        <v>597.01219999999967</v>
      </c>
      <c r="AI562" s="5">
        <f t="shared" si="196"/>
        <v>0.25774810813732563</v>
      </c>
      <c r="AJ562" s="5">
        <f t="shared" si="199"/>
        <v>10858553.079870014</v>
      </c>
      <c r="AK562" s="7">
        <f t="shared" si="197"/>
        <v>0.99203209553010763</v>
      </c>
      <c r="AL562" s="17">
        <f>MIN(AC562,'What-If Analysis'!$B$2)</f>
        <v>0.13900000000000001</v>
      </c>
      <c r="AM562">
        <f>AE562*(1+'What-If Analysis'!$B$3)</f>
        <v>6.5</v>
      </c>
      <c r="AN562">
        <f>Y562*(1+'What-If Analysis'!$B$4)</f>
        <v>378.23500000000007</v>
      </c>
      <c r="AO562">
        <f t="shared" si="198"/>
        <v>3011.14086</v>
      </c>
    </row>
    <row r="563" spans="1:41" x14ac:dyDescent="0.3">
      <c r="A563" t="s">
        <v>584</v>
      </c>
      <c r="B563" s="3">
        <v>45760</v>
      </c>
      <c r="C563" s="3">
        <f t="shared" si="179"/>
        <v>45760</v>
      </c>
      <c r="D563" s="3">
        <v>45761</v>
      </c>
      <c r="E563" s="3">
        <f t="shared" si="180"/>
        <v>45761</v>
      </c>
      <c r="F563" s="16">
        <f t="shared" si="181"/>
        <v>1</v>
      </c>
      <c r="G563" s="16">
        <f>IF(Data!F543&lt;=7,1,0)</f>
        <v>0</v>
      </c>
      <c r="H563" s="5" t="str">
        <f t="shared" si="182"/>
        <v>04-2025</v>
      </c>
      <c r="I563" s="5" t="str">
        <f t="shared" si="183"/>
        <v>Q2-2025</v>
      </c>
      <c r="J563" s="3">
        <f t="shared" si="184"/>
        <v>44988</v>
      </c>
      <c r="K563" s="5" t="str">
        <f t="shared" si="185"/>
        <v>03-2023</v>
      </c>
      <c r="L563" t="s">
        <v>647</v>
      </c>
      <c r="M563" t="s">
        <v>652</v>
      </c>
      <c r="N563" t="s">
        <v>666</v>
      </c>
      <c r="O563" t="str">
        <f t="shared" si="186"/>
        <v>Osaka</v>
      </c>
      <c r="P563" t="s">
        <v>706</v>
      </c>
      <c r="Q563" t="s">
        <v>708</v>
      </c>
      <c r="R563" t="str">
        <f t="shared" si="187"/>
        <v>Online</v>
      </c>
      <c r="S563" t="s">
        <v>715</v>
      </c>
      <c r="T563" t="str">
        <f t="shared" si="200"/>
        <v>G. Dubois</v>
      </c>
      <c r="U563" t="s">
        <v>727</v>
      </c>
      <c r="V563" t="str">
        <f t="shared" si="188"/>
        <v>Low</v>
      </c>
      <c r="W563" t="s">
        <v>1302</v>
      </c>
      <c r="X563" t="str">
        <f t="shared" si="189"/>
        <v>C</v>
      </c>
      <c r="Y563" s="5">
        <v>138.9</v>
      </c>
      <c r="Z563" s="5">
        <v>289.92</v>
      </c>
      <c r="AA563" s="5">
        <f t="shared" si="190"/>
        <v>289.92</v>
      </c>
      <c r="AB563" s="7">
        <v>2.9000000000000001E-2</v>
      </c>
      <c r="AC563" s="7">
        <f t="shared" si="191"/>
        <v>2.9000000000000001E-2</v>
      </c>
      <c r="AD563" s="16">
        <f t="shared" si="192"/>
        <v>0</v>
      </c>
      <c r="AE563" s="16">
        <v>12</v>
      </c>
      <c r="AF563" s="5">
        <f t="shared" si="193"/>
        <v>3378.1478400000001</v>
      </c>
      <c r="AG563">
        <f t="shared" si="194"/>
        <v>1666.8000000000002</v>
      </c>
      <c r="AH563" s="5">
        <f t="shared" si="195"/>
        <v>1711.3478399999999</v>
      </c>
      <c r="AI563" s="5">
        <f t="shared" si="196"/>
        <v>0.50659353025828491</v>
      </c>
      <c r="AJ563" s="5">
        <f t="shared" si="199"/>
        <v>10861931.227710014</v>
      </c>
      <c r="AK563" s="7">
        <f t="shared" si="197"/>
        <v>0.99234072146360686</v>
      </c>
      <c r="AL563" s="17">
        <f>MIN(AC563,'What-If Analysis'!$B$2)</f>
        <v>2.9000000000000001E-2</v>
      </c>
      <c r="AM563">
        <f>AE563*(1+'What-If Analysis'!$B$3)</f>
        <v>15.600000000000001</v>
      </c>
      <c r="AN563">
        <f>Y563*(1+'What-If Analysis'!$B$4)</f>
        <v>152.79000000000002</v>
      </c>
      <c r="AO563">
        <f t="shared" si="198"/>
        <v>4391.5921920000001</v>
      </c>
    </row>
    <row r="564" spans="1:41" x14ac:dyDescent="0.3">
      <c r="A564" t="s">
        <v>128</v>
      </c>
      <c r="B564" s="3">
        <v>45674</v>
      </c>
      <c r="C564" s="3">
        <f t="shared" si="179"/>
        <v>45674</v>
      </c>
      <c r="D564" s="3">
        <v>45681</v>
      </c>
      <c r="E564" s="3">
        <f t="shared" si="180"/>
        <v>45681</v>
      </c>
      <c r="F564" s="16">
        <f t="shared" si="181"/>
        <v>7</v>
      </c>
      <c r="G564" s="16">
        <f>IF(Data!F568&lt;=7,1,0)</f>
        <v>0</v>
      </c>
      <c r="H564" s="5" t="str">
        <f t="shared" si="182"/>
        <v>01-2025</v>
      </c>
      <c r="I564" s="5" t="str">
        <f t="shared" si="183"/>
        <v>Q1-2025</v>
      </c>
      <c r="J564" s="3">
        <f t="shared" si="184"/>
        <v>44939</v>
      </c>
      <c r="K564" s="5" t="str">
        <f t="shared" si="185"/>
        <v>01-2023</v>
      </c>
      <c r="L564" t="s">
        <v>648</v>
      </c>
      <c r="M564" t="s">
        <v>660</v>
      </c>
      <c r="N564" t="s">
        <v>697</v>
      </c>
      <c r="O564" t="str">
        <f t="shared" si="186"/>
        <v>Austin</v>
      </c>
      <c r="P564" t="s">
        <v>706</v>
      </c>
      <c r="Q564" t="s">
        <v>708</v>
      </c>
      <c r="R564" t="str">
        <f t="shared" si="187"/>
        <v>Online</v>
      </c>
      <c r="S564" t="s">
        <v>715</v>
      </c>
      <c r="T564" t="str">
        <f t="shared" si="200"/>
        <v>G. Dubois</v>
      </c>
      <c r="U564" t="s">
        <v>733</v>
      </c>
      <c r="V564" t="str">
        <f t="shared" si="188"/>
        <v>Low</v>
      </c>
      <c r="W564" t="s">
        <v>847</v>
      </c>
      <c r="X564" t="str">
        <f t="shared" si="189"/>
        <v>C</v>
      </c>
      <c r="Y564" s="5">
        <v>142.09</v>
      </c>
      <c r="Z564" s="5">
        <v>218.5</v>
      </c>
      <c r="AA564" s="5">
        <f t="shared" si="190"/>
        <v>218.5</v>
      </c>
      <c r="AB564" s="7">
        <v>0.11899999999999999</v>
      </c>
      <c r="AC564" s="7">
        <f t="shared" si="191"/>
        <v>0.11899999999999999</v>
      </c>
      <c r="AD564" s="16">
        <f t="shared" si="192"/>
        <v>0</v>
      </c>
      <c r="AE564" s="16">
        <v>11</v>
      </c>
      <c r="AF564" s="5">
        <f t="shared" si="193"/>
        <v>2117.4834999999998</v>
      </c>
      <c r="AG564">
        <f t="shared" si="194"/>
        <v>1562.99</v>
      </c>
      <c r="AH564" s="5">
        <f t="shared" si="195"/>
        <v>554.49349999999981</v>
      </c>
      <c r="AI564" s="5">
        <f t="shared" si="196"/>
        <v>0.26186437816398561</v>
      </c>
      <c r="AJ564" s="5">
        <f t="shared" si="199"/>
        <v>10864048.711210014</v>
      </c>
      <c r="AK564" s="7">
        <f t="shared" si="197"/>
        <v>0.99253417371993458</v>
      </c>
      <c r="AL564" s="17">
        <f>MIN(AC564,'What-If Analysis'!$B$2)</f>
        <v>0.11899999999999999</v>
      </c>
      <c r="AM564">
        <f>AE564*(1+'What-If Analysis'!$B$3)</f>
        <v>14.3</v>
      </c>
      <c r="AN564">
        <f>Y564*(1+'What-If Analysis'!$B$4)</f>
        <v>156.29900000000001</v>
      </c>
      <c r="AO564">
        <f t="shared" si="198"/>
        <v>2752.7285500000003</v>
      </c>
    </row>
    <row r="565" spans="1:41" x14ac:dyDescent="0.3">
      <c r="A565" t="s">
        <v>154</v>
      </c>
      <c r="B565" s="3">
        <v>45336</v>
      </c>
      <c r="C565" s="3">
        <f t="shared" si="179"/>
        <v>45336</v>
      </c>
      <c r="D565" s="3">
        <v>45336</v>
      </c>
      <c r="E565" s="3">
        <f t="shared" si="180"/>
        <v>45336</v>
      </c>
      <c r="F565" s="16">
        <f t="shared" si="181"/>
        <v>0</v>
      </c>
      <c r="G565" s="16">
        <f>IF(Data!F587&lt;=7,1,0)</f>
        <v>1</v>
      </c>
      <c r="H565" s="5" t="str">
        <f t="shared" si="182"/>
        <v>02-2024</v>
      </c>
      <c r="I565" s="5" t="str">
        <f t="shared" si="183"/>
        <v>Q1-2024</v>
      </c>
      <c r="J565" s="3">
        <f t="shared" si="184"/>
        <v>44938</v>
      </c>
      <c r="K565" s="5" t="str">
        <f t="shared" si="185"/>
        <v>01-2023</v>
      </c>
      <c r="L565" t="s">
        <v>647</v>
      </c>
      <c r="M565" t="s">
        <v>659</v>
      </c>
      <c r="N565" t="s">
        <v>699</v>
      </c>
      <c r="O565" t="str">
        <f t="shared" si="186"/>
        <v>Beijing</v>
      </c>
      <c r="P565" t="s">
        <v>701</v>
      </c>
      <c r="Q565" t="s">
        <v>710</v>
      </c>
      <c r="R565" t="str">
        <f t="shared" si="187"/>
        <v>Distributor</v>
      </c>
      <c r="S565" t="s">
        <v>716</v>
      </c>
      <c r="T565" t="str">
        <f t="shared" si="200"/>
        <v>L. Okafor</v>
      </c>
      <c r="U565" t="s">
        <v>733</v>
      </c>
      <c r="V565" t="str">
        <f t="shared" si="188"/>
        <v>Low</v>
      </c>
      <c r="W565" t="s">
        <v>873</v>
      </c>
      <c r="X565" t="str">
        <f t="shared" si="189"/>
        <v>C</v>
      </c>
      <c r="Y565" s="5">
        <v>65.930000000000007</v>
      </c>
      <c r="Z565" s="5">
        <v>84.9</v>
      </c>
      <c r="AA565" s="5">
        <f t="shared" si="190"/>
        <v>84.9</v>
      </c>
      <c r="AB565" s="7">
        <v>0.25900000000000001</v>
      </c>
      <c r="AC565" s="7">
        <f t="shared" si="191"/>
        <v>0.25900000000000001</v>
      </c>
      <c r="AD565" s="16">
        <f t="shared" si="192"/>
        <v>1</v>
      </c>
      <c r="AE565" s="16">
        <v>23</v>
      </c>
      <c r="AF565" s="5">
        <f t="shared" si="193"/>
        <v>1446.9507000000001</v>
      </c>
      <c r="AG565">
        <f t="shared" si="194"/>
        <v>1516.39</v>
      </c>
      <c r="AH565" s="5">
        <f t="shared" si="195"/>
        <v>69.439300000000003</v>
      </c>
      <c r="AI565" s="5">
        <f t="shared" si="196"/>
        <v>4.7990093926489688E-2</v>
      </c>
      <c r="AJ565" s="5">
        <f t="shared" si="199"/>
        <v>10865495.661910014</v>
      </c>
      <c r="AK565" s="7">
        <f t="shared" si="197"/>
        <v>0.99266636642779282</v>
      </c>
      <c r="AL565" s="17">
        <f>MIN(AC565,'What-If Analysis'!$B$2)</f>
        <v>0.2</v>
      </c>
      <c r="AM565">
        <f>AE565*(1+'What-If Analysis'!$B$3)</f>
        <v>29.900000000000002</v>
      </c>
      <c r="AN565">
        <f>Y565*(1+'What-If Analysis'!$B$4)</f>
        <v>72.52300000000001</v>
      </c>
      <c r="AO565">
        <f t="shared" si="198"/>
        <v>2030.8080000000002</v>
      </c>
    </row>
    <row r="566" spans="1:41" x14ac:dyDescent="0.3">
      <c r="A566" t="s">
        <v>259</v>
      </c>
      <c r="B566" s="3">
        <v>45357</v>
      </c>
      <c r="C566" s="3">
        <f t="shared" si="179"/>
        <v>45357</v>
      </c>
      <c r="D566" s="3">
        <v>45377</v>
      </c>
      <c r="E566" s="3">
        <f t="shared" si="180"/>
        <v>45377</v>
      </c>
      <c r="F566" s="16">
        <f t="shared" si="181"/>
        <v>20</v>
      </c>
      <c r="G566" s="16">
        <f>IF(Data!F550&lt;=7,1,0)</f>
        <v>1</v>
      </c>
      <c r="H566" s="5" t="str">
        <f t="shared" si="182"/>
        <v>03-2024</v>
      </c>
      <c r="I566" s="5" t="str">
        <f t="shared" si="183"/>
        <v>Q1-2024</v>
      </c>
      <c r="J566" s="3">
        <f t="shared" si="184"/>
        <v>44939</v>
      </c>
      <c r="K566" s="5" t="str">
        <f t="shared" si="185"/>
        <v>01-2023</v>
      </c>
      <c r="L566" t="s">
        <v>646</v>
      </c>
      <c r="M566" t="s">
        <v>651</v>
      </c>
      <c r="N566" t="s">
        <v>663</v>
      </c>
      <c r="O566" t="str">
        <f t="shared" si="186"/>
        <v>Port Harcourt</v>
      </c>
      <c r="P566" t="s">
        <v>704</v>
      </c>
      <c r="Q566" t="s">
        <v>709</v>
      </c>
      <c r="R566" t="str">
        <f t="shared" si="187"/>
        <v>Marketplace</v>
      </c>
      <c r="S566" t="s">
        <v>714</v>
      </c>
      <c r="T566" t="str">
        <f t="shared" si="200"/>
        <v>I. Johnson</v>
      </c>
      <c r="U566" t="s">
        <v>730</v>
      </c>
      <c r="V566" t="str">
        <f t="shared" si="188"/>
        <v>Low</v>
      </c>
      <c r="W566" t="s">
        <v>979</v>
      </c>
      <c r="X566" t="str">
        <f t="shared" si="189"/>
        <v>C</v>
      </c>
      <c r="Y566" s="5">
        <v>65.64</v>
      </c>
      <c r="Z566" s="5">
        <v>151.88</v>
      </c>
      <c r="AA566" s="5">
        <f t="shared" si="190"/>
        <v>151.88</v>
      </c>
      <c r="AB566" s="7">
        <v>0.16700000000000001</v>
      </c>
      <c r="AC566" s="7">
        <f t="shared" si="191"/>
        <v>0.16700000000000001</v>
      </c>
      <c r="AD566" s="16">
        <f t="shared" si="192"/>
        <v>0</v>
      </c>
      <c r="AE566" s="16">
        <v>23</v>
      </c>
      <c r="AF566" s="5">
        <f t="shared" si="193"/>
        <v>2909.8689199999999</v>
      </c>
      <c r="AG566">
        <f t="shared" si="194"/>
        <v>1509.72</v>
      </c>
      <c r="AH566" s="5">
        <f t="shared" si="195"/>
        <v>1400.1489199999999</v>
      </c>
      <c r="AI566" s="5">
        <f t="shared" si="196"/>
        <v>0.48117250587356353</v>
      </c>
      <c r="AJ566" s="5">
        <f t="shared" si="199"/>
        <v>10868405.530830014</v>
      </c>
      <c r="AK566" s="7">
        <f t="shared" si="197"/>
        <v>0.99293221062832238</v>
      </c>
      <c r="AL566" s="17">
        <f>MIN(AC566,'What-If Analysis'!$B$2)</f>
        <v>0.16700000000000001</v>
      </c>
      <c r="AM566">
        <f>AE566*(1+'What-If Analysis'!$B$3)</f>
        <v>29.900000000000002</v>
      </c>
      <c r="AN566">
        <f>Y566*(1+'What-If Analysis'!$B$4)</f>
        <v>72.204000000000008</v>
      </c>
      <c r="AO566">
        <f t="shared" si="198"/>
        <v>3782.829596</v>
      </c>
    </row>
    <row r="567" spans="1:41" x14ac:dyDescent="0.3">
      <c r="A567" t="s">
        <v>611</v>
      </c>
      <c r="B567" s="3">
        <v>44933</v>
      </c>
      <c r="C567" s="3">
        <f t="shared" si="179"/>
        <v>44933</v>
      </c>
      <c r="D567" s="3">
        <v>44956</v>
      </c>
      <c r="E567" s="3">
        <f t="shared" si="180"/>
        <v>44956</v>
      </c>
      <c r="F567" s="16">
        <f t="shared" si="181"/>
        <v>23</v>
      </c>
      <c r="G567" s="16">
        <f>IF(Data!F547&lt;=7,1,0)</f>
        <v>0</v>
      </c>
      <c r="H567" s="5" t="str">
        <f t="shared" si="182"/>
        <v>01-2023</v>
      </c>
      <c r="I567" s="5" t="str">
        <f t="shared" si="183"/>
        <v>Q1-2023</v>
      </c>
      <c r="J567" s="3">
        <f t="shared" si="184"/>
        <v>44933</v>
      </c>
      <c r="K567" s="5" t="str">
        <f t="shared" si="185"/>
        <v>01-2023</v>
      </c>
      <c r="L567" t="s">
        <v>646</v>
      </c>
      <c r="M567" t="s">
        <v>661</v>
      </c>
      <c r="N567" t="s">
        <v>695</v>
      </c>
      <c r="O567" t="str">
        <f t="shared" si="186"/>
        <v>Cape Town</v>
      </c>
      <c r="P567" t="s">
        <v>704</v>
      </c>
      <c r="Q567" t="s">
        <v>708</v>
      </c>
      <c r="R567" t="str">
        <f t="shared" si="187"/>
        <v>Online</v>
      </c>
      <c r="S567" t="s">
        <v>720</v>
      </c>
      <c r="T567" t="str">
        <f t="shared" si="200"/>
        <v>A. Patel</v>
      </c>
      <c r="U567" t="s">
        <v>728</v>
      </c>
      <c r="V567" t="str">
        <f t="shared" si="188"/>
        <v>Low</v>
      </c>
      <c r="W567" t="s">
        <v>1329</v>
      </c>
      <c r="X567" t="str">
        <f t="shared" si="189"/>
        <v>C</v>
      </c>
      <c r="Y567" s="5">
        <v>299.02</v>
      </c>
      <c r="Z567" s="5">
        <v>724.7</v>
      </c>
      <c r="AA567" s="5">
        <f t="shared" si="190"/>
        <v>724.7</v>
      </c>
      <c r="AB567" s="7">
        <v>0.14000000000000001</v>
      </c>
      <c r="AC567" s="7">
        <f t="shared" si="191"/>
        <v>0.14000000000000001</v>
      </c>
      <c r="AD567" s="16">
        <f t="shared" si="192"/>
        <v>0</v>
      </c>
      <c r="AE567" s="16">
        <v>5</v>
      </c>
      <c r="AF567" s="5">
        <f t="shared" si="193"/>
        <v>3116.21</v>
      </c>
      <c r="AG567">
        <f t="shared" si="194"/>
        <v>1495.1</v>
      </c>
      <c r="AH567" s="5">
        <f t="shared" si="195"/>
        <v>1621.1100000000001</v>
      </c>
      <c r="AI567" s="5">
        <f t="shared" si="196"/>
        <v>0.52021847051386139</v>
      </c>
      <c r="AJ567" s="5">
        <f t="shared" si="199"/>
        <v>10871521.740830015</v>
      </c>
      <c r="AK567" s="7">
        <f t="shared" si="197"/>
        <v>0.99321690604894375</v>
      </c>
      <c r="AL567" s="17">
        <f>MIN(AC567,'What-If Analysis'!$B$2)</f>
        <v>0.14000000000000001</v>
      </c>
      <c r="AM567">
        <f>AE567*(1+'What-If Analysis'!$B$3)</f>
        <v>6.5</v>
      </c>
      <c r="AN567">
        <f>Y567*(1+'What-If Analysis'!$B$4)</f>
        <v>328.92200000000003</v>
      </c>
      <c r="AO567">
        <f t="shared" si="198"/>
        <v>4051.0730000000003</v>
      </c>
    </row>
    <row r="568" spans="1:41" x14ac:dyDescent="0.3">
      <c r="A568" t="s">
        <v>477</v>
      </c>
      <c r="B568" s="3">
        <v>45757</v>
      </c>
      <c r="C568" s="3">
        <f t="shared" si="179"/>
        <v>45757</v>
      </c>
      <c r="D568" s="3">
        <v>45766</v>
      </c>
      <c r="E568" s="3">
        <f t="shared" si="180"/>
        <v>45766</v>
      </c>
      <c r="F568" s="16">
        <f t="shared" si="181"/>
        <v>9</v>
      </c>
      <c r="G568" s="16">
        <f>IF(Data!F575&lt;=7,1,0)</f>
        <v>0</v>
      </c>
      <c r="H568" s="5" t="str">
        <f t="shared" si="182"/>
        <v>04-2025</v>
      </c>
      <c r="I568" s="5" t="str">
        <f t="shared" si="183"/>
        <v>Q2-2025</v>
      </c>
      <c r="J568" s="3">
        <f t="shared" si="184"/>
        <v>44933</v>
      </c>
      <c r="K568" s="5" t="str">
        <f t="shared" si="185"/>
        <v>01-2023</v>
      </c>
      <c r="L568" t="s">
        <v>646</v>
      </c>
      <c r="M568" t="s">
        <v>661</v>
      </c>
      <c r="N568" t="s">
        <v>687</v>
      </c>
      <c r="O568" t="str">
        <f t="shared" si="186"/>
        <v>Durban</v>
      </c>
      <c r="P568" t="s">
        <v>706</v>
      </c>
      <c r="R568" t="str">
        <f t="shared" si="187"/>
        <v>Direct</v>
      </c>
      <c r="S568" t="s">
        <v>715</v>
      </c>
      <c r="T568" t="str">
        <f t="shared" si="200"/>
        <v>G. Dubois</v>
      </c>
      <c r="U568" t="s">
        <v>729</v>
      </c>
      <c r="V568" t="str">
        <f t="shared" si="188"/>
        <v>Low</v>
      </c>
      <c r="W568" t="s">
        <v>1196</v>
      </c>
      <c r="X568" t="str">
        <f t="shared" si="189"/>
        <v>C</v>
      </c>
      <c r="Y568" s="5">
        <v>113.74</v>
      </c>
      <c r="Z568" s="5">
        <v>165.7</v>
      </c>
      <c r="AA568" s="5">
        <f t="shared" si="190"/>
        <v>165.7</v>
      </c>
      <c r="AB568" s="7">
        <v>0.124</v>
      </c>
      <c r="AC568" s="7">
        <f t="shared" si="191"/>
        <v>0.124</v>
      </c>
      <c r="AD568" s="16">
        <f t="shared" si="192"/>
        <v>0</v>
      </c>
      <c r="AE568" s="16">
        <v>13</v>
      </c>
      <c r="AF568" s="5">
        <f t="shared" si="193"/>
        <v>1886.9915999999998</v>
      </c>
      <c r="AG568">
        <f t="shared" si="194"/>
        <v>1478.62</v>
      </c>
      <c r="AH568" s="5">
        <f t="shared" si="195"/>
        <v>408.37159999999994</v>
      </c>
      <c r="AI568" s="5">
        <f t="shared" si="196"/>
        <v>0.21641410592394794</v>
      </c>
      <c r="AJ568" s="5">
        <f t="shared" si="199"/>
        <v>10873408.732430015</v>
      </c>
      <c r="AK568" s="7">
        <f t="shared" si="197"/>
        <v>0.99338930067808318</v>
      </c>
      <c r="AL568" s="17">
        <f>MIN(AC568,'What-If Analysis'!$B$2)</f>
        <v>0.124</v>
      </c>
      <c r="AM568">
        <f>AE568*(1+'What-If Analysis'!$B$3)</f>
        <v>16.900000000000002</v>
      </c>
      <c r="AN568">
        <f>Y568*(1+'What-If Analysis'!$B$4)</f>
        <v>125.114</v>
      </c>
      <c r="AO568">
        <f t="shared" si="198"/>
        <v>2453.0890800000002</v>
      </c>
    </row>
    <row r="569" spans="1:41" x14ac:dyDescent="0.3">
      <c r="A569" t="s">
        <v>358</v>
      </c>
      <c r="B569" s="3">
        <v>45486</v>
      </c>
      <c r="C569" s="3">
        <f t="shared" si="179"/>
        <v>45485</v>
      </c>
      <c r="D569" s="3">
        <v>45485</v>
      </c>
      <c r="E569" s="3">
        <f t="shared" si="180"/>
        <v>45486</v>
      </c>
      <c r="F569" s="16">
        <f t="shared" si="181"/>
        <v>1</v>
      </c>
      <c r="G569" s="16">
        <f>IF(Data!F546&lt;=7,1,0)</f>
        <v>0</v>
      </c>
      <c r="H569" s="5" t="str">
        <f t="shared" si="182"/>
        <v>07-2024</v>
      </c>
      <c r="I569" s="5" t="str">
        <f t="shared" si="183"/>
        <v>Q3-2024</v>
      </c>
      <c r="J569" s="3">
        <f t="shared" si="184"/>
        <v>44988</v>
      </c>
      <c r="K569" s="5" t="str">
        <f t="shared" si="185"/>
        <v>03-2023</v>
      </c>
      <c r="L569" t="s">
        <v>647</v>
      </c>
      <c r="M569" t="s">
        <v>652</v>
      </c>
      <c r="N569" t="s">
        <v>694</v>
      </c>
      <c r="O569" t="str">
        <f t="shared" si="186"/>
        <v>Nagoya</v>
      </c>
      <c r="P569" t="s">
        <v>705</v>
      </c>
      <c r="Q569" t="s">
        <v>709</v>
      </c>
      <c r="R569" t="str">
        <f t="shared" si="187"/>
        <v>Marketplace</v>
      </c>
      <c r="S569" t="s">
        <v>721</v>
      </c>
      <c r="T569" t="str">
        <f t="shared" si="200"/>
        <v>F. Müller</v>
      </c>
      <c r="U569" t="s">
        <v>729</v>
      </c>
      <c r="V569" t="str">
        <f t="shared" si="188"/>
        <v>Low</v>
      </c>
      <c r="W569" t="s">
        <v>1078</v>
      </c>
      <c r="X569" t="str">
        <f t="shared" si="189"/>
        <v>C</v>
      </c>
      <c r="Y569" s="5">
        <v>105.13</v>
      </c>
      <c r="Z569" s="5">
        <v>244.13</v>
      </c>
      <c r="AA569" s="5">
        <f t="shared" si="190"/>
        <v>244.13</v>
      </c>
      <c r="AB569" s="7">
        <v>7.0999999999999994E-2</v>
      </c>
      <c r="AC569" s="7">
        <f t="shared" si="191"/>
        <v>7.0999999999999994E-2</v>
      </c>
      <c r="AD569" s="16">
        <f t="shared" si="192"/>
        <v>0</v>
      </c>
      <c r="AE569" s="16">
        <v>14</v>
      </c>
      <c r="AF569" s="5">
        <f t="shared" si="193"/>
        <v>3175.1547799999998</v>
      </c>
      <c r="AG569">
        <f t="shared" si="194"/>
        <v>1471.82</v>
      </c>
      <c r="AH569" s="5">
        <f t="shared" si="195"/>
        <v>1703.3347799999999</v>
      </c>
      <c r="AI569" s="5">
        <f t="shared" si="196"/>
        <v>0.53645724319618837</v>
      </c>
      <c r="AJ569" s="5">
        <f t="shared" si="199"/>
        <v>10876583.887210015</v>
      </c>
      <c r="AK569" s="7">
        <f t="shared" si="197"/>
        <v>0.99367938126495947</v>
      </c>
      <c r="AL569" s="17">
        <f>MIN(AC569,'What-If Analysis'!$B$2)</f>
        <v>7.0999999999999994E-2</v>
      </c>
      <c r="AM569">
        <f>AE569*(1+'What-If Analysis'!$B$3)</f>
        <v>18.2</v>
      </c>
      <c r="AN569">
        <f>Y569*(1+'What-If Analysis'!$B$4)</f>
        <v>115.643</v>
      </c>
      <c r="AO569">
        <f t="shared" si="198"/>
        <v>4127.7012140000006</v>
      </c>
    </row>
    <row r="570" spans="1:41" x14ac:dyDescent="0.3">
      <c r="A570" t="s">
        <v>480</v>
      </c>
      <c r="B570" s="3">
        <v>45466</v>
      </c>
      <c r="C570" s="3">
        <f t="shared" si="179"/>
        <v>45466</v>
      </c>
      <c r="D570" s="3">
        <v>45471</v>
      </c>
      <c r="E570" s="3">
        <f t="shared" si="180"/>
        <v>45471</v>
      </c>
      <c r="F570" s="16">
        <f t="shared" si="181"/>
        <v>5</v>
      </c>
      <c r="G570" s="16">
        <f>IF(Data!F555&lt;=7,1,0)</f>
        <v>0</v>
      </c>
      <c r="H570" s="5" t="str">
        <f t="shared" si="182"/>
        <v>06-2024</v>
      </c>
      <c r="I570" s="5" t="str">
        <f t="shared" si="183"/>
        <v>Q2-2024</v>
      </c>
      <c r="J570" s="3">
        <f t="shared" si="184"/>
        <v>44939</v>
      </c>
      <c r="K570" s="5" t="str">
        <f t="shared" si="185"/>
        <v>01-2023</v>
      </c>
      <c r="L570" t="s">
        <v>646</v>
      </c>
      <c r="M570" t="s">
        <v>651</v>
      </c>
      <c r="N570" t="s">
        <v>663</v>
      </c>
      <c r="O570" t="str">
        <f t="shared" si="186"/>
        <v>Port Harcourt</v>
      </c>
      <c r="P570" t="s">
        <v>703</v>
      </c>
      <c r="Q570" t="s">
        <v>711</v>
      </c>
      <c r="R570" t="str">
        <f t="shared" si="187"/>
        <v>Direct</v>
      </c>
      <c r="S570" t="s">
        <v>724</v>
      </c>
      <c r="T570" t="str">
        <f t="shared" si="200"/>
        <v>M. Rossi</v>
      </c>
      <c r="U570" t="s">
        <v>733</v>
      </c>
      <c r="V570" t="str">
        <f t="shared" si="188"/>
        <v>Low</v>
      </c>
      <c r="W570" t="s">
        <v>1199</v>
      </c>
      <c r="X570" t="str">
        <f t="shared" si="189"/>
        <v>C</v>
      </c>
      <c r="Y570" s="5">
        <v>242.31</v>
      </c>
      <c r="Z570" s="5">
        <v>587.95000000000005</v>
      </c>
      <c r="AA570" s="5">
        <f t="shared" si="190"/>
        <v>587.95000000000005</v>
      </c>
      <c r="AB570" s="7">
        <v>0.22900000000000001</v>
      </c>
      <c r="AC570" s="7">
        <f t="shared" si="191"/>
        <v>0.22900000000000001</v>
      </c>
      <c r="AD570" s="16">
        <f t="shared" si="192"/>
        <v>1</v>
      </c>
      <c r="AE570" s="16">
        <v>6</v>
      </c>
      <c r="AF570" s="5">
        <f t="shared" si="193"/>
        <v>2719.8567000000003</v>
      </c>
      <c r="AG570">
        <f t="shared" si="194"/>
        <v>1453.8600000000001</v>
      </c>
      <c r="AH570" s="5">
        <f t="shared" si="195"/>
        <v>1265.9967000000001</v>
      </c>
      <c r="AI570" s="5">
        <f t="shared" si="196"/>
        <v>0.46546448568411714</v>
      </c>
      <c r="AJ570" s="5">
        <f t="shared" si="199"/>
        <v>10879303.743910015</v>
      </c>
      <c r="AK570" s="7">
        <f t="shared" si="197"/>
        <v>0.99392786604205596</v>
      </c>
      <c r="AL570" s="17">
        <f>MIN(AC570,'What-If Analysis'!$B$2)</f>
        <v>0.2</v>
      </c>
      <c r="AM570">
        <f>AE570*(1+'What-If Analysis'!$B$3)</f>
        <v>7.8000000000000007</v>
      </c>
      <c r="AN570">
        <f>Y570*(1+'What-If Analysis'!$B$4)</f>
        <v>266.541</v>
      </c>
      <c r="AO570">
        <f t="shared" si="198"/>
        <v>3668.8080000000009</v>
      </c>
    </row>
    <row r="571" spans="1:41" x14ac:dyDescent="0.3">
      <c r="A571" t="s">
        <v>189</v>
      </c>
      <c r="B571" s="3">
        <v>45435</v>
      </c>
      <c r="C571" s="3">
        <f t="shared" si="179"/>
        <v>45435</v>
      </c>
      <c r="D571" s="3">
        <v>45446</v>
      </c>
      <c r="E571" s="3">
        <f t="shared" si="180"/>
        <v>45446</v>
      </c>
      <c r="F571" s="16">
        <f t="shared" si="181"/>
        <v>11</v>
      </c>
      <c r="G571" s="16">
        <f>IF(Data!F572&lt;=7,1,0)</f>
        <v>0</v>
      </c>
      <c r="H571" s="5" t="str">
        <f t="shared" si="182"/>
        <v>05-2024</v>
      </c>
      <c r="I571" s="5" t="str">
        <f t="shared" si="183"/>
        <v>Q2-2024</v>
      </c>
      <c r="J571" s="3">
        <f t="shared" si="184"/>
        <v>44933</v>
      </c>
      <c r="K571" s="5" t="str">
        <f t="shared" si="185"/>
        <v>01-2023</v>
      </c>
      <c r="L571" t="s">
        <v>646</v>
      </c>
      <c r="M571" t="s">
        <v>661</v>
      </c>
      <c r="N571" t="s">
        <v>682</v>
      </c>
      <c r="O571" t="str">
        <f t="shared" si="186"/>
        <v>Johannesburg</v>
      </c>
      <c r="P571" t="s">
        <v>705</v>
      </c>
      <c r="Q571" t="s">
        <v>710</v>
      </c>
      <c r="R571" t="str">
        <f t="shared" si="187"/>
        <v>Distributor</v>
      </c>
      <c r="S571" t="s">
        <v>721</v>
      </c>
      <c r="T571" t="str">
        <f t="shared" si="200"/>
        <v>F. Müller</v>
      </c>
      <c r="U571" t="s">
        <v>728</v>
      </c>
      <c r="V571" t="str">
        <f t="shared" si="188"/>
        <v>Low</v>
      </c>
      <c r="W571" t="s">
        <v>908</v>
      </c>
      <c r="X571" t="str">
        <f t="shared" si="189"/>
        <v>C</v>
      </c>
      <c r="Y571" s="5">
        <v>180.89</v>
      </c>
      <c r="Z571" s="5">
        <v>249.57</v>
      </c>
      <c r="AA571" s="5">
        <f t="shared" si="190"/>
        <v>249.57</v>
      </c>
      <c r="AB571" s="7">
        <v>2.1999999999999999E-2</v>
      </c>
      <c r="AC571" s="7">
        <f t="shared" si="191"/>
        <v>2.1999999999999999E-2</v>
      </c>
      <c r="AD571" s="16">
        <f t="shared" si="192"/>
        <v>0</v>
      </c>
      <c r="AE571" s="16">
        <v>8</v>
      </c>
      <c r="AF571" s="5">
        <f t="shared" si="193"/>
        <v>1952.6356799999999</v>
      </c>
      <c r="AG571">
        <f t="shared" si="194"/>
        <v>1447.12</v>
      </c>
      <c r="AH571" s="5">
        <f t="shared" si="195"/>
        <v>505.51567999999997</v>
      </c>
      <c r="AI571" s="5">
        <f t="shared" si="196"/>
        <v>0.25888888806948362</v>
      </c>
      <c r="AJ571" s="5">
        <f t="shared" si="199"/>
        <v>10881256.379590014</v>
      </c>
      <c r="AK571" s="7">
        <f t="shared" si="197"/>
        <v>0.99410625788221996</v>
      </c>
      <c r="AL571" s="17">
        <f>MIN(AC571,'What-If Analysis'!$B$2)</f>
        <v>2.1999999999999999E-2</v>
      </c>
      <c r="AM571">
        <f>AE571*(1+'What-If Analysis'!$B$3)</f>
        <v>10.4</v>
      </c>
      <c r="AN571">
        <f>Y571*(1+'What-If Analysis'!$B$4)</f>
        <v>198.97900000000001</v>
      </c>
      <c r="AO571">
        <f t="shared" si="198"/>
        <v>2538.4263839999999</v>
      </c>
    </row>
    <row r="572" spans="1:41" x14ac:dyDescent="0.3">
      <c r="A572" t="s">
        <v>139</v>
      </c>
      <c r="B572" s="3">
        <v>45159</v>
      </c>
      <c r="C572" s="3">
        <f t="shared" si="179"/>
        <v>45159</v>
      </c>
      <c r="D572" s="3">
        <v>45173</v>
      </c>
      <c r="E572" s="3">
        <f t="shared" si="180"/>
        <v>45173</v>
      </c>
      <c r="F572" s="16">
        <f t="shared" si="181"/>
        <v>14</v>
      </c>
      <c r="G572" s="16">
        <f>IF(Data!F570&lt;=7,1,0)</f>
        <v>1</v>
      </c>
      <c r="H572" s="5" t="str">
        <f t="shared" si="182"/>
        <v>08-2023</v>
      </c>
      <c r="I572" s="5" t="str">
        <f t="shared" si="183"/>
        <v>Q3-2023</v>
      </c>
      <c r="J572" s="3">
        <f t="shared" si="184"/>
        <v>44928</v>
      </c>
      <c r="K572" s="5" t="str">
        <f t="shared" si="185"/>
        <v>01-2023</v>
      </c>
      <c r="L572" t="s">
        <v>648</v>
      </c>
      <c r="M572" t="s">
        <v>653</v>
      </c>
      <c r="N572" t="s">
        <v>681</v>
      </c>
      <c r="O572" t="str">
        <f t="shared" si="186"/>
        <v>Montreal</v>
      </c>
      <c r="P572" t="s">
        <v>702</v>
      </c>
      <c r="Q572" t="s">
        <v>710</v>
      </c>
      <c r="R572" t="str">
        <f t="shared" si="187"/>
        <v>Distributor</v>
      </c>
      <c r="S572" t="s">
        <v>721</v>
      </c>
      <c r="T572" t="str">
        <f t="shared" si="200"/>
        <v>F. Müller</v>
      </c>
      <c r="U572" t="s">
        <v>727</v>
      </c>
      <c r="V572" t="str">
        <f t="shared" si="188"/>
        <v>Low</v>
      </c>
      <c r="W572" t="s">
        <v>858</v>
      </c>
      <c r="X572" t="str">
        <f t="shared" si="189"/>
        <v>C</v>
      </c>
      <c r="Y572" s="5">
        <v>178.19</v>
      </c>
      <c r="Z572" s="5">
        <v>284.43</v>
      </c>
      <c r="AA572" s="5">
        <f t="shared" si="190"/>
        <v>284.43</v>
      </c>
      <c r="AB572" s="7">
        <v>8.8999999999999996E-2</v>
      </c>
      <c r="AC572" s="7">
        <f t="shared" si="191"/>
        <v>8.8999999999999996E-2</v>
      </c>
      <c r="AD572" s="16">
        <f t="shared" si="192"/>
        <v>0</v>
      </c>
      <c r="AE572" s="16">
        <v>8</v>
      </c>
      <c r="AF572" s="5">
        <f t="shared" si="193"/>
        <v>2072.9258400000003</v>
      </c>
      <c r="AG572">
        <f t="shared" si="194"/>
        <v>1425.52</v>
      </c>
      <c r="AH572" s="5">
        <f t="shared" si="195"/>
        <v>647.40584000000035</v>
      </c>
      <c r="AI572" s="5">
        <f t="shared" si="196"/>
        <v>0.31231500302972742</v>
      </c>
      <c r="AJ572" s="5">
        <f t="shared" si="199"/>
        <v>10883329.305430014</v>
      </c>
      <c r="AK572" s="7">
        <f t="shared" si="197"/>
        <v>0.99429563937253529</v>
      </c>
      <c r="AL572" s="17">
        <f>MIN(AC572,'What-If Analysis'!$B$2)</f>
        <v>8.8999999999999996E-2</v>
      </c>
      <c r="AM572">
        <f>AE572*(1+'What-If Analysis'!$B$3)</f>
        <v>10.4</v>
      </c>
      <c r="AN572">
        <f>Y572*(1+'What-If Analysis'!$B$4)</f>
        <v>196.00900000000001</v>
      </c>
      <c r="AO572">
        <f t="shared" si="198"/>
        <v>2694.8035920000002</v>
      </c>
    </row>
    <row r="573" spans="1:41" x14ac:dyDescent="0.3">
      <c r="A573" t="s">
        <v>143</v>
      </c>
      <c r="B573" s="3">
        <v>45442</v>
      </c>
      <c r="C573" s="3">
        <f t="shared" si="179"/>
        <v>45442</v>
      </c>
      <c r="D573" s="3">
        <v>45456</v>
      </c>
      <c r="E573" s="3">
        <f t="shared" si="180"/>
        <v>45456</v>
      </c>
      <c r="F573" s="16">
        <f t="shared" si="181"/>
        <v>14</v>
      </c>
      <c r="G573" s="16">
        <f>IF(Data!F556&lt;=7,1,0)</f>
        <v>0</v>
      </c>
      <c r="H573" s="5" t="str">
        <f t="shared" si="182"/>
        <v>05-2024</v>
      </c>
      <c r="I573" s="5" t="str">
        <f t="shared" si="183"/>
        <v>Q2-2024</v>
      </c>
      <c r="J573" s="3">
        <f t="shared" si="184"/>
        <v>44939</v>
      </c>
      <c r="K573" s="5" t="str">
        <f t="shared" si="185"/>
        <v>01-2023</v>
      </c>
      <c r="L573" t="s">
        <v>648</v>
      </c>
      <c r="M573" t="s">
        <v>660</v>
      </c>
      <c r="N573" t="s">
        <v>686</v>
      </c>
      <c r="O573" t="str">
        <f t="shared" si="186"/>
        <v>San Francisco</v>
      </c>
      <c r="P573" t="s">
        <v>705</v>
      </c>
      <c r="Q573" t="s">
        <v>707</v>
      </c>
      <c r="R573" t="str">
        <f t="shared" si="187"/>
        <v>Retail</v>
      </c>
      <c r="S573" t="s">
        <v>721</v>
      </c>
      <c r="T573" t="str">
        <f t="shared" si="200"/>
        <v>F. Müller</v>
      </c>
      <c r="U573" t="s">
        <v>730</v>
      </c>
      <c r="V573" t="str">
        <f t="shared" si="188"/>
        <v>Low</v>
      </c>
      <c r="W573" t="s">
        <v>862</v>
      </c>
      <c r="X573" t="str">
        <f t="shared" si="189"/>
        <v>C</v>
      </c>
      <c r="Y573" s="5">
        <v>157.78</v>
      </c>
      <c r="Z573" s="5">
        <v>361.1</v>
      </c>
      <c r="AA573" s="5">
        <f t="shared" si="190"/>
        <v>361.1</v>
      </c>
      <c r="AB573" s="7">
        <v>0.187</v>
      </c>
      <c r="AC573" s="7">
        <f t="shared" si="191"/>
        <v>0.187</v>
      </c>
      <c r="AD573" s="16">
        <f t="shared" si="192"/>
        <v>0</v>
      </c>
      <c r="AE573" s="16">
        <v>9</v>
      </c>
      <c r="AF573" s="5">
        <f t="shared" si="193"/>
        <v>2642.1686999999997</v>
      </c>
      <c r="AG573">
        <f t="shared" si="194"/>
        <v>1420.02</v>
      </c>
      <c r="AH573" s="5">
        <f t="shared" si="195"/>
        <v>1222.1486999999997</v>
      </c>
      <c r="AI573" s="5">
        <f t="shared" si="196"/>
        <v>0.46255513510549112</v>
      </c>
      <c r="AJ573" s="5">
        <f t="shared" si="199"/>
        <v>10885971.474130014</v>
      </c>
      <c r="AK573" s="7">
        <f t="shared" si="197"/>
        <v>0.99453702661196997</v>
      </c>
      <c r="AL573" s="17">
        <f>MIN(AC573,'What-If Analysis'!$B$2)</f>
        <v>0.187</v>
      </c>
      <c r="AM573">
        <f>AE573*(1+'What-If Analysis'!$B$3)</f>
        <v>11.700000000000001</v>
      </c>
      <c r="AN573">
        <f>Y573*(1+'What-If Analysis'!$B$4)</f>
        <v>173.55800000000002</v>
      </c>
      <c r="AO573">
        <f t="shared" si="198"/>
        <v>3434.8193100000003</v>
      </c>
    </row>
    <row r="574" spans="1:41" x14ac:dyDescent="0.3">
      <c r="A574" t="s">
        <v>426</v>
      </c>
      <c r="B574" s="3">
        <v>45002</v>
      </c>
      <c r="C574" s="3">
        <f t="shared" si="179"/>
        <v>45002</v>
      </c>
      <c r="D574" s="3">
        <v>45022</v>
      </c>
      <c r="E574" s="3">
        <f t="shared" si="180"/>
        <v>45022</v>
      </c>
      <c r="F574" s="16">
        <f t="shared" si="181"/>
        <v>20</v>
      </c>
      <c r="G574" s="16">
        <f>IF(Data!F571&lt;=7,1,0)</f>
        <v>0</v>
      </c>
      <c r="H574" s="5" t="str">
        <f t="shared" si="182"/>
        <v>03-2023</v>
      </c>
      <c r="I574" s="5" t="str">
        <f t="shared" si="183"/>
        <v>Q1-2023</v>
      </c>
      <c r="J574" s="3">
        <f t="shared" si="184"/>
        <v>44947</v>
      </c>
      <c r="K574" s="5" t="str">
        <f t="shared" si="185"/>
        <v>01-2023</v>
      </c>
      <c r="L574" t="s">
        <v>649</v>
      </c>
      <c r="M574" t="s">
        <v>656</v>
      </c>
      <c r="N574" t="s">
        <v>684</v>
      </c>
      <c r="O574" t="str">
        <f t="shared" si="186"/>
        <v>Munich</v>
      </c>
      <c r="P574" t="s">
        <v>704</v>
      </c>
      <c r="Q574" t="s">
        <v>707</v>
      </c>
      <c r="R574" t="str">
        <f t="shared" si="187"/>
        <v>Retail</v>
      </c>
      <c r="S574" t="s">
        <v>719</v>
      </c>
      <c r="T574" t="str">
        <f t="shared" si="200"/>
        <v>O. Wang</v>
      </c>
      <c r="U574" t="s">
        <v>730</v>
      </c>
      <c r="V574" t="str">
        <f t="shared" si="188"/>
        <v>Medium</v>
      </c>
      <c r="W574" t="s">
        <v>1145</v>
      </c>
      <c r="X574" t="str">
        <f t="shared" si="189"/>
        <v>C</v>
      </c>
      <c r="Y574" s="5">
        <v>692.18</v>
      </c>
      <c r="Z574" s="5">
        <v>1159.3499999999999</v>
      </c>
      <c r="AA574" s="5">
        <f t="shared" si="190"/>
        <v>1159.3499999999999</v>
      </c>
      <c r="AB574" s="7">
        <v>0.112</v>
      </c>
      <c r="AC574" s="7">
        <f t="shared" si="191"/>
        <v>0.112</v>
      </c>
      <c r="AD574" s="16">
        <f t="shared" si="192"/>
        <v>0</v>
      </c>
      <c r="AE574" s="16">
        <v>2</v>
      </c>
      <c r="AF574" s="5">
        <f t="shared" si="193"/>
        <v>2059.0056</v>
      </c>
      <c r="AG574">
        <f t="shared" si="194"/>
        <v>1384.36</v>
      </c>
      <c r="AH574" s="5">
        <f t="shared" si="195"/>
        <v>674.64560000000006</v>
      </c>
      <c r="AI574" s="5">
        <f t="shared" si="196"/>
        <v>0.32765602968734037</v>
      </c>
      <c r="AJ574" s="5">
        <f t="shared" si="199"/>
        <v>10888030.479730014</v>
      </c>
      <c r="AK574" s="7">
        <f t="shared" si="197"/>
        <v>0.99472513635597104</v>
      </c>
      <c r="AL574" s="17">
        <f>MIN(AC574,'What-If Analysis'!$B$2)</f>
        <v>0.112</v>
      </c>
      <c r="AM574">
        <f>AE574*(1+'What-If Analysis'!$B$3)</f>
        <v>2.6</v>
      </c>
      <c r="AN574">
        <f>Y574*(1+'What-If Analysis'!$B$4)</f>
        <v>761.39800000000002</v>
      </c>
      <c r="AO574">
        <f t="shared" si="198"/>
        <v>2676.7072800000001</v>
      </c>
    </row>
    <row r="575" spans="1:41" x14ac:dyDescent="0.3">
      <c r="A575" t="s">
        <v>225</v>
      </c>
      <c r="B575" s="3">
        <v>45852</v>
      </c>
      <c r="C575" s="3">
        <f t="shared" si="179"/>
        <v>45852</v>
      </c>
      <c r="D575" s="3">
        <v>45873</v>
      </c>
      <c r="E575" s="3">
        <f t="shared" si="180"/>
        <v>45873</v>
      </c>
      <c r="F575" s="16">
        <f t="shared" si="181"/>
        <v>21</v>
      </c>
      <c r="G575" s="16">
        <f>IF(Data!F579&lt;=7,1,0)</f>
        <v>0</v>
      </c>
      <c r="H575" s="5" t="str">
        <f t="shared" si="182"/>
        <v>07-2025</v>
      </c>
      <c r="I575" s="5" t="str">
        <f t="shared" si="183"/>
        <v>Q3-2025</v>
      </c>
      <c r="J575" s="3">
        <f t="shared" si="184"/>
        <v>44928</v>
      </c>
      <c r="K575" s="5" t="str">
        <f t="shared" si="185"/>
        <v>01-2023</v>
      </c>
      <c r="L575" t="s">
        <v>648</v>
      </c>
      <c r="M575" t="s">
        <v>653</v>
      </c>
      <c r="N575" t="s">
        <v>681</v>
      </c>
      <c r="O575" t="str">
        <f t="shared" si="186"/>
        <v>Montreal</v>
      </c>
      <c r="P575" t="s">
        <v>704</v>
      </c>
      <c r="Q575" t="s">
        <v>708</v>
      </c>
      <c r="R575" t="str">
        <f t="shared" si="187"/>
        <v>Online</v>
      </c>
      <c r="S575" t="s">
        <v>722</v>
      </c>
      <c r="T575" t="str">
        <f t="shared" si="200"/>
        <v>H. Kim</v>
      </c>
      <c r="U575" t="s">
        <v>732</v>
      </c>
      <c r="V575" t="str">
        <f t="shared" si="188"/>
        <v>Low</v>
      </c>
      <c r="W575" t="s">
        <v>945</v>
      </c>
      <c r="X575" t="str">
        <f t="shared" si="189"/>
        <v>C</v>
      </c>
      <c r="Y575" s="5">
        <v>90.3</v>
      </c>
      <c r="Z575" s="5">
        <v>131.76</v>
      </c>
      <c r="AA575" s="5">
        <f t="shared" si="190"/>
        <v>131.76</v>
      </c>
      <c r="AB575" s="7">
        <v>0.10199999999999999</v>
      </c>
      <c r="AC575" s="7">
        <f t="shared" si="191"/>
        <v>0.10199999999999999</v>
      </c>
      <c r="AD575" s="16">
        <f t="shared" si="192"/>
        <v>0</v>
      </c>
      <c r="AE575" s="16">
        <v>15</v>
      </c>
      <c r="AF575" s="5">
        <f t="shared" si="193"/>
        <v>1774.8072</v>
      </c>
      <c r="AG575">
        <f t="shared" si="194"/>
        <v>1354.5</v>
      </c>
      <c r="AH575" s="5">
        <f t="shared" si="195"/>
        <v>420.30719999999997</v>
      </c>
      <c r="AI575" s="5">
        <f t="shared" si="196"/>
        <v>0.23681851189244668</v>
      </c>
      <c r="AJ575" s="5">
        <f t="shared" si="199"/>
        <v>10889805.286930013</v>
      </c>
      <c r="AK575" s="7">
        <f t="shared" si="197"/>
        <v>0.99488728187322617</v>
      </c>
      <c r="AL575" s="17">
        <f>MIN(AC575,'What-If Analysis'!$B$2)</f>
        <v>0.10199999999999999</v>
      </c>
      <c r="AM575">
        <f>AE575*(1+'What-If Analysis'!$B$3)</f>
        <v>19.5</v>
      </c>
      <c r="AN575">
        <f>Y575*(1+'What-If Analysis'!$B$4)</f>
        <v>99.33</v>
      </c>
      <c r="AO575">
        <f t="shared" si="198"/>
        <v>2307.2493599999998</v>
      </c>
    </row>
    <row r="576" spans="1:41" x14ac:dyDescent="0.3">
      <c r="A576" t="s">
        <v>131</v>
      </c>
      <c r="B576" s="3">
        <v>45811</v>
      </c>
      <c r="C576" s="3">
        <f t="shared" si="179"/>
        <v>45811</v>
      </c>
      <c r="D576" s="3">
        <v>45818</v>
      </c>
      <c r="E576" s="3">
        <f t="shared" si="180"/>
        <v>45818</v>
      </c>
      <c r="F576" s="16">
        <f t="shared" si="181"/>
        <v>7</v>
      </c>
      <c r="G576" s="16">
        <f>IF(Data!F602&lt;=7,1,0)</f>
        <v>0</v>
      </c>
      <c r="H576" s="5" t="str">
        <f t="shared" si="182"/>
        <v>06-2025</v>
      </c>
      <c r="I576" s="5" t="str">
        <f t="shared" si="183"/>
        <v>Q2-2025</v>
      </c>
      <c r="J576" s="3">
        <f t="shared" si="184"/>
        <v>44928</v>
      </c>
      <c r="K576" s="5" t="str">
        <f t="shared" si="185"/>
        <v>01-2023</v>
      </c>
      <c r="L576" t="s">
        <v>648</v>
      </c>
      <c r="M576" t="s">
        <v>653</v>
      </c>
      <c r="N576" t="s">
        <v>667</v>
      </c>
      <c r="O576" t="str">
        <f t="shared" si="186"/>
        <v>Toronto</v>
      </c>
      <c r="P576" t="s">
        <v>704</v>
      </c>
      <c r="Q576" t="s">
        <v>710</v>
      </c>
      <c r="R576" t="str">
        <f t="shared" si="187"/>
        <v>Distributor</v>
      </c>
      <c r="S576" t="s">
        <v>719</v>
      </c>
      <c r="T576" t="str">
        <f t="shared" si="200"/>
        <v>O. Wang</v>
      </c>
      <c r="U576" t="s">
        <v>728</v>
      </c>
      <c r="V576" t="str">
        <f t="shared" si="188"/>
        <v>Low</v>
      </c>
      <c r="W576" t="s">
        <v>850</v>
      </c>
      <c r="X576" t="str">
        <f t="shared" si="189"/>
        <v>C</v>
      </c>
      <c r="Y576" s="5">
        <v>75.180000000000007</v>
      </c>
      <c r="Z576" s="5">
        <v>53.45</v>
      </c>
      <c r="AA576" s="5">
        <f t="shared" si="190"/>
        <v>53.45</v>
      </c>
      <c r="AB576" s="7">
        <v>0.157</v>
      </c>
      <c r="AC576" s="7">
        <f t="shared" si="191"/>
        <v>0.157</v>
      </c>
      <c r="AD576" s="16">
        <f t="shared" si="192"/>
        <v>0</v>
      </c>
      <c r="AE576" s="16">
        <v>17</v>
      </c>
      <c r="AF576" s="5">
        <f t="shared" si="193"/>
        <v>765.99195000000009</v>
      </c>
      <c r="AG576">
        <f t="shared" si="194"/>
        <v>1278.0600000000002</v>
      </c>
      <c r="AH576" s="5">
        <f t="shared" si="195"/>
        <v>512.06805000000008</v>
      </c>
      <c r="AI576" s="5">
        <f t="shared" si="196"/>
        <v>0.66850317421743144</v>
      </c>
      <c r="AJ576" s="5">
        <f t="shared" si="199"/>
        <v>10890571.278880013</v>
      </c>
      <c r="AK576" s="7">
        <f t="shared" si="197"/>
        <v>0.99495726252292482</v>
      </c>
      <c r="AL576" s="17">
        <f>MIN(AC576,'What-If Analysis'!$B$2)</f>
        <v>0.157</v>
      </c>
      <c r="AM576">
        <f>AE576*(1+'What-If Analysis'!$B$3)</f>
        <v>22.1</v>
      </c>
      <c r="AN576">
        <f>Y576*(1+'What-If Analysis'!$B$4)</f>
        <v>82.698000000000008</v>
      </c>
      <c r="AO576">
        <f t="shared" si="198"/>
        <v>995.78953500000011</v>
      </c>
    </row>
    <row r="577" spans="1:41" x14ac:dyDescent="0.3">
      <c r="A577" t="s">
        <v>474</v>
      </c>
      <c r="B577" s="3">
        <v>45116</v>
      </c>
      <c r="C577" s="3">
        <f t="shared" si="179"/>
        <v>45116</v>
      </c>
      <c r="D577" s="3">
        <v>45126</v>
      </c>
      <c r="E577" s="3">
        <f t="shared" si="180"/>
        <v>45126</v>
      </c>
      <c r="F577" s="16">
        <f t="shared" si="181"/>
        <v>10</v>
      </c>
      <c r="G577" s="16">
        <f>IF(Data!F581&lt;=7,1,0)</f>
        <v>0</v>
      </c>
      <c r="H577" s="5" t="str">
        <f t="shared" si="182"/>
        <v>07-2023</v>
      </c>
      <c r="I577" s="5" t="str">
        <f t="shared" si="183"/>
        <v>Q3-2023</v>
      </c>
      <c r="J577" s="3">
        <f t="shared" si="184"/>
        <v>44988</v>
      </c>
      <c r="K577" s="5" t="str">
        <f t="shared" si="185"/>
        <v>03-2023</v>
      </c>
      <c r="L577" t="s">
        <v>647</v>
      </c>
      <c r="M577" t="s">
        <v>652</v>
      </c>
      <c r="N577" t="s">
        <v>689</v>
      </c>
      <c r="O577" t="str">
        <f t="shared" si="186"/>
        <v>Tokyo</v>
      </c>
      <c r="P577" t="s">
        <v>706</v>
      </c>
      <c r="Q577" t="s">
        <v>710</v>
      </c>
      <c r="R577" t="str">
        <f t="shared" si="187"/>
        <v>Distributor</v>
      </c>
      <c r="S577" t="s">
        <v>725</v>
      </c>
      <c r="T577" t="str">
        <f t="shared" si="200"/>
        <v>N. Brown</v>
      </c>
      <c r="U577" t="s">
        <v>727</v>
      </c>
      <c r="V577" t="str">
        <f t="shared" si="188"/>
        <v>Low</v>
      </c>
      <c r="W577" t="s">
        <v>1193</v>
      </c>
      <c r="X577" t="str">
        <f t="shared" si="189"/>
        <v>C</v>
      </c>
      <c r="Y577" s="5">
        <v>141.26</v>
      </c>
      <c r="Z577" s="5">
        <v>206.88</v>
      </c>
      <c r="AA577" s="5">
        <f t="shared" si="190"/>
        <v>206.88</v>
      </c>
      <c r="AB577" s="7">
        <v>0.107</v>
      </c>
      <c r="AC577" s="7">
        <f t="shared" si="191"/>
        <v>0.107</v>
      </c>
      <c r="AD577" s="16">
        <f t="shared" si="192"/>
        <v>0</v>
      </c>
      <c r="AE577" s="16">
        <v>9</v>
      </c>
      <c r="AF577" s="5">
        <f t="shared" si="193"/>
        <v>1662.6945600000001</v>
      </c>
      <c r="AG577">
        <f t="shared" si="194"/>
        <v>1271.3399999999999</v>
      </c>
      <c r="AH577" s="5">
        <f t="shared" si="195"/>
        <v>391.35456000000022</v>
      </c>
      <c r="AI577" s="5">
        <f t="shared" si="196"/>
        <v>0.23537369365062469</v>
      </c>
      <c r="AJ577" s="5">
        <f t="shared" si="199"/>
        <v>10892233.973440014</v>
      </c>
      <c r="AK577" s="7">
        <f t="shared" si="197"/>
        <v>0.99510916548425421</v>
      </c>
      <c r="AL577" s="17">
        <f>MIN(AC577,'What-If Analysis'!$B$2)</f>
        <v>0.107</v>
      </c>
      <c r="AM577">
        <f>AE577*(1+'What-If Analysis'!$B$3)</f>
        <v>11.700000000000001</v>
      </c>
      <c r="AN577">
        <f>Y577*(1+'What-If Analysis'!$B$4)</f>
        <v>155.386</v>
      </c>
      <c r="AO577">
        <f t="shared" si="198"/>
        <v>2161.5029280000003</v>
      </c>
    </row>
    <row r="578" spans="1:41" x14ac:dyDescent="0.3">
      <c r="A578" t="s">
        <v>340</v>
      </c>
      <c r="B578" s="3">
        <v>45303</v>
      </c>
      <c r="C578" s="3">
        <f t="shared" ref="C578:C633" si="201">IF(D578&lt;B578,D578,B578)</f>
        <v>45303</v>
      </c>
      <c r="D578" s="3">
        <v>45320</v>
      </c>
      <c r="E578" s="3">
        <f t="shared" ref="E578:E633" si="202">IF(D578&lt;B578,B578,D578)</f>
        <v>45320</v>
      </c>
      <c r="F578" s="16">
        <f t="shared" ref="F578:F633" si="203">E578-C578</f>
        <v>17</v>
      </c>
      <c r="G578" s="16">
        <f>IF(Data!F562&lt;=7,1,0)</f>
        <v>0</v>
      </c>
      <c r="H578" s="5" t="str">
        <f t="shared" ref="H578:H633" si="204">TEXT(C578,"MM-YYYY")</f>
        <v>01-2024</v>
      </c>
      <c r="I578" s="5" t="str">
        <f t="shared" ref="I578:I633" si="205">"Q"&amp;ROUNDUP(MONTH(H578)/3,0)&amp;"-"&amp;YEAR(H578)</f>
        <v>Q1-2024</v>
      </c>
      <c r="J578" s="3">
        <f t="shared" ref="J578:J633" si="206">_xlfn.MINIFS(C:C,M:M,M578)</f>
        <v>44955</v>
      </c>
      <c r="K578" s="5" t="str">
        <f t="shared" ref="K578:K633" si="207">TEXT(J578,"MM-YYYY")</f>
        <v>01-2023</v>
      </c>
      <c r="L578" t="s">
        <v>647</v>
      </c>
      <c r="M578" t="s">
        <v>654</v>
      </c>
      <c r="N578" t="s">
        <v>696</v>
      </c>
      <c r="O578" t="str">
        <f t="shared" ref="O578:O633" si="208">IF(N578="",_xlfn.XLOOKUP(M578,M:M,N:N),N578)</f>
        <v>Hyderabad</v>
      </c>
      <c r="P578" t="s">
        <v>705</v>
      </c>
      <c r="Q578" t="s">
        <v>711</v>
      </c>
      <c r="R578" t="str">
        <f t="shared" ref="R578:R633" si="209">IF(Q578="",_xlfn.XLOOKUP(M578,M:M,Q:Q),Q578)</f>
        <v>Direct</v>
      </c>
      <c r="S578" t="s">
        <v>717</v>
      </c>
      <c r="T578" t="str">
        <f t="shared" si="200"/>
        <v>B. Chen</v>
      </c>
      <c r="U578" t="s">
        <v>727</v>
      </c>
      <c r="V578" t="str">
        <f t="shared" ref="V578:V633" si="210">IF(AA578&lt;815.0987,"Low",IF(AA578&lt;1640.058,"Medium","High"))</f>
        <v>Low</v>
      </c>
      <c r="W578" t="s">
        <v>1060</v>
      </c>
      <c r="X578" t="str">
        <f t="shared" ref="X578:X633" si="211">IF(AK578&lt;=80%,"A",IF(AK578&lt;=95%,"B","C"))</f>
        <v>C</v>
      </c>
      <c r="Y578" s="5">
        <v>310.02</v>
      </c>
      <c r="Z578" s="5">
        <v>619.51</v>
      </c>
      <c r="AA578" s="5">
        <f t="shared" ref="AA578:AA633" si="212">ABS(Z578)</f>
        <v>619.51</v>
      </c>
      <c r="AB578" s="7">
        <v>4.2000000000000003E-2</v>
      </c>
      <c r="AC578" s="7">
        <f t="shared" ref="AC578:AC633" si="213">MIN(AB578,30%)</f>
        <v>4.2000000000000003E-2</v>
      </c>
      <c r="AD578" s="16">
        <f t="shared" ref="AD578:AD633" si="214">IF(AC578&gt;20%,1,0)</f>
        <v>0</v>
      </c>
      <c r="AE578" s="16">
        <v>4</v>
      </c>
      <c r="AF578" s="5">
        <f t="shared" ref="AF578:AF633" si="215">AA578*AE578*(1-AC578)</f>
        <v>2373.9623200000001</v>
      </c>
      <c r="AG578">
        <f t="shared" ref="AG578:AG633" si="216">Y578*AE578</f>
        <v>1240.08</v>
      </c>
      <c r="AH578" s="5">
        <f t="shared" ref="AH578:AH633" si="217">ABS(AF578-AG578)</f>
        <v>1133.8823200000002</v>
      </c>
      <c r="AI578" s="5">
        <f t="shared" ref="AI578:AI633" si="218">IF(AF578=0,0,AH578/AF578)</f>
        <v>0.47763282106347843</v>
      </c>
      <c r="AJ578" s="5">
        <f t="shared" si="199"/>
        <v>10894607.935760014</v>
      </c>
      <c r="AK578" s="7">
        <f t="shared" ref="AK578:AK633" si="219">AJ578/SUM(AF:AF)</f>
        <v>0.9953260495200642</v>
      </c>
      <c r="AL578" s="17">
        <f>MIN(AC578,'What-If Analysis'!$B$2)</f>
        <v>4.2000000000000003E-2</v>
      </c>
      <c r="AM578">
        <f>AE578*(1+'What-If Analysis'!$B$3)</f>
        <v>5.2</v>
      </c>
      <c r="AN578">
        <f>Y578*(1+'What-If Analysis'!$B$4)</f>
        <v>341.02199999999999</v>
      </c>
      <c r="AO578">
        <f t="shared" ref="AO578:AO633" si="220">AA578*AM578*(1-AL578)</f>
        <v>3086.1510160000003</v>
      </c>
    </row>
    <row r="579" spans="1:41" x14ac:dyDescent="0.3">
      <c r="A579" t="s">
        <v>344</v>
      </c>
      <c r="B579" s="3">
        <v>45668</v>
      </c>
      <c r="C579" s="3">
        <f t="shared" si="201"/>
        <v>45668</v>
      </c>
      <c r="D579" s="3">
        <v>45680</v>
      </c>
      <c r="E579" s="3">
        <f t="shared" si="202"/>
        <v>45680</v>
      </c>
      <c r="F579" s="16">
        <f t="shared" si="203"/>
        <v>12</v>
      </c>
      <c r="G579" s="16">
        <f>IF(Data!F558&lt;=7,1,0)</f>
        <v>1</v>
      </c>
      <c r="H579" s="5" t="str">
        <f t="shared" si="204"/>
        <v>01-2025</v>
      </c>
      <c r="I579" s="5" t="str">
        <f t="shared" si="205"/>
        <v>Q1-2025</v>
      </c>
      <c r="J579" s="3">
        <f t="shared" si="206"/>
        <v>44939</v>
      </c>
      <c r="K579" s="5" t="str">
        <f t="shared" si="207"/>
        <v>01-2023</v>
      </c>
      <c r="L579" t="s">
        <v>648</v>
      </c>
      <c r="M579" t="s">
        <v>660</v>
      </c>
      <c r="N579" t="s">
        <v>697</v>
      </c>
      <c r="O579" t="str">
        <f t="shared" si="208"/>
        <v>Austin</v>
      </c>
      <c r="P579" t="s">
        <v>704</v>
      </c>
      <c r="Q579" t="s">
        <v>710</v>
      </c>
      <c r="R579" t="str">
        <f t="shared" si="209"/>
        <v>Distributor</v>
      </c>
      <c r="S579" t="s">
        <v>722</v>
      </c>
      <c r="T579" t="str">
        <f t="shared" si="200"/>
        <v>H. Kim</v>
      </c>
      <c r="U579" t="s">
        <v>730</v>
      </c>
      <c r="V579" t="str">
        <f t="shared" si="210"/>
        <v>Low</v>
      </c>
      <c r="W579" t="s">
        <v>1064</v>
      </c>
      <c r="X579" t="str">
        <f t="shared" si="211"/>
        <v>C</v>
      </c>
      <c r="Y579" s="5">
        <v>100.69</v>
      </c>
      <c r="Z579" s="5">
        <v>226.14</v>
      </c>
      <c r="AA579" s="5">
        <f t="shared" si="212"/>
        <v>226.14</v>
      </c>
      <c r="AB579" s="7">
        <v>6.5000000000000002E-2</v>
      </c>
      <c r="AC579" s="7">
        <f t="shared" si="213"/>
        <v>6.5000000000000002E-2</v>
      </c>
      <c r="AD579" s="16">
        <f t="shared" si="214"/>
        <v>0</v>
      </c>
      <c r="AE579" s="16">
        <v>12</v>
      </c>
      <c r="AF579" s="5">
        <f t="shared" si="215"/>
        <v>2537.2908000000002</v>
      </c>
      <c r="AG579">
        <f t="shared" si="216"/>
        <v>1208.28</v>
      </c>
      <c r="AH579" s="5">
        <f t="shared" si="217"/>
        <v>1329.0108000000002</v>
      </c>
      <c r="AI579" s="5">
        <f t="shared" si="218"/>
        <v>0.52379128162999689</v>
      </c>
      <c r="AJ579" s="5">
        <f t="shared" ref="AJ579:AJ633" si="221">AJ578+AF579</f>
        <v>10897145.226560013</v>
      </c>
      <c r="AK579" s="7">
        <f t="shared" si="219"/>
        <v>0.99555785516587891</v>
      </c>
      <c r="AL579" s="17">
        <f>MIN(AC579,'What-If Analysis'!$B$2)</f>
        <v>6.5000000000000002E-2</v>
      </c>
      <c r="AM579">
        <f>AE579*(1+'What-If Analysis'!$B$3)</f>
        <v>15.600000000000001</v>
      </c>
      <c r="AN579">
        <f>Y579*(1+'What-If Analysis'!$B$4)</f>
        <v>110.759</v>
      </c>
      <c r="AO579">
        <f t="shared" si="220"/>
        <v>3298.4780400000004</v>
      </c>
    </row>
    <row r="580" spans="1:41" x14ac:dyDescent="0.3">
      <c r="A580" t="s">
        <v>231</v>
      </c>
      <c r="B580" s="3">
        <v>44948</v>
      </c>
      <c r="C580" s="3">
        <f t="shared" si="201"/>
        <v>44947</v>
      </c>
      <c r="D580" s="3">
        <v>44947</v>
      </c>
      <c r="E580" s="3">
        <f t="shared" si="202"/>
        <v>44948</v>
      </c>
      <c r="F580" s="16">
        <f t="shared" si="203"/>
        <v>1</v>
      </c>
      <c r="G580" s="16">
        <f>IF(Data!F565&lt;=7,1,0)</f>
        <v>1</v>
      </c>
      <c r="H580" s="5" t="str">
        <f t="shared" si="204"/>
        <v>01-2023</v>
      </c>
      <c r="I580" s="5" t="str">
        <f t="shared" si="205"/>
        <v>Q1-2023</v>
      </c>
      <c r="J580" s="3">
        <f t="shared" si="206"/>
        <v>44947</v>
      </c>
      <c r="K580" s="5" t="str">
        <f t="shared" si="207"/>
        <v>01-2023</v>
      </c>
      <c r="L580" t="s">
        <v>649</v>
      </c>
      <c r="M580" t="s">
        <v>656</v>
      </c>
      <c r="N580" t="s">
        <v>684</v>
      </c>
      <c r="O580" t="str">
        <f t="shared" si="208"/>
        <v>Munich</v>
      </c>
      <c r="P580" t="s">
        <v>701</v>
      </c>
      <c r="Q580" t="s">
        <v>711</v>
      </c>
      <c r="R580" t="str">
        <f t="shared" si="209"/>
        <v>Direct</v>
      </c>
      <c r="S580" t="s">
        <v>721</v>
      </c>
      <c r="T580" t="str">
        <f t="shared" si="200"/>
        <v>F. Müller</v>
      </c>
      <c r="U580" t="s">
        <v>732</v>
      </c>
      <c r="V580" t="str">
        <f t="shared" si="210"/>
        <v>Low</v>
      </c>
      <c r="W580" t="s">
        <v>951</v>
      </c>
      <c r="X580" t="str">
        <f t="shared" si="211"/>
        <v>C</v>
      </c>
      <c r="Y580" s="5">
        <v>150.86000000000001</v>
      </c>
      <c r="Z580" s="5">
        <v>346.96</v>
      </c>
      <c r="AA580" s="5">
        <f t="shared" si="212"/>
        <v>346.96</v>
      </c>
      <c r="AB580" s="7">
        <v>0.19600000000000001</v>
      </c>
      <c r="AC580" s="7">
        <f t="shared" si="213"/>
        <v>0.19600000000000001</v>
      </c>
      <c r="AD580" s="16">
        <f t="shared" si="214"/>
        <v>0</v>
      </c>
      <c r="AE580" s="16">
        <v>8</v>
      </c>
      <c r="AF580" s="5">
        <f t="shared" si="215"/>
        <v>2231.6467200000002</v>
      </c>
      <c r="AG580">
        <f t="shared" si="216"/>
        <v>1206.8800000000001</v>
      </c>
      <c r="AH580" s="5">
        <f t="shared" si="217"/>
        <v>1024.7667200000001</v>
      </c>
      <c r="AI580" s="5">
        <f t="shared" si="218"/>
        <v>0.45919755614365343</v>
      </c>
      <c r="AJ580" s="5">
        <f t="shared" si="221"/>
        <v>10899376.873280013</v>
      </c>
      <c r="AK580" s="7">
        <f t="shared" si="219"/>
        <v>0.99576173731811779</v>
      </c>
      <c r="AL580" s="17">
        <f>MIN(AC580,'What-If Analysis'!$B$2)</f>
        <v>0.19600000000000001</v>
      </c>
      <c r="AM580">
        <f>AE580*(1+'What-If Analysis'!$B$3)</f>
        <v>10.4</v>
      </c>
      <c r="AN580">
        <f>Y580*(1+'What-If Analysis'!$B$4)</f>
        <v>165.94600000000003</v>
      </c>
      <c r="AO580">
        <f t="shared" si="220"/>
        <v>2901.1407360000003</v>
      </c>
    </row>
    <row r="581" spans="1:41" x14ac:dyDescent="0.3">
      <c r="A581" t="s">
        <v>635</v>
      </c>
      <c r="B581" s="3">
        <v>45764</v>
      </c>
      <c r="C581" s="3">
        <f t="shared" si="201"/>
        <v>45764</v>
      </c>
      <c r="D581" s="3">
        <v>45780</v>
      </c>
      <c r="E581" s="3">
        <f t="shared" si="202"/>
        <v>45780</v>
      </c>
      <c r="F581" s="16">
        <f t="shared" si="203"/>
        <v>16</v>
      </c>
      <c r="G581" s="16">
        <f>IF(Data!F563&lt;=7,1,0)</f>
        <v>1</v>
      </c>
      <c r="H581" s="5" t="str">
        <f t="shared" si="204"/>
        <v>04-2025</v>
      </c>
      <c r="I581" s="5" t="str">
        <f t="shared" si="205"/>
        <v>Q2-2025</v>
      </c>
      <c r="J581" s="3">
        <f t="shared" si="206"/>
        <v>44955</v>
      </c>
      <c r="K581" s="5" t="str">
        <f t="shared" si="207"/>
        <v>01-2023</v>
      </c>
      <c r="L581" t="s">
        <v>648</v>
      </c>
      <c r="M581" t="s">
        <v>655</v>
      </c>
      <c r="N581" t="s">
        <v>692</v>
      </c>
      <c r="O581" t="str">
        <f t="shared" si="208"/>
        <v>Rio de Janeiro</v>
      </c>
      <c r="P581" t="s">
        <v>704</v>
      </c>
      <c r="Q581" t="s">
        <v>709</v>
      </c>
      <c r="R581" t="str">
        <f t="shared" si="209"/>
        <v>Marketplace</v>
      </c>
      <c r="S581" t="s">
        <v>713</v>
      </c>
      <c r="T581" t="str">
        <f t="shared" si="200"/>
        <v>J. Njeri</v>
      </c>
      <c r="U581" t="s">
        <v>729</v>
      </c>
      <c r="V581" t="str">
        <f t="shared" si="210"/>
        <v>Low</v>
      </c>
      <c r="W581" t="s">
        <v>1353</v>
      </c>
      <c r="X581" t="str">
        <f t="shared" si="211"/>
        <v>C</v>
      </c>
      <c r="Y581" s="5">
        <v>168.68</v>
      </c>
      <c r="Z581" s="5">
        <v>413.34</v>
      </c>
      <c r="AA581" s="5">
        <f t="shared" si="212"/>
        <v>413.34</v>
      </c>
      <c r="AB581" s="7">
        <v>0.186</v>
      </c>
      <c r="AC581" s="7">
        <f t="shared" si="213"/>
        <v>0.186</v>
      </c>
      <c r="AD581" s="16">
        <f t="shared" si="214"/>
        <v>0</v>
      </c>
      <c r="AE581" s="16">
        <v>7</v>
      </c>
      <c r="AF581" s="5">
        <f t="shared" si="215"/>
        <v>2355.2113199999999</v>
      </c>
      <c r="AG581">
        <f t="shared" si="216"/>
        <v>1180.76</v>
      </c>
      <c r="AH581" s="5">
        <f t="shared" si="217"/>
        <v>1174.4513199999999</v>
      </c>
      <c r="AI581" s="5">
        <f t="shared" si="218"/>
        <v>0.49866069767361682</v>
      </c>
      <c r="AJ581" s="5">
        <f t="shared" si="221"/>
        <v>10901732.084600013</v>
      </c>
      <c r="AK581" s="7">
        <f t="shared" si="219"/>
        <v>0.9959769082717439</v>
      </c>
      <c r="AL581" s="17">
        <f>MIN(AC581,'What-If Analysis'!$B$2)</f>
        <v>0.186</v>
      </c>
      <c r="AM581">
        <f>AE581*(1+'What-If Analysis'!$B$3)</f>
        <v>9.1</v>
      </c>
      <c r="AN581">
        <f>Y581*(1+'What-If Analysis'!$B$4)</f>
        <v>185.54800000000003</v>
      </c>
      <c r="AO581">
        <f t="shared" si="220"/>
        <v>3061.7747159999999</v>
      </c>
    </row>
    <row r="582" spans="1:41" x14ac:dyDescent="0.3">
      <c r="A582" t="s">
        <v>41</v>
      </c>
      <c r="B582" s="3">
        <v>45626</v>
      </c>
      <c r="C582" s="3">
        <f t="shared" si="201"/>
        <v>45626</v>
      </c>
      <c r="D582" s="3">
        <v>45656</v>
      </c>
      <c r="E582" s="3">
        <f t="shared" si="202"/>
        <v>45656</v>
      </c>
      <c r="F582" s="16">
        <f t="shared" si="203"/>
        <v>30</v>
      </c>
      <c r="G582" s="16">
        <f>IF(Data!F580&lt;=7,1,0)</f>
        <v>1</v>
      </c>
      <c r="H582" s="5" t="str">
        <f t="shared" si="204"/>
        <v>11-2024</v>
      </c>
      <c r="I582" s="5" t="str">
        <f t="shared" si="205"/>
        <v>Q4-2024</v>
      </c>
      <c r="J582" s="3">
        <f t="shared" si="206"/>
        <v>44936</v>
      </c>
      <c r="K582" s="5" t="str">
        <f t="shared" si="207"/>
        <v>01-2023</v>
      </c>
      <c r="L582" t="s">
        <v>649</v>
      </c>
      <c r="M582" t="s">
        <v>657</v>
      </c>
      <c r="N582" t="s">
        <v>673</v>
      </c>
      <c r="O582" t="str">
        <f t="shared" si="208"/>
        <v>Marseille</v>
      </c>
      <c r="P582" t="s">
        <v>704</v>
      </c>
      <c r="Q582" t="s">
        <v>709</v>
      </c>
      <c r="R582" t="str">
        <f t="shared" si="209"/>
        <v>Marketplace</v>
      </c>
      <c r="S582" t="s">
        <v>721</v>
      </c>
      <c r="T582" t="str">
        <f t="shared" si="200"/>
        <v>F. Müller</v>
      </c>
      <c r="U582" t="s">
        <v>728</v>
      </c>
      <c r="V582" t="str">
        <f t="shared" si="210"/>
        <v>Low</v>
      </c>
      <c r="W582" t="s">
        <v>760</v>
      </c>
      <c r="X582" t="str">
        <f t="shared" si="211"/>
        <v>C</v>
      </c>
      <c r="Y582" s="5">
        <v>117.64</v>
      </c>
      <c r="Z582" s="5">
        <v>175.67</v>
      </c>
      <c r="AA582" s="5">
        <f t="shared" si="212"/>
        <v>175.67</v>
      </c>
      <c r="AB582" s="7">
        <v>0</v>
      </c>
      <c r="AC582" s="7">
        <f t="shared" si="213"/>
        <v>0</v>
      </c>
      <c r="AD582" s="16">
        <f t="shared" si="214"/>
        <v>0</v>
      </c>
      <c r="AE582" s="16">
        <v>10</v>
      </c>
      <c r="AF582" s="5">
        <f t="shared" si="215"/>
        <v>1756.6999999999998</v>
      </c>
      <c r="AG582">
        <f t="shared" si="216"/>
        <v>1176.4000000000001</v>
      </c>
      <c r="AH582" s="5">
        <f t="shared" si="217"/>
        <v>580.29999999999973</v>
      </c>
      <c r="AI582" s="5">
        <f t="shared" si="218"/>
        <v>0.33033528775545046</v>
      </c>
      <c r="AJ582" s="5">
        <f t="shared" si="221"/>
        <v>10903488.784600012</v>
      </c>
      <c r="AK582" s="7">
        <f t="shared" si="219"/>
        <v>0.9961373995240681</v>
      </c>
      <c r="AL582" s="17">
        <f>MIN(AC582,'What-If Analysis'!$B$2)</f>
        <v>0</v>
      </c>
      <c r="AM582">
        <f>AE582*(1+'What-If Analysis'!$B$3)</f>
        <v>13</v>
      </c>
      <c r="AN582">
        <f>Y582*(1+'What-If Analysis'!$B$4)</f>
        <v>129.40400000000002</v>
      </c>
      <c r="AO582">
        <f t="shared" si="220"/>
        <v>2283.71</v>
      </c>
    </row>
    <row r="583" spans="1:41" x14ac:dyDescent="0.3">
      <c r="A583" t="s">
        <v>361</v>
      </c>
      <c r="B583" s="3">
        <v>45050</v>
      </c>
      <c r="C583" s="3">
        <f t="shared" si="201"/>
        <v>45050</v>
      </c>
      <c r="D583" s="3">
        <v>45062</v>
      </c>
      <c r="E583" s="3">
        <f t="shared" si="202"/>
        <v>45062</v>
      </c>
      <c r="F583" s="16">
        <f t="shared" si="203"/>
        <v>12</v>
      </c>
      <c r="G583" s="16">
        <f>IF(Data!F566&lt;=7,1,0)</f>
        <v>0</v>
      </c>
      <c r="H583" s="5" t="str">
        <f t="shared" si="204"/>
        <v>05-2023</v>
      </c>
      <c r="I583" s="5" t="str">
        <f t="shared" si="205"/>
        <v>Q2-2023</v>
      </c>
      <c r="J583" s="3">
        <f t="shared" si="206"/>
        <v>44939</v>
      </c>
      <c r="K583" s="5" t="str">
        <f t="shared" si="207"/>
        <v>01-2023</v>
      </c>
      <c r="L583" t="s">
        <v>646</v>
      </c>
      <c r="M583" t="s">
        <v>651</v>
      </c>
      <c r="N583" t="s">
        <v>669</v>
      </c>
      <c r="O583" t="str">
        <f t="shared" si="208"/>
        <v>Abuja</v>
      </c>
      <c r="P583" t="s">
        <v>705</v>
      </c>
      <c r="Q583" t="s">
        <v>709</v>
      </c>
      <c r="R583" t="str">
        <f t="shared" si="209"/>
        <v>Marketplace</v>
      </c>
      <c r="S583" t="s">
        <v>713</v>
      </c>
      <c r="T583" t="str">
        <f t="shared" si="200"/>
        <v>J. Njeri</v>
      </c>
      <c r="U583" t="s">
        <v>730</v>
      </c>
      <c r="V583" t="str">
        <f t="shared" si="210"/>
        <v>Low</v>
      </c>
      <c r="W583" t="s">
        <v>1081</v>
      </c>
      <c r="X583" t="str">
        <f t="shared" si="211"/>
        <v>C</v>
      </c>
      <c r="Y583" s="5">
        <v>77.739999999999995</v>
      </c>
      <c r="Z583" s="5">
        <v>147.12</v>
      </c>
      <c r="AA583" s="5">
        <f t="shared" si="212"/>
        <v>147.12</v>
      </c>
      <c r="AB583" s="7">
        <v>0</v>
      </c>
      <c r="AC583" s="7">
        <f t="shared" si="213"/>
        <v>0</v>
      </c>
      <c r="AD583" s="16">
        <f t="shared" si="214"/>
        <v>0</v>
      </c>
      <c r="AE583" s="16">
        <v>15</v>
      </c>
      <c r="AF583" s="5">
        <f t="shared" si="215"/>
        <v>2206.8000000000002</v>
      </c>
      <c r="AG583">
        <f t="shared" si="216"/>
        <v>1166.0999999999999</v>
      </c>
      <c r="AH583" s="5">
        <f t="shared" si="217"/>
        <v>1040.7000000000003</v>
      </c>
      <c r="AI583" s="5">
        <f t="shared" si="218"/>
        <v>0.47158781946710177</v>
      </c>
      <c r="AJ583" s="5">
        <f t="shared" si="221"/>
        <v>10905695.584600013</v>
      </c>
      <c r="AK583" s="7">
        <f t="shared" si="219"/>
        <v>0.99633901169212713</v>
      </c>
      <c r="AL583" s="17">
        <f>MIN(AC583,'What-If Analysis'!$B$2)</f>
        <v>0</v>
      </c>
      <c r="AM583">
        <f>AE583*(1+'What-If Analysis'!$B$3)</f>
        <v>19.5</v>
      </c>
      <c r="AN583">
        <f>Y583*(1+'What-If Analysis'!$B$4)</f>
        <v>85.513999999999996</v>
      </c>
      <c r="AO583">
        <f t="shared" si="220"/>
        <v>2868.84</v>
      </c>
    </row>
    <row r="584" spans="1:41" x14ac:dyDescent="0.3">
      <c r="A584" t="s">
        <v>405</v>
      </c>
      <c r="B584" s="3">
        <v>45514</v>
      </c>
      <c r="C584" s="3">
        <f t="shared" si="201"/>
        <v>45514</v>
      </c>
      <c r="D584" s="3">
        <v>45542</v>
      </c>
      <c r="E584" s="3">
        <f t="shared" si="202"/>
        <v>45542</v>
      </c>
      <c r="F584" s="16">
        <f t="shared" si="203"/>
        <v>28</v>
      </c>
      <c r="G584" s="16">
        <f>IF(Data!F559&lt;=7,1,0)</f>
        <v>0</v>
      </c>
      <c r="H584" s="5" t="str">
        <f t="shared" si="204"/>
        <v>08-2024</v>
      </c>
      <c r="I584" s="5" t="str">
        <f t="shared" si="205"/>
        <v>Q3-2024</v>
      </c>
      <c r="J584" s="3">
        <f t="shared" si="206"/>
        <v>44936</v>
      </c>
      <c r="K584" s="5" t="str">
        <f t="shared" si="207"/>
        <v>01-2023</v>
      </c>
      <c r="L584" t="s">
        <v>649</v>
      </c>
      <c r="M584" t="s">
        <v>657</v>
      </c>
      <c r="N584" t="s">
        <v>673</v>
      </c>
      <c r="O584" t="str">
        <f t="shared" si="208"/>
        <v>Marseille</v>
      </c>
      <c r="P584" t="s">
        <v>703</v>
      </c>
      <c r="Q584" t="s">
        <v>711</v>
      </c>
      <c r="R584" t="str">
        <f t="shared" si="209"/>
        <v>Direct</v>
      </c>
      <c r="S584" t="s">
        <v>721</v>
      </c>
      <c r="T584" t="str">
        <f t="shared" si="200"/>
        <v>F. Müller</v>
      </c>
      <c r="U584" t="s">
        <v>728</v>
      </c>
      <c r="V584" t="str">
        <f t="shared" si="210"/>
        <v>Low</v>
      </c>
      <c r="W584" t="s">
        <v>1124</v>
      </c>
      <c r="X584" t="str">
        <f t="shared" si="211"/>
        <v>C</v>
      </c>
      <c r="Y584" s="5">
        <v>229.96</v>
      </c>
      <c r="Z584" s="5">
        <v>564.26</v>
      </c>
      <c r="AA584" s="5">
        <f t="shared" si="212"/>
        <v>564.26</v>
      </c>
      <c r="AB584" s="7">
        <v>0.105</v>
      </c>
      <c r="AC584" s="7">
        <f t="shared" si="213"/>
        <v>0.105</v>
      </c>
      <c r="AD584" s="16">
        <f t="shared" si="214"/>
        <v>0</v>
      </c>
      <c r="AE584" s="16">
        <v>5</v>
      </c>
      <c r="AF584" s="5">
        <f t="shared" si="215"/>
        <v>2525.0635000000002</v>
      </c>
      <c r="AG584">
        <f t="shared" si="216"/>
        <v>1149.8</v>
      </c>
      <c r="AH584" s="5">
        <f t="shared" si="217"/>
        <v>1375.2635000000002</v>
      </c>
      <c r="AI584" s="5">
        <f t="shared" si="218"/>
        <v>0.54464511486542821</v>
      </c>
      <c r="AJ584" s="5">
        <f t="shared" si="221"/>
        <v>10908220.648100013</v>
      </c>
      <c r="AK584" s="7">
        <f t="shared" si="219"/>
        <v>0.99656970025779756</v>
      </c>
      <c r="AL584" s="17">
        <f>MIN(AC584,'What-If Analysis'!$B$2)</f>
        <v>0.105</v>
      </c>
      <c r="AM584">
        <f>AE584*(1+'What-If Analysis'!$B$3)</f>
        <v>6.5</v>
      </c>
      <c r="AN584">
        <f>Y584*(1+'What-If Analysis'!$B$4)</f>
        <v>252.95600000000002</v>
      </c>
      <c r="AO584">
        <f t="shared" si="220"/>
        <v>3282.5825500000001</v>
      </c>
    </row>
    <row r="585" spans="1:41" x14ac:dyDescent="0.3">
      <c r="A585" t="s">
        <v>596</v>
      </c>
      <c r="B585" s="3">
        <v>44955</v>
      </c>
      <c r="C585" s="3">
        <f t="shared" si="201"/>
        <v>44955</v>
      </c>
      <c r="D585" s="3">
        <v>44963</v>
      </c>
      <c r="E585" s="3">
        <f t="shared" si="202"/>
        <v>44963</v>
      </c>
      <c r="F585" s="16">
        <f t="shared" si="203"/>
        <v>8</v>
      </c>
      <c r="G585" s="16">
        <f>IF(Data!F578&lt;=7,1,0)</f>
        <v>0</v>
      </c>
      <c r="H585" s="5" t="str">
        <f t="shared" si="204"/>
        <v>01-2023</v>
      </c>
      <c r="I585" s="5" t="str">
        <f t="shared" si="205"/>
        <v>Q1-2023</v>
      </c>
      <c r="J585" s="3">
        <f t="shared" si="206"/>
        <v>44955</v>
      </c>
      <c r="K585" s="5" t="str">
        <f t="shared" si="207"/>
        <v>01-2023</v>
      </c>
      <c r="L585" t="s">
        <v>648</v>
      </c>
      <c r="M585" t="s">
        <v>655</v>
      </c>
      <c r="N585" t="s">
        <v>672</v>
      </c>
      <c r="O585" t="str">
        <f t="shared" si="208"/>
        <v>Brasília</v>
      </c>
      <c r="P585" t="s">
        <v>701</v>
      </c>
      <c r="Q585" t="s">
        <v>709</v>
      </c>
      <c r="R585" t="str">
        <f t="shared" si="209"/>
        <v>Marketplace</v>
      </c>
      <c r="S585" t="s">
        <v>726</v>
      </c>
      <c r="T585" t="str">
        <f t="shared" si="200"/>
        <v>D. Smith</v>
      </c>
      <c r="U585" t="s">
        <v>732</v>
      </c>
      <c r="V585" t="str">
        <f t="shared" si="210"/>
        <v>Low</v>
      </c>
      <c r="W585" t="s">
        <v>1314</v>
      </c>
      <c r="X585" t="str">
        <f t="shared" si="211"/>
        <v>C</v>
      </c>
      <c r="Y585" s="5">
        <v>41.84</v>
      </c>
      <c r="Z585" s="5">
        <v>86.2</v>
      </c>
      <c r="AA585" s="5">
        <f t="shared" si="212"/>
        <v>86.2</v>
      </c>
      <c r="AB585" s="7">
        <v>0.22600000000000001</v>
      </c>
      <c r="AC585" s="7">
        <f t="shared" si="213"/>
        <v>0.22600000000000001</v>
      </c>
      <c r="AD585" s="16">
        <f t="shared" si="214"/>
        <v>1</v>
      </c>
      <c r="AE585" s="16">
        <v>27</v>
      </c>
      <c r="AF585" s="5">
        <f t="shared" si="215"/>
        <v>1801.4076000000002</v>
      </c>
      <c r="AG585">
        <f t="shared" si="216"/>
        <v>1129.68</v>
      </c>
      <c r="AH585" s="5">
        <f t="shared" si="217"/>
        <v>671.72760000000017</v>
      </c>
      <c r="AI585" s="5">
        <f t="shared" si="218"/>
        <v>0.37289039970742882</v>
      </c>
      <c r="AJ585" s="5">
        <f t="shared" si="221"/>
        <v>10910022.055700013</v>
      </c>
      <c r="AK585" s="7">
        <f t="shared" si="219"/>
        <v>0.99673427597457931</v>
      </c>
      <c r="AL585" s="17">
        <f>MIN(AC585,'What-If Analysis'!$B$2)</f>
        <v>0.2</v>
      </c>
      <c r="AM585">
        <f>AE585*(1+'What-If Analysis'!$B$3)</f>
        <v>35.1</v>
      </c>
      <c r="AN585">
        <f>Y585*(1+'What-If Analysis'!$B$4)</f>
        <v>46.024000000000008</v>
      </c>
      <c r="AO585">
        <f t="shared" si="220"/>
        <v>2420.4960000000005</v>
      </c>
    </row>
    <row r="586" spans="1:41" x14ac:dyDescent="0.3">
      <c r="A586" t="s">
        <v>478</v>
      </c>
      <c r="B586" s="3">
        <v>45865</v>
      </c>
      <c r="C586" s="3">
        <f t="shared" si="201"/>
        <v>45865</v>
      </c>
      <c r="D586" s="3">
        <v>45884</v>
      </c>
      <c r="E586" s="3">
        <f t="shared" si="202"/>
        <v>45884</v>
      </c>
      <c r="F586" s="16">
        <f t="shared" si="203"/>
        <v>19</v>
      </c>
      <c r="G586" s="16">
        <f>IF(Data!F577&lt;=7,1,0)</f>
        <v>0</v>
      </c>
      <c r="H586" s="5" t="str">
        <f t="shared" si="204"/>
        <v>07-2025</v>
      </c>
      <c r="I586" s="5" t="str">
        <f t="shared" si="205"/>
        <v>Q3-2025</v>
      </c>
      <c r="J586" s="3">
        <f t="shared" si="206"/>
        <v>44988</v>
      </c>
      <c r="K586" s="5" t="str">
        <f t="shared" si="207"/>
        <v>03-2023</v>
      </c>
      <c r="L586" t="s">
        <v>647</v>
      </c>
      <c r="M586" t="s">
        <v>652</v>
      </c>
      <c r="N586" t="s">
        <v>689</v>
      </c>
      <c r="O586" t="str">
        <f t="shared" si="208"/>
        <v>Tokyo</v>
      </c>
      <c r="P586" t="s">
        <v>705</v>
      </c>
      <c r="Q586" t="s">
        <v>709</v>
      </c>
      <c r="R586" t="str">
        <f t="shared" si="209"/>
        <v>Marketplace</v>
      </c>
      <c r="S586" t="s">
        <v>713</v>
      </c>
      <c r="T586" t="str">
        <f t="shared" si="200"/>
        <v>J. Njeri</v>
      </c>
      <c r="U586" t="s">
        <v>727</v>
      </c>
      <c r="V586" t="str">
        <f t="shared" si="210"/>
        <v>Low</v>
      </c>
      <c r="W586" t="s">
        <v>1197</v>
      </c>
      <c r="X586" t="str">
        <f t="shared" si="211"/>
        <v>C</v>
      </c>
      <c r="Y586" s="5">
        <v>275.43</v>
      </c>
      <c r="Z586" s="5">
        <v>608.36</v>
      </c>
      <c r="AA586" s="5">
        <f t="shared" si="212"/>
        <v>608.36</v>
      </c>
      <c r="AB586" s="7">
        <v>0.25700000000000001</v>
      </c>
      <c r="AC586" s="7">
        <f t="shared" si="213"/>
        <v>0.25700000000000001</v>
      </c>
      <c r="AD586" s="16">
        <f t="shared" si="214"/>
        <v>1</v>
      </c>
      <c r="AE586" s="16">
        <v>4</v>
      </c>
      <c r="AF586" s="5">
        <f t="shared" si="215"/>
        <v>1808.04592</v>
      </c>
      <c r="AG586">
        <f t="shared" si="216"/>
        <v>1101.72</v>
      </c>
      <c r="AH586" s="5">
        <f t="shared" si="217"/>
        <v>706.32592</v>
      </c>
      <c r="AI586" s="5">
        <f t="shared" si="218"/>
        <v>0.39065706915231446</v>
      </c>
      <c r="AJ586" s="5">
        <f t="shared" si="221"/>
        <v>10911830.101620013</v>
      </c>
      <c r="AK586" s="7">
        <f t="shared" si="219"/>
        <v>0.99689945816502756</v>
      </c>
      <c r="AL586" s="17">
        <f>MIN(AC586,'What-If Analysis'!$B$2)</f>
        <v>0.2</v>
      </c>
      <c r="AM586">
        <f>AE586*(1+'What-If Analysis'!$B$3)</f>
        <v>5.2</v>
      </c>
      <c r="AN586">
        <f>Y586*(1+'What-If Analysis'!$B$4)</f>
        <v>302.97300000000001</v>
      </c>
      <c r="AO586">
        <f t="shared" si="220"/>
        <v>2530.7776000000003</v>
      </c>
    </row>
    <row r="587" spans="1:41" x14ac:dyDescent="0.3">
      <c r="A587" t="s">
        <v>490</v>
      </c>
      <c r="B587" s="3">
        <v>45422</v>
      </c>
      <c r="C587" s="3">
        <f t="shared" si="201"/>
        <v>45422</v>
      </c>
      <c r="D587" s="3">
        <v>45428</v>
      </c>
      <c r="E587" s="3">
        <f t="shared" si="202"/>
        <v>45428</v>
      </c>
      <c r="F587" s="16">
        <f t="shared" si="203"/>
        <v>6</v>
      </c>
      <c r="G587" s="16">
        <f>IF(Data!F594&lt;=7,1,0)</f>
        <v>0</v>
      </c>
      <c r="H587" s="5" t="str">
        <f t="shared" si="204"/>
        <v>05-2024</v>
      </c>
      <c r="I587" s="5" t="str">
        <f t="shared" si="205"/>
        <v>Q2-2024</v>
      </c>
      <c r="J587" s="3">
        <f t="shared" si="206"/>
        <v>44945</v>
      </c>
      <c r="K587" s="5" t="str">
        <f t="shared" si="207"/>
        <v>01-2023</v>
      </c>
      <c r="L587" t="s">
        <v>649</v>
      </c>
      <c r="M587" t="s">
        <v>658</v>
      </c>
      <c r="N587" t="s">
        <v>674</v>
      </c>
      <c r="O587" t="str">
        <f t="shared" si="208"/>
        <v>Birmingham</v>
      </c>
      <c r="P587" t="s">
        <v>703</v>
      </c>
      <c r="Q587" t="s">
        <v>711</v>
      </c>
      <c r="R587" t="str">
        <f t="shared" si="209"/>
        <v>Direct</v>
      </c>
      <c r="S587" t="s">
        <v>715</v>
      </c>
      <c r="T587" t="str">
        <f t="shared" si="200"/>
        <v>G. Dubois</v>
      </c>
      <c r="U587" t="s">
        <v>731</v>
      </c>
      <c r="V587" t="str">
        <f t="shared" si="210"/>
        <v>Low</v>
      </c>
      <c r="W587" t="s">
        <v>1209</v>
      </c>
      <c r="X587" t="str">
        <f t="shared" si="211"/>
        <v>C</v>
      </c>
      <c r="Y587" s="5">
        <v>210.76</v>
      </c>
      <c r="Z587" s="5">
        <v>221.58</v>
      </c>
      <c r="AA587" s="5">
        <f t="shared" si="212"/>
        <v>221.58</v>
      </c>
      <c r="AB587" s="7">
        <v>8.8999999999999996E-2</v>
      </c>
      <c r="AC587" s="7">
        <f t="shared" si="213"/>
        <v>8.8999999999999996E-2</v>
      </c>
      <c r="AD587" s="16">
        <f t="shared" si="214"/>
        <v>0</v>
      </c>
      <c r="AE587" s="16">
        <v>5</v>
      </c>
      <c r="AF587" s="5">
        <f t="shared" si="215"/>
        <v>1009.2969000000002</v>
      </c>
      <c r="AG587">
        <f t="shared" si="216"/>
        <v>1053.8</v>
      </c>
      <c r="AH587" s="5">
        <f t="shared" si="217"/>
        <v>44.50309999999979</v>
      </c>
      <c r="AI587" s="5">
        <f t="shared" si="218"/>
        <v>4.4093170205912434E-2</v>
      </c>
      <c r="AJ587" s="5">
        <f t="shared" si="221"/>
        <v>10912839.398520013</v>
      </c>
      <c r="AK587" s="7">
        <f t="shared" si="219"/>
        <v>0.99699166703589237</v>
      </c>
      <c r="AL587" s="17">
        <f>MIN(AC587,'What-If Analysis'!$B$2)</f>
        <v>8.8999999999999996E-2</v>
      </c>
      <c r="AM587">
        <f>AE587*(1+'What-If Analysis'!$B$3)</f>
        <v>6.5</v>
      </c>
      <c r="AN587">
        <f>Y587*(1+'What-If Analysis'!$B$4)</f>
        <v>231.83600000000001</v>
      </c>
      <c r="AO587">
        <f t="shared" si="220"/>
        <v>1312.0859700000001</v>
      </c>
    </row>
    <row r="588" spans="1:41" x14ac:dyDescent="0.3">
      <c r="A588" t="s">
        <v>337</v>
      </c>
      <c r="B588" s="3">
        <v>45340</v>
      </c>
      <c r="C588" s="3">
        <f t="shared" si="201"/>
        <v>45340</v>
      </c>
      <c r="D588" s="3">
        <v>45362</v>
      </c>
      <c r="E588" s="3">
        <f t="shared" si="202"/>
        <v>45362</v>
      </c>
      <c r="F588" s="16">
        <f t="shared" si="203"/>
        <v>22</v>
      </c>
      <c r="G588" s="16">
        <f>IF(Data!F605&lt;=7,1,0)</f>
        <v>0</v>
      </c>
      <c r="H588" s="5" t="str">
        <f t="shared" si="204"/>
        <v>02-2024</v>
      </c>
      <c r="I588" s="5" t="str">
        <f t="shared" si="205"/>
        <v>Q1-2024</v>
      </c>
      <c r="J588" s="3">
        <f t="shared" si="206"/>
        <v>44955</v>
      </c>
      <c r="K588" s="5" t="str">
        <f t="shared" si="207"/>
        <v>01-2023</v>
      </c>
      <c r="L588" t="s">
        <v>648</v>
      </c>
      <c r="M588" t="s">
        <v>655</v>
      </c>
      <c r="N588" t="s">
        <v>670</v>
      </c>
      <c r="O588" t="str">
        <f t="shared" si="208"/>
        <v>São Paulo</v>
      </c>
      <c r="P588" t="s">
        <v>704</v>
      </c>
      <c r="Q588" t="s">
        <v>708</v>
      </c>
      <c r="R588" t="str">
        <f t="shared" si="209"/>
        <v>Online</v>
      </c>
      <c r="S588" t="s">
        <v>720</v>
      </c>
      <c r="T588" t="str">
        <f t="shared" si="200"/>
        <v>A. Patel</v>
      </c>
      <c r="U588" t="s">
        <v>727</v>
      </c>
      <c r="V588" t="str">
        <f t="shared" si="210"/>
        <v>Low</v>
      </c>
      <c r="W588" t="s">
        <v>1057</v>
      </c>
      <c r="X588" t="str">
        <f t="shared" si="211"/>
        <v>C</v>
      </c>
      <c r="Y588" s="5">
        <v>80.48</v>
      </c>
      <c r="Z588" s="5">
        <v>65.650000000000006</v>
      </c>
      <c r="AA588" s="5">
        <f t="shared" si="212"/>
        <v>65.650000000000006</v>
      </c>
      <c r="AB588" s="7">
        <v>0.17599999999999999</v>
      </c>
      <c r="AC588" s="7">
        <f t="shared" si="213"/>
        <v>0.17599999999999999</v>
      </c>
      <c r="AD588" s="16">
        <f t="shared" si="214"/>
        <v>0</v>
      </c>
      <c r="AE588" s="16">
        <v>13</v>
      </c>
      <c r="AF588" s="5">
        <f t="shared" si="215"/>
        <v>703.2428000000001</v>
      </c>
      <c r="AG588">
        <f t="shared" si="216"/>
        <v>1046.24</v>
      </c>
      <c r="AH588" s="5">
        <f t="shared" si="217"/>
        <v>342.99719999999991</v>
      </c>
      <c r="AI588" s="5">
        <f t="shared" si="218"/>
        <v>0.48773652570634191</v>
      </c>
      <c r="AJ588" s="5">
        <f t="shared" si="221"/>
        <v>10913542.641320013</v>
      </c>
      <c r="AK588" s="7">
        <f t="shared" si="219"/>
        <v>0.99705591495395451</v>
      </c>
      <c r="AL588" s="17">
        <f>MIN(AC588,'What-If Analysis'!$B$2)</f>
        <v>0.17599999999999999</v>
      </c>
      <c r="AM588">
        <f>AE588*(1+'What-If Analysis'!$B$3)</f>
        <v>16.900000000000002</v>
      </c>
      <c r="AN588">
        <f>Y588*(1+'What-If Analysis'!$B$4)</f>
        <v>88.528000000000006</v>
      </c>
      <c r="AO588">
        <f t="shared" si="220"/>
        <v>914.21564000000012</v>
      </c>
    </row>
    <row r="589" spans="1:41" x14ac:dyDescent="0.3">
      <c r="A589" t="s">
        <v>459</v>
      </c>
      <c r="B589" s="3">
        <v>45090</v>
      </c>
      <c r="C589" s="3">
        <f t="shared" si="201"/>
        <v>45090</v>
      </c>
      <c r="D589" s="3">
        <v>45101</v>
      </c>
      <c r="E589" s="3">
        <f t="shared" si="202"/>
        <v>45101</v>
      </c>
      <c r="F589" s="16">
        <f t="shared" si="203"/>
        <v>11</v>
      </c>
      <c r="G589" s="16">
        <f>IF(Data!F574&lt;=7,1,0)</f>
        <v>0</v>
      </c>
      <c r="H589" s="5" t="str">
        <f t="shared" si="204"/>
        <v>06-2023</v>
      </c>
      <c r="I589" s="5" t="str">
        <f t="shared" si="205"/>
        <v>Q2-2023</v>
      </c>
      <c r="J589" s="3">
        <f t="shared" si="206"/>
        <v>44928</v>
      </c>
      <c r="K589" s="5" t="str">
        <f t="shared" si="207"/>
        <v>01-2023</v>
      </c>
      <c r="L589" t="s">
        <v>648</v>
      </c>
      <c r="M589" t="s">
        <v>653</v>
      </c>
      <c r="N589" t="s">
        <v>667</v>
      </c>
      <c r="O589" t="str">
        <f t="shared" si="208"/>
        <v>Toronto</v>
      </c>
      <c r="P589" t="s">
        <v>701</v>
      </c>
      <c r="Q589" t="s">
        <v>708</v>
      </c>
      <c r="R589" t="str">
        <f t="shared" si="209"/>
        <v>Online</v>
      </c>
      <c r="S589" t="s">
        <v>712</v>
      </c>
      <c r="T589" t="str">
        <f t="shared" si="200"/>
        <v>C. Otieno</v>
      </c>
      <c r="U589" t="s">
        <v>728</v>
      </c>
      <c r="V589" t="str">
        <f t="shared" si="210"/>
        <v>Low</v>
      </c>
      <c r="W589" t="s">
        <v>1178</v>
      </c>
      <c r="X589" t="str">
        <f t="shared" si="211"/>
        <v>C</v>
      </c>
      <c r="Y589" s="5">
        <v>247.07</v>
      </c>
      <c r="Z589" s="5">
        <v>495.19</v>
      </c>
      <c r="AA589" s="5">
        <f t="shared" si="212"/>
        <v>495.19</v>
      </c>
      <c r="AB589" s="7">
        <v>2.8000000000000001E-2</v>
      </c>
      <c r="AC589" s="7">
        <f t="shared" si="213"/>
        <v>2.8000000000000001E-2</v>
      </c>
      <c r="AD589" s="16">
        <f t="shared" si="214"/>
        <v>0</v>
      </c>
      <c r="AE589" s="16">
        <v>4</v>
      </c>
      <c r="AF589" s="5">
        <f t="shared" si="215"/>
        <v>1925.29872</v>
      </c>
      <c r="AG589">
        <f t="shared" si="216"/>
        <v>988.28</v>
      </c>
      <c r="AH589" s="5">
        <f t="shared" si="217"/>
        <v>937.01872000000003</v>
      </c>
      <c r="AI589" s="5">
        <f t="shared" si="218"/>
        <v>0.48668744764968214</v>
      </c>
      <c r="AJ589" s="5">
        <f t="shared" si="221"/>
        <v>10915467.940040013</v>
      </c>
      <c r="AK589" s="7">
        <f t="shared" si="219"/>
        <v>0.99723180930283095</v>
      </c>
      <c r="AL589" s="17">
        <f>MIN(AC589,'What-If Analysis'!$B$2)</f>
        <v>2.8000000000000001E-2</v>
      </c>
      <c r="AM589">
        <f>AE589*(1+'What-If Analysis'!$B$3)</f>
        <v>5.2</v>
      </c>
      <c r="AN589">
        <f>Y589*(1+'What-If Analysis'!$B$4)</f>
        <v>271.77699999999999</v>
      </c>
      <c r="AO589">
        <f t="shared" si="220"/>
        <v>2502.8883360000004</v>
      </c>
    </row>
    <row r="590" spans="1:41" x14ac:dyDescent="0.3">
      <c r="A590" t="s">
        <v>533</v>
      </c>
      <c r="B590" s="3">
        <v>45047</v>
      </c>
      <c r="C590" s="3">
        <f t="shared" si="201"/>
        <v>45047</v>
      </c>
      <c r="D590" s="3">
        <v>45064</v>
      </c>
      <c r="E590" s="3">
        <f t="shared" si="202"/>
        <v>45064</v>
      </c>
      <c r="F590" s="16">
        <f t="shared" si="203"/>
        <v>17</v>
      </c>
      <c r="G590" s="16">
        <f>IF(Data!F598&lt;=7,1,0)</f>
        <v>0</v>
      </c>
      <c r="H590" s="5" t="str">
        <f t="shared" si="204"/>
        <v>05-2023</v>
      </c>
      <c r="I590" s="5" t="str">
        <f t="shared" si="205"/>
        <v>Q2-2023</v>
      </c>
      <c r="J590" s="3">
        <f t="shared" si="206"/>
        <v>44939</v>
      </c>
      <c r="K590" s="5" t="str">
        <f t="shared" si="207"/>
        <v>01-2023</v>
      </c>
      <c r="L590" t="s">
        <v>646</v>
      </c>
      <c r="M590" t="s">
        <v>651</v>
      </c>
      <c r="N590" t="s">
        <v>663</v>
      </c>
      <c r="O590" t="str">
        <f t="shared" si="208"/>
        <v>Port Harcourt</v>
      </c>
      <c r="P590" t="s">
        <v>701</v>
      </c>
      <c r="Q590" t="s">
        <v>711</v>
      </c>
      <c r="R590" t="str">
        <f t="shared" si="209"/>
        <v>Direct</v>
      </c>
      <c r="S590" t="s">
        <v>721</v>
      </c>
      <c r="T590" t="str">
        <f t="shared" si="200"/>
        <v>F. Müller</v>
      </c>
      <c r="U590" t="s">
        <v>727</v>
      </c>
      <c r="V590" t="str">
        <f t="shared" si="210"/>
        <v>Low</v>
      </c>
      <c r="W590" t="s">
        <v>1252</v>
      </c>
      <c r="X590" t="str">
        <f t="shared" si="211"/>
        <v>C</v>
      </c>
      <c r="Y590" s="5">
        <v>327.97</v>
      </c>
      <c r="Z590" s="5">
        <v>299.94</v>
      </c>
      <c r="AA590" s="5">
        <f t="shared" si="212"/>
        <v>299.94</v>
      </c>
      <c r="AB590" s="7">
        <v>4.9000000000000002E-2</v>
      </c>
      <c r="AC590" s="7">
        <f t="shared" si="213"/>
        <v>4.9000000000000002E-2</v>
      </c>
      <c r="AD590" s="16">
        <f t="shared" si="214"/>
        <v>0</v>
      </c>
      <c r="AE590" s="16">
        <v>3</v>
      </c>
      <c r="AF590" s="5">
        <f t="shared" si="215"/>
        <v>855.72881999999993</v>
      </c>
      <c r="AG590">
        <f t="shared" si="216"/>
        <v>983.91000000000008</v>
      </c>
      <c r="AH590" s="5">
        <f t="shared" si="217"/>
        <v>128.18118000000015</v>
      </c>
      <c r="AI590" s="5">
        <f t="shared" si="218"/>
        <v>0.14979182306843442</v>
      </c>
      <c r="AJ590" s="5">
        <f t="shared" si="221"/>
        <v>10916323.668860013</v>
      </c>
      <c r="AK590" s="7">
        <f t="shared" si="219"/>
        <v>0.99730998826905837</v>
      </c>
      <c r="AL590" s="17">
        <f>MIN(AC590,'What-If Analysis'!$B$2)</f>
        <v>4.9000000000000002E-2</v>
      </c>
      <c r="AM590">
        <f>AE590*(1+'What-If Analysis'!$B$3)</f>
        <v>3.9000000000000004</v>
      </c>
      <c r="AN590">
        <f>Y590*(1+'What-If Analysis'!$B$4)</f>
        <v>360.76700000000005</v>
      </c>
      <c r="AO590">
        <f t="shared" si="220"/>
        <v>1112.4474660000001</v>
      </c>
    </row>
    <row r="591" spans="1:41" x14ac:dyDescent="0.3">
      <c r="A591" t="s">
        <v>142</v>
      </c>
      <c r="B591" s="3">
        <v>45874</v>
      </c>
      <c r="C591" s="3">
        <f t="shared" si="201"/>
        <v>45874</v>
      </c>
      <c r="D591" s="3">
        <v>45883</v>
      </c>
      <c r="E591" s="3">
        <f t="shared" si="202"/>
        <v>45883</v>
      </c>
      <c r="F591" s="16">
        <f t="shared" si="203"/>
        <v>9</v>
      </c>
      <c r="G591" s="16">
        <f>IF(Data!F599&lt;=7,1,0)</f>
        <v>1</v>
      </c>
      <c r="H591" s="5" t="str">
        <f t="shared" si="204"/>
        <v>08-2025</v>
      </c>
      <c r="I591" s="5" t="str">
        <f t="shared" si="205"/>
        <v>Q3-2025</v>
      </c>
      <c r="J591" s="3">
        <f t="shared" si="206"/>
        <v>44945</v>
      </c>
      <c r="K591" s="5" t="str">
        <f t="shared" si="207"/>
        <v>01-2023</v>
      </c>
      <c r="L591" t="s">
        <v>649</v>
      </c>
      <c r="M591" t="s">
        <v>658</v>
      </c>
      <c r="N591" t="s">
        <v>683</v>
      </c>
      <c r="O591" t="str">
        <f t="shared" si="208"/>
        <v>London</v>
      </c>
      <c r="P591" t="s">
        <v>703</v>
      </c>
      <c r="Q591" t="s">
        <v>711</v>
      </c>
      <c r="R591" t="str">
        <f t="shared" si="209"/>
        <v>Direct</v>
      </c>
      <c r="S591" t="s">
        <v>718</v>
      </c>
      <c r="T591" t="str">
        <f t="shared" si="200"/>
        <v>E. Garcia</v>
      </c>
      <c r="U591" t="s">
        <v>727</v>
      </c>
      <c r="V591" t="str">
        <f t="shared" si="210"/>
        <v>Low</v>
      </c>
      <c r="W591" t="s">
        <v>861</v>
      </c>
      <c r="X591" t="str">
        <f t="shared" si="211"/>
        <v>C</v>
      </c>
      <c r="Y591" s="5">
        <v>41.76</v>
      </c>
      <c r="Z591" s="5">
        <v>45.19</v>
      </c>
      <c r="AA591" s="5">
        <f t="shared" si="212"/>
        <v>45.19</v>
      </c>
      <c r="AB591" s="7">
        <v>0.17899999999999999</v>
      </c>
      <c r="AC591" s="7">
        <f t="shared" si="213"/>
        <v>0.17899999999999999</v>
      </c>
      <c r="AD591" s="16">
        <f t="shared" si="214"/>
        <v>0</v>
      </c>
      <c r="AE591" s="16">
        <v>23</v>
      </c>
      <c r="AF591" s="5">
        <f t="shared" si="215"/>
        <v>853.32276999999988</v>
      </c>
      <c r="AG591">
        <f t="shared" si="216"/>
        <v>960.4799999999999</v>
      </c>
      <c r="AH591" s="5">
        <f t="shared" si="217"/>
        <v>107.15723000000003</v>
      </c>
      <c r="AI591" s="5">
        <f t="shared" si="218"/>
        <v>0.12557643340514638</v>
      </c>
      <c r="AJ591" s="5">
        <f t="shared" si="221"/>
        <v>10917176.991630012</v>
      </c>
      <c r="AK591" s="7">
        <f t="shared" si="219"/>
        <v>0.99738794741973524</v>
      </c>
      <c r="AL591" s="17">
        <f>MIN(AC591,'What-If Analysis'!$B$2)</f>
        <v>0.17899999999999999</v>
      </c>
      <c r="AM591">
        <f>AE591*(1+'What-If Analysis'!$B$3)</f>
        <v>29.900000000000002</v>
      </c>
      <c r="AN591">
        <f>Y591*(1+'What-If Analysis'!$B$4)</f>
        <v>45.936</v>
      </c>
      <c r="AO591">
        <f t="shared" si="220"/>
        <v>1109.3196009999999</v>
      </c>
    </row>
    <row r="592" spans="1:41" x14ac:dyDescent="0.3">
      <c r="A592" t="s">
        <v>565</v>
      </c>
      <c r="B592" s="3">
        <v>45875</v>
      </c>
      <c r="C592" s="3">
        <f t="shared" si="201"/>
        <v>45875</v>
      </c>
      <c r="D592" s="3">
        <v>45892</v>
      </c>
      <c r="E592" s="3">
        <f t="shared" si="202"/>
        <v>45892</v>
      </c>
      <c r="F592" s="16">
        <f t="shared" si="203"/>
        <v>17</v>
      </c>
      <c r="G592" s="16">
        <f>IF(Data!F576&lt;=7,1,0)</f>
        <v>1</v>
      </c>
      <c r="H592" s="5" t="str">
        <f t="shared" si="204"/>
        <v>08-2025</v>
      </c>
      <c r="I592" s="5" t="str">
        <f t="shared" si="205"/>
        <v>Q3-2025</v>
      </c>
      <c r="J592" s="3">
        <f t="shared" si="206"/>
        <v>44955</v>
      </c>
      <c r="K592" s="5" t="str">
        <f t="shared" si="207"/>
        <v>01-2023</v>
      </c>
      <c r="L592" t="s">
        <v>648</v>
      </c>
      <c r="M592" t="s">
        <v>655</v>
      </c>
      <c r="N592" t="s">
        <v>672</v>
      </c>
      <c r="O592" t="str">
        <f t="shared" si="208"/>
        <v>Brasília</v>
      </c>
      <c r="P592" t="s">
        <v>704</v>
      </c>
      <c r="Q592" t="s">
        <v>710</v>
      </c>
      <c r="R592" t="str">
        <f t="shared" si="209"/>
        <v>Distributor</v>
      </c>
      <c r="S592" t="s">
        <v>720</v>
      </c>
      <c r="T592" t="str">
        <f t="shared" si="200"/>
        <v>A. Patel</v>
      </c>
      <c r="U592" t="s">
        <v>732</v>
      </c>
      <c r="V592" t="str">
        <f t="shared" si="210"/>
        <v>Low</v>
      </c>
      <c r="W592" t="s">
        <v>1283</v>
      </c>
      <c r="X592" t="str">
        <f t="shared" si="211"/>
        <v>C</v>
      </c>
      <c r="Y592" s="5">
        <v>86.64</v>
      </c>
      <c r="Z592" s="5">
        <v>213.06</v>
      </c>
      <c r="AA592" s="5">
        <f t="shared" si="212"/>
        <v>213.06</v>
      </c>
      <c r="AB592" s="7">
        <v>0.21199999999999999</v>
      </c>
      <c r="AC592" s="7">
        <f t="shared" si="213"/>
        <v>0.21199999999999999</v>
      </c>
      <c r="AD592" s="16">
        <f t="shared" si="214"/>
        <v>1</v>
      </c>
      <c r="AE592" s="16">
        <v>11</v>
      </c>
      <c r="AF592" s="5">
        <f t="shared" si="215"/>
        <v>1846.8040799999999</v>
      </c>
      <c r="AG592">
        <f t="shared" si="216"/>
        <v>953.04</v>
      </c>
      <c r="AH592" s="5">
        <f t="shared" si="217"/>
        <v>893.76407999999992</v>
      </c>
      <c r="AI592" s="5">
        <f t="shared" si="218"/>
        <v>0.48395175735154322</v>
      </c>
      <c r="AJ592" s="5">
        <f t="shared" si="221"/>
        <v>10919023.795710012</v>
      </c>
      <c r="AK592" s="7">
        <f t="shared" si="219"/>
        <v>0.99755667053671404</v>
      </c>
      <c r="AL592" s="17">
        <f>MIN(AC592,'What-If Analysis'!$B$2)</f>
        <v>0.2</v>
      </c>
      <c r="AM592">
        <f>AE592*(1+'What-If Analysis'!$B$3)</f>
        <v>14.3</v>
      </c>
      <c r="AN592">
        <f>Y592*(1+'What-If Analysis'!$B$4)</f>
        <v>95.304000000000002</v>
      </c>
      <c r="AO592">
        <f t="shared" si="220"/>
        <v>2437.4064000000003</v>
      </c>
    </row>
    <row r="593" spans="1:41" x14ac:dyDescent="0.3">
      <c r="A593" t="s">
        <v>504</v>
      </c>
      <c r="B593" s="3">
        <v>45403</v>
      </c>
      <c r="C593" s="3">
        <f t="shared" si="201"/>
        <v>45403</v>
      </c>
      <c r="D593" s="3">
        <v>45431</v>
      </c>
      <c r="E593" s="3">
        <f t="shared" si="202"/>
        <v>45431</v>
      </c>
      <c r="F593" s="16">
        <f t="shared" si="203"/>
        <v>28</v>
      </c>
      <c r="G593" s="16">
        <f>IF(Data!F585&lt;=7,1,0)</f>
        <v>0</v>
      </c>
      <c r="H593" s="5" t="str">
        <f t="shared" si="204"/>
        <v>04-2024</v>
      </c>
      <c r="I593" s="5" t="str">
        <f t="shared" si="205"/>
        <v>Q2-2024</v>
      </c>
      <c r="J593" s="3">
        <f t="shared" si="206"/>
        <v>44939</v>
      </c>
      <c r="K593" s="5" t="str">
        <f t="shared" si="207"/>
        <v>01-2023</v>
      </c>
      <c r="L593" t="s">
        <v>646</v>
      </c>
      <c r="M593" t="s">
        <v>651</v>
      </c>
      <c r="N593" t="s">
        <v>665</v>
      </c>
      <c r="O593" t="str">
        <f t="shared" si="208"/>
        <v>Lagos</v>
      </c>
      <c r="P593" t="s">
        <v>701</v>
      </c>
      <c r="Q593" t="s">
        <v>710</v>
      </c>
      <c r="R593" t="str">
        <f t="shared" si="209"/>
        <v>Distributor</v>
      </c>
      <c r="S593" t="s">
        <v>720</v>
      </c>
      <c r="T593" t="str">
        <f t="shared" ref="T593:T633" si="222">IF(S593="",_xlfn.XLOOKUP(L593,L:L,S:S),S593)</f>
        <v>A. Patel</v>
      </c>
      <c r="U593" t="s">
        <v>733</v>
      </c>
      <c r="V593" t="str">
        <f t="shared" si="210"/>
        <v>Low</v>
      </c>
      <c r="W593" t="s">
        <v>1223</v>
      </c>
      <c r="X593" t="str">
        <f t="shared" si="211"/>
        <v>C</v>
      </c>
      <c r="Y593" s="5">
        <v>187.22</v>
      </c>
      <c r="Z593" s="5">
        <v>309.47000000000003</v>
      </c>
      <c r="AA593" s="5">
        <f t="shared" si="212"/>
        <v>309.47000000000003</v>
      </c>
      <c r="AB593" s="7">
        <v>0</v>
      </c>
      <c r="AC593" s="7">
        <f t="shared" si="213"/>
        <v>0</v>
      </c>
      <c r="AD593" s="16">
        <f t="shared" si="214"/>
        <v>0</v>
      </c>
      <c r="AE593" s="16">
        <v>5</v>
      </c>
      <c r="AF593" s="5">
        <f t="shared" si="215"/>
        <v>1547.3500000000001</v>
      </c>
      <c r="AG593">
        <f t="shared" si="216"/>
        <v>936.1</v>
      </c>
      <c r="AH593" s="5">
        <f t="shared" si="217"/>
        <v>611.25000000000011</v>
      </c>
      <c r="AI593" s="5">
        <f t="shared" si="218"/>
        <v>0.39503021294471197</v>
      </c>
      <c r="AJ593" s="5">
        <f t="shared" si="221"/>
        <v>10920571.145710012</v>
      </c>
      <c r="AK593" s="7">
        <f t="shared" si="219"/>
        <v>0.99769803567548787</v>
      </c>
      <c r="AL593" s="17">
        <f>MIN(AC593,'What-If Analysis'!$B$2)</f>
        <v>0</v>
      </c>
      <c r="AM593">
        <f>AE593*(1+'What-If Analysis'!$B$3)</f>
        <v>6.5</v>
      </c>
      <c r="AN593">
        <f>Y593*(1+'What-If Analysis'!$B$4)</f>
        <v>205.94200000000001</v>
      </c>
      <c r="AO593">
        <f t="shared" si="220"/>
        <v>2011.5550000000003</v>
      </c>
    </row>
    <row r="594" spans="1:41" x14ac:dyDescent="0.3">
      <c r="A594" t="s">
        <v>244</v>
      </c>
      <c r="B594" s="3">
        <v>45069</v>
      </c>
      <c r="C594" s="3">
        <f t="shared" si="201"/>
        <v>45069</v>
      </c>
      <c r="D594" s="3">
        <v>45087</v>
      </c>
      <c r="E594" s="3">
        <f t="shared" si="202"/>
        <v>45087</v>
      </c>
      <c r="F594" s="16">
        <f t="shared" si="203"/>
        <v>18</v>
      </c>
      <c r="G594" s="16">
        <f>IF(Data!F608&lt;=7,1,0)</f>
        <v>1</v>
      </c>
      <c r="H594" s="5" t="str">
        <f t="shared" si="204"/>
        <v>05-2023</v>
      </c>
      <c r="I594" s="5" t="str">
        <f t="shared" si="205"/>
        <v>Q2-2023</v>
      </c>
      <c r="J594" s="3">
        <f t="shared" si="206"/>
        <v>44938</v>
      </c>
      <c r="K594" s="5" t="str">
        <f t="shared" si="207"/>
        <v>01-2023</v>
      </c>
      <c r="L594" t="s">
        <v>647</v>
      </c>
      <c r="M594" t="s">
        <v>659</v>
      </c>
      <c r="N594" t="s">
        <v>685</v>
      </c>
      <c r="O594" t="str">
        <f t="shared" si="208"/>
        <v>Shanghai</v>
      </c>
      <c r="P594" t="s">
        <v>701</v>
      </c>
      <c r="Q594" t="s">
        <v>710</v>
      </c>
      <c r="R594" t="str">
        <f t="shared" si="209"/>
        <v>Distributor</v>
      </c>
      <c r="S594" t="s">
        <v>718</v>
      </c>
      <c r="T594" t="str">
        <f t="shared" si="222"/>
        <v>E. Garcia</v>
      </c>
      <c r="U594" t="s">
        <v>727</v>
      </c>
      <c r="V594" t="str">
        <f t="shared" si="210"/>
        <v>Low</v>
      </c>
      <c r="W594" t="s">
        <v>964</v>
      </c>
      <c r="X594" t="str">
        <f t="shared" si="211"/>
        <v>C</v>
      </c>
      <c r="Y594" s="5">
        <v>54.62</v>
      </c>
      <c r="Z594" s="5">
        <v>48.94</v>
      </c>
      <c r="AA594" s="5">
        <f t="shared" si="212"/>
        <v>48.94</v>
      </c>
      <c r="AB594" s="7">
        <v>0.14799999999999999</v>
      </c>
      <c r="AC594" s="7">
        <f t="shared" si="213"/>
        <v>0.14799999999999999</v>
      </c>
      <c r="AD594" s="16">
        <f t="shared" si="214"/>
        <v>0</v>
      </c>
      <c r="AE594" s="16">
        <v>16</v>
      </c>
      <c r="AF594" s="5">
        <f t="shared" si="215"/>
        <v>667.15008</v>
      </c>
      <c r="AG594">
        <f t="shared" si="216"/>
        <v>873.92</v>
      </c>
      <c r="AH594" s="5">
        <f t="shared" si="217"/>
        <v>206.76991999999996</v>
      </c>
      <c r="AI594" s="5">
        <f t="shared" si="218"/>
        <v>0.3099301434543783</v>
      </c>
      <c r="AJ594" s="5">
        <f t="shared" si="221"/>
        <v>10921238.295790011</v>
      </c>
      <c r="AK594" s="7">
        <f t="shared" si="219"/>
        <v>0.99775898618031356</v>
      </c>
      <c r="AL594" s="17">
        <f>MIN(AC594,'What-If Analysis'!$B$2)</f>
        <v>0.14799999999999999</v>
      </c>
      <c r="AM594">
        <f>AE594*(1+'What-If Analysis'!$B$3)</f>
        <v>20.8</v>
      </c>
      <c r="AN594">
        <f>Y594*(1+'What-If Analysis'!$B$4)</f>
        <v>60.082000000000001</v>
      </c>
      <c r="AO594">
        <f t="shared" si="220"/>
        <v>867.29510399999992</v>
      </c>
    </row>
    <row r="595" spans="1:41" x14ac:dyDescent="0.3">
      <c r="A595" t="s">
        <v>616</v>
      </c>
      <c r="B595" s="3">
        <v>45880</v>
      </c>
      <c r="C595" s="3">
        <f t="shared" si="201"/>
        <v>45880</v>
      </c>
      <c r="D595" s="3">
        <v>45897</v>
      </c>
      <c r="E595" s="3">
        <f t="shared" si="202"/>
        <v>45897</v>
      </c>
      <c r="F595" s="16">
        <f t="shared" si="203"/>
        <v>17</v>
      </c>
      <c r="G595" s="16">
        <f>IF(Data!F591&lt;=7,1,0)</f>
        <v>0</v>
      </c>
      <c r="H595" s="5" t="str">
        <f t="shared" si="204"/>
        <v>08-2025</v>
      </c>
      <c r="I595" s="5" t="str">
        <f t="shared" si="205"/>
        <v>Q3-2025</v>
      </c>
      <c r="J595" s="3">
        <f t="shared" si="206"/>
        <v>44936</v>
      </c>
      <c r="K595" s="5" t="str">
        <f t="shared" si="207"/>
        <v>01-2023</v>
      </c>
      <c r="L595" t="s">
        <v>649</v>
      </c>
      <c r="M595" t="s">
        <v>657</v>
      </c>
      <c r="N595" t="s">
        <v>690</v>
      </c>
      <c r="O595" t="str">
        <f t="shared" si="208"/>
        <v>Paris</v>
      </c>
      <c r="P595" t="s">
        <v>702</v>
      </c>
      <c r="Q595" t="s">
        <v>708</v>
      </c>
      <c r="R595" t="str">
        <f t="shared" si="209"/>
        <v>Online</v>
      </c>
      <c r="S595" t="s">
        <v>721</v>
      </c>
      <c r="T595" t="str">
        <f t="shared" si="222"/>
        <v>F. Müller</v>
      </c>
      <c r="U595" t="s">
        <v>729</v>
      </c>
      <c r="V595" t="str">
        <f t="shared" si="210"/>
        <v>Low</v>
      </c>
      <c r="W595" t="s">
        <v>1334</v>
      </c>
      <c r="X595" t="str">
        <f t="shared" si="211"/>
        <v>C</v>
      </c>
      <c r="Y595" s="5">
        <v>416.16</v>
      </c>
      <c r="Z595" s="5">
        <v>571.9</v>
      </c>
      <c r="AA595" s="5">
        <f t="shared" si="212"/>
        <v>571.9</v>
      </c>
      <c r="AB595" s="7">
        <v>7.0999999999999994E-2</v>
      </c>
      <c r="AC595" s="7">
        <f t="shared" si="213"/>
        <v>7.0999999999999994E-2</v>
      </c>
      <c r="AD595" s="16">
        <f t="shared" si="214"/>
        <v>0</v>
      </c>
      <c r="AE595" s="16">
        <v>2</v>
      </c>
      <c r="AF595" s="5">
        <f t="shared" si="215"/>
        <v>1062.5902000000001</v>
      </c>
      <c r="AG595">
        <f t="shared" si="216"/>
        <v>832.32</v>
      </c>
      <c r="AH595" s="5">
        <f t="shared" si="217"/>
        <v>230.27020000000005</v>
      </c>
      <c r="AI595" s="5">
        <f t="shared" si="218"/>
        <v>0.21670649701079497</v>
      </c>
      <c r="AJ595" s="5">
        <f t="shared" si="221"/>
        <v>10922300.885990011</v>
      </c>
      <c r="AK595" s="7">
        <f t="shared" si="219"/>
        <v>0.99785606390098602</v>
      </c>
      <c r="AL595" s="17">
        <f>MIN(AC595,'What-If Analysis'!$B$2)</f>
        <v>7.0999999999999994E-2</v>
      </c>
      <c r="AM595">
        <f>AE595*(1+'What-If Analysis'!$B$3)</f>
        <v>2.6</v>
      </c>
      <c r="AN595">
        <f>Y595*(1+'What-If Analysis'!$B$4)</f>
        <v>457.77600000000007</v>
      </c>
      <c r="AO595">
        <f t="shared" si="220"/>
        <v>1381.3672600000002</v>
      </c>
    </row>
    <row r="596" spans="1:41" x14ac:dyDescent="0.3">
      <c r="A596" t="s">
        <v>123</v>
      </c>
      <c r="B596" s="3">
        <v>45581</v>
      </c>
      <c r="C596" s="3">
        <f t="shared" si="201"/>
        <v>45581</v>
      </c>
      <c r="D596" s="3">
        <v>45604</v>
      </c>
      <c r="E596" s="3">
        <f t="shared" si="202"/>
        <v>45604</v>
      </c>
      <c r="F596" s="16">
        <f t="shared" si="203"/>
        <v>23</v>
      </c>
      <c r="G596" s="16">
        <f>IF(Data!F582&lt;=7,1,0)</f>
        <v>0</v>
      </c>
      <c r="H596" s="5" t="str">
        <f t="shared" si="204"/>
        <v>10-2024</v>
      </c>
      <c r="I596" s="5" t="str">
        <f t="shared" si="205"/>
        <v>Q4-2024</v>
      </c>
      <c r="J596" s="3">
        <f t="shared" si="206"/>
        <v>44988</v>
      </c>
      <c r="K596" s="5" t="str">
        <f t="shared" si="207"/>
        <v>03-2023</v>
      </c>
      <c r="L596" t="s">
        <v>647</v>
      </c>
      <c r="M596" t="s">
        <v>652</v>
      </c>
      <c r="N596" t="s">
        <v>666</v>
      </c>
      <c r="O596" t="str">
        <f t="shared" si="208"/>
        <v>Osaka</v>
      </c>
      <c r="P596" t="s">
        <v>705</v>
      </c>
      <c r="Q596" t="s">
        <v>707</v>
      </c>
      <c r="R596" t="str">
        <f t="shared" si="209"/>
        <v>Retail</v>
      </c>
      <c r="S596" t="s">
        <v>713</v>
      </c>
      <c r="T596" t="str">
        <f t="shared" si="222"/>
        <v>J. Njeri</v>
      </c>
      <c r="U596" t="s">
        <v>729</v>
      </c>
      <c r="V596" t="str">
        <f t="shared" si="210"/>
        <v>Low</v>
      </c>
      <c r="W596" t="s">
        <v>842</v>
      </c>
      <c r="X596" t="str">
        <f t="shared" si="211"/>
        <v>C</v>
      </c>
      <c r="Y596" s="5">
        <v>82.14</v>
      </c>
      <c r="Z596" s="5">
        <v>166.04</v>
      </c>
      <c r="AA596" s="5">
        <f t="shared" si="212"/>
        <v>166.04</v>
      </c>
      <c r="AB596" s="7">
        <v>0</v>
      </c>
      <c r="AC596" s="7">
        <f t="shared" si="213"/>
        <v>0</v>
      </c>
      <c r="AD596" s="16">
        <f t="shared" si="214"/>
        <v>0</v>
      </c>
      <c r="AE596" s="16">
        <v>10</v>
      </c>
      <c r="AF596" s="5">
        <f t="shared" si="215"/>
        <v>1660.3999999999999</v>
      </c>
      <c r="AG596">
        <f t="shared" si="216"/>
        <v>821.4</v>
      </c>
      <c r="AH596" s="5">
        <f t="shared" si="217"/>
        <v>838.99999999999989</v>
      </c>
      <c r="AI596" s="5">
        <f t="shared" si="218"/>
        <v>0.50529992772825827</v>
      </c>
      <c r="AJ596" s="5">
        <f t="shared" si="221"/>
        <v>10923961.285990011</v>
      </c>
      <c r="AK596" s="7">
        <f t="shared" si="219"/>
        <v>0.99800775723243662</v>
      </c>
      <c r="AL596" s="17">
        <f>MIN(AC596,'What-If Analysis'!$B$2)</f>
        <v>0</v>
      </c>
      <c r="AM596">
        <f>AE596*(1+'What-If Analysis'!$B$3)</f>
        <v>13</v>
      </c>
      <c r="AN596">
        <f>Y596*(1+'What-If Analysis'!$B$4)</f>
        <v>90.354000000000013</v>
      </c>
      <c r="AO596">
        <f t="shared" si="220"/>
        <v>2158.52</v>
      </c>
    </row>
    <row r="597" spans="1:41" x14ac:dyDescent="0.3">
      <c r="A597" t="s">
        <v>325</v>
      </c>
      <c r="B597" s="3">
        <v>45435</v>
      </c>
      <c r="C597" s="3">
        <f t="shared" si="201"/>
        <v>45435</v>
      </c>
      <c r="D597" s="3">
        <v>45449</v>
      </c>
      <c r="E597" s="3">
        <f t="shared" si="202"/>
        <v>45449</v>
      </c>
      <c r="F597" s="16">
        <f t="shared" si="203"/>
        <v>14</v>
      </c>
      <c r="G597" s="16">
        <f>IF(Data!F597&lt;=7,1,0)</f>
        <v>0</v>
      </c>
      <c r="H597" s="5" t="str">
        <f t="shared" si="204"/>
        <v>05-2024</v>
      </c>
      <c r="I597" s="5" t="str">
        <f t="shared" si="205"/>
        <v>Q2-2024</v>
      </c>
      <c r="J597" s="3">
        <f t="shared" si="206"/>
        <v>44955</v>
      </c>
      <c r="K597" s="5" t="str">
        <f t="shared" si="207"/>
        <v>01-2023</v>
      </c>
      <c r="L597" t="s">
        <v>648</v>
      </c>
      <c r="M597" t="s">
        <v>655</v>
      </c>
      <c r="N597" t="s">
        <v>692</v>
      </c>
      <c r="O597" t="str">
        <f t="shared" si="208"/>
        <v>Rio de Janeiro</v>
      </c>
      <c r="P597" t="s">
        <v>703</v>
      </c>
      <c r="Q597" t="s">
        <v>708</v>
      </c>
      <c r="R597" t="str">
        <f t="shared" si="209"/>
        <v>Online</v>
      </c>
      <c r="S597" t="s">
        <v>714</v>
      </c>
      <c r="T597" t="str">
        <f t="shared" si="222"/>
        <v>I. Johnson</v>
      </c>
      <c r="U597" t="s">
        <v>729</v>
      </c>
      <c r="V597" t="str">
        <f t="shared" si="210"/>
        <v>Low</v>
      </c>
      <c r="W597" t="s">
        <v>1045</v>
      </c>
      <c r="X597" t="str">
        <f t="shared" si="211"/>
        <v>C</v>
      </c>
      <c r="Y597" s="5">
        <v>51.13</v>
      </c>
      <c r="Z597" s="5">
        <v>57.53</v>
      </c>
      <c r="AA597" s="5">
        <f t="shared" si="212"/>
        <v>57.53</v>
      </c>
      <c r="AB597" s="7">
        <v>4.4999999999999998E-2</v>
      </c>
      <c r="AC597" s="7">
        <f t="shared" si="213"/>
        <v>4.4999999999999998E-2</v>
      </c>
      <c r="AD597" s="16">
        <f t="shared" si="214"/>
        <v>0</v>
      </c>
      <c r="AE597" s="16">
        <v>16</v>
      </c>
      <c r="AF597" s="5">
        <f t="shared" si="215"/>
        <v>879.05840000000001</v>
      </c>
      <c r="AG597">
        <f t="shared" si="216"/>
        <v>818.08</v>
      </c>
      <c r="AH597" s="5">
        <f t="shared" si="217"/>
        <v>60.978399999999965</v>
      </c>
      <c r="AI597" s="5">
        <f t="shared" si="218"/>
        <v>6.9367859973808302E-2</v>
      </c>
      <c r="AJ597" s="5">
        <f t="shared" si="221"/>
        <v>10924840.34439001</v>
      </c>
      <c r="AK597" s="7">
        <f t="shared" si="219"/>
        <v>0.9980880675776761</v>
      </c>
      <c r="AL597" s="17">
        <f>MIN(AC597,'What-If Analysis'!$B$2)</f>
        <v>4.4999999999999998E-2</v>
      </c>
      <c r="AM597">
        <f>AE597*(1+'What-If Analysis'!$B$3)</f>
        <v>20.8</v>
      </c>
      <c r="AN597">
        <f>Y597*(1+'What-If Analysis'!$B$4)</f>
        <v>56.243000000000009</v>
      </c>
      <c r="AO597">
        <f t="shared" si="220"/>
        <v>1142.77592</v>
      </c>
    </row>
    <row r="598" spans="1:41" x14ac:dyDescent="0.3">
      <c r="A598" t="s">
        <v>305</v>
      </c>
      <c r="B598" s="3">
        <v>45746</v>
      </c>
      <c r="C598" s="3">
        <f t="shared" si="201"/>
        <v>45746</v>
      </c>
      <c r="D598" s="3">
        <v>45754</v>
      </c>
      <c r="E598" s="3">
        <f t="shared" si="202"/>
        <v>45754</v>
      </c>
      <c r="F598" s="16">
        <f t="shared" si="203"/>
        <v>8</v>
      </c>
      <c r="G598" s="16">
        <f>IF(Data!F590&lt;=7,1,0)</f>
        <v>0</v>
      </c>
      <c r="H598" s="5" t="str">
        <f t="shared" si="204"/>
        <v>03-2025</v>
      </c>
      <c r="I598" s="5" t="str">
        <f t="shared" si="205"/>
        <v>Q1-2025</v>
      </c>
      <c r="J598" s="3">
        <f t="shared" si="206"/>
        <v>44955</v>
      </c>
      <c r="K598" s="5" t="str">
        <f t="shared" si="207"/>
        <v>01-2023</v>
      </c>
      <c r="L598" t="s">
        <v>648</v>
      </c>
      <c r="M598" t="s">
        <v>655</v>
      </c>
      <c r="N598" t="s">
        <v>670</v>
      </c>
      <c r="O598" t="str">
        <f t="shared" si="208"/>
        <v>São Paulo</v>
      </c>
      <c r="P598" t="s">
        <v>703</v>
      </c>
      <c r="Q598" t="s">
        <v>711</v>
      </c>
      <c r="R598" t="str">
        <f t="shared" si="209"/>
        <v>Direct</v>
      </c>
      <c r="S598" t="s">
        <v>716</v>
      </c>
      <c r="T598" t="str">
        <f t="shared" si="222"/>
        <v>L. Okafor</v>
      </c>
      <c r="U598" t="s">
        <v>728</v>
      </c>
      <c r="V598" t="str">
        <f t="shared" si="210"/>
        <v>Low</v>
      </c>
      <c r="W598" t="s">
        <v>1025</v>
      </c>
      <c r="X598" t="str">
        <f t="shared" si="211"/>
        <v>C</v>
      </c>
      <c r="Y598" s="5">
        <v>71.62</v>
      </c>
      <c r="Z598" s="5">
        <v>118.37</v>
      </c>
      <c r="AA598" s="5">
        <f t="shared" si="212"/>
        <v>118.37</v>
      </c>
      <c r="AB598" s="7">
        <v>0.156</v>
      </c>
      <c r="AC598" s="7">
        <f t="shared" si="213"/>
        <v>0.156</v>
      </c>
      <c r="AD598" s="16">
        <f t="shared" si="214"/>
        <v>0</v>
      </c>
      <c r="AE598" s="16">
        <v>11</v>
      </c>
      <c r="AF598" s="5">
        <f t="shared" si="215"/>
        <v>1098.9470800000001</v>
      </c>
      <c r="AG598">
        <f t="shared" si="216"/>
        <v>787.82</v>
      </c>
      <c r="AH598" s="5">
        <f t="shared" si="217"/>
        <v>311.12708000000009</v>
      </c>
      <c r="AI598" s="5">
        <f t="shared" si="218"/>
        <v>0.28311379652603474</v>
      </c>
      <c r="AJ598" s="5">
        <f t="shared" si="221"/>
        <v>10925939.29147001</v>
      </c>
      <c r="AK598" s="7">
        <f t="shared" si="219"/>
        <v>0.99818846684511342</v>
      </c>
      <c r="AL598" s="17">
        <f>MIN(AC598,'What-If Analysis'!$B$2)</f>
        <v>0.156</v>
      </c>
      <c r="AM598">
        <f>AE598*(1+'What-If Analysis'!$B$3)</f>
        <v>14.3</v>
      </c>
      <c r="AN598">
        <f>Y598*(1+'What-If Analysis'!$B$4)</f>
        <v>78.782000000000011</v>
      </c>
      <c r="AO598">
        <f t="shared" si="220"/>
        <v>1428.6312040000003</v>
      </c>
    </row>
    <row r="599" spans="1:41" x14ac:dyDescent="0.3">
      <c r="A599" t="s">
        <v>634</v>
      </c>
      <c r="B599" s="3">
        <v>45177</v>
      </c>
      <c r="C599" s="3">
        <f t="shared" si="201"/>
        <v>45177</v>
      </c>
      <c r="D599" s="3">
        <v>45183</v>
      </c>
      <c r="E599" s="3">
        <f t="shared" si="202"/>
        <v>45183</v>
      </c>
      <c r="F599" s="16">
        <f t="shared" si="203"/>
        <v>6</v>
      </c>
      <c r="G599" s="16">
        <f>IF(Data!F592&lt;=7,1,0)</f>
        <v>0</v>
      </c>
      <c r="H599" s="5" t="str">
        <f t="shared" si="204"/>
        <v>09-2023</v>
      </c>
      <c r="I599" s="5" t="str">
        <f t="shared" si="205"/>
        <v>Q3-2023</v>
      </c>
      <c r="J599" s="3">
        <f t="shared" si="206"/>
        <v>44946</v>
      </c>
      <c r="K599" s="5" t="str">
        <f t="shared" si="207"/>
        <v>01-2023</v>
      </c>
      <c r="L599" t="s">
        <v>646</v>
      </c>
      <c r="M599" t="s">
        <v>650</v>
      </c>
      <c r="N599" t="s">
        <v>678</v>
      </c>
      <c r="O599" t="str">
        <f t="shared" si="208"/>
        <v>Nakuru</v>
      </c>
      <c r="P599" t="s">
        <v>702</v>
      </c>
      <c r="Q599" t="s">
        <v>711</v>
      </c>
      <c r="R599" t="str">
        <f t="shared" si="209"/>
        <v>Direct</v>
      </c>
      <c r="S599" t="s">
        <v>714</v>
      </c>
      <c r="T599" t="str">
        <f t="shared" si="222"/>
        <v>I. Johnson</v>
      </c>
      <c r="U599" t="s">
        <v>733</v>
      </c>
      <c r="V599" t="str">
        <f t="shared" si="210"/>
        <v>Low</v>
      </c>
      <c r="W599" t="s">
        <v>1352</v>
      </c>
      <c r="X599" t="str">
        <f t="shared" si="211"/>
        <v>C</v>
      </c>
      <c r="Y599" s="5">
        <v>251.03</v>
      </c>
      <c r="Z599" s="5">
        <v>411.48</v>
      </c>
      <c r="AA599" s="5">
        <f t="shared" si="212"/>
        <v>411.48</v>
      </c>
      <c r="AB599" s="7">
        <v>0.16500000000000001</v>
      </c>
      <c r="AC599" s="7">
        <f t="shared" si="213"/>
        <v>0.16500000000000001</v>
      </c>
      <c r="AD599" s="16">
        <f t="shared" si="214"/>
        <v>0</v>
      </c>
      <c r="AE599" s="16">
        <v>3</v>
      </c>
      <c r="AF599" s="5">
        <f t="shared" si="215"/>
        <v>1030.7574</v>
      </c>
      <c r="AG599">
        <f t="shared" si="216"/>
        <v>753.09</v>
      </c>
      <c r="AH599" s="5">
        <f t="shared" si="217"/>
        <v>277.66739999999993</v>
      </c>
      <c r="AI599" s="5">
        <f t="shared" si="218"/>
        <v>0.26938191275658069</v>
      </c>
      <c r="AJ599" s="5">
        <f t="shared" si="221"/>
        <v>10926970.04887001</v>
      </c>
      <c r="AK599" s="7">
        <f t="shared" si="219"/>
        <v>0.99828263633675596</v>
      </c>
      <c r="AL599" s="17">
        <f>MIN(AC599,'What-If Analysis'!$B$2)</f>
        <v>0.16500000000000001</v>
      </c>
      <c r="AM599">
        <f>AE599*(1+'What-If Analysis'!$B$3)</f>
        <v>3.9000000000000004</v>
      </c>
      <c r="AN599">
        <f>Y599*(1+'What-If Analysis'!$B$4)</f>
        <v>276.13300000000004</v>
      </c>
      <c r="AO599">
        <f t="shared" si="220"/>
        <v>1339.9846200000002</v>
      </c>
    </row>
    <row r="600" spans="1:41" x14ac:dyDescent="0.3">
      <c r="A600" t="s">
        <v>235</v>
      </c>
      <c r="B600" s="3">
        <v>45194</v>
      </c>
      <c r="C600" s="3">
        <f t="shared" si="201"/>
        <v>45194</v>
      </c>
      <c r="D600" s="3">
        <v>45201</v>
      </c>
      <c r="E600" s="3">
        <f t="shared" si="202"/>
        <v>45201</v>
      </c>
      <c r="F600" s="16">
        <f t="shared" si="203"/>
        <v>7</v>
      </c>
      <c r="G600" s="16">
        <f>IF(Data!F596&lt;=7,1,0)</f>
        <v>0</v>
      </c>
      <c r="H600" s="5" t="str">
        <f t="shared" si="204"/>
        <v>09-2023</v>
      </c>
      <c r="I600" s="5" t="str">
        <f t="shared" si="205"/>
        <v>Q3-2023</v>
      </c>
      <c r="J600" s="3">
        <f t="shared" si="206"/>
        <v>44939</v>
      </c>
      <c r="K600" s="5" t="str">
        <f t="shared" si="207"/>
        <v>01-2023</v>
      </c>
      <c r="L600" t="s">
        <v>648</v>
      </c>
      <c r="M600" t="s">
        <v>660</v>
      </c>
      <c r="N600" t="s">
        <v>700</v>
      </c>
      <c r="O600" t="str">
        <f t="shared" si="208"/>
        <v>New York</v>
      </c>
      <c r="P600" t="s">
        <v>702</v>
      </c>
      <c r="Q600" t="s">
        <v>709</v>
      </c>
      <c r="R600" t="str">
        <f t="shared" si="209"/>
        <v>Marketplace</v>
      </c>
      <c r="S600" t="s">
        <v>714</v>
      </c>
      <c r="T600" t="str">
        <f t="shared" si="222"/>
        <v>I. Johnson</v>
      </c>
      <c r="U600" t="s">
        <v>733</v>
      </c>
      <c r="V600" t="str">
        <f t="shared" si="210"/>
        <v>Low</v>
      </c>
      <c r="W600" t="s">
        <v>955</v>
      </c>
      <c r="X600" t="str">
        <f t="shared" si="211"/>
        <v>C</v>
      </c>
      <c r="Y600" s="5">
        <v>145.58000000000001</v>
      </c>
      <c r="Z600" s="5">
        <v>228.15</v>
      </c>
      <c r="AA600" s="5">
        <f t="shared" si="212"/>
        <v>228.15</v>
      </c>
      <c r="AB600" s="7">
        <v>0.20399999999999999</v>
      </c>
      <c r="AC600" s="7">
        <f t="shared" si="213"/>
        <v>0.20399999999999999</v>
      </c>
      <c r="AD600" s="16">
        <f t="shared" si="214"/>
        <v>1</v>
      </c>
      <c r="AE600" s="16">
        <v>5</v>
      </c>
      <c r="AF600" s="5">
        <f t="shared" si="215"/>
        <v>908.03700000000003</v>
      </c>
      <c r="AG600">
        <f t="shared" si="216"/>
        <v>727.90000000000009</v>
      </c>
      <c r="AH600" s="5">
        <f t="shared" si="217"/>
        <v>180.13699999999994</v>
      </c>
      <c r="AI600" s="5">
        <f t="shared" si="218"/>
        <v>0.19838068272548359</v>
      </c>
      <c r="AJ600" s="5">
        <f t="shared" si="221"/>
        <v>10927878.085870011</v>
      </c>
      <c r="AK600" s="7">
        <f t="shared" si="219"/>
        <v>0.9983655941527102</v>
      </c>
      <c r="AL600" s="17">
        <f>MIN(AC600,'What-If Analysis'!$B$2)</f>
        <v>0.2</v>
      </c>
      <c r="AM600">
        <f>AE600*(1+'What-If Analysis'!$B$3)</f>
        <v>6.5</v>
      </c>
      <c r="AN600">
        <f>Y600*(1+'What-If Analysis'!$B$4)</f>
        <v>160.13800000000003</v>
      </c>
      <c r="AO600">
        <f t="shared" si="220"/>
        <v>1186.3800000000001</v>
      </c>
    </row>
    <row r="601" spans="1:41" x14ac:dyDescent="0.3">
      <c r="A601" t="s">
        <v>355</v>
      </c>
      <c r="B601" s="3">
        <v>45029</v>
      </c>
      <c r="C601" s="3">
        <f t="shared" si="201"/>
        <v>45027</v>
      </c>
      <c r="D601" s="3">
        <v>45027</v>
      </c>
      <c r="E601" s="3">
        <f t="shared" si="202"/>
        <v>45029</v>
      </c>
      <c r="F601" s="16">
        <f t="shared" si="203"/>
        <v>2</v>
      </c>
      <c r="G601" s="16">
        <f>IF(Data!F589&lt;=7,1,0)</f>
        <v>0</v>
      </c>
      <c r="H601" s="5" t="str">
        <f t="shared" si="204"/>
        <v>04-2023</v>
      </c>
      <c r="I601" s="5" t="str">
        <f t="shared" si="205"/>
        <v>Q2-2023</v>
      </c>
      <c r="J601" s="3">
        <f t="shared" si="206"/>
        <v>44939</v>
      </c>
      <c r="K601" s="5" t="str">
        <f t="shared" si="207"/>
        <v>01-2023</v>
      </c>
      <c r="L601" t="s">
        <v>648</v>
      </c>
      <c r="M601" t="s">
        <v>660</v>
      </c>
      <c r="N601" t="s">
        <v>686</v>
      </c>
      <c r="O601" t="str">
        <f t="shared" si="208"/>
        <v>San Francisco</v>
      </c>
      <c r="P601" t="s">
        <v>702</v>
      </c>
      <c r="Q601" t="s">
        <v>709</v>
      </c>
      <c r="R601" t="str">
        <f t="shared" si="209"/>
        <v>Marketplace</v>
      </c>
      <c r="S601" t="s">
        <v>715</v>
      </c>
      <c r="T601" t="str">
        <f t="shared" si="222"/>
        <v>G. Dubois</v>
      </c>
      <c r="U601" t="s">
        <v>729</v>
      </c>
      <c r="V601" t="str">
        <f t="shared" si="210"/>
        <v>Low</v>
      </c>
      <c r="W601" t="s">
        <v>1075</v>
      </c>
      <c r="X601" t="str">
        <f t="shared" si="211"/>
        <v>C</v>
      </c>
      <c r="Y601" s="5">
        <v>32.1</v>
      </c>
      <c r="Z601" s="5">
        <v>70.599999999999994</v>
      </c>
      <c r="AA601" s="5">
        <f t="shared" si="212"/>
        <v>70.599999999999994</v>
      </c>
      <c r="AB601" s="7">
        <v>0.28199999999999997</v>
      </c>
      <c r="AC601" s="7">
        <f t="shared" si="213"/>
        <v>0.28199999999999997</v>
      </c>
      <c r="AD601" s="16">
        <f t="shared" si="214"/>
        <v>1</v>
      </c>
      <c r="AE601" s="16">
        <v>22</v>
      </c>
      <c r="AF601" s="5">
        <f t="shared" si="215"/>
        <v>1115.1975999999997</v>
      </c>
      <c r="AG601">
        <f t="shared" si="216"/>
        <v>706.2</v>
      </c>
      <c r="AH601" s="5">
        <f t="shared" si="217"/>
        <v>408.99759999999969</v>
      </c>
      <c r="AI601" s="5">
        <f t="shared" si="218"/>
        <v>0.36674899587301818</v>
      </c>
      <c r="AJ601" s="5">
        <f t="shared" si="221"/>
        <v>10928993.28347001</v>
      </c>
      <c r="AK601" s="7">
        <f t="shared" si="219"/>
        <v>0.99846747805970226</v>
      </c>
      <c r="AL601" s="17">
        <f>MIN(AC601,'What-If Analysis'!$B$2)</f>
        <v>0.2</v>
      </c>
      <c r="AM601">
        <f>AE601*(1+'What-If Analysis'!$B$3)</f>
        <v>28.6</v>
      </c>
      <c r="AN601">
        <f>Y601*(1+'What-If Analysis'!$B$4)</f>
        <v>35.31</v>
      </c>
      <c r="AO601">
        <f t="shared" si="220"/>
        <v>1615.328</v>
      </c>
    </row>
    <row r="602" spans="1:41" x14ac:dyDescent="0.3">
      <c r="A602" t="s">
        <v>475</v>
      </c>
      <c r="B602" s="3">
        <v>45063</v>
      </c>
      <c r="C602" s="3">
        <f t="shared" si="201"/>
        <v>45063</v>
      </c>
      <c r="D602" s="3">
        <v>45092</v>
      </c>
      <c r="E602" s="3">
        <f t="shared" si="202"/>
        <v>45092</v>
      </c>
      <c r="F602" s="16">
        <f t="shared" si="203"/>
        <v>29</v>
      </c>
      <c r="G602" s="16">
        <f>IF(Data!F595&lt;=7,1,0)</f>
        <v>0</v>
      </c>
      <c r="H602" s="5" t="str">
        <f t="shared" si="204"/>
        <v>05-2023</v>
      </c>
      <c r="I602" s="5" t="str">
        <f t="shared" si="205"/>
        <v>Q2-2023</v>
      </c>
      <c r="J602" s="3">
        <f t="shared" si="206"/>
        <v>44933</v>
      </c>
      <c r="K602" s="5" t="str">
        <f t="shared" si="207"/>
        <v>01-2023</v>
      </c>
      <c r="L602" t="s">
        <v>646</v>
      </c>
      <c r="M602" t="s">
        <v>661</v>
      </c>
      <c r="N602" t="s">
        <v>687</v>
      </c>
      <c r="O602" t="str">
        <f t="shared" si="208"/>
        <v>Durban</v>
      </c>
      <c r="P602" t="s">
        <v>706</v>
      </c>
      <c r="Q602" t="s">
        <v>707</v>
      </c>
      <c r="R602" t="str">
        <f t="shared" si="209"/>
        <v>Retail</v>
      </c>
      <c r="S602" t="s">
        <v>723</v>
      </c>
      <c r="T602" t="str">
        <f t="shared" si="222"/>
        <v>K. Singh</v>
      </c>
      <c r="U602" t="s">
        <v>733</v>
      </c>
      <c r="V602" t="str">
        <f t="shared" si="210"/>
        <v>Low</v>
      </c>
      <c r="W602" t="s">
        <v>1194</v>
      </c>
      <c r="X602" t="str">
        <f t="shared" si="211"/>
        <v>C</v>
      </c>
      <c r="Y602" s="5">
        <v>40.89</v>
      </c>
      <c r="Z602" s="5">
        <v>62.82</v>
      </c>
      <c r="AA602" s="5">
        <f t="shared" si="212"/>
        <v>62.82</v>
      </c>
      <c r="AB602" s="7">
        <v>0.129</v>
      </c>
      <c r="AC602" s="7">
        <f t="shared" si="213"/>
        <v>0.129</v>
      </c>
      <c r="AD602" s="16">
        <f t="shared" si="214"/>
        <v>0</v>
      </c>
      <c r="AE602" s="16">
        <v>17</v>
      </c>
      <c r="AF602" s="5">
        <f t="shared" si="215"/>
        <v>930.17574000000002</v>
      </c>
      <c r="AG602">
        <f t="shared" si="216"/>
        <v>695.13</v>
      </c>
      <c r="AH602" s="5">
        <f t="shared" si="217"/>
        <v>235.04574000000002</v>
      </c>
      <c r="AI602" s="5">
        <f t="shared" si="218"/>
        <v>0.25268960465470752</v>
      </c>
      <c r="AJ602" s="5">
        <f t="shared" si="221"/>
        <v>10929923.45921001</v>
      </c>
      <c r="AK602" s="7">
        <f t="shared" si="219"/>
        <v>0.99855245846010887</v>
      </c>
      <c r="AL602" s="17">
        <f>MIN(AC602,'What-If Analysis'!$B$2)</f>
        <v>0.129</v>
      </c>
      <c r="AM602">
        <f>AE602*(1+'What-If Analysis'!$B$3)</f>
        <v>22.1</v>
      </c>
      <c r="AN602">
        <f>Y602*(1+'What-If Analysis'!$B$4)</f>
        <v>44.979000000000006</v>
      </c>
      <c r="AO602">
        <f t="shared" si="220"/>
        <v>1209.228462</v>
      </c>
    </row>
    <row r="603" spans="1:41" x14ac:dyDescent="0.3">
      <c r="A603" t="s">
        <v>319</v>
      </c>
      <c r="B603" s="3">
        <v>45756</v>
      </c>
      <c r="C603" s="3">
        <f t="shared" si="201"/>
        <v>45756</v>
      </c>
      <c r="D603" s="3">
        <v>45759</v>
      </c>
      <c r="E603" s="3">
        <f t="shared" si="202"/>
        <v>45759</v>
      </c>
      <c r="F603" s="16">
        <f t="shared" si="203"/>
        <v>3</v>
      </c>
      <c r="G603" s="16">
        <f>IF(Data!F584&lt;=7,1,0)</f>
        <v>0</v>
      </c>
      <c r="H603" s="5" t="str">
        <f t="shared" si="204"/>
        <v>04-2025</v>
      </c>
      <c r="I603" s="5" t="str">
        <f t="shared" si="205"/>
        <v>Q2-2025</v>
      </c>
      <c r="J603" s="3">
        <f t="shared" si="206"/>
        <v>44936</v>
      </c>
      <c r="K603" s="5" t="str">
        <f t="shared" si="207"/>
        <v>01-2023</v>
      </c>
      <c r="L603" t="s">
        <v>649</v>
      </c>
      <c r="M603" t="s">
        <v>657</v>
      </c>
      <c r="N603" t="s">
        <v>679</v>
      </c>
      <c r="O603" t="str">
        <f t="shared" si="208"/>
        <v>Lyon</v>
      </c>
      <c r="P603" t="s">
        <v>705</v>
      </c>
      <c r="Q603" t="s">
        <v>710</v>
      </c>
      <c r="R603" t="str">
        <f t="shared" si="209"/>
        <v>Distributor</v>
      </c>
      <c r="S603" t="s">
        <v>722</v>
      </c>
      <c r="T603" t="str">
        <f t="shared" si="222"/>
        <v>H. Kim</v>
      </c>
      <c r="U603" t="s">
        <v>732</v>
      </c>
      <c r="V603" t="str">
        <f t="shared" si="210"/>
        <v>Low</v>
      </c>
      <c r="W603" t="s">
        <v>1039</v>
      </c>
      <c r="X603" t="str">
        <f t="shared" si="211"/>
        <v>C</v>
      </c>
      <c r="Y603" s="5">
        <v>86.68</v>
      </c>
      <c r="Z603" s="5">
        <v>213.32</v>
      </c>
      <c r="AA603" s="5">
        <f t="shared" si="212"/>
        <v>213.32</v>
      </c>
      <c r="AB603" s="7">
        <v>3.7999999999999999E-2</v>
      </c>
      <c r="AC603" s="7">
        <f t="shared" si="213"/>
        <v>3.7999999999999999E-2</v>
      </c>
      <c r="AD603" s="16">
        <f t="shared" si="214"/>
        <v>0</v>
      </c>
      <c r="AE603" s="16">
        <v>8</v>
      </c>
      <c r="AF603" s="5">
        <f t="shared" si="215"/>
        <v>1641.7107199999998</v>
      </c>
      <c r="AG603">
        <f t="shared" si="216"/>
        <v>693.44</v>
      </c>
      <c r="AH603" s="5">
        <f t="shared" si="217"/>
        <v>948.27071999999976</v>
      </c>
      <c r="AI603" s="5">
        <f t="shared" si="218"/>
        <v>0.57761133459614611</v>
      </c>
      <c r="AJ603" s="5">
        <f t="shared" si="221"/>
        <v>10931565.169930011</v>
      </c>
      <c r="AK603" s="7">
        <f t="shared" si="219"/>
        <v>0.99870244434808464</v>
      </c>
      <c r="AL603" s="17">
        <f>MIN(AC603,'What-If Analysis'!$B$2)</f>
        <v>3.7999999999999999E-2</v>
      </c>
      <c r="AM603">
        <f>AE603*(1+'What-If Analysis'!$B$3)</f>
        <v>10.4</v>
      </c>
      <c r="AN603">
        <f>Y603*(1+'What-If Analysis'!$B$4)</f>
        <v>95.348000000000013</v>
      </c>
      <c r="AO603">
        <f t="shared" si="220"/>
        <v>2134.2239359999999</v>
      </c>
    </row>
    <row r="604" spans="1:41" x14ac:dyDescent="0.3">
      <c r="A604" t="s">
        <v>124</v>
      </c>
      <c r="B604" s="3">
        <v>45445</v>
      </c>
      <c r="C604" s="3">
        <f t="shared" si="201"/>
        <v>45445</v>
      </c>
      <c r="D604" s="3">
        <v>45451</v>
      </c>
      <c r="E604" s="3">
        <f t="shared" si="202"/>
        <v>45451</v>
      </c>
      <c r="F604" s="16">
        <f t="shared" si="203"/>
        <v>6</v>
      </c>
      <c r="G604" s="16">
        <f>IF(Data!F615&lt;=7,1,0)</f>
        <v>0</v>
      </c>
      <c r="H604" s="5" t="str">
        <f t="shared" si="204"/>
        <v>06-2024</v>
      </c>
      <c r="I604" s="5" t="str">
        <f t="shared" si="205"/>
        <v>Q2-2024</v>
      </c>
      <c r="J604" s="3">
        <f t="shared" si="206"/>
        <v>44946</v>
      </c>
      <c r="K604" s="5" t="str">
        <f t="shared" si="207"/>
        <v>01-2023</v>
      </c>
      <c r="L604" t="s">
        <v>646</v>
      </c>
      <c r="M604" t="s">
        <v>650</v>
      </c>
      <c r="N604" t="s">
        <v>662</v>
      </c>
      <c r="O604" t="str">
        <f t="shared" si="208"/>
        <v>Kisumu</v>
      </c>
      <c r="P604" t="s">
        <v>704</v>
      </c>
      <c r="Q604" t="s">
        <v>709</v>
      </c>
      <c r="R604" t="str">
        <f t="shared" si="209"/>
        <v>Marketplace</v>
      </c>
      <c r="S604" t="s">
        <v>720</v>
      </c>
      <c r="T604" t="str">
        <f t="shared" si="222"/>
        <v>A. Patel</v>
      </c>
      <c r="U604" t="s">
        <v>733</v>
      </c>
      <c r="V604" t="str">
        <f t="shared" si="210"/>
        <v>Low</v>
      </c>
      <c r="W604" t="s">
        <v>843</v>
      </c>
      <c r="X604" t="str">
        <f t="shared" si="211"/>
        <v>C</v>
      </c>
      <c r="Y604" s="5">
        <v>292.94</v>
      </c>
      <c r="Z604" s="5">
        <v>356.55</v>
      </c>
      <c r="AA604" s="5">
        <f t="shared" si="212"/>
        <v>356.55</v>
      </c>
      <c r="AB604" s="7">
        <v>0.22900000000000001</v>
      </c>
      <c r="AC604" s="7">
        <f t="shared" si="213"/>
        <v>0.22900000000000001</v>
      </c>
      <c r="AD604" s="16">
        <f t="shared" si="214"/>
        <v>1</v>
      </c>
      <c r="AE604" s="16">
        <v>2</v>
      </c>
      <c r="AF604" s="5">
        <f t="shared" si="215"/>
        <v>549.80010000000004</v>
      </c>
      <c r="AG604">
        <f t="shared" si="216"/>
        <v>585.88</v>
      </c>
      <c r="AH604" s="5">
        <f t="shared" si="217"/>
        <v>36.079899999999952</v>
      </c>
      <c r="AI604" s="5">
        <f t="shared" si="218"/>
        <v>6.5623669402751925E-2</v>
      </c>
      <c r="AJ604" s="5">
        <f t="shared" si="221"/>
        <v>10932114.970030012</v>
      </c>
      <c r="AK604" s="7">
        <f t="shared" si="219"/>
        <v>0.99875267381616517</v>
      </c>
      <c r="AL604" s="17">
        <f>MIN(AC604,'What-If Analysis'!$B$2)</f>
        <v>0.2</v>
      </c>
      <c r="AM604">
        <f>AE604*(1+'What-If Analysis'!$B$3)</f>
        <v>2.6</v>
      </c>
      <c r="AN604">
        <f>Y604*(1+'What-If Analysis'!$B$4)</f>
        <v>322.23400000000004</v>
      </c>
      <c r="AO604">
        <f t="shared" si="220"/>
        <v>741.62400000000014</v>
      </c>
    </row>
    <row r="605" spans="1:41" x14ac:dyDescent="0.3">
      <c r="A605" t="s">
        <v>545</v>
      </c>
      <c r="B605" s="3">
        <v>45727</v>
      </c>
      <c r="C605" s="3">
        <f t="shared" si="201"/>
        <v>45727</v>
      </c>
      <c r="D605" s="3">
        <v>45742</v>
      </c>
      <c r="E605" s="3">
        <f t="shared" si="202"/>
        <v>45742</v>
      </c>
      <c r="F605" s="16">
        <f t="shared" si="203"/>
        <v>15</v>
      </c>
      <c r="G605" s="16">
        <f>IF(Data!F610&lt;=7,1,0)</f>
        <v>0</v>
      </c>
      <c r="H605" s="5" t="str">
        <f t="shared" si="204"/>
        <v>03-2025</v>
      </c>
      <c r="I605" s="5" t="str">
        <f t="shared" si="205"/>
        <v>Q1-2025</v>
      </c>
      <c r="J605" s="3">
        <f t="shared" si="206"/>
        <v>44947</v>
      </c>
      <c r="K605" s="5" t="str">
        <f t="shared" si="207"/>
        <v>01-2023</v>
      </c>
      <c r="L605" t="s">
        <v>649</v>
      </c>
      <c r="M605" t="s">
        <v>656</v>
      </c>
      <c r="N605" t="s">
        <v>671</v>
      </c>
      <c r="O605" t="str">
        <f t="shared" si="208"/>
        <v>Berlin</v>
      </c>
      <c r="P605" t="s">
        <v>705</v>
      </c>
      <c r="Q605" t="s">
        <v>708</v>
      </c>
      <c r="R605" t="str">
        <f t="shared" si="209"/>
        <v>Online</v>
      </c>
      <c r="S605" t="s">
        <v>714</v>
      </c>
      <c r="T605" t="str">
        <f t="shared" si="222"/>
        <v>I. Johnson</v>
      </c>
      <c r="U605" t="s">
        <v>730</v>
      </c>
      <c r="V605" t="str">
        <f t="shared" si="210"/>
        <v>Low</v>
      </c>
      <c r="W605" t="s">
        <v>1264</v>
      </c>
      <c r="X605" t="str">
        <f t="shared" si="211"/>
        <v>C</v>
      </c>
      <c r="Y605" s="5">
        <v>116.97</v>
      </c>
      <c r="Z605" s="5">
        <v>140.82</v>
      </c>
      <c r="AA605" s="5">
        <f t="shared" si="212"/>
        <v>140.82</v>
      </c>
      <c r="AB605" s="7">
        <v>0.122</v>
      </c>
      <c r="AC605" s="7">
        <f t="shared" si="213"/>
        <v>0.122</v>
      </c>
      <c r="AD605" s="16">
        <f t="shared" si="214"/>
        <v>0</v>
      </c>
      <c r="AE605" s="16">
        <v>5</v>
      </c>
      <c r="AF605" s="5">
        <f t="shared" si="215"/>
        <v>618.19979999999987</v>
      </c>
      <c r="AG605">
        <f t="shared" si="216"/>
        <v>584.85</v>
      </c>
      <c r="AH605" s="5">
        <f t="shared" si="217"/>
        <v>33.349799999999846</v>
      </c>
      <c r="AI605" s="5">
        <f t="shared" si="218"/>
        <v>5.3946636669891926E-2</v>
      </c>
      <c r="AJ605" s="5">
        <f t="shared" si="221"/>
        <v>10932733.169830011</v>
      </c>
      <c r="AK605" s="7">
        <f t="shared" si="219"/>
        <v>0.99880915224736488</v>
      </c>
      <c r="AL605" s="17">
        <f>MIN(AC605,'What-If Analysis'!$B$2)</f>
        <v>0.122</v>
      </c>
      <c r="AM605">
        <f>AE605*(1+'What-If Analysis'!$B$3)</f>
        <v>6.5</v>
      </c>
      <c r="AN605">
        <f>Y605*(1+'What-If Analysis'!$B$4)</f>
        <v>128.667</v>
      </c>
      <c r="AO605">
        <f t="shared" si="220"/>
        <v>803.65973999999994</v>
      </c>
    </row>
    <row r="606" spans="1:41" x14ac:dyDescent="0.3">
      <c r="A606" t="s">
        <v>66</v>
      </c>
      <c r="B606" s="3">
        <v>45582</v>
      </c>
      <c r="C606" s="3">
        <f t="shared" si="201"/>
        <v>45582</v>
      </c>
      <c r="D606" s="3">
        <v>45602</v>
      </c>
      <c r="E606" s="3">
        <f t="shared" si="202"/>
        <v>45602</v>
      </c>
      <c r="F606" s="16">
        <f t="shared" si="203"/>
        <v>20</v>
      </c>
      <c r="G606" s="16">
        <f>IF(Data!F612&lt;=7,1,0)</f>
        <v>0</v>
      </c>
      <c r="H606" s="5" t="str">
        <f t="shared" si="204"/>
        <v>10-2024</v>
      </c>
      <c r="I606" s="5" t="str">
        <f t="shared" si="205"/>
        <v>Q4-2024</v>
      </c>
      <c r="J606" s="3">
        <f t="shared" si="206"/>
        <v>44955</v>
      </c>
      <c r="K606" s="5" t="str">
        <f t="shared" si="207"/>
        <v>01-2023</v>
      </c>
      <c r="L606" t="s">
        <v>647</v>
      </c>
      <c r="M606" t="s">
        <v>654</v>
      </c>
      <c r="N606" t="s">
        <v>668</v>
      </c>
      <c r="O606" t="str">
        <f t="shared" si="208"/>
        <v>Bengaluru</v>
      </c>
      <c r="P606" t="s">
        <v>706</v>
      </c>
      <c r="Q606" t="s">
        <v>710</v>
      </c>
      <c r="R606" t="str">
        <f t="shared" si="209"/>
        <v>Distributor</v>
      </c>
      <c r="S606" t="s">
        <v>719</v>
      </c>
      <c r="T606" t="str">
        <f t="shared" si="222"/>
        <v>O. Wang</v>
      </c>
      <c r="U606" t="s">
        <v>732</v>
      </c>
      <c r="V606" t="str">
        <f t="shared" si="210"/>
        <v>Low</v>
      </c>
      <c r="W606" t="s">
        <v>785</v>
      </c>
      <c r="X606" t="str">
        <f t="shared" si="211"/>
        <v>C</v>
      </c>
      <c r="Y606" s="5">
        <v>72.94</v>
      </c>
      <c r="Z606" s="5">
        <v>106.3</v>
      </c>
      <c r="AA606" s="5">
        <f t="shared" si="212"/>
        <v>106.3</v>
      </c>
      <c r="AB606" s="7">
        <v>0.29499999999999998</v>
      </c>
      <c r="AC606" s="7">
        <f t="shared" si="213"/>
        <v>0.29499999999999998</v>
      </c>
      <c r="AD606" s="16">
        <f t="shared" si="214"/>
        <v>1</v>
      </c>
      <c r="AE606" s="16">
        <v>8</v>
      </c>
      <c r="AF606" s="5">
        <f t="shared" si="215"/>
        <v>599.53200000000004</v>
      </c>
      <c r="AG606">
        <f t="shared" si="216"/>
        <v>583.52</v>
      </c>
      <c r="AH606" s="5">
        <f t="shared" si="217"/>
        <v>16.012000000000057</v>
      </c>
      <c r="AI606" s="5">
        <f t="shared" si="218"/>
        <v>2.6707498515508857E-2</v>
      </c>
      <c r="AJ606" s="5">
        <f t="shared" si="221"/>
        <v>10933332.701830011</v>
      </c>
      <c r="AK606" s="7">
        <f t="shared" si="219"/>
        <v>0.99886392519749212</v>
      </c>
      <c r="AL606" s="17">
        <f>MIN(AC606,'What-If Analysis'!$B$2)</f>
        <v>0.2</v>
      </c>
      <c r="AM606">
        <f>AE606*(1+'What-If Analysis'!$B$3)</f>
        <v>10.4</v>
      </c>
      <c r="AN606">
        <f>Y606*(1+'What-If Analysis'!$B$4)</f>
        <v>80.234000000000009</v>
      </c>
      <c r="AO606">
        <f t="shared" si="220"/>
        <v>884.41600000000005</v>
      </c>
    </row>
    <row r="607" spans="1:41" x14ac:dyDescent="0.3">
      <c r="A607" t="s">
        <v>257</v>
      </c>
      <c r="B607" s="3">
        <v>45630</v>
      </c>
      <c r="C607" s="3">
        <f t="shared" si="201"/>
        <v>45630</v>
      </c>
      <c r="D607" s="3">
        <v>45638</v>
      </c>
      <c r="E607" s="3">
        <f t="shared" si="202"/>
        <v>45638</v>
      </c>
      <c r="F607" s="16">
        <f t="shared" si="203"/>
        <v>8</v>
      </c>
      <c r="G607" s="16">
        <f>IF(Data!F603&lt;=7,1,0)</f>
        <v>1</v>
      </c>
      <c r="H607" s="5" t="str">
        <f t="shared" si="204"/>
        <v>12-2024</v>
      </c>
      <c r="I607" s="5" t="str">
        <f t="shared" si="205"/>
        <v>Q4-2024</v>
      </c>
      <c r="J607" s="3">
        <f t="shared" si="206"/>
        <v>44947</v>
      </c>
      <c r="K607" s="5" t="str">
        <f t="shared" si="207"/>
        <v>01-2023</v>
      </c>
      <c r="L607" t="s">
        <v>649</v>
      </c>
      <c r="M607" t="s">
        <v>656</v>
      </c>
      <c r="N607" t="s">
        <v>698</v>
      </c>
      <c r="O607" t="str">
        <f t="shared" si="208"/>
        <v>Frankfurt</v>
      </c>
      <c r="P607" t="s">
        <v>706</v>
      </c>
      <c r="Q607" t="s">
        <v>709</v>
      </c>
      <c r="R607" t="str">
        <f t="shared" si="209"/>
        <v>Marketplace</v>
      </c>
      <c r="S607" t="s">
        <v>717</v>
      </c>
      <c r="T607" t="str">
        <f t="shared" si="222"/>
        <v>B. Chen</v>
      </c>
      <c r="U607" t="s">
        <v>728</v>
      </c>
      <c r="V607" t="str">
        <f t="shared" si="210"/>
        <v>Low</v>
      </c>
      <c r="W607" t="s">
        <v>977</v>
      </c>
      <c r="X607" t="str">
        <f t="shared" si="211"/>
        <v>C</v>
      </c>
      <c r="Y607" s="5">
        <v>72.06</v>
      </c>
      <c r="Z607" s="5">
        <v>122.74</v>
      </c>
      <c r="AA607" s="5">
        <f t="shared" si="212"/>
        <v>122.74</v>
      </c>
      <c r="AB607" s="7">
        <v>0.23799999999999999</v>
      </c>
      <c r="AC607" s="7">
        <f t="shared" si="213"/>
        <v>0.23799999999999999</v>
      </c>
      <c r="AD607" s="16">
        <f t="shared" si="214"/>
        <v>1</v>
      </c>
      <c r="AE607" s="16">
        <v>8</v>
      </c>
      <c r="AF607" s="5">
        <f t="shared" si="215"/>
        <v>748.22303999999997</v>
      </c>
      <c r="AG607">
        <f t="shared" si="216"/>
        <v>576.48</v>
      </c>
      <c r="AH607" s="5">
        <f t="shared" si="217"/>
        <v>171.74303999999995</v>
      </c>
      <c r="AI607" s="5">
        <f t="shared" si="218"/>
        <v>0.22953455162246802</v>
      </c>
      <c r="AJ607" s="5">
        <f t="shared" si="221"/>
        <v>10934080.92487001</v>
      </c>
      <c r="AK607" s="7">
        <f t="shared" si="219"/>
        <v>0.99893228248826882</v>
      </c>
      <c r="AL607" s="17">
        <f>MIN(AC607,'What-If Analysis'!$B$2)</f>
        <v>0.2</v>
      </c>
      <c r="AM607">
        <f>AE607*(1+'What-If Analysis'!$B$3)</f>
        <v>10.4</v>
      </c>
      <c r="AN607">
        <f>Y607*(1+'What-If Analysis'!$B$4)</f>
        <v>79.266000000000005</v>
      </c>
      <c r="AO607">
        <f t="shared" si="220"/>
        <v>1021.1968000000002</v>
      </c>
    </row>
    <row r="608" spans="1:41" x14ac:dyDescent="0.3">
      <c r="A608" t="s">
        <v>277</v>
      </c>
      <c r="B608" s="3">
        <v>45829</v>
      </c>
      <c r="C608" s="3">
        <f t="shared" si="201"/>
        <v>45829</v>
      </c>
      <c r="D608" s="3">
        <v>45835</v>
      </c>
      <c r="E608" s="3">
        <f t="shared" si="202"/>
        <v>45835</v>
      </c>
      <c r="F608" s="16">
        <f t="shared" si="203"/>
        <v>6</v>
      </c>
      <c r="G608" s="16">
        <f>IF(Data!F614&lt;=7,1,0)</f>
        <v>0</v>
      </c>
      <c r="H608" s="5" t="str">
        <f t="shared" si="204"/>
        <v>06-2025</v>
      </c>
      <c r="I608" s="5" t="str">
        <f t="shared" si="205"/>
        <v>Q2-2025</v>
      </c>
      <c r="J608" s="3">
        <f t="shared" si="206"/>
        <v>44933</v>
      </c>
      <c r="K608" s="5" t="str">
        <f t="shared" si="207"/>
        <v>01-2023</v>
      </c>
      <c r="L608" t="s">
        <v>646</v>
      </c>
      <c r="M608" t="s">
        <v>661</v>
      </c>
      <c r="N608" t="s">
        <v>687</v>
      </c>
      <c r="O608" t="str">
        <f t="shared" si="208"/>
        <v>Durban</v>
      </c>
      <c r="P608" t="s">
        <v>706</v>
      </c>
      <c r="Q608" t="s">
        <v>710</v>
      </c>
      <c r="R608" t="str">
        <f t="shared" si="209"/>
        <v>Distributor</v>
      </c>
      <c r="S608" t="s">
        <v>725</v>
      </c>
      <c r="T608" t="str">
        <f t="shared" si="222"/>
        <v>N. Brown</v>
      </c>
      <c r="U608" t="s">
        <v>730</v>
      </c>
      <c r="V608" t="str">
        <f t="shared" si="210"/>
        <v>Low</v>
      </c>
      <c r="W608" t="s">
        <v>997</v>
      </c>
      <c r="X608" t="str">
        <f t="shared" si="211"/>
        <v>C</v>
      </c>
      <c r="Y608" s="5">
        <v>93.91</v>
      </c>
      <c r="Z608" s="5">
        <v>99.04</v>
      </c>
      <c r="AA608" s="5">
        <f t="shared" si="212"/>
        <v>99.04</v>
      </c>
      <c r="AB608" s="7">
        <v>5.7000000000000002E-2</v>
      </c>
      <c r="AC608" s="7">
        <f t="shared" si="213"/>
        <v>5.7000000000000002E-2</v>
      </c>
      <c r="AD608" s="16">
        <f t="shared" si="214"/>
        <v>0</v>
      </c>
      <c r="AE608" s="16">
        <v>6</v>
      </c>
      <c r="AF608" s="5">
        <f t="shared" si="215"/>
        <v>560.36831999999993</v>
      </c>
      <c r="AG608">
        <f t="shared" si="216"/>
        <v>563.46</v>
      </c>
      <c r="AH608" s="5">
        <f t="shared" si="217"/>
        <v>3.0916800000001103</v>
      </c>
      <c r="AI608" s="5">
        <f t="shared" si="218"/>
        <v>5.5172283829323376E-3</v>
      </c>
      <c r="AJ608" s="5">
        <f t="shared" si="221"/>
        <v>10934641.29319001</v>
      </c>
      <c r="AK608" s="7">
        <f t="shared" si="219"/>
        <v>0.99898347746375671</v>
      </c>
      <c r="AL608" s="17">
        <f>MIN(AC608,'What-If Analysis'!$B$2)</f>
        <v>5.7000000000000002E-2</v>
      </c>
      <c r="AM608">
        <f>AE608*(1+'What-If Analysis'!$B$3)</f>
        <v>7.8000000000000007</v>
      </c>
      <c r="AN608">
        <f>Y608*(1+'What-If Analysis'!$B$4)</f>
        <v>103.301</v>
      </c>
      <c r="AO608">
        <f t="shared" si="220"/>
        <v>728.47881600000017</v>
      </c>
    </row>
    <row r="609" spans="1:41" x14ac:dyDescent="0.3">
      <c r="A609" t="s">
        <v>368</v>
      </c>
      <c r="B609" s="3">
        <v>45603</v>
      </c>
      <c r="C609" s="3">
        <f t="shared" si="201"/>
        <v>45603</v>
      </c>
      <c r="D609" s="3">
        <v>45622</v>
      </c>
      <c r="E609" s="3">
        <f t="shared" si="202"/>
        <v>45622</v>
      </c>
      <c r="F609" s="16">
        <f t="shared" si="203"/>
        <v>19</v>
      </c>
      <c r="G609" s="16">
        <f>IF(Data!F588&lt;=7,1,0)</f>
        <v>0</v>
      </c>
      <c r="H609" s="5" t="str">
        <f t="shared" si="204"/>
        <v>11-2024</v>
      </c>
      <c r="I609" s="5" t="str">
        <f t="shared" si="205"/>
        <v>Q4-2024</v>
      </c>
      <c r="J609" s="3">
        <f t="shared" si="206"/>
        <v>44955</v>
      </c>
      <c r="K609" s="5" t="str">
        <f t="shared" si="207"/>
        <v>01-2023</v>
      </c>
      <c r="L609" t="s">
        <v>648</v>
      </c>
      <c r="M609" t="s">
        <v>655</v>
      </c>
      <c r="N609" t="s">
        <v>692</v>
      </c>
      <c r="O609" t="str">
        <f t="shared" si="208"/>
        <v>Rio de Janeiro</v>
      </c>
      <c r="P609" t="s">
        <v>703</v>
      </c>
      <c r="Q609" t="s">
        <v>710</v>
      </c>
      <c r="R609" t="str">
        <f t="shared" si="209"/>
        <v>Distributor</v>
      </c>
      <c r="S609" t="s">
        <v>713</v>
      </c>
      <c r="T609" t="str">
        <f t="shared" si="222"/>
        <v>J. Njeri</v>
      </c>
      <c r="U609" t="s">
        <v>728</v>
      </c>
      <c r="V609" t="str">
        <f t="shared" si="210"/>
        <v>Low</v>
      </c>
      <c r="W609" t="s">
        <v>1088</v>
      </c>
      <c r="X609" t="str">
        <f t="shared" si="211"/>
        <v>C</v>
      </c>
      <c r="Y609" s="5">
        <v>55.35</v>
      </c>
      <c r="Z609" s="5">
        <v>128.68</v>
      </c>
      <c r="AA609" s="5">
        <f t="shared" si="212"/>
        <v>128.68</v>
      </c>
      <c r="AB609" s="7">
        <v>0.128</v>
      </c>
      <c r="AC609" s="7">
        <f t="shared" si="213"/>
        <v>0.128</v>
      </c>
      <c r="AD609" s="16">
        <f t="shared" si="214"/>
        <v>0</v>
      </c>
      <c r="AE609" s="16">
        <v>10</v>
      </c>
      <c r="AF609" s="5">
        <f t="shared" si="215"/>
        <v>1122.0896000000002</v>
      </c>
      <c r="AG609">
        <f t="shared" si="216"/>
        <v>553.5</v>
      </c>
      <c r="AH609" s="5">
        <f t="shared" si="217"/>
        <v>568.58960000000025</v>
      </c>
      <c r="AI609" s="5">
        <f t="shared" si="218"/>
        <v>0.50672388372550647</v>
      </c>
      <c r="AJ609" s="5">
        <f t="shared" si="221"/>
        <v>10935763.38279001</v>
      </c>
      <c r="AK609" s="7">
        <f t="shared" si="219"/>
        <v>0.99908599102049611</v>
      </c>
      <c r="AL609" s="17">
        <f>MIN(AC609,'What-If Analysis'!$B$2)</f>
        <v>0.128</v>
      </c>
      <c r="AM609">
        <f>AE609*(1+'What-If Analysis'!$B$3)</f>
        <v>13</v>
      </c>
      <c r="AN609">
        <f>Y609*(1+'What-If Analysis'!$B$4)</f>
        <v>60.885000000000005</v>
      </c>
      <c r="AO609">
        <f t="shared" si="220"/>
        <v>1458.71648</v>
      </c>
    </row>
    <row r="610" spans="1:41" x14ac:dyDescent="0.3">
      <c r="A610" t="s">
        <v>296</v>
      </c>
      <c r="B610" s="3">
        <v>45153</v>
      </c>
      <c r="C610" s="3">
        <f t="shared" si="201"/>
        <v>45153</v>
      </c>
      <c r="D610" s="3">
        <v>45163</v>
      </c>
      <c r="E610" s="3">
        <f t="shared" si="202"/>
        <v>45163</v>
      </c>
      <c r="F610" s="16">
        <f t="shared" si="203"/>
        <v>10</v>
      </c>
      <c r="G610" s="16">
        <f>IF(Data!F607&lt;=7,1,0)</f>
        <v>0</v>
      </c>
      <c r="H610" s="5" t="str">
        <f t="shared" si="204"/>
        <v>08-2023</v>
      </c>
      <c r="I610" s="5" t="str">
        <f t="shared" si="205"/>
        <v>Q3-2023</v>
      </c>
      <c r="J610" s="3">
        <f t="shared" si="206"/>
        <v>44946</v>
      </c>
      <c r="K610" s="5" t="str">
        <f t="shared" si="207"/>
        <v>01-2023</v>
      </c>
      <c r="L610" t="s">
        <v>646</v>
      </c>
      <c r="M610" t="s">
        <v>650</v>
      </c>
      <c r="N610" t="s">
        <v>664</v>
      </c>
      <c r="O610" t="str">
        <f t="shared" si="208"/>
        <v>Nairobi</v>
      </c>
      <c r="P610" t="s">
        <v>705</v>
      </c>
      <c r="Q610" t="s">
        <v>707</v>
      </c>
      <c r="R610" t="str">
        <f t="shared" si="209"/>
        <v>Retail</v>
      </c>
      <c r="S610" t="s">
        <v>725</v>
      </c>
      <c r="T610" t="str">
        <f t="shared" si="222"/>
        <v>N. Brown</v>
      </c>
      <c r="U610" t="s">
        <v>730</v>
      </c>
      <c r="V610" t="str">
        <f t="shared" si="210"/>
        <v>Low</v>
      </c>
      <c r="W610" t="s">
        <v>1016</v>
      </c>
      <c r="X610" t="str">
        <f t="shared" si="211"/>
        <v>C</v>
      </c>
      <c r="Y610" s="5">
        <v>91.85</v>
      </c>
      <c r="Z610" s="5">
        <v>111.29</v>
      </c>
      <c r="AA610" s="5">
        <f t="shared" si="212"/>
        <v>111.29</v>
      </c>
      <c r="AB610" s="7">
        <v>0</v>
      </c>
      <c r="AC610" s="7">
        <f t="shared" si="213"/>
        <v>0</v>
      </c>
      <c r="AD610" s="16">
        <f t="shared" si="214"/>
        <v>0</v>
      </c>
      <c r="AE610" s="16">
        <v>6</v>
      </c>
      <c r="AF610" s="5">
        <f t="shared" si="215"/>
        <v>667.74</v>
      </c>
      <c r="AG610">
        <f t="shared" si="216"/>
        <v>551.09999999999991</v>
      </c>
      <c r="AH610" s="5">
        <f t="shared" si="217"/>
        <v>116.6400000000001</v>
      </c>
      <c r="AI610" s="5">
        <f t="shared" si="218"/>
        <v>0.17467876718483258</v>
      </c>
      <c r="AJ610" s="5">
        <f t="shared" si="221"/>
        <v>10936431.122790011</v>
      </c>
      <c r="AK610" s="7">
        <f t="shared" si="219"/>
        <v>0.99914699542012431</v>
      </c>
      <c r="AL610" s="17">
        <f>MIN(AC610,'What-If Analysis'!$B$2)</f>
        <v>0</v>
      </c>
      <c r="AM610">
        <f>AE610*(1+'What-If Analysis'!$B$3)</f>
        <v>7.8000000000000007</v>
      </c>
      <c r="AN610">
        <f>Y610*(1+'What-If Analysis'!$B$4)</f>
        <v>101.035</v>
      </c>
      <c r="AO610">
        <f t="shared" si="220"/>
        <v>868.06200000000013</v>
      </c>
    </row>
    <row r="611" spans="1:41" x14ac:dyDescent="0.3">
      <c r="A611" t="s">
        <v>546</v>
      </c>
      <c r="B611" s="3">
        <v>45769</v>
      </c>
      <c r="C611" s="3">
        <f t="shared" si="201"/>
        <v>45769</v>
      </c>
      <c r="D611" s="3">
        <v>45789</v>
      </c>
      <c r="E611" s="3">
        <f t="shared" si="202"/>
        <v>45789</v>
      </c>
      <c r="F611" s="16">
        <f t="shared" si="203"/>
        <v>20</v>
      </c>
      <c r="G611" s="16">
        <f>IF(Data!F616&lt;=7,1,0)</f>
        <v>0</v>
      </c>
      <c r="H611" s="5" t="str">
        <f t="shared" si="204"/>
        <v>04-2025</v>
      </c>
      <c r="I611" s="5" t="str">
        <f t="shared" si="205"/>
        <v>Q2-2025</v>
      </c>
      <c r="J611" s="3">
        <f t="shared" si="206"/>
        <v>44936</v>
      </c>
      <c r="K611" s="5" t="str">
        <f t="shared" si="207"/>
        <v>01-2023</v>
      </c>
      <c r="L611" t="s">
        <v>649</v>
      </c>
      <c r="M611" t="s">
        <v>657</v>
      </c>
      <c r="N611" t="s">
        <v>679</v>
      </c>
      <c r="O611" t="str">
        <f t="shared" si="208"/>
        <v>Lyon</v>
      </c>
      <c r="P611" t="s">
        <v>706</v>
      </c>
      <c r="Q611" t="s">
        <v>709</v>
      </c>
      <c r="R611" t="str">
        <f t="shared" si="209"/>
        <v>Marketplace</v>
      </c>
      <c r="S611" t="s">
        <v>723</v>
      </c>
      <c r="T611" t="str">
        <f t="shared" si="222"/>
        <v>K. Singh</v>
      </c>
      <c r="U611" t="s">
        <v>732</v>
      </c>
      <c r="V611" t="str">
        <f t="shared" si="210"/>
        <v>Low</v>
      </c>
      <c r="W611" t="s">
        <v>1265</v>
      </c>
      <c r="X611" t="str">
        <f t="shared" si="211"/>
        <v>C</v>
      </c>
      <c r="Y611" s="5">
        <v>59.51</v>
      </c>
      <c r="Z611" s="5">
        <v>67.040000000000006</v>
      </c>
      <c r="AA611" s="5">
        <f t="shared" si="212"/>
        <v>67.040000000000006</v>
      </c>
      <c r="AB611" s="7">
        <v>0.114</v>
      </c>
      <c r="AC611" s="7">
        <f t="shared" si="213"/>
        <v>0.114</v>
      </c>
      <c r="AD611" s="16">
        <f t="shared" si="214"/>
        <v>0</v>
      </c>
      <c r="AE611" s="16">
        <v>9</v>
      </c>
      <c r="AF611" s="5">
        <f t="shared" si="215"/>
        <v>534.57695999999999</v>
      </c>
      <c r="AG611">
        <f t="shared" si="216"/>
        <v>535.59</v>
      </c>
      <c r="AH611" s="5">
        <f t="shared" si="217"/>
        <v>1.0130400000000463</v>
      </c>
      <c r="AI611" s="5">
        <f t="shared" si="218"/>
        <v>1.8950311663264469E-3</v>
      </c>
      <c r="AJ611" s="5">
        <f t="shared" si="221"/>
        <v>10936965.69975001</v>
      </c>
      <c r="AK611" s="7">
        <f t="shared" si="219"/>
        <v>0.99919583410958412</v>
      </c>
      <c r="AL611" s="17">
        <f>MIN(AC611,'What-If Analysis'!$B$2)</f>
        <v>0.114</v>
      </c>
      <c r="AM611">
        <f>AE611*(1+'What-If Analysis'!$B$3)</f>
        <v>11.700000000000001</v>
      </c>
      <c r="AN611">
        <f>Y611*(1+'What-If Analysis'!$B$4)</f>
        <v>65.460999999999999</v>
      </c>
      <c r="AO611">
        <f t="shared" si="220"/>
        <v>694.95004800000015</v>
      </c>
    </row>
    <row r="612" spans="1:41" x14ac:dyDescent="0.3">
      <c r="A612" t="s">
        <v>531</v>
      </c>
      <c r="B612" s="3">
        <v>45794</v>
      </c>
      <c r="C612" s="3">
        <f t="shared" si="201"/>
        <v>45794</v>
      </c>
      <c r="D612" s="3">
        <v>45807</v>
      </c>
      <c r="E612" s="3">
        <f t="shared" si="202"/>
        <v>45807</v>
      </c>
      <c r="F612" s="16">
        <f t="shared" si="203"/>
        <v>13</v>
      </c>
      <c r="G612" s="16">
        <f>IF(Data!F593&lt;=7,1,0)</f>
        <v>0</v>
      </c>
      <c r="H612" s="5" t="str">
        <f t="shared" si="204"/>
        <v>05-2025</v>
      </c>
      <c r="I612" s="5" t="str">
        <f t="shared" si="205"/>
        <v>Q2-2025</v>
      </c>
      <c r="J612" s="3">
        <f t="shared" si="206"/>
        <v>44939</v>
      </c>
      <c r="K612" s="5" t="str">
        <f t="shared" si="207"/>
        <v>01-2023</v>
      </c>
      <c r="L612" t="s">
        <v>646</v>
      </c>
      <c r="M612" t="s">
        <v>651</v>
      </c>
      <c r="N612" t="s">
        <v>665</v>
      </c>
      <c r="O612" t="str">
        <f t="shared" si="208"/>
        <v>Lagos</v>
      </c>
      <c r="P612" t="s">
        <v>704</v>
      </c>
      <c r="Q612" t="s">
        <v>710</v>
      </c>
      <c r="R612" t="str">
        <f t="shared" si="209"/>
        <v>Distributor</v>
      </c>
      <c r="S612" t="s">
        <v>721</v>
      </c>
      <c r="T612" t="str">
        <f t="shared" si="222"/>
        <v>F. Müller</v>
      </c>
      <c r="U612" t="s">
        <v>733</v>
      </c>
      <c r="V612" t="str">
        <f t="shared" si="210"/>
        <v>Low</v>
      </c>
      <c r="W612" t="s">
        <v>1250</v>
      </c>
      <c r="X612" t="str">
        <f t="shared" si="211"/>
        <v>C</v>
      </c>
      <c r="Y612" s="5">
        <v>66.400000000000006</v>
      </c>
      <c r="Z612" s="5">
        <v>141.43</v>
      </c>
      <c r="AA612" s="5">
        <f t="shared" si="212"/>
        <v>141.43</v>
      </c>
      <c r="AB612" s="7">
        <v>0.107</v>
      </c>
      <c r="AC612" s="7">
        <f t="shared" si="213"/>
        <v>0.107</v>
      </c>
      <c r="AD612" s="16">
        <f t="shared" si="214"/>
        <v>0</v>
      </c>
      <c r="AE612" s="16">
        <v>8</v>
      </c>
      <c r="AF612" s="5">
        <f t="shared" si="215"/>
        <v>1010.3759200000001</v>
      </c>
      <c r="AG612">
        <f t="shared" si="216"/>
        <v>531.20000000000005</v>
      </c>
      <c r="AH612" s="5">
        <f t="shared" si="217"/>
        <v>479.17592000000002</v>
      </c>
      <c r="AI612" s="5">
        <f t="shared" si="218"/>
        <v>0.47425508715607551</v>
      </c>
      <c r="AJ612" s="5">
        <f t="shared" si="221"/>
        <v>10937976.075670009</v>
      </c>
      <c r="AK612" s="7">
        <f t="shared" si="219"/>
        <v>0.99928814155918788</v>
      </c>
      <c r="AL612" s="17">
        <f>MIN(AC612,'What-If Analysis'!$B$2)</f>
        <v>0.107</v>
      </c>
      <c r="AM612">
        <f>AE612*(1+'What-If Analysis'!$B$3)</f>
        <v>10.4</v>
      </c>
      <c r="AN612">
        <f>Y612*(1+'What-If Analysis'!$B$4)</f>
        <v>73.040000000000006</v>
      </c>
      <c r="AO612">
        <f t="shared" si="220"/>
        <v>1313.4886960000001</v>
      </c>
    </row>
    <row r="613" spans="1:41" x14ac:dyDescent="0.3">
      <c r="A613" t="s">
        <v>22</v>
      </c>
      <c r="B613" s="3">
        <v>44941</v>
      </c>
      <c r="C613" s="3">
        <f t="shared" si="201"/>
        <v>44939</v>
      </c>
      <c r="D613" s="3">
        <v>44939</v>
      </c>
      <c r="E613" s="3">
        <f t="shared" si="202"/>
        <v>44941</v>
      </c>
      <c r="F613" s="16">
        <f t="shared" si="203"/>
        <v>2</v>
      </c>
      <c r="G613" s="16">
        <f>IF(Data!F606&lt;=7,1,0)</f>
        <v>0</v>
      </c>
      <c r="H613" s="5" t="str">
        <f t="shared" si="204"/>
        <v>01-2023</v>
      </c>
      <c r="I613" s="5" t="str">
        <f t="shared" si="205"/>
        <v>Q1-2023</v>
      </c>
      <c r="J613" s="3">
        <f t="shared" si="206"/>
        <v>44939</v>
      </c>
      <c r="K613" s="5" t="str">
        <f t="shared" si="207"/>
        <v>01-2023</v>
      </c>
      <c r="L613" t="s">
        <v>646</v>
      </c>
      <c r="M613" t="s">
        <v>651</v>
      </c>
      <c r="N613" t="s">
        <v>669</v>
      </c>
      <c r="O613" t="str">
        <f t="shared" si="208"/>
        <v>Abuja</v>
      </c>
      <c r="P613" t="s">
        <v>702</v>
      </c>
      <c r="Q613" t="s">
        <v>708</v>
      </c>
      <c r="R613" t="str">
        <f t="shared" si="209"/>
        <v>Online</v>
      </c>
      <c r="S613" t="s">
        <v>719</v>
      </c>
      <c r="T613" t="str">
        <f t="shared" si="222"/>
        <v>O. Wang</v>
      </c>
      <c r="U613" t="s">
        <v>728</v>
      </c>
      <c r="V613" t="str">
        <f t="shared" si="210"/>
        <v>Low</v>
      </c>
      <c r="W613" t="s">
        <v>741</v>
      </c>
      <c r="X613" t="str">
        <f t="shared" si="211"/>
        <v>C</v>
      </c>
      <c r="Y613" s="5">
        <v>28.38</v>
      </c>
      <c r="Z613" s="5">
        <v>47.22</v>
      </c>
      <c r="AA613" s="5">
        <f t="shared" si="212"/>
        <v>47.22</v>
      </c>
      <c r="AB613" s="7">
        <v>0.19400000000000001</v>
      </c>
      <c r="AC613" s="7">
        <f t="shared" si="213"/>
        <v>0.19400000000000001</v>
      </c>
      <c r="AD613" s="16">
        <f t="shared" si="214"/>
        <v>0</v>
      </c>
      <c r="AE613" s="16">
        <v>18</v>
      </c>
      <c r="AF613" s="5">
        <f t="shared" si="215"/>
        <v>685.06776000000002</v>
      </c>
      <c r="AG613">
        <f t="shared" si="216"/>
        <v>510.84</v>
      </c>
      <c r="AH613" s="5">
        <f t="shared" si="217"/>
        <v>174.22776000000005</v>
      </c>
      <c r="AI613" s="5">
        <f t="shared" si="218"/>
        <v>0.25432193743871417</v>
      </c>
      <c r="AJ613" s="5">
        <f t="shared" si="221"/>
        <v>10938661.143430009</v>
      </c>
      <c r="AK613" s="7">
        <f t="shared" si="219"/>
        <v>0.99935072901449018</v>
      </c>
      <c r="AL613" s="17">
        <f>MIN(AC613,'What-If Analysis'!$B$2)</f>
        <v>0.19400000000000001</v>
      </c>
      <c r="AM613">
        <f>AE613*(1+'What-If Analysis'!$B$3)</f>
        <v>23.400000000000002</v>
      </c>
      <c r="AN613">
        <f>Y613*(1+'What-If Analysis'!$B$4)</f>
        <v>31.218</v>
      </c>
      <c r="AO613">
        <f t="shared" si="220"/>
        <v>890.58808800000008</v>
      </c>
    </row>
    <row r="614" spans="1:41" x14ac:dyDescent="0.3">
      <c r="A614" t="s">
        <v>192</v>
      </c>
      <c r="B614" s="3">
        <v>45325</v>
      </c>
      <c r="C614" s="3">
        <f t="shared" si="201"/>
        <v>45325</v>
      </c>
      <c r="D614" s="3">
        <v>45343</v>
      </c>
      <c r="E614" s="3">
        <f t="shared" si="202"/>
        <v>45343</v>
      </c>
      <c r="F614" s="16">
        <f t="shared" si="203"/>
        <v>18</v>
      </c>
      <c r="G614" s="16">
        <f>IF(Data!F622&lt;=7,1,0)</f>
        <v>0</v>
      </c>
      <c r="H614" s="5" t="str">
        <f t="shared" si="204"/>
        <v>02-2024</v>
      </c>
      <c r="I614" s="5" t="str">
        <f t="shared" si="205"/>
        <v>Q1-2024</v>
      </c>
      <c r="J614" s="3">
        <f t="shared" si="206"/>
        <v>44947</v>
      </c>
      <c r="K614" s="5" t="str">
        <f t="shared" si="207"/>
        <v>01-2023</v>
      </c>
      <c r="L614" t="s">
        <v>649</v>
      </c>
      <c r="M614" t="s">
        <v>656</v>
      </c>
      <c r="N614" t="s">
        <v>698</v>
      </c>
      <c r="O614" t="str">
        <f t="shared" si="208"/>
        <v>Frankfurt</v>
      </c>
      <c r="P614" t="s">
        <v>701</v>
      </c>
      <c r="Q614" t="s">
        <v>707</v>
      </c>
      <c r="R614" t="str">
        <f t="shared" si="209"/>
        <v>Retail</v>
      </c>
      <c r="S614" t="s">
        <v>722</v>
      </c>
      <c r="T614" t="str">
        <f t="shared" si="222"/>
        <v>H. Kim</v>
      </c>
      <c r="U614" t="s">
        <v>727</v>
      </c>
      <c r="V614" t="str">
        <f t="shared" si="210"/>
        <v>Low</v>
      </c>
      <c r="W614" t="s">
        <v>911</v>
      </c>
      <c r="X614" t="str">
        <f t="shared" si="211"/>
        <v>C</v>
      </c>
      <c r="Y614" s="5">
        <v>39.229999999999997</v>
      </c>
      <c r="Z614" s="5">
        <v>30.09</v>
      </c>
      <c r="AA614" s="5">
        <f t="shared" si="212"/>
        <v>30.09</v>
      </c>
      <c r="AB614" s="7">
        <v>0.17699999999999999</v>
      </c>
      <c r="AC614" s="7">
        <f t="shared" si="213"/>
        <v>0.17699999999999999</v>
      </c>
      <c r="AD614" s="16">
        <f t="shared" si="214"/>
        <v>0</v>
      </c>
      <c r="AE614" s="16">
        <v>13</v>
      </c>
      <c r="AF614" s="5">
        <f t="shared" si="215"/>
        <v>321.93290999999999</v>
      </c>
      <c r="AG614">
        <f t="shared" si="216"/>
        <v>509.98999999999995</v>
      </c>
      <c r="AH614" s="5">
        <f t="shared" si="217"/>
        <v>188.05708999999996</v>
      </c>
      <c r="AI614" s="5">
        <f t="shared" si="218"/>
        <v>0.58414993981199359</v>
      </c>
      <c r="AJ614" s="5">
        <f t="shared" si="221"/>
        <v>10938983.07634001</v>
      </c>
      <c r="AK614" s="7">
        <f t="shared" si="219"/>
        <v>0.99938014064760361</v>
      </c>
      <c r="AL614" s="17">
        <f>MIN(AC614,'What-If Analysis'!$B$2)</f>
        <v>0.17699999999999999</v>
      </c>
      <c r="AM614">
        <f>AE614*(1+'What-If Analysis'!$B$3)</f>
        <v>16.900000000000002</v>
      </c>
      <c r="AN614">
        <f>Y614*(1+'What-If Analysis'!$B$4)</f>
        <v>43.152999999999999</v>
      </c>
      <c r="AO614">
        <f t="shared" si="220"/>
        <v>418.51278300000001</v>
      </c>
    </row>
    <row r="615" spans="1:41" x14ac:dyDescent="0.3">
      <c r="A615" t="s">
        <v>121</v>
      </c>
      <c r="B615" s="3">
        <v>45057</v>
      </c>
      <c r="C615" s="3">
        <f t="shared" si="201"/>
        <v>45057</v>
      </c>
      <c r="D615" s="3">
        <v>45084</v>
      </c>
      <c r="E615" s="3">
        <f t="shared" si="202"/>
        <v>45084</v>
      </c>
      <c r="F615" s="16">
        <f t="shared" si="203"/>
        <v>27</v>
      </c>
      <c r="G615" s="16">
        <f>IF(Data!F618&lt;=7,1,0)</f>
        <v>1</v>
      </c>
      <c r="H615" s="5" t="str">
        <f t="shared" si="204"/>
        <v>05-2023</v>
      </c>
      <c r="I615" s="5" t="str">
        <f t="shared" si="205"/>
        <v>Q2-2023</v>
      </c>
      <c r="J615" s="3">
        <f t="shared" si="206"/>
        <v>44946</v>
      </c>
      <c r="K615" s="5" t="str">
        <f t="shared" si="207"/>
        <v>01-2023</v>
      </c>
      <c r="L615" t="s">
        <v>646</v>
      </c>
      <c r="M615" t="s">
        <v>650</v>
      </c>
      <c r="N615" t="s">
        <v>675</v>
      </c>
      <c r="O615" t="str">
        <f t="shared" si="208"/>
        <v>Mombasa</v>
      </c>
      <c r="P615" t="s">
        <v>701</v>
      </c>
      <c r="Q615" t="s">
        <v>708</v>
      </c>
      <c r="R615" t="str">
        <f t="shared" si="209"/>
        <v>Online</v>
      </c>
      <c r="S615" t="s">
        <v>713</v>
      </c>
      <c r="T615" t="str">
        <f t="shared" si="222"/>
        <v>J. Njeri</v>
      </c>
      <c r="U615" t="s">
        <v>730</v>
      </c>
      <c r="V615" t="str">
        <f t="shared" si="210"/>
        <v>Low</v>
      </c>
      <c r="W615" t="s">
        <v>840</v>
      </c>
      <c r="X615" t="str">
        <f t="shared" si="211"/>
        <v>C</v>
      </c>
      <c r="Y615" s="5">
        <v>12.85</v>
      </c>
      <c r="Z615" s="5">
        <v>15.41</v>
      </c>
      <c r="AA615" s="5">
        <f t="shared" si="212"/>
        <v>15.41</v>
      </c>
      <c r="AB615" s="7">
        <v>0.13700000000000001</v>
      </c>
      <c r="AC615" s="7">
        <f t="shared" si="213"/>
        <v>0.13700000000000001</v>
      </c>
      <c r="AD615" s="16">
        <f t="shared" si="214"/>
        <v>0</v>
      </c>
      <c r="AE615" s="16">
        <v>39</v>
      </c>
      <c r="AF615" s="5">
        <f t="shared" si="215"/>
        <v>518.65436999999997</v>
      </c>
      <c r="AG615">
        <f t="shared" si="216"/>
        <v>501.15</v>
      </c>
      <c r="AH615" s="5">
        <f t="shared" si="217"/>
        <v>17.504369999999994</v>
      </c>
      <c r="AI615" s="5">
        <f t="shared" si="218"/>
        <v>3.3749585489851353E-2</v>
      </c>
      <c r="AJ615" s="5">
        <f t="shared" si="221"/>
        <v>10939501.730710011</v>
      </c>
      <c r="AK615" s="7">
        <f t="shared" si="219"/>
        <v>0.99942752465703311</v>
      </c>
      <c r="AL615" s="17">
        <f>MIN(AC615,'What-If Analysis'!$B$2)</f>
        <v>0.13700000000000001</v>
      </c>
      <c r="AM615">
        <f>AE615*(1+'What-If Analysis'!$B$3)</f>
        <v>50.7</v>
      </c>
      <c r="AN615">
        <f>Y615*(1+'What-If Analysis'!$B$4)</f>
        <v>14.135000000000002</v>
      </c>
      <c r="AO615">
        <f t="shared" si="220"/>
        <v>674.25068099999999</v>
      </c>
    </row>
    <row r="616" spans="1:41" x14ac:dyDescent="0.3">
      <c r="A616" t="s">
        <v>432</v>
      </c>
      <c r="B616" s="3">
        <v>45730</v>
      </c>
      <c r="C616" s="3">
        <f t="shared" si="201"/>
        <v>45730</v>
      </c>
      <c r="D616" s="3">
        <v>45755</v>
      </c>
      <c r="E616" s="3">
        <f t="shared" si="202"/>
        <v>45755</v>
      </c>
      <c r="F616" s="16">
        <f t="shared" si="203"/>
        <v>25</v>
      </c>
      <c r="G616" s="16">
        <f>IF(Data!F604&lt;=7,1,0)</f>
        <v>1</v>
      </c>
      <c r="H616" s="5" t="str">
        <f t="shared" si="204"/>
        <v>03-2025</v>
      </c>
      <c r="I616" s="5" t="str">
        <f t="shared" si="205"/>
        <v>Q1-2025</v>
      </c>
      <c r="J616" s="3">
        <f t="shared" si="206"/>
        <v>44938</v>
      </c>
      <c r="K616" s="5" t="str">
        <f t="shared" si="207"/>
        <v>01-2023</v>
      </c>
      <c r="L616" t="s">
        <v>647</v>
      </c>
      <c r="M616" t="s">
        <v>659</v>
      </c>
      <c r="O616" t="str">
        <f t="shared" si="208"/>
        <v>Shanghai</v>
      </c>
      <c r="P616" t="s">
        <v>701</v>
      </c>
      <c r="Q616" t="s">
        <v>710</v>
      </c>
      <c r="R616" t="str">
        <f t="shared" si="209"/>
        <v>Distributor</v>
      </c>
      <c r="S616" t="s">
        <v>726</v>
      </c>
      <c r="T616" t="str">
        <f t="shared" si="222"/>
        <v>D. Smith</v>
      </c>
      <c r="U616" t="s">
        <v>728</v>
      </c>
      <c r="V616" t="str">
        <f t="shared" si="210"/>
        <v>Low</v>
      </c>
      <c r="W616" t="s">
        <v>1151</v>
      </c>
      <c r="X616" t="str">
        <f t="shared" si="211"/>
        <v>C</v>
      </c>
      <c r="Y616" s="5">
        <v>80.59</v>
      </c>
      <c r="Z616" s="5">
        <v>157.82</v>
      </c>
      <c r="AA616" s="5">
        <f t="shared" si="212"/>
        <v>157.82</v>
      </c>
      <c r="AB616" s="7">
        <v>0.217</v>
      </c>
      <c r="AC616" s="7">
        <f t="shared" si="213"/>
        <v>0.217</v>
      </c>
      <c r="AD616" s="16">
        <f t="shared" si="214"/>
        <v>1</v>
      </c>
      <c r="AE616" s="16">
        <v>6</v>
      </c>
      <c r="AF616" s="5">
        <f t="shared" si="215"/>
        <v>741.43835999999999</v>
      </c>
      <c r="AG616">
        <f t="shared" si="216"/>
        <v>483.54</v>
      </c>
      <c r="AH616" s="5">
        <f t="shared" si="217"/>
        <v>257.89835999999997</v>
      </c>
      <c r="AI616" s="5">
        <f t="shared" si="218"/>
        <v>0.34783519967863541</v>
      </c>
      <c r="AJ616" s="5">
        <f t="shared" si="221"/>
        <v>10940243.169070011</v>
      </c>
      <c r="AK616" s="7">
        <f t="shared" si="219"/>
        <v>0.99949526210276529</v>
      </c>
      <c r="AL616" s="17">
        <f>MIN(AC616,'What-If Analysis'!$B$2)</f>
        <v>0.2</v>
      </c>
      <c r="AM616">
        <f>AE616*(1+'What-If Analysis'!$B$3)</f>
        <v>7.8000000000000007</v>
      </c>
      <c r="AN616">
        <f>Y616*(1+'What-If Analysis'!$B$4)</f>
        <v>88.649000000000015</v>
      </c>
      <c r="AO616">
        <f t="shared" si="220"/>
        <v>984.79680000000008</v>
      </c>
    </row>
    <row r="617" spans="1:41" x14ac:dyDescent="0.3">
      <c r="A617" t="s">
        <v>586</v>
      </c>
      <c r="B617" s="3">
        <v>45740</v>
      </c>
      <c r="C617" s="3">
        <f t="shared" si="201"/>
        <v>45740</v>
      </c>
      <c r="D617" s="3">
        <v>45751</v>
      </c>
      <c r="E617" s="3">
        <f t="shared" si="202"/>
        <v>45751</v>
      </c>
      <c r="F617" s="16">
        <f t="shared" si="203"/>
        <v>11</v>
      </c>
      <c r="G617" s="16">
        <f>IF(Data!F601&lt;=7,1,0)</f>
        <v>1</v>
      </c>
      <c r="H617" s="5" t="str">
        <f t="shared" si="204"/>
        <v>03-2025</v>
      </c>
      <c r="I617" s="5" t="str">
        <f t="shared" si="205"/>
        <v>Q1-2025</v>
      </c>
      <c r="J617" s="3">
        <f t="shared" si="206"/>
        <v>44955</v>
      </c>
      <c r="K617" s="5" t="str">
        <f t="shared" si="207"/>
        <v>01-2023</v>
      </c>
      <c r="L617" t="s">
        <v>647</v>
      </c>
      <c r="M617" t="s">
        <v>654</v>
      </c>
      <c r="N617" t="s">
        <v>691</v>
      </c>
      <c r="O617" t="str">
        <f t="shared" si="208"/>
        <v>Mumbai</v>
      </c>
      <c r="P617" t="s">
        <v>702</v>
      </c>
      <c r="Q617" t="s">
        <v>709</v>
      </c>
      <c r="R617" t="str">
        <f t="shared" si="209"/>
        <v>Marketplace</v>
      </c>
      <c r="S617" t="s">
        <v>713</v>
      </c>
      <c r="T617" t="str">
        <f t="shared" si="222"/>
        <v>J. Njeri</v>
      </c>
      <c r="U617" t="s">
        <v>730</v>
      </c>
      <c r="V617" t="str">
        <f t="shared" si="210"/>
        <v>Low</v>
      </c>
      <c r="W617" t="s">
        <v>1304</v>
      </c>
      <c r="X617" t="str">
        <f t="shared" si="211"/>
        <v>C</v>
      </c>
      <c r="Y617" s="5">
        <v>23.83</v>
      </c>
      <c r="Z617" s="5">
        <v>47.29</v>
      </c>
      <c r="AA617" s="5">
        <f t="shared" si="212"/>
        <v>47.29</v>
      </c>
      <c r="AB617" s="7">
        <v>6.4000000000000001E-2</v>
      </c>
      <c r="AC617" s="7">
        <f t="shared" si="213"/>
        <v>6.4000000000000001E-2</v>
      </c>
      <c r="AD617" s="16">
        <f t="shared" si="214"/>
        <v>0</v>
      </c>
      <c r="AE617" s="16">
        <v>19</v>
      </c>
      <c r="AF617" s="5">
        <f t="shared" si="215"/>
        <v>841.00536</v>
      </c>
      <c r="AG617">
        <f t="shared" si="216"/>
        <v>452.77</v>
      </c>
      <c r="AH617" s="5">
        <f t="shared" si="217"/>
        <v>388.23536000000001</v>
      </c>
      <c r="AI617" s="5">
        <f t="shared" si="218"/>
        <v>0.46163244429262618</v>
      </c>
      <c r="AJ617" s="5">
        <f t="shared" si="221"/>
        <v>10941084.174430011</v>
      </c>
      <c r="AK617" s="7">
        <f t="shared" si="219"/>
        <v>0.99957209594089236</v>
      </c>
      <c r="AL617" s="17">
        <f>MIN(AC617,'What-If Analysis'!$B$2)</f>
        <v>6.4000000000000001E-2</v>
      </c>
      <c r="AM617">
        <f>AE617*(1+'What-If Analysis'!$B$3)</f>
        <v>24.7</v>
      </c>
      <c r="AN617">
        <f>Y617*(1+'What-If Analysis'!$B$4)</f>
        <v>26.213000000000001</v>
      </c>
      <c r="AO617">
        <f t="shared" si="220"/>
        <v>1093.3069679999999</v>
      </c>
    </row>
    <row r="618" spans="1:41" x14ac:dyDescent="0.3">
      <c r="A618" t="s">
        <v>104</v>
      </c>
      <c r="B618" s="3">
        <v>45106</v>
      </c>
      <c r="C618" s="3">
        <f t="shared" si="201"/>
        <v>45106</v>
      </c>
      <c r="D618" s="3">
        <v>45109</v>
      </c>
      <c r="E618" s="3">
        <f t="shared" si="202"/>
        <v>45109</v>
      </c>
      <c r="F618" s="16">
        <f t="shared" si="203"/>
        <v>3</v>
      </c>
      <c r="G618" s="16">
        <f>IF(Data!F609&lt;=7,1,0)</f>
        <v>0</v>
      </c>
      <c r="H618" s="5" t="str">
        <f t="shared" si="204"/>
        <v>06-2023</v>
      </c>
      <c r="I618" s="5" t="str">
        <f t="shared" si="205"/>
        <v>Q2-2023</v>
      </c>
      <c r="J618" s="3">
        <f t="shared" si="206"/>
        <v>44988</v>
      </c>
      <c r="K618" s="5" t="str">
        <f t="shared" si="207"/>
        <v>03-2023</v>
      </c>
      <c r="L618" t="s">
        <v>647</v>
      </c>
      <c r="M618" t="s">
        <v>652</v>
      </c>
      <c r="N618" t="s">
        <v>694</v>
      </c>
      <c r="O618" t="str">
        <f t="shared" si="208"/>
        <v>Nagoya</v>
      </c>
      <c r="P618" t="s">
        <v>702</v>
      </c>
      <c r="Q618" t="s">
        <v>709</v>
      </c>
      <c r="R618" t="str">
        <f t="shared" si="209"/>
        <v>Marketplace</v>
      </c>
      <c r="S618" t="s">
        <v>721</v>
      </c>
      <c r="T618" t="str">
        <f t="shared" si="222"/>
        <v>F. Müller</v>
      </c>
      <c r="U618" t="s">
        <v>732</v>
      </c>
      <c r="V618" t="str">
        <f t="shared" si="210"/>
        <v>Low</v>
      </c>
      <c r="W618" t="s">
        <v>823</v>
      </c>
      <c r="X618" t="str">
        <f t="shared" si="211"/>
        <v>C</v>
      </c>
      <c r="Y618" s="5">
        <v>55.65</v>
      </c>
      <c r="Z618" s="5">
        <v>83.57</v>
      </c>
      <c r="AA618" s="5">
        <f t="shared" si="212"/>
        <v>83.57</v>
      </c>
      <c r="AB618" s="7">
        <v>6.6000000000000003E-2</v>
      </c>
      <c r="AC618" s="7">
        <f t="shared" si="213"/>
        <v>6.6000000000000003E-2</v>
      </c>
      <c r="AD618" s="16">
        <f t="shared" si="214"/>
        <v>0</v>
      </c>
      <c r="AE618" s="16">
        <v>8</v>
      </c>
      <c r="AF618" s="5">
        <f t="shared" si="215"/>
        <v>624.43503999999996</v>
      </c>
      <c r="AG618">
        <f t="shared" si="216"/>
        <v>445.2</v>
      </c>
      <c r="AH618" s="5">
        <f t="shared" si="217"/>
        <v>179.23503999999997</v>
      </c>
      <c r="AI618" s="5">
        <f t="shared" si="218"/>
        <v>0.2870355257449998</v>
      </c>
      <c r="AJ618" s="5">
        <f t="shared" si="221"/>
        <v>10941708.609470012</v>
      </c>
      <c r="AK618" s="7">
        <f t="shared" si="219"/>
        <v>0.99962914402056724</v>
      </c>
      <c r="AL618" s="17">
        <f>MIN(AC618,'What-If Analysis'!$B$2)</f>
        <v>6.6000000000000003E-2</v>
      </c>
      <c r="AM618">
        <f>AE618*(1+'What-If Analysis'!$B$3)</f>
        <v>10.4</v>
      </c>
      <c r="AN618">
        <f>Y618*(1+'What-If Analysis'!$B$4)</f>
        <v>61.215000000000003</v>
      </c>
      <c r="AO618">
        <f t="shared" si="220"/>
        <v>811.76555199999984</v>
      </c>
    </row>
    <row r="619" spans="1:41" x14ac:dyDescent="0.3">
      <c r="A619" t="s">
        <v>589</v>
      </c>
      <c r="B619" s="3">
        <v>45042</v>
      </c>
      <c r="C619" s="3">
        <f t="shared" si="201"/>
        <v>45042</v>
      </c>
      <c r="D619" s="3">
        <v>45042</v>
      </c>
      <c r="E619" s="3">
        <f t="shared" si="202"/>
        <v>45042</v>
      </c>
      <c r="F619" s="16">
        <f t="shared" si="203"/>
        <v>0</v>
      </c>
      <c r="G619" s="16">
        <f>IF(Data!F619&lt;=7,1,0)</f>
        <v>1</v>
      </c>
      <c r="H619" s="5" t="str">
        <f t="shared" si="204"/>
        <v>04-2023</v>
      </c>
      <c r="I619" s="5" t="str">
        <f t="shared" si="205"/>
        <v>Q2-2023</v>
      </c>
      <c r="J619" s="3">
        <f t="shared" si="206"/>
        <v>44936</v>
      </c>
      <c r="K619" s="5" t="str">
        <f t="shared" si="207"/>
        <v>01-2023</v>
      </c>
      <c r="L619" t="s">
        <v>649</v>
      </c>
      <c r="M619" t="s">
        <v>657</v>
      </c>
      <c r="N619" t="s">
        <v>673</v>
      </c>
      <c r="O619" t="str">
        <f t="shared" si="208"/>
        <v>Marseille</v>
      </c>
      <c r="P619" t="s">
        <v>704</v>
      </c>
      <c r="Q619" t="s">
        <v>711</v>
      </c>
      <c r="R619" t="str">
        <f t="shared" si="209"/>
        <v>Direct</v>
      </c>
      <c r="S619" t="s">
        <v>724</v>
      </c>
      <c r="T619" t="str">
        <f t="shared" si="222"/>
        <v>M. Rossi</v>
      </c>
      <c r="U619" t="s">
        <v>727</v>
      </c>
      <c r="V619" t="str">
        <f t="shared" si="210"/>
        <v>Low</v>
      </c>
      <c r="W619" t="s">
        <v>1307</v>
      </c>
      <c r="X619" t="str">
        <f t="shared" si="211"/>
        <v>C</v>
      </c>
      <c r="Y619" s="5">
        <v>81.489999999999995</v>
      </c>
      <c r="Z619" s="5">
        <v>113.08</v>
      </c>
      <c r="AA619" s="5">
        <f t="shared" si="212"/>
        <v>113.08</v>
      </c>
      <c r="AB619" s="7">
        <v>0.121</v>
      </c>
      <c r="AC619" s="7">
        <f t="shared" si="213"/>
        <v>0.121</v>
      </c>
      <c r="AD619" s="16">
        <f t="shared" si="214"/>
        <v>0</v>
      </c>
      <c r="AE619" s="16">
        <v>5</v>
      </c>
      <c r="AF619" s="5">
        <f t="shared" si="215"/>
        <v>496.98660000000001</v>
      </c>
      <c r="AG619">
        <f t="shared" si="216"/>
        <v>407.45</v>
      </c>
      <c r="AH619" s="5">
        <f t="shared" si="217"/>
        <v>89.536600000000021</v>
      </c>
      <c r="AI619" s="5">
        <f t="shared" si="218"/>
        <v>0.18015898215364362</v>
      </c>
      <c r="AJ619" s="5">
        <f t="shared" si="221"/>
        <v>10942205.596070012</v>
      </c>
      <c r="AK619" s="7">
        <f t="shared" si="219"/>
        <v>0.99967454847313308</v>
      </c>
      <c r="AL619" s="17">
        <f>MIN(AC619,'What-If Analysis'!$B$2)</f>
        <v>0.121</v>
      </c>
      <c r="AM619">
        <f>AE619*(1+'What-If Analysis'!$B$3)</f>
        <v>6.5</v>
      </c>
      <c r="AN619">
        <f>Y619*(1+'What-If Analysis'!$B$4)</f>
        <v>89.638999999999996</v>
      </c>
      <c r="AO619">
        <f t="shared" si="220"/>
        <v>646.08258000000001</v>
      </c>
    </row>
    <row r="620" spans="1:41" x14ac:dyDescent="0.3">
      <c r="A620" t="s">
        <v>134</v>
      </c>
      <c r="B620" s="3">
        <v>45847</v>
      </c>
      <c r="C620" s="3">
        <f t="shared" si="201"/>
        <v>45847</v>
      </c>
      <c r="D620" s="3">
        <v>45856</v>
      </c>
      <c r="E620" s="3">
        <f t="shared" si="202"/>
        <v>45856</v>
      </c>
      <c r="F620" s="16">
        <f t="shared" si="203"/>
        <v>9</v>
      </c>
      <c r="G620" s="16">
        <f>IF(Data!F613&lt;=7,1,0)</f>
        <v>1</v>
      </c>
      <c r="H620" s="5" t="str">
        <f t="shared" si="204"/>
        <v>07-2025</v>
      </c>
      <c r="I620" s="5" t="str">
        <f t="shared" si="205"/>
        <v>Q3-2025</v>
      </c>
      <c r="J620" s="3">
        <f t="shared" si="206"/>
        <v>44928</v>
      </c>
      <c r="K620" s="5" t="str">
        <f t="shared" si="207"/>
        <v>01-2023</v>
      </c>
      <c r="L620" t="s">
        <v>648</v>
      </c>
      <c r="M620" t="s">
        <v>653</v>
      </c>
      <c r="N620" t="s">
        <v>688</v>
      </c>
      <c r="O620" t="str">
        <f t="shared" si="208"/>
        <v>Vancouver</v>
      </c>
      <c r="P620" t="s">
        <v>702</v>
      </c>
      <c r="Q620" t="s">
        <v>710</v>
      </c>
      <c r="R620" t="str">
        <f t="shared" si="209"/>
        <v>Distributor</v>
      </c>
      <c r="S620" t="s">
        <v>714</v>
      </c>
      <c r="T620" t="str">
        <f t="shared" si="222"/>
        <v>I. Johnson</v>
      </c>
      <c r="U620" t="s">
        <v>731</v>
      </c>
      <c r="V620" t="str">
        <f t="shared" si="210"/>
        <v>Low</v>
      </c>
      <c r="W620" t="s">
        <v>853</v>
      </c>
      <c r="X620" t="str">
        <f t="shared" si="211"/>
        <v>C</v>
      </c>
      <c r="Y620" s="5">
        <v>57.96</v>
      </c>
      <c r="Z620" s="5">
        <v>88.51</v>
      </c>
      <c r="AA620" s="5">
        <f t="shared" si="212"/>
        <v>88.51</v>
      </c>
      <c r="AB620" s="7">
        <v>4.2999999999999997E-2</v>
      </c>
      <c r="AC620" s="7">
        <f t="shared" si="213"/>
        <v>4.2999999999999997E-2</v>
      </c>
      <c r="AD620" s="16">
        <f t="shared" si="214"/>
        <v>0</v>
      </c>
      <c r="AE620" s="16">
        <v>7</v>
      </c>
      <c r="AF620" s="5">
        <f t="shared" si="215"/>
        <v>592.92849000000001</v>
      </c>
      <c r="AG620">
        <f t="shared" si="216"/>
        <v>405.72</v>
      </c>
      <c r="AH620" s="5">
        <f t="shared" si="217"/>
        <v>187.20848999999998</v>
      </c>
      <c r="AI620" s="5">
        <f t="shared" si="218"/>
        <v>0.3157353595877978</v>
      </c>
      <c r="AJ620" s="5">
        <f t="shared" si="221"/>
        <v>10942798.524560012</v>
      </c>
      <c r="AK620" s="7">
        <f t="shared" si="219"/>
        <v>0.99972871812981823</v>
      </c>
      <c r="AL620" s="17">
        <f>MIN(AC620,'What-If Analysis'!$B$2)</f>
        <v>4.2999999999999997E-2</v>
      </c>
      <c r="AM620">
        <f>AE620*(1+'What-If Analysis'!$B$3)</f>
        <v>9.1</v>
      </c>
      <c r="AN620">
        <f>Y620*(1+'What-If Analysis'!$B$4)</f>
        <v>63.756000000000007</v>
      </c>
      <c r="AO620">
        <f t="shared" si="220"/>
        <v>770.80703700000004</v>
      </c>
    </row>
    <row r="621" spans="1:41" x14ac:dyDescent="0.3">
      <c r="A621" t="s">
        <v>645</v>
      </c>
      <c r="B621" s="3">
        <v>45716</v>
      </c>
      <c r="C621" s="3">
        <f t="shared" si="201"/>
        <v>45716</v>
      </c>
      <c r="D621" s="3">
        <v>45726</v>
      </c>
      <c r="E621" s="3">
        <f t="shared" si="202"/>
        <v>45726</v>
      </c>
      <c r="F621" s="16">
        <f t="shared" si="203"/>
        <v>10</v>
      </c>
      <c r="G621" s="16">
        <f>IF(Data!F625&lt;=7,1,0)</f>
        <v>0</v>
      </c>
      <c r="H621" s="5" t="str">
        <f t="shared" si="204"/>
        <v>02-2025</v>
      </c>
      <c r="I621" s="5" t="str">
        <f t="shared" si="205"/>
        <v>Q1-2025</v>
      </c>
      <c r="J621" s="3">
        <f t="shared" si="206"/>
        <v>44988</v>
      </c>
      <c r="K621" s="5" t="str">
        <f t="shared" si="207"/>
        <v>03-2023</v>
      </c>
      <c r="L621" t="s">
        <v>647</v>
      </c>
      <c r="M621" t="s">
        <v>652</v>
      </c>
      <c r="N621" t="s">
        <v>666</v>
      </c>
      <c r="O621" t="str">
        <f t="shared" si="208"/>
        <v>Osaka</v>
      </c>
      <c r="P621" t="s">
        <v>702</v>
      </c>
      <c r="Q621" t="s">
        <v>710</v>
      </c>
      <c r="R621" t="str">
        <f t="shared" si="209"/>
        <v>Distributor</v>
      </c>
      <c r="S621" t="s">
        <v>725</v>
      </c>
      <c r="T621" t="str">
        <f t="shared" si="222"/>
        <v>N. Brown</v>
      </c>
      <c r="U621" t="s">
        <v>731</v>
      </c>
      <c r="V621" t="str">
        <f t="shared" si="210"/>
        <v>Low</v>
      </c>
      <c r="W621" t="s">
        <v>1363</v>
      </c>
      <c r="X621" t="str">
        <f t="shared" si="211"/>
        <v>C</v>
      </c>
      <c r="Y621" s="5">
        <v>51.86</v>
      </c>
      <c r="Z621" s="5">
        <v>45.98</v>
      </c>
      <c r="AA621" s="5">
        <f t="shared" si="212"/>
        <v>45.98</v>
      </c>
      <c r="AB621" s="7">
        <v>0.17299999999999999</v>
      </c>
      <c r="AC621" s="7">
        <f t="shared" si="213"/>
        <v>0.17299999999999999</v>
      </c>
      <c r="AD621" s="16">
        <f t="shared" si="214"/>
        <v>0</v>
      </c>
      <c r="AE621" s="16">
        <v>7</v>
      </c>
      <c r="AF621" s="5">
        <f t="shared" si="215"/>
        <v>266.17821999999995</v>
      </c>
      <c r="AG621">
        <f t="shared" si="216"/>
        <v>363.02</v>
      </c>
      <c r="AH621" s="5">
        <f t="shared" si="217"/>
        <v>96.841780000000028</v>
      </c>
      <c r="AI621" s="5">
        <f t="shared" si="218"/>
        <v>0.3638230806412337</v>
      </c>
      <c r="AJ621" s="5">
        <f t="shared" si="221"/>
        <v>10943064.702780012</v>
      </c>
      <c r="AK621" s="7">
        <f t="shared" si="219"/>
        <v>0.99975303604173782</v>
      </c>
      <c r="AL621" s="17">
        <f>MIN(AC621,'What-If Analysis'!$B$2)</f>
        <v>0.17299999999999999</v>
      </c>
      <c r="AM621">
        <f>AE621*(1+'What-If Analysis'!$B$3)</f>
        <v>9.1</v>
      </c>
      <c r="AN621">
        <f>Y621*(1+'What-If Analysis'!$B$4)</f>
        <v>57.046000000000006</v>
      </c>
      <c r="AO621">
        <f t="shared" si="220"/>
        <v>346.03168599999992</v>
      </c>
    </row>
    <row r="622" spans="1:41" x14ac:dyDescent="0.3">
      <c r="A622" t="s">
        <v>261</v>
      </c>
      <c r="B622" s="3">
        <v>45769</v>
      </c>
      <c r="C622" s="3">
        <f t="shared" si="201"/>
        <v>45769</v>
      </c>
      <c r="D622" s="3">
        <v>45779</v>
      </c>
      <c r="E622" s="3">
        <f t="shared" si="202"/>
        <v>45779</v>
      </c>
      <c r="F622" s="16">
        <f t="shared" si="203"/>
        <v>10</v>
      </c>
      <c r="G622" s="16">
        <f>IF(Data!F611&lt;=7,1,0)</f>
        <v>0</v>
      </c>
      <c r="H622" s="5" t="str">
        <f t="shared" si="204"/>
        <v>04-2025</v>
      </c>
      <c r="I622" s="5" t="str">
        <f t="shared" si="205"/>
        <v>Q2-2025</v>
      </c>
      <c r="J622" s="3">
        <f t="shared" si="206"/>
        <v>44947</v>
      </c>
      <c r="K622" s="5" t="str">
        <f t="shared" si="207"/>
        <v>01-2023</v>
      </c>
      <c r="L622" t="s">
        <v>649</v>
      </c>
      <c r="M622" t="s">
        <v>656</v>
      </c>
      <c r="N622" t="s">
        <v>671</v>
      </c>
      <c r="O622" t="str">
        <f t="shared" si="208"/>
        <v>Berlin</v>
      </c>
      <c r="P622" t="s">
        <v>701</v>
      </c>
      <c r="Q622" t="s">
        <v>709</v>
      </c>
      <c r="R622" t="str">
        <f t="shared" si="209"/>
        <v>Marketplace</v>
      </c>
      <c r="S622" t="s">
        <v>712</v>
      </c>
      <c r="T622" t="str">
        <f t="shared" si="222"/>
        <v>C. Otieno</v>
      </c>
      <c r="U622" t="s">
        <v>732</v>
      </c>
      <c r="V622" t="str">
        <f t="shared" si="210"/>
        <v>Low</v>
      </c>
      <c r="W622" t="s">
        <v>981</v>
      </c>
      <c r="X622" t="str">
        <f t="shared" si="211"/>
        <v>C</v>
      </c>
      <c r="Y622" s="5">
        <v>20.149999999999999</v>
      </c>
      <c r="Z622" s="5">
        <v>39.74</v>
      </c>
      <c r="AA622" s="5">
        <f t="shared" si="212"/>
        <v>39.74</v>
      </c>
      <c r="AB622" s="7">
        <v>0.151</v>
      </c>
      <c r="AC622" s="7">
        <f t="shared" si="213"/>
        <v>0.151</v>
      </c>
      <c r="AD622" s="16">
        <f t="shared" si="214"/>
        <v>0</v>
      </c>
      <c r="AE622" s="16">
        <v>18</v>
      </c>
      <c r="AF622" s="5">
        <f t="shared" si="215"/>
        <v>607.30668000000003</v>
      </c>
      <c r="AG622">
        <f t="shared" si="216"/>
        <v>362.7</v>
      </c>
      <c r="AH622" s="5">
        <f t="shared" si="217"/>
        <v>244.60668000000004</v>
      </c>
      <c r="AI622" s="5">
        <f t="shared" si="218"/>
        <v>0.4027729120318585</v>
      </c>
      <c r="AJ622" s="5">
        <f t="shared" si="221"/>
        <v>10943672.009460011</v>
      </c>
      <c r="AK622" s="7">
        <f t="shared" si="219"/>
        <v>0.9998085192828251</v>
      </c>
      <c r="AL622" s="17">
        <f>MIN(AC622,'What-If Analysis'!$B$2)</f>
        <v>0.151</v>
      </c>
      <c r="AM622">
        <f>AE622*(1+'What-If Analysis'!$B$3)</f>
        <v>23.400000000000002</v>
      </c>
      <c r="AN622">
        <f>Y622*(1+'What-If Analysis'!$B$4)</f>
        <v>22.164999999999999</v>
      </c>
      <c r="AO622">
        <f t="shared" si="220"/>
        <v>789.49868400000014</v>
      </c>
    </row>
    <row r="623" spans="1:41" x14ac:dyDescent="0.3">
      <c r="A623" t="s">
        <v>98</v>
      </c>
      <c r="B623" s="3">
        <v>45770</v>
      </c>
      <c r="C623" s="3">
        <f t="shared" si="201"/>
        <v>45769</v>
      </c>
      <c r="D623" s="3">
        <v>45769</v>
      </c>
      <c r="E623" s="3">
        <f t="shared" si="202"/>
        <v>45770</v>
      </c>
      <c r="F623" s="16">
        <f t="shared" si="203"/>
        <v>1</v>
      </c>
      <c r="G623" s="16">
        <f>IF(Data!F617&lt;=7,1,0)</f>
        <v>0</v>
      </c>
      <c r="H623" s="5" t="str">
        <f t="shared" si="204"/>
        <v>04-2025</v>
      </c>
      <c r="I623" s="5" t="str">
        <f t="shared" si="205"/>
        <v>Q2-2025</v>
      </c>
      <c r="J623" s="3">
        <f t="shared" si="206"/>
        <v>44939</v>
      </c>
      <c r="K623" s="5" t="str">
        <f t="shared" si="207"/>
        <v>01-2023</v>
      </c>
      <c r="L623" t="s">
        <v>648</v>
      </c>
      <c r="M623" t="s">
        <v>660</v>
      </c>
      <c r="N623" t="s">
        <v>686</v>
      </c>
      <c r="O623" t="str">
        <f t="shared" si="208"/>
        <v>San Francisco</v>
      </c>
      <c r="P623" t="s">
        <v>703</v>
      </c>
      <c r="Q623" t="s">
        <v>710</v>
      </c>
      <c r="R623" t="str">
        <f t="shared" si="209"/>
        <v>Distributor</v>
      </c>
      <c r="S623" t="s">
        <v>726</v>
      </c>
      <c r="T623" t="str">
        <f t="shared" si="222"/>
        <v>D. Smith</v>
      </c>
      <c r="U623" t="s">
        <v>732</v>
      </c>
      <c r="V623" t="str">
        <f t="shared" si="210"/>
        <v>Low</v>
      </c>
      <c r="W623" t="s">
        <v>817</v>
      </c>
      <c r="X623" t="str">
        <f t="shared" si="211"/>
        <v>C</v>
      </c>
      <c r="Y623" s="5">
        <v>23.24</v>
      </c>
      <c r="Z623" s="5">
        <v>44.57</v>
      </c>
      <c r="AA623" s="5">
        <f t="shared" si="212"/>
        <v>44.57</v>
      </c>
      <c r="AB623" s="7">
        <v>0.215</v>
      </c>
      <c r="AC623" s="7">
        <f t="shared" si="213"/>
        <v>0.215</v>
      </c>
      <c r="AD623" s="16">
        <f t="shared" si="214"/>
        <v>1</v>
      </c>
      <c r="AE623" s="16">
        <v>15</v>
      </c>
      <c r="AF623" s="5">
        <f t="shared" si="215"/>
        <v>524.81174999999996</v>
      </c>
      <c r="AG623">
        <f t="shared" si="216"/>
        <v>348.59999999999997</v>
      </c>
      <c r="AH623" s="5">
        <f t="shared" si="217"/>
        <v>176.21174999999999</v>
      </c>
      <c r="AI623" s="5">
        <f t="shared" si="218"/>
        <v>0.33576182316802167</v>
      </c>
      <c r="AJ623" s="5">
        <f t="shared" si="221"/>
        <v>10944196.821210012</v>
      </c>
      <c r="AK623" s="7">
        <f t="shared" si="219"/>
        <v>0.99985646582747822</v>
      </c>
      <c r="AL623" s="17">
        <f>MIN(AC623,'What-If Analysis'!$B$2)</f>
        <v>0.2</v>
      </c>
      <c r="AM623">
        <f>AE623*(1+'What-If Analysis'!$B$3)</f>
        <v>19.5</v>
      </c>
      <c r="AN623">
        <f>Y623*(1+'What-If Analysis'!$B$4)</f>
        <v>25.564</v>
      </c>
      <c r="AO623">
        <f t="shared" si="220"/>
        <v>695.29200000000003</v>
      </c>
    </row>
    <row r="624" spans="1:41" x14ac:dyDescent="0.3">
      <c r="A624" t="s">
        <v>69</v>
      </c>
      <c r="B624" s="3">
        <v>45168</v>
      </c>
      <c r="C624" s="3">
        <f t="shared" si="201"/>
        <v>45168</v>
      </c>
      <c r="D624" s="3">
        <v>45170</v>
      </c>
      <c r="E624" s="3">
        <f t="shared" si="202"/>
        <v>45170</v>
      </c>
      <c r="F624" s="16">
        <f t="shared" si="203"/>
        <v>2</v>
      </c>
      <c r="G624" s="16">
        <f>IF(Data!F626&lt;=7,1,0)</f>
        <v>0</v>
      </c>
      <c r="H624" s="5" t="str">
        <f t="shared" si="204"/>
        <v>08-2023</v>
      </c>
      <c r="I624" s="5" t="str">
        <f t="shared" si="205"/>
        <v>Q3-2023</v>
      </c>
      <c r="J624" s="3">
        <f t="shared" si="206"/>
        <v>44947</v>
      </c>
      <c r="K624" s="5" t="str">
        <f t="shared" si="207"/>
        <v>01-2023</v>
      </c>
      <c r="L624" t="s">
        <v>649</v>
      </c>
      <c r="M624" t="s">
        <v>656</v>
      </c>
      <c r="N624" t="s">
        <v>684</v>
      </c>
      <c r="O624" t="str">
        <f t="shared" si="208"/>
        <v>Munich</v>
      </c>
      <c r="P624" t="s">
        <v>701</v>
      </c>
      <c r="Q624" t="s">
        <v>711</v>
      </c>
      <c r="R624" t="str">
        <f t="shared" si="209"/>
        <v>Direct</v>
      </c>
      <c r="S624" t="s">
        <v>725</v>
      </c>
      <c r="T624" t="str">
        <f t="shared" si="222"/>
        <v>N. Brown</v>
      </c>
      <c r="U624" t="s">
        <v>729</v>
      </c>
      <c r="V624" t="str">
        <f t="shared" si="210"/>
        <v>Low</v>
      </c>
      <c r="W624" t="s">
        <v>788</v>
      </c>
      <c r="X624" t="str">
        <f t="shared" si="211"/>
        <v>C</v>
      </c>
      <c r="Y624" s="5">
        <v>44.42</v>
      </c>
      <c r="Z624" s="5">
        <v>41.9</v>
      </c>
      <c r="AA624" s="5">
        <f t="shared" si="212"/>
        <v>41.9</v>
      </c>
      <c r="AB624" s="7">
        <v>0.14399999999999999</v>
      </c>
      <c r="AC624" s="7">
        <f t="shared" si="213"/>
        <v>0.14399999999999999</v>
      </c>
      <c r="AD624" s="16">
        <f t="shared" si="214"/>
        <v>0</v>
      </c>
      <c r="AE624" s="16">
        <v>6</v>
      </c>
      <c r="AF624" s="5">
        <f t="shared" si="215"/>
        <v>215.19839999999996</v>
      </c>
      <c r="AG624">
        <f t="shared" si="216"/>
        <v>266.52</v>
      </c>
      <c r="AH624" s="5">
        <f t="shared" si="217"/>
        <v>51.321600000000018</v>
      </c>
      <c r="AI624" s="5">
        <f t="shared" si="218"/>
        <v>0.23848504449847224</v>
      </c>
      <c r="AJ624" s="5">
        <f t="shared" si="221"/>
        <v>10944412.019610012</v>
      </c>
      <c r="AK624" s="7">
        <f t="shared" si="219"/>
        <v>0.9998761262479906</v>
      </c>
      <c r="AL624" s="17">
        <f>MIN(AC624,'What-If Analysis'!$B$2)</f>
        <v>0.14399999999999999</v>
      </c>
      <c r="AM624">
        <f>AE624*(1+'What-If Analysis'!$B$3)</f>
        <v>7.8000000000000007</v>
      </c>
      <c r="AN624">
        <f>Y624*(1+'What-If Analysis'!$B$4)</f>
        <v>48.862000000000009</v>
      </c>
      <c r="AO624">
        <f t="shared" si="220"/>
        <v>279.75792000000001</v>
      </c>
    </row>
    <row r="625" spans="1:41" x14ac:dyDescent="0.3">
      <c r="A625" t="s">
        <v>403</v>
      </c>
      <c r="B625" s="3">
        <v>45225</v>
      </c>
      <c r="C625" s="3">
        <f t="shared" si="201"/>
        <v>45225</v>
      </c>
      <c r="D625" s="3">
        <v>45235</v>
      </c>
      <c r="E625" s="3">
        <f t="shared" si="202"/>
        <v>45235</v>
      </c>
      <c r="F625" s="16">
        <f t="shared" si="203"/>
        <v>10</v>
      </c>
      <c r="G625" s="16">
        <f>IF(Data!F620&lt;=7,1,0)</f>
        <v>0</v>
      </c>
      <c r="H625" s="5" t="str">
        <f t="shared" si="204"/>
        <v>10-2023</v>
      </c>
      <c r="I625" s="5" t="str">
        <f t="shared" si="205"/>
        <v>Q4-2023</v>
      </c>
      <c r="J625" s="3">
        <f t="shared" si="206"/>
        <v>44933</v>
      </c>
      <c r="K625" s="5" t="str">
        <f t="shared" si="207"/>
        <v>01-2023</v>
      </c>
      <c r="L625" t="s">
        <v>646</v>
      </c>
      <c r="M625" t="s">
        <v>661</v>
      </c>
      <c r="N625" t="s">
        <v>695</v>
      </c>
      <c r="O625" t="str">
        <f t="shared" si="208"/>
        <v>Cape Town</v>
      </c>
      <c r="P625" t="s">
        <v>703</v>
      </c>
      <c r="Q625" t="s">
        <v>708</v>
      </c>
      <c r="R625" t="str">
        <f t="shared" si="209"/>
        <v>Online</v>
      </c>
      <c r="S625" t="s">
        <v>714</v>
      </c>
      <c r="T625" t="str">
        <f t="shared" si="222"/>
        <v>I. Johnson</v>
      </c>
      <c r="U625" t="s">
        <v>731</v>
      </c>
      <c r="V625" t="str">
        <f t="shared" si="210"/>
        <v>Low</v>
      </c>
      <c r="W625" t="s">
        <v>1122</v>
      </c>
      <c r="X625" t="str">
        <f t="shared" si="211"/>
        <v>C</v>
      </c>
      <c r="Y625" s="5">
        <v>20.38</v>
      </c>
      <c r="Z625" s="5">
        <v>42.56</v>
      </c>
      <c r="AA625" s="5">
        <f t="shared" si="212"/>
        <v>42.56</v>
      </c>
      <c r="AB625" s="7">
        <v>7.1999999999999995E-2</v>
      </c>
      <c r="AC625" s="7">
        <f t="shared" si="213"/>
        <v>7.1999999999999995E-2</v>
      </c>
      <c r="AD625" s="16">
        <f t="shared" si="214"/>
        <v>0</v>
      </c>
      <c r="AE625" s="16">
        <v>11</v>
      </c>
      <c r="AF625" s="5">
        <f t="shared" si="215"/>
        <v>434.45248000000004</v>
      </c>
      <c r="AG625">
        <f t="shared" si="216"/>
        <v>224.17999999999998</v>
      </c>
      <c r="AH625" s="5">
        <f t="shared" si="217"/>
        <v>210.27248000000006</v>
      </c>
      <c r="AI625" s="5">
        <f t="shared" si="218"/>
        <v>0.48399419885921713</v>
      </c>
      <c r="AJ625" s="5">
        <f t="shared" si="221"/>
        <v>10944846.472090011</v>
      </c>
      <c r="AK625" s="7">
        <f t="shared" si="219"/>
        <v>0.99991581761395554</v>
      </c>
      <c r="AL625" s="17">
        <f>MIN(AC625,'What-If Analysis'!$B$2)</f>
        <v>7.1999999999999995E-2</v>
      </c>
      <c r="AM625">
        <f>AE625*(1+'What-If Analysis'!$B$3)</f>
        <v>14.3</v>
      </c>
      <c r="AN625">
        <f>Y625*(1+'What-If Analysis'!$B$4)</f>
        <v>22.417999999999999</v>
      </c>
      <c r="AO625">
        <f t="shared" si="220"/>
        <v>564.78822400000013</v>
      </c>
    </row>
    <row r="626" spans="1:41" x14ac:dyDescent="0.3">
      <c r="A626" t="s">
        <v>600</v>
      </c>
      <c r="B626" s="3">
        <v>45049</v>
      </c>
      <c r="C626" s="3">
        <f t="shared" si="201"/>
        <v>45049</v>
      </c>
      <c r="D626" s="3">
        <v>45062</v>
      </c>
      <c r="E626" s="3">
        <f t="shared" si="202"/>
        <v>45062</v>
      </c>
      <c r="F626" s="16">
        <f t="shared" si="203"/>
        <v>13</v>
      </c>
      <c r="G626" s="16">
        <f>IF(Data!F621&lt;=7,1,0)</f>
        <v>0</v>
      </c>
      <c r="H626" s="5" t="str">
        <f t="shared" si="204"/>
        <v>05-2023</v>
      </c>
      <c r="I626" s="5" t="str">
        <f t="shared" si="205"/>
        <v>Q2-2023</v>
      </c>
      <c r="J626" s="3">
        <f t="shared" si="206"/>
        <v>44939</v>
      </c>
      <c r="K626" s="5" t="str">
        <f t="shared" si="207"/>
        <v>01-2023</v>
      </c>
      <c r="L626" t="s">
        <v>648</v>
      </c>
      <c r="M626" t="s">
        <v>660</v>
      </c>
      <c r="N626" t="s">
        <v>700</v>
      </c>
      <c r="O626" t="str">
        <f t="shared" si="208"/>
        <v>New York</v>
      </c>
      <c r="P626" t="s">
        <v>701</v>
      </c>
      <c r="Q626" t="s">
        <v>709</v>
      </c>
      <c r="R626" t="str">
        <f t="shared" si="209"/>
        <v>Marketplace</v>
      </c>
      <c r="S626" t="s">
        <v>716</v>
      </c>
      <c r="T626" t="str">
        <f t="shared" si="222"/>
        <v>L. Okafor</v>
      </c>
      <c r="U626" t="s">
        <v>730</v>
      </c>
      <c r="V626" t="str">
        <f t="shared" si="210"/>
        <v>Low</v>
      </c>
      <c r="W626" t="s">
        <v>1318</v>
      </c>
      <c r="X626" t="str">
        <f t="shared" si="211"/>
        <v>C</v>
      </c>
      <c r="Y626" s="5">
        <v>64.5</v>
      </c>
      <c r="Z626" s="5">
        <v>123.62</v>
      </c>
      <c r="AA626" s="5">
        <f t="shared" si="212"/>
        <v>123.62</v>
      </c>
      <c r="AB626" s="7">
        <v>0</v>
      </c>
      <c r="AC626" s="7">
        <f t="shared" si="213"/>
        <v>0</v>
      </c>
      <c r="AD626" s="16">
        <f t="shared" si="214"/>
        <v>0</v>
      </c>
      <c r="AE626" s="16">
        <v>3</v>
      </c>
      <c r="AF626" s="5">
        <f t="shared" si="215"/>
        <v>370.86</v>
      </c>
      <c r="AG626">
        <f t="shared" si="216"/>
        <v>193.5</v>
      </c>
      <c r="AH626" s="5">
        <f t="shared" si="217"/>
        <v>177.36</v>
      </c>
      <c r="AI626" s="5">
        <f t="shared" si="218"/>
        <v>0.47823976702798904</v>
      </c>
      <c r="AJ626" s="5">
        <f t="shared" si="221"/>
        <v>10945217.332090011</v>
      </c>
      <c r="AK626" s="7">
        <f t="shared" si="219"/>
        <v>0.99994969920206778</v>
      </c>
      <c r="AL626" s="17">
        <f>MIN(AC626,'What-If Analysis'!$B$2)</f>
        <v>0</v>
      </c>
      <c r="AM626">
        <f>AE626*(1+'What-If Analysis'!$B$3)</f>
        <v>3.9000000000000004</v>
      </c>
      <c r="AN626">
        <f>Y626*(1+'What-If Analysis'!$B$4)</f>
        <v>70.95</v>
      </c>
      <c r="AO626">
        <f t="shared" si="220"/>
        <v>482.11800000000005</v>
      </c>
    </row>
    <row r="627" spans="1:41" x14ac:dyDescent="0.3">
      <c r="A627" t="s">
        <v>111</v>
      </c>
      <c r="B627" s="3">
        <v>45870</v>
      </c>
      <c r="C627" s="3">
        <f t="shared" si="201"/>
        <v>45870</v>
      </c>
      <c r="D627" s="3">
        <v>45885</v>
      </c>
      <c r="E627" s="3">
        <f t="shared" si="202"/>
        <v>45885</v>
      </c>
      <c r="F627" s="16">
        <f t="shared" si="203"/>
        <v>15</v>
      </c>
      <c r="G627" s="16">
        <f>IF(Data!F627&lt;=7,1,0)</f>
        <v>0</v>
      </c>
      <c r="H627" s="5" t="str">
        <f t="shared" si="204"/>
        <v>08-2025</v>
      </c>
      <c r="I627" s="5" t="str">
        <f t="shared" si="205"/>
        <v>Q3-2025</v>
      </c>
      <c r="J627" s="3">
        <f t="shared" si="206"/>
        <v>44955</v>
      </c>
      <c r="K627" s="5" t="str">
        <f t="shared" si="207"/>
        <v>01-2023</v>
      </c>
      <c r="L627" t="s">
        <v>647</v>
      </c>
      <c r="M627" t="s">
        <v>654</v>
      </c>
      <c r="O627" t="str">
        <f t="shared" si="208"/>
        <v>Delhi</v>
      </c>
      <c r="P627" t="s">
        <v>706</v>
      </c>
      <c r="Q627" t="s">
        <v>711</v>
      </c>
      <c r="R627" t="str">
        <f t="shared" si="209"/>
        <v>Direct</v>
      </c>
      <c r="S627" t="s">
        <v>719</v>
      </c>
      <c r="T627" t="str">
        <f t="shared" si="222"/>
        <v>O. Wang</v>
      </c>
      <c r="U627" t="s">
        <v>732</v>
      </c>
      <c r="V627" t="str">
        <f t="shared" si="210"/>
        <v>Low</v>
      </c>
      <c r="W627" t="s">
        <v>830</v>
      </c>
      <c r="X627" t="str">
        <f t="shared" si="211"/>
        <v>C</v>
      </c>
      <c r="Y627" s="5">
        <v>24.44</v>
      </c>
      <c r="Z627" s="5">
        <v>28.69</v>
      </c>
      <c r="AA627" s="5">
        <f t="shared" si="212"/>
        <v>28.69</v>
      </c>
      <c r="AB627" s="7">
        <v>0.14599999999999999</v>
      </c>
      <c r="AC627" s="7">
        <f t="shared" si="213"/>
        <v>0.14599999999999999</v>
      </c>
      <c r="AD627" s="16">
        <f t="shared" si="214"/>
        <v>0</v>
      </c>
      <c r="AE627" s="16">
        <v>6</v>
      </c>
      <c r="AF627" s="5">
        <f t="shared" si="215"/>
        <v>147.00756000000001</v>
      </c>
      <c r="AG627">
        <f t="shared" si="216"/>
        <v>146.64000000000001</v>
      </c>
      <c r="AH627" s="5">
        <f t="shared" si="217"/>
        <v>0.36755999999999744</v>
      </c>
      <c r="AI627" s="5">
        <f t="shared" si="218"/>
        <v>2.5002795774584476E-3</v>
      </c>
      <c r="AJ627" s="5">
        <f t="shared" si="221"/>
        <v>10945364.339650011</v>
      </c>
      <c r="AK627" s="7">
        <f t="shared" si="219"/>
        <v>0.99996312974080837</v>
      </c>
      <c r="AL627" s="17">
        <f>MIN(AC627,'What-If Analysis'!$B$2)</f>
        <v>0.14599999999999999</v>
      </c>
      <c r="AM627">
        <f>AE627*(1+'What-If Analysis'!$B$3)</f>
        <v>7.8000000000000007</v>
      </c>
      <c r="AN627">
        <f>Y627*(1+'What-If Analysis'!$B$4)</f>
        <v>26.884000000000004</v>
      </c>
      <c r="AO627">
        <f t="shared" si="220"/>
        <v>191.10982800000002</v>
      </c>
    </row>
    <row r="628" spans="1:41" x14ac:dyDescent="0.3">
      <c r="A628" t="s">
        <v>312</v>
      </c>
      <c r="B628" s="3">
        <v>45377</v>
      </c>
      <c r="C628" s="3">
        <f t="shared" si="201"/>
        <v>45377</v>
      </c>
      <c r="D628" s="3">
        <v>45387</v>
      </c>
      <c r="E628" s="3">
        <f t="shared" si="202"/>
        <v>45387</v>
      </c>
      <c r="F628" s="16">
        <f t="shared" si="203"/>
        <v>10</v>
      </c>
      <c r="G628" s="16">
        <f>IF(Data!F631&lt;=7,1,0)</f>
        <v>1</v>
      </c>
      <c r="H628" s="5" t="str">
        <f t="shared" si="204"/>
        <v>03-2024</v>
      </c>
      <c r="I628" s="5" t="str">
        <f t="shared" si="205"/>
        <v>Q1-2024</v>
      </c>
      <c r="J628" s="3">
        <f t="shared" si="206"/>
        <v>44939</v>
      </c>
      <c r="K628" s="5" t="str">
        <f t="shared" si="207"/>
        <v>01-2023</v>
      </c>
      <c r="L628" t="s">
        <v>648</v>
      </c>
      <c r="M628" t="s">
        <v>660</v>
      </c>
      <c r="N628" t="s">
        <v>697</v>
      </c>
      <c r="O628" t="str">
        <f t="shared" si="208"/>
        <v>Austin</v>
      </c>
      <c r="P628" t="s">
        <v>704</v>
      </c>
      <c r="Q628" t="s">
        <v>711</v>
      </c>
      <c r="R628" t="str">
        <f t="shared" si="209"/>
        <v>Direct</v>
      </c>
      <c r="S628" t="s">
        <v>713</v>
      </c>
      <c r="T628" t="str">
        <f t="shared" si="222"/>
        <v>J. Njeri</v>
      </c>
      <c r="U628" t="s">
        <v>732</v>
      </c>
      <c r="V628" t="str">
        <f t="shared" si="210"/>
        <v>Low</v>
      </c>
      <c r="W628" t="s">
        <v>1032</v>
      </c>
      <c r="X628" t="str">
        <f t="shared" si="211"/>
        <v>C</v>
      </c>
      <c r="Y628" s="5">
        <v>5.66</v>
      </c>
      <c r="Z628" s="5">
        <v>4.22</v>
      </c>
      <c r="AA628" s="5">
        <f t="shared" si="212"/>
        <v>4.22</v>
      </c>
      <c r="AB628" s="7">
        <v>0.11899999999999999</v>
      </c>
      <c r="AC628" s="7">
        <f t="shared" si="213"/>
        <v>0.11899999999999999</v>
      </c>
      <c r="AD628" s="16">
        <f t="shared" si="214"/>
        <v>0</v>
      </c>
      <c r="AE628" s="16">
        <v>18</v>
      </c>
      <c r="AF628" s="5">
        <f t="shared" si="215"/>
        <v>66.920760000000001</v>
      </c>
      <c r="AG628">
        <f t="shared" si="216"/>
        <v>101.88</v>
      </c>
      <c r="AH628" s="5">
        <f t="shared" si="217"/>
        <v>34.959239999999994</v>
      </c>
      <c r="AI628" s="5">
        <f t="shared" si="218"/>
        <v>0.52239753403876454</v>
      </c>
      <c r="AJ628" s="5">
        <f t="shared" si="221"/>
        <v>10945431.260410011</v>
      </c>
      <c r="AK628" s="7">
        <f t="shared" si="219"/>
        <v>0.99996924358869299</v>
      </c>
      <c r="AL628" s="17">
        <f>MIN(AC628,'What-If Analysis'!$B$2)</f>
        <v>0.11899999999999999</v>
      </c>
      <c r="AM628">
        <f>AE628*(1+'What-If Analysis'!$B$3)</f>
        <v>23.400000000000002</v>
      </c>
      <c r="AN628">
        <f>Y628*(1+'What-If Analysis'!$B$4)</f>
        <v>6.2260000000000009</v>
      </c>
      <c r="AO628">
        <f t="shared" si="220"/>
        <v>86.996988000000002</v>
      </c>
    </row>
    <row r="629" spans="1:41" x14ac:dyDescent="0.3">
      <c r="A629" t="s">
        <v>300</v>
      </c>
      <c r="B629" s="3">
        <v>45751</v>
      </c>
      <c r="C629" s="3">
        <f t="shared" si="201"/>
        <v>45751</v>
      </c>
      <c r="D629" s="3">
        <v>45760</v>
      </c>
      <c r="E629" s="3">
        <f t="shared" si="202"/>
        <v>45760</v>
      </c>
      <c r="F629" s="16">
        <f t="shared" si="203"/>
        <v>9</v>
      </c>
      <c r="G629" s="16">
        <f>IF(Data!F630&lt;=7,1,0)</f>
        <v>0</v>
      </c>
      <c r="H629" s="5" t="str">
        <f t="shared" si="204"/>
        <v>04-2025</v>
      </c>
      <c r="I629" s="5" t="str">
        <f t="shared" si="205"/>
        <v>Q2-2025</v>
      </c>
      <c r="J629" s="3">
        <f t="shared" si="206"/>
        <v>44947</v>
      </c>
      <c r="K629" s="5" t="str">
        <f t="shared" si="207"/>
        <v>01-2023</v>
      </c>
      <c r="L629" t="s">
        <v>649</v>
      </c>
      <c r="M629" t="s">
        <v>656</v>
      </c>
      <c r="N629" t="s">
        <v>684</v>
      </c>
      <c r="O629" t="str">
        <f t="shared" si="208"/>
        <v>Munich</v>
      </c>
      <c r="P629" t="s">
        <v>704</v>
      </c>
      <c r="Q629" t="s">
        <v>709</v>
      </c>
      <c r="R629" t="str">
        <f t="shared" si="209"/>
        <v>Marketplace</v>
      </c>
      <c r="S629" t="s">
        <v>721</v>
      </c>
      <c r="T629" t="str">
        <f t="shared" si="222"/>
        <v>F. Müller</v>
      </c>
      <c r="U629" t="s">
        <v>730</v>
      </c>
      <c r="V629" t="str">
        <f t="shared" si="210"/>
        <v>Low</v>
      </c>
      <c r="W629" t="s">
        <v>1020</v>
      </c>
      <c r="X629" t="str">
        <f t="shared" si="211"/>
        <v>C</v>
      </c>
      <c r="Y629" s="5">
        <v>7.02</v>
      </c>
      <c r="Z629" s="5">
        <v>6.28</v>
      </c>
      <c r="AA629" s="5">
        <f t="shared" si="212"/>
        <v>6.28</v>
      </c>
      <c r="AB629" s="7">
        <v>0.13400000000000001</v>
      </c>
      <c r="AC629" s="7">
        <f t="shared" si="213"/>
        <v>0.13400000000000001</v>
      </c>
      <c r="AD629" s="16">
        <f t="shared" si="214"/>
        <v>0</v>
      </c>
      <c r="AE629" s="16">
        <v>14</v>
      </c>
      <c r="AF629" s="5">
        <f t="shared" si="215"/>
        <v>76.138720000000006</v>
      </c>
      <c r="AG629">
        <f t="shared" si="216"/>
        <v>98.28</v>
      </c>
      <c r="AH629" s="5">
        <f t="shared" si="217"/>
        <v>22.141279999999995</v>
      </c>
      <c r="AI629" s="5">
        <f t="shared" si="218"/>
        <v>0.29080184169106066</v>
      </c>
      <c r="AJ629" s="5">
        <f t="shared" si="221"/>
        <v>10945507.399130011</v>
      </c>
      <c r="AK629" s="7">
        <f t="shared" si="219"/>
        <v>0.99997619958489214</v>
      </c>
      <c r="AL629" s="17">
        <f>MIN(AC629,'What-If Analysis'!$B$2)</f>
        <v>0.13400000000000001</v>
      </c>
      <c r="AM629">
        <f>AE629*(1+'What-If Analysis'!$B$3)</f>
        <v>18.2</v>
      </c>
      <c r="AN629">
        <f>Y629*(1+'What-If Analysis'!$B$4)</f>
        <v>7.7220000000000004</v>
      </c>
      <c r="AO629">
        <f t="shared" si="220"/>
        <v>98.980336000000008</v>
      </c>
    </row>
    <row r="630" spans="1:41" x14ac:dyDescent="0.3">
      <c r="A630" t="s">
        <v>187</v>
      </c>
      <c r="B630" s="3">
        <v>44981</v>
      </c>
      <c r="C630" s="3">
        <f t="shared" si="201"/>
        <v>44981</v>
      </c>
      <c r="D630" s="3">
        <v>44994</v>
      </c>
      <c r="E630" s="3">
        <f t="shared" si="202"/>
        <v>44994</v>
      </c>
      <c r="F630" s="16">
        <f t="shared" si="203"/>
        <v>13</v>
      </c>
      <c r="G630" s="16">
        <f>IF(Data!F629&lt;=7,1,0)</f>
        <v>0</v>
      </c>
      <c r="H630" s="5" t="str">
        <f t="shared" si="204"/>
        <v>02-2023</v>
      </c>
      <c r="I630" s="5" t="str">
        <f t="shared" si="205"/>
        <v>Q1-2023</v>
      </c>
      <c r="J630" s="3">
        <f t="shared" si="206"/>
        <v>44939</v>
      </c>
      <c r="K630" s="5" t="str">
        <f t="shared" si="207"/>
        <v>01-2023</v>
      </c>
      <c r="L630" t="s">
        <v>648</v>
      </c>
      <c r="M630" t="s">
        <v>660</v>
      </c>
      <c r="N630" t="s">
        <v>700</v>
      </c>
      <c r="O630" t="str">
        <f t="shared" si="208"/>
        <v>New York</v>
      </c>
      <c r="P630" t="s">
        <v>706</v>
      </c>
      <c r="Q630" t="s">
        <v>708</v>
      </c>
      <c r="R630" t="str">
        <f t="shared" si="209"/>
        <v>Online</v>
      </c>
      <c r="S630" t="s">
        <v>724</v>
      </c>
      <c r="T630" t="str">
        <f t="shared" si="222"/>
        <v>M. Rossi</v>
      </c>
      <c r="U630" t="s">
        <v>727</v>
      </c>
      <c r="V630" t="str">
        <f t="shared" si="210"/>
        <v>Low</v>
      </c>
      <c r="W630" t="s">
        <v>906</v>
      </c>
      <c r="X630" t="str">
        <f t="shared" si="211"/>
        <v>C</v>
      </c>
      <c r="Y630" s="5">
        <v>6.85</v>
      </c>
      <c r="Z630" s="5">
        <v>10.18</v>
      </c>
      <c r="AA630" s="5">
        <f t="shared" si="212"/>
        <v>10.18</v>
      </c>
      <c r="AB630" s="7">
        <v>4.7E-2</v>
      </c>
      <c r="AC630" s="7">
        <f t="shared" si="213"/>
        <v>4.7E-2</v>
      </c>
      <c r="AD630" s="16">
        <f t="shared" si="214"/>
        <v>0</v>
      </c>
      <c r="AE630" s="16">
        <v>10</v>
      </c>
      <c r="AF630" s="5">
        <f t="shared" si="215"/>
        <v>97.0154</v>
      </c>
      <c r="AG630">
        <f t="shared" si="216"/>
        <v>68.5</v>
      </c>
      <c r="AH630" s="5">
        <f t="shared" si="217"/>
        <v>28.5154</v>
      </c>
      <c r="AI630" s="5">
        <f t="shared" si="218"/>
        <v>0.2939265312517394</v>
      </c>
      <c r="AJ630" s="5">
        <f t="shared" si="221"/>
        <v>10945604.414530011</v>
      </c>
      <c r="AK630" s="7">
        <f t="shared" si="219"/>
        <v>0.99998506286435984</v>
      </c>
      <c r="AL630" s="17">
        <f>MIN(AC630,'What-If Analysis'!$B$2)</f>
        <v>4.7E-2</v>
      </c>
      <c r="AM630">
        <f>AE630*(1+'What-If Analysis'!$B$3)</f>
        <v>13</v>
      </c>
      <c r="AN630">
        <f>Y630*(1+'What-If Analysis'!$B$4)</f>
        <v>7.5350000000000001</v>
      </c>
      <c r="AO630">
        <f t="shared" si="220"/>
        <v>126.12002</v>
      </c>
    </row>
    <row r="631" spans="1:41" x14ac:dyDescent="0.3">
      <c r="A631" t="s">
        <v>507</v>
      </c>
      <c r="B631" s="3">
        <v>45352</v>
      </c>
      <c r="C631" s="3">
        <f t="shared" si="201"/>
        <v>45351</v>
      </c>
      <c r="D631" s="3">
        <v>45351</v>
      </c>
      <c r="E631" s="3">
        <f t="shared" si="202"/>
        <v>45352</v>
      </c>
      <c r="F631" s="16">
        <f t="shared" si="203"/>
        <v>1</v>
      </c>
      <c r="G631" s="16">
        <f>IF(Data!F628&lt;=7,1,0)</f>
        <v>0</v>
      </c>
      <c r="H631" s="5" t="str">
        <f t="shared" si="204"/>
        <v>02-2024</v>
      </c>
      <c r="I631" s="5" t="str">
        <f t="shared" si="205"/>
        <v>Q1-2024</v>
      </c>
      <c r="J631" s="3">
        <f t="shared" si="206"/>
        <v>44955</v>
      </c>
      <c r="K631" s="5" t="str">
        <f t="shared" si="207"/>
        <v>01-2023</v>
      </c>
      <c r="L631" t="s">
        <v>648</v>
      </c>
      <c r="M631" t="s">
        <v>655</v>
      </c>
      <c r="N631" t="s">
        <v>670</v>
      </c>
      <c r="O631" t="str">
        <f t="shared" si="208"/>
        <v>São Paulo</v>
      </c>
      <c r="P631" t="s">
        <v>703</v>
      </c>
      <c r="Q631" t="s">
        <v>711</v>
      </c>
      <c r="R631" t="str">
        <f t="shared" si="209"/>
        <v>Direct</v>
      </c>
      <c r="S631" t="s">
        <v>714</v>
      </c>
      <c r="T631" t="str">
        <f t="shared" si="222"/>
        <v>I. Johnson</v>
      </c>
      <c r="U631" t="s">
        <v>730</v>
      </c>
      <c r="V631" t="str">
        <f t="shared" si="210"/>
        <v>Low</v>
      </c>
      <c r="W631" t="s">
        <v>1226</v>
      </c>
      <c r="X631" t="str">
        <f t="shared" si="211"/>
        <v>C</v>
      </c>
      <c r="Y631" s="5">
        <v>5.34</v>
      </c>
      <c r="Z631" s="5">
        <v>12.69</v>
      </c>
      <c r="AA631" s="5">
        <f t="shared" si="212"/>
        <v>12.69</v>
      </c>
      <c r="AB631" s="7">
        <v>0.13200000000000001</v>
      </c>
      <c r="AC631" s="7">
        <f t="shared" si="213"/>
        <v>0.13200000000000001</v>
      </c>
      <c r="AD631" s="16">
        <f t="shared" si="214"/>
        <v>0</v>
      </c>
      <c r="AE631" s="16">
        <v>10</v>
      </c>
      <c r="AF631" s="5">
        <f t="shared" si="215"/>
        <v>110.14919999999999</v>
      </c>
      <c r="AG631">
        <f t="shared" si="216"/>
        <v>53.4</v>
      </c>
      <c r="AH631" s="5">
        <f t="shared" si="217"/>
        <v>56.749199999999995</v>
      </c>
      <c r="AI631" s="5">
        <f t="shared" si="218"/>
        <v>0.51520301554618642</v>
      </c>
      <c r="AJ631" s="5">
        <f t="shared" si="221"/>
        <v>10945714.563730011</v>
      </c>
      <c r="AK631" s="7">
        <f t="shared" si="219"/>
        <v>0.99999512604136809</v>
      </c>
      <c r="AL631" s="17">
        <f>MIN(AC631,'What-If Analysis'!$B$2)</f>
        <v>0.13200000000000001</v>
      </c>
      <c r="AM631">
        <f>AE631*(1+'What-If Analysis'!$B$3)</f>
        <v>13</v>
      </c>
      <c r="AN631">
        <f>Y631*(1+'What-If Analysis'!$B$4)</f>
        <v>5.8740000000000006</v>
      </c>
      <c r="AO631">
        <f t="shared" si="220"/>
        <v>143.19396</v>
      </c>
    </row>
    <row r="632" spans="1:41" x14ac:dyDescent="0.3">
      <c r="A632" t="s">
        <v>127</v>
      </c>
      <c r="B632" s="3">
        <v>45472</v>
      </c>
      <c r="C632" s="3">
        <f t="shared" si="201"/>
        <v>45472</v>
      </c>
      <c r="D632" s="3">
        <v>45499</v>
      </c>
      <c r="E632" s="3">
        <f t="shared" si="202"/>
        <v>45499</v>
      </c>
      <c r="F632" s="16">
        <f t="shared" si="203"/>
        <v>27</v>
      </c>
      <c r="G632" s="16">
        <f>IF(Data!F632&lt;=7,1,0)</f>
        <v>0</v>
      </c>
      <c r="H632" s="5" t="str">
        <f t="shared" si="204"/>
        <v>06-2024</v>
      </c>
      <c r="I632" s="5" t="str">
        <f t="shared" si="205"/>
        <v>Q2-2024</v>
      </c>
      <c r="J632" s="3">
        <f t="shared" si="206"/>
        <v>44933</v>
      </c>
      <c r="K632" s="5" t="str">
        <f t="shared" si="207"/>
        <v>01-2023</v>
      </c>
      <c r="L632" t="s">
        <v>646</v>
      </c>
      <c r="M632" t="s">
        <v>661</v>
      </c>
      <c r="N632" t="s">
        <v>687</v>
      </c>
      <c r="O632" t="str">
        <f t="shared" si="208"/>
        <v>Durban</v>
      </c>
      <c r="P632" t="s">
        <v>706</v>
      </c>
      <c r="Q632" t="s">
        <v>710</v>
      </c>
      <c r="R632" t="str">
        <f t="shared" si="209"/>
        <v>Distributor</v>
      </c>
      <c r="S632" t="s">
        <v>717</v>
      </c>
      <c r="T632" t="str">
        <f t="shared" si="222"/>
        <v>B. Chen</v>
      </c>
      <c r="U632" t="s">
        <v>729</v>
      </c>
      <c r="V632" t="str">
        <f t="shared" si="210"/>
        <v>Low</v>
      </c>
      <c r="W632" t="s">
        <v>846</v>
      </c>
      <c r="X632" t="str">
        <f t="shared" si="211"/>
        <v>C</v>
      </c>
      <c r="Y632" s="5">
        <v>5.36</v>
      </c>
      <c r="Z632" s="5">
        <v>4.37</v>
      </c>
      <c r="AA632" s="5">
        <f t="shared" si="212"/>
        <v>4.37</v>
      </c>
      <c r="AB632" s="7">
        <v>0.11799999999999999</v>
      </c>
      <c r="AC632" s="7">
        <f t="shared" si="213"/>
        <v>0.11799999999999999</v>
      </c>
      <c r="AD632" s="16">
        <f t="shared" si="214"/>
        <v>0</v>
      </c>
      <c r="AE632" s="16">
        <v>9</v>
      </c>
      <c r="AF632" s="5">
        <f t="shared" si="215"/>
        <v>34.689059999999998</v>
      </c>
      <c r="AG632">
        <f t="shared" si="216"/>
        <v>48.24</v>
      </c>
      <c r="AH632" s="5">
        <f t="shared" si="217"/>
        <v>13.550940000000004</v>
      </c>
      <c r="AI632" s="5">
        <f t="shared" si="218"/>
        <v>0.39064016148030545</v>
      </c>
      <c r="AJ632" s="5">
        <f t="shared" si="221"/>
        <v>10945749.252790011</v>
      </c>
      <c r="AK632" s="7">
        <f t="shared" si="219"/>
        <v>0.99999829521691397</v>
      </c>
      <c r="AL632" s="17">
        <f>MIN(AC632,'What-If Analysis'!$B$2)</f>
        <v>0.11799999999999999</v>
      </c>
      <c r="AM632">
        <f>AE632*(1+'What-If Analysis'!$B$3)</f>
        <v>11.700000000000001</v>
      </c>
      <c r="AN632">
        <f>Y632*(1+'What-If Analysis'!$B$4)</f>
        <v>5.8960000000000008</v>
      </c>
      <c r="AO632">
        <f t="shared" si="220"/>
        <v>45.095778000000003</v>
      </c>
    </row>
    <row r="633" spans="1:41" x14ac:dyDescent="0.3">
      <c r="A633" t="s">
        <v>195</v>
      </c>
      <c r="B633" s="3">
        <v>45915</v>
      </c>
      <c r="C633" s="3">
        <f t="shared" si="201"/>
        <v>45915</v>
      </c>
      <c r="D633" s="3">
        <v>45918</v>
      </c>
      <c r="E633" s="3">
        <f t="shared" si="202"/>
        <v>45918</v>
      </c>
      <c r="F633" s="16">
        <f t="shared" si="203"/>
        <v>3</v>
      </c>
      <c r="G633" s="16">
        <f>IF(Data!F633&lt;=7,1,0)</f>
        <v>1</v>
      </c>
      <c r="H633" s="5" t="str">
        <f t="shared" si="204"/>
        <v>09-2025</v>
      </c>
      <c r="I633" s="5" t="str">
        <f t="shared" si="205"/>
        <v>Q3-2025</v>
      </c>
      <c r="J633" s="3">
        <f t="shared" si="206"/>
        <v>44955</v>
      </c>
      <c r="K633" s="5" t="str">
        <f t="shared" si="207"/>
        <v>01-2023</v>
      </c>
      <c r="L633" t="s">
        <v>648</v>
      </c>
      <c r="M633" t="s">
        <v>655</v>
      </c>
      <c r="N633" t="s">
        <v>692</v>
      </c>
      <c r="O633" t="str">
        <f t="shared" si="208"/>
        <v>Rio de Janeiro</v>
      </c>
      <c r="P633" t="s">
        <v>703</v>
      </c>
      <c r="Q633" t="s">
        <v>711</v>
      </c>
      <c r="R633" t="str">
        <f t="shared" si="209"/>
        <v>Direct</v>
      </c>
      <c r="S633" t="s">
        <v>716</v>
      </c>
      <c r="T633" t="str">
        <f t="shared" si="222"/>
        <v>L. Okafor</v>
      </c>
      <c r="U633" t="s">
        <v>733</v>
      </c>
      <c r="V633" t="str">
        <f t="shared" si="210"/>
        <v>Low</v>
      </c>
      <c r="W633" t="s">
        <v>914</v>
      </c>
      <c r="X633" t="str">
        <f t="shared" si="211"/>
        <v>C</v>
      </c>
      <c r="Y633" s="5">
        <v>5.5</v>
      </c>
      <c r="Z633" s="5">
        <v>5.92</v>
      </c>
      <c r="AA633" s="5">
        <f t="shared" si="212"/>
        <v>5.92</v>
      </c>
      <c r="AB633" s="7">
        <v>0.21199999999999999</v>
      </c>
      <c r="AC633" s="7">
        <f t="shared" si="213"/>
        <v>0.21199999999999999</v>
      </c>
      <c r="AD633" s="16">
        <f t="shared" si="214"/>
        <v>1</v>
      </c>
      <c r="AE633" s="16">
        <v>4</v>
      </c>
      <c r="AF633" s="5">
        <f t="shared" si="215"/>
        <v>18.659839999999999</v>
      </c>
      <c r="AG633">
        <f t="shared" si="216"/>
        <v>22</v>
      </c>
      <c r="AH633" s="5">
        <f t="shared" si="217"/>
        <v>3.3401600000000009</v>
      </c>
      <c r="AI633" s="5">
        <f t="shared" si="218"/>
        <v>0.17900260666758133</v>
      </c>
      <c r="AJ633" s="5">
        <f t="shared" si="221"/>
        <v>10945767.912630012</v>
      </c>
      <c r="AK633" s="7">
        <f t="shared" si="219"/>
        <v>0.99999999997076494</v>
      </c>
      <c r="AL633" s="17">
        <f>MIN(AC633,'What-If Analysis'!$B$2)</f>
        <v>0.2</v>
      </c>
      <c r="AM633">
        <f>AE633*(1+'What-If Analysis'!$B$3)</f>
        <v>5.2</v>
      </c>
      <c r="AN633">
        <f>Y633*(1+'What-If Analysis'!$B$4)</f>
        <v>6.0500000000000007</v>
      </c>
      <c r="AO633">
        <f t="shared" si="220"/>
        <v>24.627200000000002</v>
      </c>
    </row>
  </sheetData>
  <sortState xmlns:xlrd2="http://schemas.microsoft.com/office/spreadsheetml/2017/richdata2" ref="A2:AK632">
    <sortCondition descending="1" ref="AF1:AF632"/>
  </sortState>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D9AB1-5372-439D-863F-B260991BA52C}">
  <dimension ref="A2:B8"/>
  <sheetViews>
    <sheetView workbookViewId="0">
      <selection activeCell="B5" sqref="B5"/>
    </sheetView>
  </sheetViews>
  <sheetFormatPr defaultRowHeight="14.4" x14ac:dyDescent="0.3"/>
  <cols>
    <col min="1" max="1" width="34.33203125" bestFit="1" customWidth="1"/>
    <col min="2" max="2" width="11.5546875" bestFit="1" customWidth="1"/>
  </cols>
  <sheetData>
    <row r="2" spans="1:2" x14ac:dyDescent="0.3">
      <c r="A2" t="s">
        <v>1470</v>
      </c>
      <c r="B2" s="18">
        <v>0.2</v>
      </c>
    </row>
    <row r="3" spans="1:2" x14ac:dyDescent="0.3">
      <c r="A3" t="s">
        <v>1476</v>
      </c>
      <c r="B3" s="18">
        <v>0.3</v>
      </c>
    </row>
    <row r="4" spans="1:2" x14ac:dyDescent="0.3">
      <c r="A4" t="s">
        <v>1471</v>
      </c>
      <c r="B4" s="18">
        <v>0.1</v>
      </c>
    </row>
    <row r="7" spans="1:2" x14ac:dyDescent="0.3">
      <c r="A7" t="s">
        <v>1477</v>
      </c>
      <c r="B7" s="5">
        <f>SUM(Data!AF:AF)</f>
        <v>10945767.912950013</v>
      </c>
    </row>
    <row r="8" spans="1:2" x14ac:dyDescent="0.3">
      <c r="A8" t="s">
        <v>1478</v>
      </c>
      <c r="B8" s="5">
        <f>SUM(Data!AO:AO)</f>
        <v>14344693.345853001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workbookViewId="0">
      <selection activeCell="A47" sqref="A47"/>
    </sheetView>
  </sheetViews>
  <sheetFormatPr defaultRowHeight="14.4" x14ac:dyDescent="0.3"/>
  <sheetData>
    <row r="1" spans="1:1" x14ac:dyDescent="0.3">
      <c r="A1" s="1" t="s">
        <v>1364</v>
      </c>
    </row>
    <row r="2" spans="1:1" x14ac:dyDescent="0.3">
      <c r="A2" t="s">
        <v>1365</v>
      </c>
    </row>
    <row r="4" spans="1:1" x14ac:dyDescent="0.3">
      <c r="A4" t="s">
        <v>1366</v>
      </c>
    </row>
    <row r="5" spans="1:1" x14ac:dyDescent="0.3">
      <c r="A5" t="s">
        <v>1367</v>
      </c>
    </row>
    <row r="6" spans="1:1" x14ac:dyDescent="0.3">
      <c r="A6" t="s">
        <v>1368</v>
      </c>
    </row>
    <row r="8" spans="1:1" x14ac:dyDescent="0.3">
      <c r="A8" t="s">
        <v>1369</v>
      </c>
    </row>
    <row r="9" spans="1:1" x14ac:dyDescent="0.3">
      <c r="A9" t="s">
        <v>1370</v>
      </c>
    </row>
    <row r="10" spans="1:1" x14ac:dyDescent="0.3">
      <c r="A10" t="s">
        <v>1371</v>
      </c>
    </row>
    <row r="11" spans="1:1" x14ac:dyDescent="0.3">
      <c r="A11" t="s">
        <v>1372</v>
      </c>
    </row>
    <row r="12" spans="1:1" x14ac:dyDescent="0.3">
      <c r="A12" t="s">
        <v>1373</v>
      </c>
    </row>
    <row r="13" spans="1:1" x14ac:dyDescent="0.3">
      <c r="A13" t="s">
        <v>1374</v>
      </c>
    </row>
    <row r="14" spans="1:1" x14ac:dyDescent="0.3">
      <c r="A14" t="s">
        <v>1375</v>
      </c>
    </row>
    <row r="15" spans="1:1" x14ac:dyDescent="0.3">
      <c r="A15" t="s">
        <v>1376</v>
      </c>
    </row>
    <row r="17" spans="1:1" x14ac:dyDescent="0.3">
      <c r="A17" t="s">
        <v>1377</v>
      </c>
    </row>
    <row r="18" spans="1:1" x14ac:dyDescent="0.3">
      <c r="A18" t="s">
        <v>1378</v>
      </c>
    </row>
    <row r="19" spans="1:1" x14ac:dyDescent="0.3">
      <c r="A19" t="s">
        <v>1379</v>
      </c>
    </row>
    <row r="20" spans="1:1" x14ac:dyDescent="0.3">
      <c r="A20" t="s">
        <v>1380</v>
      </c>
    </row>
    <row r="21" spans="1:1" x14ac:dyDescent="0.3">
      <c r="A21" t="s">
        <v>1381</v>
      </c>
    </row>
    <row r="23" spans="1:1" x14ac:dyDescent="0.3">
      <c r="A23" t="s">
        <v>1382</v>
      </c>
    </row>
    <row r="24" spans="1:1" x14ac:dyDescent="0.3">
      <c r="A24" t="s">
        <v>1383</v>
      </c>
    </row>
    <row r="25" spans="1:1" x14ac:dyDescent="0.3">
      <c r="A25" t="s">
        <v>1384</v>
      </c>
    </row>
    <row r="26" spans="1:1" x14ac:dyDescent="0.3">
      <c r="A26" t="s">
        <v>1385</v>
      </c>
    </row>
    <row r="27" spans="1:1" x14ac:dyDescent="0.3">
      <c r="A27" t="s">
        <v>1386</v>
      </c>
    </row>
    <row r="29" spans="1:1" x14ac:dyDescent="0.3">
      <c r="A29" t="s">
        <v>1387</v>
      </c>
    </row>
    <row r="30" spans="1:1" x14ac:dyDescent="0.3">
      <c r="A30" t="s">
        <v>1388</v>
      </c>
    </row>
    <row r="31" spans="1:1" x14ac:dyDescent="0.3">
      <c r="A31" t="s">
        <v>1389</v>
      </c>
    </row>
    <row r="32" spans="1:1" x14ac:dyDescent="0.3">
      <c r="A32" t="s">
        <v>1390</v>
      </c>
    </row>
    <row r="33" spans="1:1" x14ac:dyDescent="0.3">
      <c r="A33" t="s">
        <v>1391</v>
      </c>
    </row>
    <row r="34" spans="1:1" x14ac:dyDescent="0.3">
      <c r="A34" t="s">
        <v>1392</v>
      </c>
    </row>
    <row r="35" spans="1:1" x14ac:dyDescent="0.3">
      <c r="A35" t="s">
        <v>1393</v>
      </c>
    </row>
    <row r="36" spans="1:1" x14ac:dyDescent="0.3">
      <c r="A36" t="s">
        <v>1394</v>
      </c>
    </row>
    <row r="37" spans="1:1" x14ac:dyDescent="0.3">
      <c r="A37" t="s">
        <v>1395</v>
      </c>
    </row>
    <row r="38" spans="1:1" x14ac:dyDescent="0.3">
      <c r="A38" t="s">
        <v>1396</v>
      </c>
    </row>
    <row r="39" spans="1:1" x14ac:dyDescent="0.3">
      <c r="A39" t="s">
        <v>1397</v>
      </c>
    </row>
    <row r="40" spans="1:1" x14ac:dyDescent="0.3">
      <c r="A40" t="s">
        <v>1398</v>
      </c>
    </row>
    <row r="41" spans="1:1" x14ac:dyDescent="0.3">
      <c r="A41" t="s">
        <v>1399</v>
      </c>
    </row>
    <row r="43" spans="1:1" x14ac:dyDescent="0.3">
      <c r="A43" t="s">
        <v>1400</v>
      </c>
    </row>
    <row r="44" spans="1:1" x14ac:dyDescent="0.3">
      <c r="A44" t="s">
        <v>1401</v>
      </c>
    </row>
    <row r="45" spans="1:1" x14ac:dyDescent="0.3">
      <c r="A45" t="s">
        <v>1402</v>
      </c>
    </row>
    <row r="46" spans="1:1" x14ac:dyDescent="0.3">
      <c r="A46" t="s">
        <v>1403</v>
      </c>
    </row>
    <row r="47" spans="1:1" x14ac:dyDescent="0.3">
      <c r="A47" t="s">
        <v>1403</v>
      </c>
    </row>
    <row r="48" spans="1:1" x14ac:dyDescent="0.3">
      <c r="A48" t="s">
        <v>1404</v>
      </c>
    </row>
    <row r="50" spans="1:1" x14ac:dyDescent="0.3">
      <c r="A50" t="s">
        <v>1405</v>
      </c>
    </row>
    <row r="51" spans="1:1" x14ac:dyDescent="0.3">
      <c r="A51" t="s">
        <v>1406</v>
      </c>
    </row>
    <row r="52" spans="1:1" x14ac:dyDescent="0.3">
      <c r="A52" t="s">
        <v>1407</v>
      </c>
    </row>
    <row r="53" spans="1:1" x14ac:dyDescent="0.3">
      <c r="A53" t="s">
        <v>1408</v>
      </c>
    </row>
    <row r="54" spans="1:1" x14ac:dyDescent="0.3">
      <c r="A54" t="s">
        <v>1409</v>
      </c>
    </row>
    <row r="55" spans="1:1" x14ac:dyDescent="0.3">
      <c r="A55" t="s">
        <v>1410</v>
      </c>
    </row>
    <row r="56" spans="1:1" x14ac:dyDescent="0.3">
      <c r="A56" t="s">
        <v>1411</v>
      </c>
    </row>
    <row r="57" spans="1:1" x14ac:dyDescent="0.3">
      <c r="A57" t="s">
        <v>1412</v>
      </c>
    </row>
    <row r="58" spans="1:1" x14ac:dyDescent="0.3">
      <c r="A58" t="s">
        <v>1413</v>
      </c>
    </row>
    <row r="59" spans="1:1" x14ac:dyDescent="0.3">
      <c r="A59" t="s">
        <v>1414</v>
      </c>
    </row>
    <row r="61" spans="1:1" x14ac:dyDescent="0.3">
      <c r="A61" t="s">
        <v>1415</v>
      </c>
    </row>
    <row r="62" spans="1:1" x14ac:dyDescent="0.3">
      <c r="A62" t="s">
        <v>1416</v>
      </c>
    </row>
    <row r="64" spans="1:1" x14ac:dyDescent="0.3">
      <c r="A64" t="s">
        <v>1417</v>
      </c>
    </row>
    <row r="65" spans="1:1" x14ac:dyDescent="0.3">
      <c r="A65" t="s">
        <v>1418</v>
      </c>
    </row>
    <row r="66" spans="1:1" x14ac:dyDescent="0.3">
      <c r="A66" t="s">
        <v>1419</v>
      </c>
    </row>
    <row r="67" spans="1:1" x14ac:dyDescent="0.3">
      <c r="A67" t="s">
        <v>1420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27371-15F5-430D-8C6C-94B34B801E5E}">
  <dimension ref="A1"/>
  <sheetViews>
    <sheetView zoomScaleNormal="100" workbookViewId="0">
      <selection activeCell="U21" sqref="U21"/>
    </sheetView>
  </sheetViews>
  <sheetFormatPr defaultRowHeight="14.4" x14ac:dyDescent="0.3"/>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D6221-BA5C-41B4-A6B9-FB94B3525C1C}">
  <dimension ref="A1"/>
  <sheetViews>
    <sheetView tabSelected="1" workbookViewId="0">
      <selection activeCell="T26" sqref="T26"/>
    </sheetView>
  </sheetViews>
  <sheetFormatPr defaultRowHeight="14.4" x14ac:dyDescent="0.3"/>
  <cols>
    <col min="1" max="16384" width="8.88671875" style="20"/>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CohotAnalysis</vt:lpstr>
      <vt:lpstr>SKUAnalysis</vt:lpstr>
      <vt:lpstr>Cannibalization</vt:lpstr>
      <vt:lpstr>Top3RevperOrder</vt:lpstr>
      <vt:lpstr>Bottom3RevperOrder</vt:lpstr>
      <vt:lpstr>RevenueByMonth</vt:lpstr>
      <vt:lpstr>ProfitByReg&amp;Chanel</vt:lpstr>
      <vt:lpstr>Top10SKUbyRev</vt:lpstr>
      <vt:lpstr>LeadTimeDays</vt:lpstr>
      <vt:lpstr>OutliersbySalespersonandRegion</vt:lpstr>
      <vt:lpstr>Revenue by productcategory</vt:lpstr>
      <vt:lpstr>Data</vt:lpstr>
      <vt:lpstr>What-If Analysis</vt:lpstr>
      <vt:lpstr>Brief</vt:lpstr>
      <vt:lpstr>Dashboard</vt:lpstr>
      <vt:lpstr>Dashboard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Odhiambo Sungurah</cp:lastModifiedBy>
  <dcterms:created xsi:type="dcterms:W3CDTF">2025-09-28T10:49:35Z</dcterms:created>
  <dcterms:modified xsi:type="dcterms:W3CDTF">2026-06-19T12:25:48Z</dcterms:modified>
</cp:coreProperties>
</file>